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coronado\Desktop\OMSCGR\Carolina\CAR\"/>
    </mc:Choice>
  </mc:AlternateContent>
  <bookViews>
    <workbookView xWindow="0" yWindow="0" windowWidth="28800" windowHeight="11910" activeTab="2"/>
  </bookViews>
  <sheets>
    <sheet name="Hoja1" sheetId="2" r:id="rId1"/>
    <sheet name="PSC.1" sheetId="8" state="hidden" r:id="rId2"/>
    <sheet name="EVPI Carolina CAR (2026)" sheetId="1" r:id="rId3"/>
    <sheet name="Procesamietno" sheetId="3" state="hidden" r:id="rId4"/>
    <sheet name="porque EOS.2" sheetId="4" state="hidden" r:id="rId5"/>
    <sheet name="porque EOS.4" sheetId="5" state="hidden" r:id="rId6"/>
  </sheets>
  <definedNames>
    <definedName name="_xlnm._FilterDatabase" localSheetId="2" hidden="1">'EVPI Carolina CAR (2026)'!$A$1:$GD$167</definedName>
    <definedName name="_xlnm._FilterDatabase" localSheetId="3" hidden="1">Procesamietno!$B$214:$C$219</definedName>
    <definedName name="_xlnm._FilterDatabase" localSheetId="1" hidden="1">PSC.1!$B$23:$E$31</definedName>
  </definedName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D228" i="3" l="1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27" i="3"/>
  <c r="C245" i="3"/>
  <c r="H5" i="8" l="1"/>
  <c r="H4" i="8"/>
  <c r="E5" i="8"/>
  <c r="E6" i="8"/>
  <c r="E7" i="8"/>
  <c r="C8" i="8"/>
  <c r="E4" i="8"/>
  <c r="E29" i="8" l="1"/>
  <c r="E25" i="8"/>
  <c r="E27" i="8"/>
  <c r="E31" i="8"/>
  <c r="E28" i="8"/>
  <c r="E30" i="8"/>
  <c r="E26" i="8"/>
  <c r="E24" i="8"/>
  <c r="E13" i="8"/>
  <c r="E11" i="8"/>
  <c r="E18" i="8"/>
  <c r="E20" i="8"/>
  <c r="E17" i="8"/>
  <c r="E19" i="8"/>
  <c r="E15" i="8"/>
  <c r="E14" i="8"/>
  <c r="E16" i="8"/>
  <c r="E12" i="8"/>
  <c r="J5" i="8"/>
  <c r="J4" i="8"/>
  <c r="I5" i="8"/>
  <c r="I4" i="8"/>
  <c r="F5" i="8"/>
  <c r="F6" i="8"/>
  <c r="F7" i="8"/>
  <c r="F4" i="8"/>
  <c r="D8" i="8"/>
  <c r="G219" i="3"/>
  <c r="G218" i="3"/>
  <c r="G220" i="3"/>
  <c r="G214" i="3"/>
  <c r="G216" i="3"/>
  <c r="G215" i="3"/>
  <c r="G221" i="3"/>
  <c r="G217" i="3"/>
  <c r="C216" i="3"/>
  <c r="C217" i="3"/>
  <c r="C214" i="3"/>
  <c r="C213" i="3"/>
  <c r="C218" i="3"/>
  <c r="C219" i="3"/>
  <c r="C215" i="3"/>
  <c r="G212" i="3"/>
  <c r="C211" i="3"/>
  <c r="E31" i="5"/>
  <c r="B59" i="5"/>
  <c r="F160" i="3"/>
  <c r="G159" i="3" s="1"/>
  <c r="C159" i="3"/>
  <c r="D153" i="3" s="1"/>
  <c r="E32" i="4"/>
  <c r="C197" i="3"/>
  <c r="F183" i="3"/>
  <c r="G179" i="3" s="1"/>
  <c r="D152" i="3" l="1"/>
  <c r="D158" i="3"/>
  <c r="D157" i="3"/>
  <c r="D156" i="3"/>
  <c r="D155" i="3"/>
  <c r="D154" i="3"/>
  <c r="G152" i="3"/>
  <c r="G158" i="3"/>
  <c r="G157" i="3"/>
  <c r="G156" i="3"/>
  <c r="G155" i="3"/>
  <c r="G154" i="3"/>
  <c r="G153" i="3"/>
  <c r="G178" i="3"/>
  <c r="G182" i="3"/>
  <c r="G181" i="3"/>
  <c r="G180" i="3"/>
  <c r="C49" i="3"/>
  <c r="D43" i="3" l="1"/>
  <c r="D44" i="3"/>
  <c r="D45" i="3"/>
  <c r="D46" i="3"/>
  <c r="D47" i="3"/>
  <c r="D48" i="3"/>
  <c r="D4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2" i="1"/>
</calcChain>
</file>

<file path=xl/sharedStrings.xml><?xml version="1.0" encoding="utf-8"?>
<sst xmlns="http://schemas.openxmlformats.org/spreadsheetml/2006/main" count="13883" uniqueCount="1235">
  <si>
    <t>start</t>
  </si>
  <si>
    <t>end</t>
  </si>
  <si>
    <t>Digitador</t>
  </si>
  <si>
    <t>Cuestionario No.</t>
  </si>
  <si>
    <t>Fecha:</t>
  </si>
  <si>
    <t>Grupo:</t>
  </si>
  <si>
    <t>Encuestador:</t>
  </si>
  <si>
    <t>Supervisor:</t>
  </si>
  <si>
    <t>Latitud</t>
  </si>
  <si>
    <t>Longitud</t>
  </si>
  <si>
    <t>¿Usted cuenta con un permiso de funcionamiento?</t>
  </si>
  <si>
    <t>¿Quién le otorgó el permiso?</t>
  </si>
  <si>
    <t>¿Cuánto tiempo lleva trabajando en este parque?( en años o meses)</t>
  </si>
  <si>
    <t>Tiempo:</t>
  </si>
  <si>
    <t>Rechazó la encuesta</t>
  </si>
  <si>
    <t>Menor de edad</t>
  </si>
  <si>
    <t>No termina la encuesta</t>
  </si>
  <si>
    <t>No es el dueño</t>
  </si>
  <si>
    <t>No cumple con el filtro</t>
  </si>
  <si>
    <t>DD. 1 Sexo Enc. Por observación</t>
  </si>
  <si>
    <t>DD.2 ¿Cuántos años tiene?</t>
  </si>
  <si>
    <t>DD. 3 ¿Su nacionalidad es ecuatoriana?</t>
  </si>
  <si>
    <t>DD3.1 ¿Cuál es su nacionalidad?</t>
  </si>
  <si>
    <t>DD. 4 ¿Cómo se identifica usted según su cultura y costumbres?:Enc. leer RU.</t>
  </si>
  <si>
    <t>DD.4.8 ¿Cuál?</t>
  </si>
  <si>
    <t>DD. 5 Actualmente, ¿cuál es su Estado Civil? Enc. respuesta espontánea y RU.</t>
  </si>
  <si>
    <t>DD.6 ¿Cuál es su nivel de estudios aprobados? Enc. respuesta espontánea y RU.</t>
  </si>
  <si>
    <t>DD.6.1 ¿Completa/Incompleta?</t>
  </si>
  <si>
    <t>DD. 7 ¿En qué rango se encuentra los ingresos mensuales de su hogar, es decir, de todas las personas que trabajan y/o reciben ingresos? (ingresos laborales, remesas, ayudas, rentas, bonos, entre otros) Enc. leer opciones y RU.</t>
  </si>
  <si>
    <t>PSC.1 En los últimos 12 meses, es decir, de septiembre 2024 a la fecha. EN TÉRMINOS DE SU SEGURIDAD PERSONAL,  ¿cómo se sintió usted en el parque? Enc. leer opciones y RU</t>
  </si>
  <si>
    <t>PSC.1.1 ¿ Cuáles son las principales razones por las que usted se siente seguro en el parque? Enc. RE y RM</t>
  </si>
  <si>
    <t>PSC.1.1 ¿ Cuáles son las principales razones por las que usted se siente seguro en el parque? Enc. RE y RM/1. Afluencia de gente</t>
  </si>
  <si>
    <t>PSC.1.1 ¿ Cuáles son las principales razones por las que usted se siente seguro en el parque? Enc. RE y RM/2. No ha pasado nada</t>
  </si>
  <si>
    <t>PSC.1.1 ¿ Cuáles son las principales razones por las que usted se siente seguro en el parque? Enc. RE y RM/3. Presencia de Policía Nacional</t>
  </si>
  <si>
    <t>PSC.1.1 ¿ Cuáles son las principales razones por las que usted se siente seguro en el parque? Enc. RE y RM/4. Buena iluminación</t>
  </si>
  <si>
    <t>PSC.1.1 ¿ Cuáles son las principales razones por las que usted se siente seguro en el parque? Enc. RE y RM/5. No existe delincuencia</t>
  </si>
  <si>
    <t>PSC.1.1 ¿ Cuáles son las principales razones por las que usted se siente seguro en el parque? Enc. RE y RM/6. Presencia de CACMQ</t>
  </si>
  <si>
    <t>PSC.1.1 ¿ Cuáles son las principales razones por las que usted se siente seguro en el parque? Enc. RE y RM/7. Existen cámaras de seguridad</t>
  </si>
  <si>
    <t>PSC.1.1 ¿ Cuáles son las principales razones por las que usted se siente seguro en el parque? Enc. RE y RM/8. Parque tranquilo</t>
  </si>
  <si>
    <t>PSC.1.1 ¿ Cuáles son las principales razones por las que usted se siente seguro en el parque? Enc. RE y RM/9. Presencia de seguridad privada</t>
  </si>
  <si>
    <t>PSC.1.1 ¿ Cuáles son las principales razones por las que usted se siente seguro en el parque? Enc. RE y RM/10. ¿Cúal?1</t>
  </si>
  <si>
    <t>PSC.1.1 ¿ Cuáles son las principales razones por las que usted se siente seguro en el parque? Enc. RE y RM/11. ¿Cúal?2</t>
  </si>
  <si>
    <t>PSC.1.1 ¿ Cuáles son las principales razones por las que usted se siente seguro en el parque? Enc. RE y RM/12. ¿Cúal?3</t>
  </si>
  <si>
    <t>¿Cúal?1</t>
  </si>
  <si>
    <t>¿Cúal?2</t>
  </si>
  <si>
    <t>¿Cúal?3</t>
  </si>
  <si>
    <t>PSC.1.2 ¿ Cuáles son las principales razones por las que usted se siente inseguro en el parque? Enc. RE y RM</t>
  </si>
  <si>
    <t>PSC.1.2 ¿ Cuáles son las principales razones por las que usted se siente inseguro en el parque? Enc. RE y RM/1. Delincuencia (robos, extorsiones, cualquier tipo de delito)</t>
  </si>
  <si>
    <t>PSC.1.2 ¿ Cuáles son las principales razones por las que usted se siente inseguro en el parque? Enc. RE y RM/2. Venta de drogas</t>
  </si>
  <si>
    <t>PSC.1.2 ¿ Cuáles son las principales razones por las que usted se siente inseguro en el parque? Enc. RE y RM/3. Consumo de drogas</t>
  </si>
  <si>
    <t>PSC.1.2 ¿ Cuáles son las principales razones por las que usted se siente inseguro en el parque? Enc. RE y RM/4. Ventas ambulantes</t>
  </si>
  <si>
    <t>PSC.1.2 ¿ Cuáles son las principales razones por las que usted se siente inseguro en el parque? Enc. RE y RM/5. Consumo de alcohol en el espacio público</t>
  </si>
  <si>
    <t>PSC.1.2 ¿ Cuáles son las principales razones por las que usted se siente inseguro en el parque? Enc. RE y RM/6. Habitantes de calle (mendicidad)</t>
  </si>
  <si>
    <t>PSC.1.2 ¿ Cuáles son las principales razones por las que usted se siente inseguro en el parque? Enc. RE y RM/7. Falta de alumbrado público</t>
  </si>
  <si>
    <t>PSC.1.2 ¿ Cuáles son las principales razones por las que usted se siente inseguro en el parque? Enc. RE y RM/8. ¿Cuál?1</t>
  </si>
  <si>
    <t>PSC.1.2 ¿ Cuáles son las principales razones por las que usted se siente inseguro en el parque? Enc. RE y RM/9. ¿Cuál?2</t>
  </si>
  <si>
    <t>PSC.1.2 ¿ Cuáles son las principales razones por las que usted se siente inseguro en el parque? Enc. RE y RM/10. ¿Cuál?3</t>
  </si>
  <si>
    <t>¿Cuál?1</t>
  </si>
  <si>
    <t>¿Cuál?2</t>
  </si>
  <si>
    <t>¿Cuál?3</t>
  </si>
  <si>
    <t>PSC.2 En los últimos 12 meses, es decir,  de septiembre 2024 a la fecha. EN TÉRMINOS DE SEGURIDAD, ¿qué tan segura/o se siente usted cuando está atendiendo en este puesto?: Enc. leer opciones y RU</t>
  </si>
  <si>
    <t>PSC.3 ¿En qué horario? Enc. Respuesta Leer opciones. RM</t>
  </si>
  <si>
    <t>PSC.4 ¿En los últimos 12 meses, es decir,  de septiembre 2024 a la fecha, considera que la situación de inseguridad en el parque? Enc. leer opciones y RU</t>
  </si>
  <si>
    <t>¿Ha cambiado su horario de venta al público?  Enc. respuesta espontánea y RU</t>
  </si>
  <si>
    <t>¿Ha evitado estar solo/a para atender al público? Enc. respuesta espontánea y RU</t>
  </si>
  <si>
    <t>¿Ha implementado medidas de seguridad en su negocio ? Como bates, palos, gas pimienta.    Enc. Si la respuesta es SI preguntar ¿cuáles?</t>
  </si>
  <si>
    <t>CH.1.1 ¿Cuáles?</t>
  </si>
  <si>
    <t>CH.1.1 ¿Cuáles?/1. Bate de béisbol</t>
  </si>
  <si>
    <t>CH.1.1 ¿Cuáles?/2. Gas pimienta</t>
  </si>
  <si>
    <t>CH.1.1 ¿Cuáles?/3. Palos</t>
  </si>
  <si>
    <t>CH.1.1 ¿Cuáles?/4. Armas blancas</t>
  </si>
  <si>
    <t>CH.1.1 ¿Cuáles?/5. Arma de fuego</t>
  </si>
  <si>
    <t>CH.1.1 ¿Cuáles?/6. Otros</t>
  </si>
  <si>
    <t>CH.1.1.1 ¿Cuál?</t>
  </si>
  <si>
    <t>VI.1 En los últimos 12 meses, es decir, de septiembre 2024 a la fecha. Ud. ha sido víctima de algún tipo de delito en el parque?</t>
  </si>
  <si>
    <t>¿De qué delitos fue víctima? Enc. respuesta espontáne. RM</t>
  </si>
  <si>
    <t>¿De qué delitos fue víctima? Enc. respuesta espontáne. RM/VI.2 Robo  (con violencia)</t>
  </si>
  <si>
    <t>¿De qué delitos fue víctima? Enc. respuesta espontáne. RM/VI.3 Hurto (sin violencia)</t>
  </si>
  <si>
    <t>¿De qué delitos fue víctima? Enc. respuesta espontáne. RM/VI.4 Extorsión</t>
  </si>
  <si>
    <t>¿De qué delitos fue víctima? Enc. respuesta espontáne. RM/VI.5 Estafa</t>
  </si>
  <si>
    <t>¿De qué delitos fue víctima? Enc. respuesta espontáne. RM/VI.6 Amenazas</t>
  </si>
  <si>
    <t>¿De qué delitos fue víctima? Enc. respuesta espontáne. RM/VI.7 Agresiones</t>
  </si>
  <si>
    <t>¿De qué delitos fue víctima? Enc. respuesta espontáne. RM/VI.8 Fraude bancario</t>
  </si>
  <si>
    <t>¿De qué delitos fue víctima? Enc. respuesta espontáne. RM/VI.9 Soborno</t>
  </si>
  <si>
    <t>¿De qué delitos fue víctima? Enc. respuesta espontáne. RM/VI.10 Otros</t>
  </si>
  <si>
    <t>VI.10.1 ¿Cuál?</t>
  </si>
  <si>
    <t>VI.12.1 ¿Denunció ese delito?</t>
  </si>
  <si>
    <t>VI.2.1 ¿Denunció Robo  (con violencia)?</t>
  </si>
  <si>
    <t>VI.3.1 ¿Denunció Hurto (sin violencia) ?</t>
  </si>
  <si>
    <t>VI.4.1 ¿Denunció Extorsión?</t>
  </si>
  <si>
    <t>VI.5.1 ¿Denunció Estafa?</t>
  </si>
  <si>
    <t>VI.6.1 ¿Denunció Amenazas?</t>
  </si>
  <si>
    <t>VI.7.1 ¿Denunció Agresiones?</t>
  </si>
  <si>
    <t>VI.8.1 ¿Denunció Fraude bancario?</t>
  </si>
  <si>
    <t>VI.9.1 ¿Denunció Soborno?</t>
  </si>
  <si>
    <t>En los últimos 12 meses, es decir, de septiembre 2024 a la fecha. ¿Usted ha presenciado y con qué frecuencia las siguientes situaciones en el espacio público de este parque, por ejemplo: Enc. leer opciones  RU. por situación</t>
  </si>
  <si>
    <t>CC.1 Alguien puso música a un volumen excesivo o hizo mucho ruido y eso le molestó?</t>
  </si>
  <si>
    <t>CC.1.1 ¿Con qué frecuencia?</t>
  </si>
  <si>
    <t>CC.2 Grafitis no artísticos que le molestaron?</t>
  </si>
  <si>
    <t>CC.2.1 ¿Con qué frecuencia?</t>
  </si>
  <si>
    <t>CC.3 Personas que orinan en el parque?</t>
  </si>
  <si>
    <t>CC.3.1 ¿Con qué frecuencia?</t>
  </si>
  <si>
    <t>CC.4 Desechos de animales ?</t>
  </si>
  <si>
    <t>CC.4.1 ¿Con qué frecuencia?</t>
  </si>
  <si>
    <t>CC.5 Áreas sin iluminación ?</t>
  </si>
  <si>
    <t>CC.5.1 ¿Con qué frecuencia?</t>
  </si>
  <si>
    <t>CC.6 Peleas o riñas ?</t>
  </si>
  <si>
    <t>CC.6.1 ¿Con qué frecuencia?</t>
  </si>
  <si>
    <t>CC.7 Habitantes en situación de calle (mendicidad) ?</t>
  </si>
  <si>
    <t>CC.7.1 ¿Con qué frecuencia?</t>
  </si>
  <si>
    <t>CC.8 Consumo de alcohol?</t>
  </si>
  <si>
    <t>CC.8.1 ¿Con qué frecuencia?</t>
  </si>
  <si>
    <t>CC.9 Venta de alcohol?</t>
  </si>
  <si>
    <t>CC.9.1 ¿Con qué frecuencia?</t>
  </si>
  <si>
    <t>CC.10 Consumo de drogas?</t>
  </si>
  <si>
    <t>CC.10.1 ¿Con qué frecuencia?</t>
  </si>
  <si>
    <t>CC.11 Venta de drogas?</t>
  </si>
  <si>
    <t>CC.11.1 ¿Con qué frecuencia?</t>
  </si>
  <si>
    <t>CC.12 Daño a la propiedad pública y privada?</t>
  </si>
  <si>
    <t>CC.12.1 ¿Con qué frecuencia?</t>
  </si>
  <si>
    <t>CC.13 Fauna Urbana? (animales sin hogar)</t>
  </si>
  <si>
    <t>CC.13.2 ¿Con qué frecuencia?</t>
  </si>
  <si>
    <t>CC.14 Basura y suciedad?</t>
  </si>
  <si>
    <t>CC.14.2 ¿Con qué frecuencia?</t>
  </si>
  <si>
    <t>CC.15 Trabajo sexual (prostitución)?</t>
  </si>
  <si>
    <t>CC.15.2 ¿Con qué frecuencia?</t>
  </si>
  <si>
    <t>CC.16 Aglomeración de personas?</t>
  </si>
  <si>
    <t>CC.16.2 ¿Con qué frecuencia?</t>
  </si>
  <si>
    <t>CC.17 ¿Alguna otra que no le haya mencionado?</t>
  </si>
  <si>
    <t>CC.17.1 ¿Cuál?</t>
  </si>
  <si>
    <t>CC.17.2 ¿Con qué frecuencia?</t>
  </si>
  <si>
    <t>PCA.1 En los últimos 12 meses, es decir, de septiembre 2024 a la fecha. ¿Usted ha presenciado ventas ambulantes en el parque ? Enc. RE y RU.</t>
  </si>
  <si>
    <t>PCA.1.0 ¿Con qué frecuencia?</t>
  </si>
  <si>
    <t>PCA.1.1 Le molestan las ventas ambulantes en el parque? Enc. RE y RU.</t>
  </si>
  <si>
    <t>En los últimos 12 meses, es decir, de septiembre 2024 a la fecha ¿Ud ha visto funcionarios de las siguientes instituciones? Enc. si la respuesta es "SI", por favor preguntar si utilizó algún servicio</t>
  </si>
  <si>
    <t>SSM.1 Agencia Metropolitana de Control (AMC)</t>
  </si>
  <si>
    <t>SSM.1.1 ¿Utilizó algún servicio o guía?</t>
  </si>
  <si>
    <t>SSM.1.2 ¿Cómo califica el servicio?</t>
  </si>
  <si>
    <t>SSM.2 Agencia Metropolitana de Control de Comercio (AMCC)</t>
  </si>
  <si>
    <t>SSM.2.1 ¿Utilizó algún servicio o guía?</t>
  </si>
  <si>
    <t>SSM.2.2 ¿Cómo califica el servicio?</t>
  </si>
  <si>
    <t>SSM.3 Patronato San José (UPMSJ)</t>
  </si>
  <si>
    <t>SSM.3.1 ¿Utilizó algún servicio o guía?</t>
  </si>
  <si>
    <t>SSM.3.2 ¿Cómo califica el servicio?</t>
  </si>
  <si>
    <t>SSM.4 Cuerpo de Agentes de Control Metropolitano de Quito (CACMQ)</t>
  </si>
  <si>
    <t>SSM.4.1 ¿Utilizó algún servicio o guía?</t>
  </si>
  <si>
    <t>SSM.4.2 ¿Cómo califica el servicio?</t>
  </si>
  <si>
    <t>SSM.5 Cuerpo de Bombero de Quito (CBQ)</t>
  </si>
  <si>
    <t>SSM.5.1 ¿Utilizó algún servicio o guía?</t>
  </si>
  <si>
    <t>SSM.5.2 ¿Cómo califica el servicio?</t>
  </si>
  <si>
    <t>SSM.6 Agencia Metropolitana de Tránsito (AMT)</t>
  </si>
  <si>
    <t>SSM.6.1 ¿Utilizó algún servicio o guía?</t>
  </si>
  <si>
    <t>SSM.6.2 ¿Cómo califica el servicio?</t>
  </si>
  <si>
    <t>SSM.7 Empresa Metropolitana de Aseo (EMASEO)</t>
  </si>
  <si>
    <t>SSM.7.1 ¿Utilizó algún servicio o guía?</t>
  </si>
  <si>
    <t>SSM.7.2 ¿Cómo califica el servicio?</t>
  </si>
  <si>
    <t>SSM.8 Policía Nacional (PPNN)</t>
  </si>
  <si>
    <t>SSM.8.1 ¿Utilizó algún servicio o guía?</t>
  </si>
  <si>
    <t>SSM.8.2 ¿Cómo califica el servicio?</t>
  </si>
  <si>
    <t>SSM.10 Fuerzas Armadas del Ecuador (FFAA)</t>
  </si>
  <si>
    <t>SSM.10.1 ¿Utilizó algún servicio o guía?</t>
  </si>
  <si>
    <t>SSM.10.2 ¿Cómo califica el servicio?</t>
  </si>
  <si>
    <t>SSM.11 Secretaría General de Seguridad Ciudadana y Gestión de Riesgos</t>
  </si>
  <si>
    <t>SSM.11.1 ¿Utilizó algún servicio o guía?</t>
  </si>
  <si>
    <t>SSM.11.2 ¿Cómo califica el servicio?</t>
  </si>
  <si>
    <t>SSM.10 Por favor me puede mencionar tres sentimientos que le generen cuando se encuentra en este parque  Enc. respuesta espontánea y RM.</t>
  </si>
  <si>
    <t>EOS. 1 En los últimos 12 meses, es decir, de abril 2025 a la fecha. ¿Usted ha presenciado en este sector los operativos  de control que planifica y coordina el Muncipio de Quito, a través de la Secretaria General de Seguridad y Gestión de Riesgos, se ejecutan mediante un enfoque de articulación interinstitucional con la AMC, CACMQ, PPNN y UPSJ. Estas intervenciones tienen como objetivo garantizar la seguridad ciudadana, el orden público y la convivencia en el espacio público, en el marco de las competencias legales y operativas de cada entidad, así como del cumplimiento de la normativa metropolitana vigente?  Enc. si la respuesta es "SI", por favor preguntar  la calificación.  Responde Si continuar  Responde No pasar a EOS.5</t>
  </si>
  <si>
    <t>EOS. 1.1 En una escala del 1 al 4, donde 1 es MUY BUENO y 4 es MUY MALO ¿Cómo califica los operativos de control?</t>
  </si>
  <si>
    <t xml:space="preserve">EOS. 2 En los últimos 12 meses, es decir, de abril 2025 a la fecha. ¿Usted piensa que los operativos de control ayudaron para la disminución de las problematicas del sector? Enc. respuesta espontánea y RU, por favor preguntar el ¿por qué? tanto de la respuesta Si o No </t>
  </si>
  <si>
    <t>EOS.2.1 ¿Por qué?</t>
  </si>
  <si>
    <t>EOS. 3 En los últimos 12 meses, es decir, de abril 2025 a la fecha. ¿Usted fue involucrada/o de alguna manera en el plan de recuperación e intervención del sector (operativos de control)? Enc. respuesta espontánea y RU, por favor preguntar ¿cómo? la respuesta Si  Responde No o NS/NC Pase a la EOS.4</t>
  </si>
  <si>
    <t>EOS. 3.1 ¿Cómo?</t>
  </si>
  <si>
    <t>EOS. 4 En los últimos 12 meses, es decir, de abril 2025 a la fecha. ¿Usted confia o confiaría en el personal de las instituciones que participan en los operativos de control si fuera testigo y/o víctima de algún tipo de delito o incidente en el sector? Enc. respuesta espontánea y RU, por favor preguntar el ¿por qué? tanto de la respuesta Si o No</t>
  </si>
  <si>
    <t>EOS. 4.1 ¿Por qué?</t>
  </si>
  <si>
    <t>CARACTERIZACION DEL COMERCIO</t>
  </si>
  <si>
    <t>Observaciones: ENC: REGISTRE AQUÍ CUALQUIER OBSERVACIÓN NO CONSIGNADA EN LAS PREGUNTAS DEL CUESTIONARIO.</t>
  </si>
  <si>
    <t>VB</t>
  </si>
  <si>
    <t>PA</t>
  </si>
  <si>
    <t>IA</t>
  </si>
  <si>
    <t>-0,18577</t>
  </si>
  <si>
    <t>-78,48431</t>
  </si>
  <si>
    <t>1. Sí</t>
  </si>
  <si>
    <t>1. EPMMOP</t>
  </si>
  <si>
    <t>1. Años</t>
  </si>
  <si>
    <t>2. Mujer</t>
  </si>
  <si>
    <t>6. Mestiza(o)</t>
  </si>
  <si>
    <t>4. Casada/o</t>
  </si>
  <si>
    <t>5. Universitario</t>
  </si>
  <si>
    <t>1. Completa</t>
  </si>
  <si>
    <t>2. de $471 a $919</t>
  </si>
  <si>
    <t>3. INSEGURO</t>
  </si>
  <si>
    <t>1. Delincuencia (robos, extorsiones, cualquier tipo de delito)</t>
  </si>
  <si>
    <t>Mañana  (06:00 a 11:59) Tarde (12:00 a 17:59)</t>
  </si>
  <si>
    <t>1. Empeoró</t>
  </si>
  <si>
    <t>2. No</t>
  </si>
  <si>
    <t>6. Otros</t>
  </si>
  <si>
    <t>Seguridad privada</t>
  </si>
  <si>
    <t>1. POCO FRECUENTE</t>
  </si>
  <si>
    <t>99. NS/NC</t>
  </si>
  <si>
    <t>2. FRECUENTE</t>
  </si>
  <si>
    <t>Insegura</t>
  </si>
  <si>
    <t>Temor</t>
  </si>
  <si>
    <t>Frutas y Legumbres</t>
  </si>
  <si>
    <t>Las instituciones deben vigilar constantemente</t>
  </si>
  <si>
    <t>FT</t>
  </si>
  <si>
    <t>-0,18740</t>
  </si>
  <si>
    <t>-78,48227</t>
  </si>
  <si>
    <t>2. Afro Ecuatoriana(o)/Afro Descendiente</t>
  </si>
  <si>
    <t>2. Divorciada/o</t>
  </si>
  <si>
    <t>2. Primaria</t>
  </si>
  <si>
    <t>2. Incompleta</t>
  </si>
  <si>
    <t>4. MUY INSEGURO</t>
  </si>
  <si>
    <t>3. Mejoró</t>
  </si>
  <si>
    <t>3. Palos</t>
  </si>
  <si>
    <t>VI.3 Hurto (sin violencia)</t>
  </si>
  <si>
    <t>3. MUY FRECUENTE</t>
  </si>
  <si>
    <t>4. MUY MALO</t>
  </si>
  <si>
    <t>3. MALO</t>
  </si>
  <si>
    <t>Tranquilidad</t>
  </si>
  <si>
    <t>JA</t>
  </si>
  <si>
    <t>-0,18745</t>
  </si>
  <si>
    <t>-78,48454</t>
  </si>
  <si>
    <t>1. Hombre</t>
  </si>
  <si>
    <t>5. Soltera/o</t>
  </si>
  <si>
    <t>2. SEGURO</t>
  </si>
  <si>
    <t>1. Afluencia de gente</t>
  </si>
  <si>
    <t>Mañana  (06:00 a 11:59)</t>
  </si>
  <si>
    <t>2. Esta igual</t>
  </si>
  <si>
    <t>Cercado</t>
  </si>
  <si>
    <t>1. MUY BUENO</t>
  </si>
  <si>
    <t>Frustración</t>
  </si>
  <si>
    <t>Tranquilo</t>
  </si>
  <si>
    <t>Comida preparada</t>
  </si>
  <si>
    <t>-0,18721</t>
  </si>
  <si>
    <t>-78,48448</t>
  </si>
  <si>
    <t>3. de $920 a $1339</t>
  </si>
  <si>
    <t>3. Presencia de Policía Nacional 9. Presencia de seguridad privada</t>
  </si>
  <si>
    <t>Miedo</t>
  </si>
  <si>
    <t>1. Si</t>
  </si>
  <si>
    <t>2. Bueno</t>
  </si>
  <si>
    <t>Más seguridad</t>
  </si>
  <si>
    <t xml:space="preserve">2. No </t>
  </si>
  <si>
    <t>1.Si</t>
  </si>
  <si>
    <t>Para ayudar al control</t>
  </si>
  <si>
    <t>-0,18606</t>
  </si>
  <si>
    <t>-78,48502</t>
  </si>
  <si>
    <t>2. AMC</t>
  </si>
  <si>
    <t>1. Afluencia de gente 9. Presencia de seguridad privada</t>
  </si>
  <si>
    <t>1. MUY SEGURO</t>
  </si>
  <si>
    <t>Mañana  (06:00 a 11:59) Tarde (12:00 a 17:59) Noche  (18:00 a 23:59)</t>
  </si>
  <si>
    <t>2. BUENO</t>
  </si>
  <si>
    <t>Bonito</t>
  </si>
  <si>
    <t>Natural</t>
  </si>
  <si>
    <t>Privilegiado</t>
  </si>
  <si>
    <t>GYM</t>
  </si>
  <si>
    <t>Venezolana</t>
  </si>
  <si>
    <t>1. Unión de Hecho/Libre</t>
  </si>
  <si>
    <t>3. Secundaria/ Bachillerato</t>
  </si>
  <si>
    <t>Noche  (18:00 a 23:59)</t>
  </si>
  <si>
    <t>No abre la puerta lateral del local por seguridad</t>
  </si>
  <si>
    <t>Música alto volumen fines de semana junto al local por parte de los tatuadores y vendedores de ropa</t>
  </si>
  <si>
    <t>AFC</t>
  </si>
  <si>
    <t>-0,18571</t>
  </si>
  <si>
    <t>-78,48430</t>
  </si>
  <si>
    <t>8. Otro</t>
  </si>
  <si>
    <t>1. Menos de $470</t>
  </si>
  <si>
    <t>8. ¿Cuál?1</t>
  </si>
  <si>
    <t>MJM</t>
  </si>
  <si>
    <t>-0,18531</t>
  </si>
  <si>
    <t>-78,48467</t>
  </si>
  <si>
    <t>1. Indígena</t>
  </si>
  <si>
    <t>2. No ha pasado nada 10. ¿Cúal?1</t>
  </si>
  <si>
    <t>Cliente seguro</t>
  </si>
  <si>
    <t>Calma</t>
  </si>
  <si>
    <t>Incertidumbre</t>
  </si>
  <si>
    <t>-0,18583</t>
  </si>
  <si>
    <t>-78,48433</t>
  </si>
  <si>
    <t>VI.2 Robo  (con violencia)</t>
  </si>
  <si>
    <t>Inseguridad</t>
  </si>
  <si>
    <t>99. Ns/Nc</t>
  </si>
  <si>
    <t>-0,18589</t>
  </si>
  <si>
    <t>-78,48732</t>
  </si>
  <si>
    <t>Artes marciales</t>
  </si>
  <si>
    <t>VI.5 Estafa</t>
  </si>
  <si>
    <t>Preocupación</t>
  </si>
  <si>
    <t>Justicia</t>
  </si>
  <si>
    <t>-0,18591</t>
  </si>
  <si>
    <t>Alegría</t>
  </si>
  <si>
    <t>Distracción</t>
  </si>
  <si>
    <t>Ansiedad</t>
  </si>
  <si>
    <t>Mejor seguridad</t>
  </si>
  <si>
    <t>Por seguridad</t>
  </si>
  <si>
    <t>Campaña de prevención mascotas</t>
  </si>
  <si>
    <t>-0,18599</t>
  </si>
  <si>
    <t>-78,48505</t>
  </si>
  <si>
    <t>2. No ha pasado nada</t>
  </si>
  <si>
    <t>Cámaras y guardias</t>
  </si>
  <si>
    <t>Vida</t>
  </si>
  <si>
    <t>Cuidado</t>
  </si>
  <si>
    <t>Enseñanza</t>
  </si>
  <si>
    <t>1. Muy bueno</t>
  </si>
  <si>
    <t>Reduce el consumo</t>
  </si>
  <si>
    <t>Reuniones  entre el parque, administración y vivarium</t>
  </si>
  <si>
    <t>Confianza y familia</t>
  </si>
  <si>
    <t>Museo Vivarium</t>
  </si>
  <si>
    <t>-0,18567</t>
  </si>
  <si>
    <t>-78,48480</t>
  </si>
  <si>
    <t>1. Delincuencia (robos, extorsiones, cualquier tipo de delito) 2. Venta de drogas 3. Consumo de drogas</t>
  </si>
  <si>
    <t>Cámaras</t>
  </si>
  <si>
    <t>Trabajo</t>
  </si>
  <si>
    <t>Soledad</t>
  </si>
  <si>
    <t>Relación</t>
  </si>
  <si>
    <t>Bebidas/Confites/Comestibles industrializados/ Tabacos</t>
  </si>
  <si>
    <t>-0,18594</t>
  </si>
  <si>
    <t>-78,48439</t>
  </si>
  <si>
    <t>3. Viuda/o</t>
  </si>
  <si>
    <t>-0,18549</t>
  </si>
  <si>
    <t>-78,48596</t>
  </si>
  <si>
    <t>4. de $1340 a $1839</t>
  </si>
  <si>
    <t>10. ¿Cúal?1</t>
  </si>
  <si>
    <t>Operativos</t>
  </si>
  <si>
    <t>Alarma</t>
  </si>
  <si>
    <t>Personas que no recogen los desechos</t>
  </si>
  <si>
    <t>Energía</t>
  </si>
  <si>
    <t>Diversión</t>
  </si>
  <si>
    <t>-0,18586</t>
  </si>
  <si>
    <t>-78,48427</t>
  </si>
  <si>
    <t>1. Afluencia de gente 10. ¿Cúal?1</t>
  </si>
  <si>
    <t>Actividades divertidas</t>
  </si>
  <si>
    <t>Comunidad</t>
  </si>
  <si>
    <t>Serenidad</t>
  </si>
  <si>
    <t>Movilización</t>
  </si>
  <si>
    <t>-0,18902</t>
  </si>
  <si>
    <t>-78,48468</t>
  </si>
  <si>
    <t>1. Ninguno</t>
  </si>
  <si>
    <t>3. Presencia de Policía Nacional 10. ¿Cúal?1 11. ¿Cúal?2</t>
  </si>
  <si>
    <t>Guardabosques</t>
  </si>
  <si>
    <t>No hay droga</t>
  </si>
  <si>
    <t>Bienestar</t>
  </si>
  <si>
    <t>-0,18578</t>
  </si>
  <si>
    <t>-78,48432</t>
  </si>
  <si>
    <t>7. Falta de alumbrado público</t>
  </si>
  <si>
    <t>Alerta</t>
  </si>
  <si>
    <t>Artesanías</t>
  </si>
  <si>
    <t>-0,18795</t>
  </si>
  <si>
    <t>-78,48398</t>
  </si>
  <si>
    <t>2. Meses</t>
  </si>
  <si>
    <t>Seguridad de la Policía Nacional y Cuerpo de Agentes de Control Metropolitano</t>
  </si>
  <si>
    <t>Policías encubiertos para ladrones y vendedores de droga</t>
  </si>
  <si>
    <t>Ayuda a dar mas seguridad</t>
  </si>
  <si>
    <t>-0,18774</t>
  </si>
  <si>
    <t>-78,48359</t>
  </si>
  <si>
    <t>3. Presencia de Policía Nacional 6. Presencia de CACMQ 8. Parque tranquilo</t>
  </si>
  <si>
    <t>Felicidad</t>
  </si>
  <si>
    <t>Mucho control</t>
  </si>
  <si>
    <t>Asociación de comidas</t>
  </si>
  <si>
    <t>Colaboración</t>
  </si>
  <si>
    <t>Muchos vacunadores</t>
  </si>
  <si>
    <t>-0,18755</t>
  </si>
  <si>
    <t>-78,48380</t>
  </si>
  <si>
    <t>6. Presencia de CACMQ 10. ¿Cúal?1</t>
  </si>
  <si>
    <t>Militares</t>
  </si>
  <si>
    <t>Tarde (12:00 a 17:59)</t>
  </si>
  <si>
    <t>Seguridad</t>
  </si>
  <si>
    <t>Comodidad</t>
  </si>
  <si>
    <t>Reduce las ventas ambulantes y el espacio esta más limpio</t>
  </si>
  <si>
    <t>Me sentiría mas seguro con el apoyo de ellos</t>
  </si>
  <si>
    <t>-0,18749</t>
  </si>
  <si>
    <t>-78,48351</t>
  </si>
  <si>
    <t>1. Afluencia de gente 3. Presencia de Policía Nacional 6. Presencia de CACMQ 9. Presencia de seguridad privada</t>
  </si>
  <si>
    <t>Cámara y botón de pánico</t>
  </si>
  <si>
    <t>Mas control</t>
  </si>
  <si>
    <t>Hacen su trabajo</t>
  </si>
  <si>
    <t>Juegos infantiles</t>
  </si>
  <si>
    <t>-0,17579</t>
  </si>
  <si>
    <t>-78,48429</t>
  </si>
  <si>
    <t>Precaución</t>
  </si>
  <si>
    <t>Gusto</t>
  </si>
  <si>
    <t>Vestimenta y accesorios</t>
  </si>
  <si>
    <t>-0,18695</t>
  </si>
  <si>
    <t>-78,48416</t>
  </si>
  <si>
    <t>1. Afluencia de gente 2. No ha pasado nada</t>
  </si>
  <si>
    <t>Otras personas</t>
  </si>
  <si>
    <t>3. Malo</t>
  </si>
  <si>
    <t>Pocos efectivos</t>
  </si>
  <si>
    <t>AMCy CACMQ: Ineficiencia en el trabajo</t>
  </si>
  <si>
    <t>-0,18760</t>
  </si>
  <si>
    <t>-78,48403</t>
  </si>
  <si>
    <t>3. Presencia de Policía Nacional</t>
  </si>
  <si>
    <t>Todos los horarios</t>
  </si>
  <si>
    <t>Bendecido</t>
  </si>
  <si>
    <t>Seguro</t>
  </si>
  <si>
    <t>-78,48436</t>
  </si>
  <si>
    <t>8. Parque tranquilo</t>
  </si>
  <si>
    <t>Naturaleza</t>
  </si>
  <si>
    <t>Realizar su trabajo</t>
  </si>
  <si>
    <t>-0,18724</t>
  </si>
  <si>
    <t>-78,48440</t>
  </si>
  <si>
    <t>1. Delincuencia (robos, extorsiones, cualquier tipo de delito) 6. Habitantes de calle (mendicidad)</t>
  </si>
  <si>
    <t>Recuperación</t>
  </si>
  <si>
    <t>-0,18576</t>
  </si>
  <si>
    <t>-78,48438</t>
  </si>
  <si>
    <t>Dermatológico (Naturista)</t>
  </si>
  <si>
    <t>-0,18729</t>
  </si>
  <si>
    <t>-78,48437</t>
  </si>
  <si>
    <t>1. Delincuencia (robos, extorsiones, cualquier tipo de delito) 3. Consumo de drogas</t>
  </si>
  <si>
    <t>Disminución de ladrones</t>
  </si>
  <si>
    <t>Grupo de independientes</t>
  </si>
  <si>
    <t>Por corrupción</t>
  </si>
  <si>
    <t>Juguetes y variedades</t>
  </si>
  <si>
    <t>Paz</t>
  </si>
  <si>
    <t>-0,18711</t>
  </si>
  <si>
    <t>-78,48447</t>
  </si>
  <si>
    <t>Satisfecha</t>
  </si>
  <si>
    <t>Frutas</t>
  </si>
  <si>
    <t>-0,18579</t>
  </si>
  <si>
    <t>VI.3 Hurto (sin violencia) VI.10 Otros</t>
  </si>
  <si>
    <t>Billete falso</t>
  </si>
  <si>
    <t>Descanso</t>
  </si>
  <si>
    <t>Esparcimiento</t>
  </si>
  <si>
    <t>1. Delincuencia (robos, extorsiones, cualquier tipo de delito) 8. ¿Cuál?1</t>
  </si>
  <si>
    <t>No hay interés de cuidado por la administración</t>
  </si>
  <si>
    <t>Los que venden coco jugo tienen machetes escondidos y amenazan</t>
  </si>
  <si>
    <t>-0,18742</t>
  </si>
  <si>
    <t>-78,48625</t>
  </si>
  <si>
    <t>3. Presencia de Policía Nacional 8. Parque tranquilo</t>
  </si>
  <si>
    <t>Bien</t>
  </si>
  <si>
    <t>-0,18709</t>
  </si>
  <si>
    <t>-78,48458</t>
  </si>
  <si>
    <t>1. Delincuencia (robos, extorsiones, cualquier tipo de delito) 2. Venta de drogas</t>
  </si>
  <si>
    <t>Vigilando</t>
  </si>
  <si>
    <t>Controlando</t>
  </si>
  <si>
    <t>Pagan por servicio de recolección</t>
  </si>
  <si>
    <t>-0,18658</t>
  </si>
  <si>
    <t>-78,48491</t>
  </si>
  <si>
    <t>1. Delincuencia (robos, extorsiones, cualquier tipo de delito) 2. Venta de drogas 4. Ventas ambulantes</t>
  </si>
  <si>
    <t>Van apurados y no controlan</t>
  </si>
  <si>
    <t>No hay eficiencia</t>
  </si>
  <si>
    <t>-0,18643</t>
  </si>
  <si>
    <t>Control</t>
  </si>
  <si>
    <t>Buenas personas</t>
  </si>
  <si>
    <t>-0,18671</t>
  </si>
  <si>
    <t>-78,48495</t>
  </si>
  <si>
    <t>Agresores</t>
  </si>
  <si>
    <t>Emoción</t>
  </si>
  <si>
    <t>Paciencia</t>
  </si>
  <si>
    <t>-0,18768</t>
  </si>
  <si>
    <t>-78,48661</t>
  </si>
  <si>
    <t>4. Tecnicatura/Tecnología</t>
  </si>
  <si>
    <t>2. Gas pimienta 3. Palos</t>
  </si>
  <si>
    <t>Patrullar todo el parque</t>
  </si>
  <si>
    <t>AA</t>
  </si>
  <si>
    <t>FN</t>
  </si>
  <si>
    <t>-0,176775</t>
  </si>
  <si>
    <t>-78,48363</t>
  </si>
  <si>
    <t>3. AMCC</t>
  </si>
  <si>
    <t>Gente que alquila redes con precios altos</t>
  </si>
  <si>
    <t>Satisfacción</t>
  </si>
  <si>
    <t>Después del control vuelve a lo mismo.</t>
  </si>
  <si>
    <t>Anotándose con las autoridades</t>
  </si>
  <si>
    <t>Si le ayudarían</t>
  </si>
  <si>
    <t>-0,18762</t>
  </si>
  <si>
    <t>-78,48570</t>
  </si>
  <si>
    <t>VM</t>
  </si>
  <si>
    <t>-0,179002</t>
  </si>
  <si>
    <t>-78,483501</t>
  </si>
  <si>
    <t>Shuar</t>
  </si>
  <si>
    <t>Ninguno</t>
  </si>
  <si>
    <t>Había más robos</t>
  </si>
  <si>
    <t>Ellos sacan a los ambulantes que  no dejan trabajar</t>
  </si>
  <si>
    <t>-0,18656</t>
  </si>
  <si>
    <t>-78,48492</t>
  </si>
  <si>
    <t>Correas y gafas</t>
  </si>
  <si>
    <t>-0,18746</t>
  </si>
  <si>
    <t>-78,48628</t>
  </si>
  <si>
    <t>Más control</t>
  </si>
  <si>
    <t>Dan seguridad</t>
  </si>
  <si>
    <t>-0,1791840</t>
  </si>
  <si>
    <t>-78,4833147</t>
  </si>
  <si>
    <t>7. Blanca(o)</t>
  </si>
  <si>
    <t>1. Delincuencia (robos, extorsiones, cualquier tipo de delito) 3. Consumo de drogas 5. Consumo de alcohol en el espacio público</t>
  </si>
  <si>
    <t>Puesto con rejas y alarmas</t>
  </si>
  <si>
    <t>Ayudan a controlar</t>
  </si>
  <si>
    <t>Baños</t>
  </si>
  <si>
    <t>Más seguridad en el parque y que regulen los desechos de las mascotas</t>
  </si>
  <si>
    <t>-0,179418</t>
  </si>
  <si>
    <t>-78,482372</t>
  </si>
  <si>
    <t>Candados</t>
  </si>
  <si>
    <t>Relajación</t>
  </si>
  <si>
    <t>-0,179462</t>
  </si>
  <si>
    <t>-78,483944</t>
  </si>
  <si>
    <t>Tachos de basura, control de ventas sin permiso, niños extraviados</t>
  </si>
  <si>
    <t>4. Muy malo</t>
  </si>
  <si>
    <t>Sigue el desorden, hay pocos funcionarios para un control</t>
  </si>
  <si>
    <t>Confía en temas de seguridad, pero no en temas de control de comercio</t>
  </si>
  <si>
    <t>-0,180734</t>
  </si>
  <si>
    <t>-78,482185</t>
  </si>
  <si>
    <t>Escopolamina</t>
  </si>
  <si>
    <t>Feliz</t>
  </si>
  <si>
    <t>Tratan de sacar a los informales</t>
  </si>
  <si>
    <t>Hay corrupción</t>
  </si>
  <si>
    <t>-78,48575</t>
  </si>
  <si>
    <t>6. Post grado</t>
  </si>
  <si>
    <t>3. Consumo de drogas 6. Habitantes de calle (mendicidad) 7. Falta de alumbrado público</t>
  </si>
  <si>
    <t>TUBO</t>
  </si>
  <si>
    <t>LC</t>
  </si>
  <si>
    <t>-0,179261</t>
  </si>
  <si>
    <t>-78,484177</t>
  </si>
  <si>
    <t>-78,48613</t>
  </si>
  <si>
    <t>3. Presencia de Policía Nacional 10. ¿Cúal?1</t>
  </si>
  <si>
    <t>MILITARES</t>
  </si>
  <si>
    <t>JUEGOS INFANTILES</t>
  </si>
  <si>
    <t>-0,179313</t>
  </si>
  <si>
    <t>-78,484266</t>
  </si>
  <si>
    <t>Entrevistados no salen del restaurante</t>
  </si>
  <si>
    <t>-0,18753</t>
  </si>
  <si>
    <t>1. Delincuencia (robos, extorsiones, cualquier tipo de delito) 4. Ventas ambulantes</t>
  </si>
  <si>
    <t>CHAT COMUNITARIO</t>
  </si>
  <si>
    <t>MT</t>
  </si>
  <si>
    <t>Colombiana</t>
  </si>
  <si>
    <t>2. Venta de drogas 3. Consumo de drogas 6. Habitantes de calle (mendicidad)</t>
  </si>
  <si>
    <t>Madrugada (00:00 a 05:59) Mañana  (06:00 a 11:59)</t>
  </si>
  <si>
    <t>Los guardias cobran vacuna, y son quienes venden droga en el parque.</t>
  </si>
  <si>
    <t>2. No ha pasado nada 6. Presencia de CACMQ</t>
  </si>
  <si>
    <t>-0,18009</t>
  </si>
  <si>
    <t>-78,483741</t>
  </si>
  <si>
    <t>3. Negra(o)</t>
  </si>
  <si>
    <t>3. Presencia de Policía Nacional 6. Presencia de CACMQ 9. Presencia de seguridad privada</t>
  </si>
  <si>
    <t>No hay mucha venta informal cuando controlan</t>
  </si>
  <si>
    <t>Capacitación</t>
  </si>
  <si>
    <t>Para mejorar la seguridad</t>
  </si>
  <si>
    <t>Ha mejorado la presencia policial y de guardias.</t>
  </si>
  <si>
    <t>-0,18936</t>
  </si>
  <si>
    <t>-78,48474</t>
  </si>
  <si>
    <t>-0,19014</t>
  </si>
  <si>
    <t>-78,48605</t>
  </si>
  <si>
    <t>-0,18802</t>
  </si>
  <si>
    <t>-78,48603</t>
  </si>
  <si>
    <t>Madrugada (00:00 a 05:59) Tarde (12:00 a 17:59)</t>
  </si>
  <si>
    <t>Cámaras robadas</t>
  </si>
  <si>
    <t>VI.3 Hurto (sin violencia) VI.6 Amenazas</t>
  </si>
  <si>
    <t>Para mayor control</t>
  </si>
  <si>
    <t>Porque ayudan</t>
  </si>
  <si>
    <t>-0,18634</t>
  </si>
  <si>
    <t>-78,484847</t>
  </si>
  <si>
    <t>Falta de control</t>
  </si>
  <si>
    <t>-0,18912</t>
  </si>
  <si>
    <t>-78,48389</t>
  </si>
  <si>
    <t>2. No ha pasado nada 3. Presencia de Policía Nacional 9. Presencia de seguridad privada</t>
  </si>
  <si>
    <t>Ambiente</t>
  </si>
  <si>
    <t>Poco ruido</t>
  </si>
  <si>
    <t>Viene más frecuente</t>
  </si>
  <si>
    <t>Le visitaron</t>
  </si>
  <si>
    <t>Ponen seguridad y orden</t>
  </si>
  <si>
    <t>-0,181688</t>
  </si>
  <si>
    <t>-78,483535</t>
  </si>
  <si>
    <t>Les ha pasado robos a los compañeros</t>
  </si>
  <si>
    <t>-0,18607</t>
  </si>
  <si>
    <t>-78,48487</t>
  </si>
  <si>
    <t>Patrullan y disminuye la delincuencia</t>
  </si>
  <si>
    <t>Hacer bien el trabajo</t>
  </si>
  <si>
    <t>-0,18772</t>
  </si>
  <si>
    <t>-78,48386</t>
  </si>
  <si>
    <t>Necesita algun número de emergencia directa con PMO para tomar de emergencias medicas ya que la pista de patinaje hay accidentes frecuentes</t>
  </si>
  <si>
    <t>-0,18574</t>
  </si>
  <si>
    <t>-78,48481</t>
  </si>
  <si>
    <t>4. Ventas ambulantes 6. Habitantes de calle (mendicidad) 8. ¿Cuál?1</t>
  </si>
  <si>
    <t>Extranjeros</t>
  </si>
  <si>
    <t>Porque cuando les ven huyen y se esconden</t>
  </si>
  <si>
    <t>Porque  son entidades que brindan seguridad y apoyan</t>
  </si>
  <si>
    <t>-0,181626</t>
  </si>
  <si>
    <t>-78,483657</t>
  </si>
  <si>
    <t>AMA</t>
  </si>
  <si>
    <t>-0,178313</t>
  </si>
  <si>
    <t>-78,483760</t>
  </si>
  <si>
    <t>Segura</t>
  </si>
  <si>
    <t>-0,18648</t>
  </si>
  <si>
    <t>-78,48490</t>
  </si>
  <si>
    <t>VI.4 Extorsión</t>
  </si>
  <si>
    <t>No son permanentes</t>
  </si>
  <si>
    <t>Corrupción</t>
  </si>
  <si>
    <t>No se meten con las ventas ambulantes porque tienen armas blancas</t>
  </si>
  <si>
    <t>-0,18900</t>
  </si>
  <si>
    <t>-78,483180</t>
  </si>
  <si>
    <t>2. No ha pasado nada 3. Presencia de Policía Nacional 6. Presencia de CACMQ 9. Presencia de seguridad privada 10. ¿Cúal?1</t>
  </si>
  <si>
    <t>Ocupan el lactario para consumir bebidas alcohólicas</t>
  </si>
  <si>
    <t>-0,178338</t>
  </si>
  <si>
    <t>-78,483298</t>
  </si>
  <si>
    <t>Controlan</t>
  </si>
  <si>
    <t>Pueden dar a conocer la problemática</t>
  </si>
  <si>
    <t>Cortan las carpas en las noches.</t>
  </si>
  <si>
    <t>-0,187478</t>
  </si>
  <si>
    <t>-78,48571</t>
  </si>
  <si>
    <t>Tristeza</t>
  </si>
  <si>
    <t>Disminuye ventas informales</t>
  </si>
  <si>
    <t>-0,182018</t>
  </si>
  <si>
    <t>-78,483085</t>
  </si>
  <si>
    <t>-0,177548</t>
  </si>
  <si>
    <t>-78,483575</t>
  </si>
  <si>
    <t>Zonas descuidadas</t>
  </si>
  <si>
    <t>Pensando</t>
  </si>
  <si>
    <t>Ayudan a disminuir la inseguridad</t>
  </si>
  <si>
    <t>Participar para una buena accion</t>
  </si>
  <si>
    <t>-0,182699</t>
  </si>
  <si>
    <t>-78,483146</t>
  </si>
  <si>
    <t>1. Delincuencia (robos, extorsiones, cualquier tipo de delito) 7. Falta de alumbrado público 8. ¿Cuál?1</t>
  </si>
  <si>
    <t>Mañana  (06:00 a 11:59) Noche  (18:00 a 23:59)</t>
  </si>
  <si>
    <t>2. Gas pimienta</t>
  </si>
  <si>
    <t>Animales sin correa</t>
  </si>
  <si>
    <t>-0,188629</t>
  </si>
  <si>
    <t>-78,485883</t>
  </si>
  <si>
    <t>Alarma y cámara</t>
  </si>
  <si>
    <t>Amor</t>
  </si>
  <si>
    <t>Constancia</t>
  </si>
  <si>
    <t>Perseverancia</t>
  </si>
  <si>
    <t>-0,182870</t>
  </si>
  <si>
    <t>-78,483091</t>
  </si>
  <si>
    <t>3. Presencia de Policía Nacional 8. Parque tranquilo 9. Presencia de seguridad privada</t>
  </si>
  <si>
    <t>AMC</t>
  </si>
  <si>
    <t>-0,17991</t>
  </si>
  <si>
    <t>-78,484144</t>
  </si>
  <si>
    <t>1. Afluencia de gente 3. Presencia de Policía Nacional</t>
  </si>
  <si>
    <t>Revisión permisos</t>
  </si>
  <si>
    <t>Son autoridades</t>
  </si>
  <si>
    <t>Juegos mecánicos</t>
  </si>
  <si>
    <t>-0,184350</t>
  </si>
  <si>
    <t>-78,483611</t>
  </si>
  <si>
    <t>SANCIÓN A QUIENES NO RECOGER DESECHOS</t>
  </si>
  <si>
    <t>-0,18754</t>
  </si>
  <si>
    <t>-78,48362</t>
  </si>
  <si>
    <t>-0,179192</t>
  </si>
  <si>
    <t>-78,48408</t>
  </si>
  <si>
    <t>Tarde (12:00 a 17:59) Noche  (18:00 a 23:59)</t>
  </si>
  <si>
    <t>Hagan  operativos constantes, hay muchas ventas en el parque (informal)</t>
  </si>
  <si>
    <t>-0,184701</t>
  </si>
  <si>
    <t>-78,484016</t>
  </si>
  <si>
    <t>VI.7 Agresiones</t>
  </si>
  <si>
    <t>1. Delincuencia (robos, extorsiones, cualquier tipo de delito) 2. Venta de drogas 7. Falta de alumbrado público</t>
  </si>
  <si>
    <t>3. Palos 6. Otros</t>
  </si>
  <si>
    <t>Rentabilidad</t>
  </si>
  <si>
    <t>Esperanza</t>
  </si>
  <si>
    <t>Prevención</t>
  </si>
  <si>
    <t>Mucha corrupción</t>
  </si>
  <si>
    <t>-0,184339</t>
  </si>
  <si>
    <t>-78,483626</t>
  </si>
  <si>
    <t>1. Afluencia de gente 3. Presencia de Policía Nacional 8. Parque tranquilo 9. Presencia de seguridad privada</t>
  </si>
  <si>
    <t>-0,18759</t>
  </si>
  <si>
    <t>-78,48374</t>
  </si>
  <si>
    <t>5. más de $1840</t>
  </si>
  <si>
    <t>3. Consumo de drogas 4. Ventas ambulantes 8. ¿Cuál?1</t>
  </si>
  <si>
    <t>Migrantes</t>
  </si>
  <si>
    <t>Resguardo del dinero en el local al depositarlo</t>
  </si>
  <si>
    <t>Venta ilegal por comercio autónomo alcohol droga y tabaco</t>
  </si>
  <si>
    <t>Solo se retiran y regresan</t>
  </si>
  <si>
    <t>Porque nosotros exigimos</t>
  </si>
  <si>
    <t>Ya hemos hecho y resultados cero no hacen nada</t>
  </si>
  <si>
    <t>-0,180235</t>
  </si>
  <si>
    <t>-78,484239</t>
  </si>
  <si>
    <t>Desobligo</t>
  </si>
  <si>
    <t>Despecho</t>
  </si>
  <si>
    <t>Los mismos vendedores de pelotas orinan en el parque, falta de basureros</t>
  </si>
  <si>
    <t>-0,180208</t>
  </si>
  <si>
    <t>-78,483635</t>
  </si>
  <si>
    <t>Entretenimiento</t>
  </si>
  <si>
    <t>No tiene luz</t>
  </si>
  <si>
    <t>-0,179612</t>
  </si>
  <si>
    <t>-78,483491</t>
  </si>
  <si>
    <t>Mejoran la seguridad</t>
  </si>
  <si>
    <t>Son preparados</t>
  </si>
  <si>
    <t>-78,48370</t>
  </si>
  <si>
    <t>-0,184406</t>
  </si>
  <si>
    <t>-78,483617</t>
  </si>
  <si>
    <t>1. Afluencia de gente 3. Presencia de Policía Nacional 8. Parque tranquilo</t>
  </si>
  <si>
    <t>MALA ADMINISTRACIÓN DEL PARQUE</t>
  </si>
  <si>
    <t>-0,18025</t>
  </si>
  <si>
    <t>-78,48366</t>
  </si>
  <si>
    <t>Cerrar pronto</t>
  </si>
  <si>
    <t>No hace nada</t>
  </si>
  <si>
    <t>No hace nada por los ciudadanos</t>
  </si>
  <si>
    <t>-0,18756</t>
  </si>
  <si>
    <t>-78,48376</t>
  </si>
  <si>
    <t>7. Existen cámaras de seguridad 9. Presencia de seguridad privada</t>
  </si>
  <si>
    <t>Internet cámaras</t>
  </si>
  <si>
    <t>Hogar</t>
  </si>
  <si>
    <t>Familia</t>
  </si>
  <si>
    <t>Amistad</t>
  </si>
  <si>
    <t>Debe ser el control permanente</t>
  </si>
  <si>
    <t>Recuperación sector comidas</t>
  </si>
  <si>
    <t>Por insibilidades</t>
  </si>
  <si>
    <t>Se comunican los informales entre ellos</t>
  </si>
  <si>
    <t>-0,184742</t>
  </si>
  <si>
    <t>-78,484260</t>
  </si>
  <si>
    <t>JUGUETES Y VARIEDADES</t>
  </si>
  <si>
    <t>-0,178523</t>
  </si>
  <si>
    <t>-78,483368</t>
  </si>
  <si>
    <t>EMASEO no se lleva la basura si no les brindan algo.</t>
  </si>
  <si>
    <t>-0,181251</t>
  </si>
  <si>
    <t>-78,483852</t>
  </si>
  <si>
    <t>3. Presencia de Policía Nacional 6. Presencia de CACMQ</t>
  </si>
  <si>
    <t>Dan más presencia</t>
  </si>
  <si>
    <t>Por la seguridad</t>
  </si>
  <si>
    <t>-0,185197</t>
  </si>
  <si>
    <t>-78,484661</t>
  </si>
  <si>
    <t>GUARDIAS PRIVADOS</t>
  </si>
  <si>
    <t>-0,178581</t>
  </si>
  <si>
    <t>-78,403647</t>
  </si>
  <si>
    <t>Impotencia</t>
  </si>
  <si>
    <t>Ayuda momentánea</t>
  </si>
  <si>
    <t>No se confía</t>
  </si>
  <si>
    <t>-0,18769</t>
  </si>
  <si>
    <t>-78,48391</t>
  </si>
  <si>
    <t>Servicio</t>
  </si>
  <si>
    <t>Ayuda</t>
  </si>
  <si>
    <t>Estan ellos realizan los delincuentes</t>
  </si>
  <si>
    <t>Búsqueda de ayuda</t>
  </si>
  <si>
    <t>-0,18098</t>
  </si>
  <si>
    <t>-78,482562</t>
  </si>
  <si>
    <t>No hay lámparas a la salida de la quebrada</t>
  </si>
  <si>
    <t>Necesidad</t>
  </si>
  <si>
    <t>Muchas necesidades tachos de basura, luz y baños</t>
  </si>
  <si>
    <t>-0,178386</t>
  </si>
  <si>
    <t>-78,483431</t>
  </si>
  <si>
    <t>Impunidad</t>
  </si>
  <si>
    <t>Ayuda solo el momento</t>
  </si>
  <si>
    <t>No son efectivos</t>
  </si>
  <si>
    <t>Prohibir el uso de cualquier tipo de arma.</t>
  </si>
  <si>
    <t>-78,48384</t>
  </si>
  <si>
    <t>VI.6 Amenazas VI.7 Agresiones</t>
  </si>
  <si>
    <t>Por control y respeto</t>
  </si>
  <si>
    <t>Parte recuperación sector alimentos comidas</t>
  </si>
  <si>
    <t>Por el control y vigilancia</t>
  </si>
  <si>
    <t>-0,181362</t>
  </si>
  <si>
    <t>-78,483335</t>
  </si>
  <si>
    <t>Cierra pronto</t>
  </si>
  <si>
    <t>No ayudan con la delincuencia</t>
  </si>
  <si>
    <t>No le da confianza</t>
  </si>
  <si>
    <t>-78,483519</t>
  </si>
  <si>
    <t>Trabajadora</t>
  </si>
  <si>
    <t>Es por la seguridad</t>
  </si>
  <si>
    <t>Es su trabajo</t>
  </si>
  <si>
    <t>Mayor control de seguridad.</t>
  </si>
  <si>
    <t>-0,179199</t>
  </si>
  <si>
    <t>-78,48201</t>
  </si>
  <si>
    <t>Guardaparques</t>
  </si>
  <si>
    <t>Chat comunitario.</t>
  </si>
  <si>
    <t>Es notorio</t>
  </si>
  <si>
    <t>-0,179358</t>
  </si>
  <si>
    <t>-78,484112</t>
  </si>
  <si>
    <t>Desconfianza</t>
  </si>
  <si>
    <t>Nos conviene por seguridad.</t>
  </si>
  <si>
    <t>Son autoridad.</t>
  </si>
  <si>
    <t>-0,179027</t>
  </si>
  <si>
    <t>-78,483523</t>
  </si>
  <si>
    <t>No hay control minucioso</t>
  </si>
  <si>
    <t>Falta control, deben hacer controles fin de semana</t>
  </si>
  <si>
    <t>Miedo a represalias.</t>
  </si>
  <si>
    <t>VC</t>
  </si>
  <si>
    <t>-0,180715</t>
  </si>
  <si>
    <t>-78,483343</t>
  </si>
  <si>
    <t>Desestrés</t>
  </si>
  <si>
    <t>-0,180611</t>
  </si>
  <si>
    <t>-78,483706</t>
  </si>
  <si>
    <t>9. Presencia de seguridad privada</t>
  </si>
  <si>
    <t>No hay basureros</t>
  </si>
  <si>
    <t>Pero poco las ventas vuelven</t>
  </si>
  <si>
    <t>Saben del tema</t>
  </si>
  <si>
    <t>Que hagan bodegas seguras</t>
  </si>
  <si>
    <t>-0,180658</t>
  </si>
  <si>
    <t>3. Presencia de Policía Nacional 4. Buena iluminación</t>
  </si>
  <si>
    <t>Intranquilidad</t>
  </si>
  <si>
    <t>Tiro al blanco</t>
  </si>
  <si>
    <t>-0,179989</t>
  </si>
  <si>
    <t>-78,482203</t>
  </si>
  <si>
    <t>-0,1795</t>
  </si>
  <si>
    <t>-78,482798</t>
  </si>
  <si>
    <t>Indignación</t>
  </si>
  <si>
    <t>Revisan y mantienen el orden</t>
  </si>
  <si>
    <t>Nadie hace nada</t>
  </si>
  <si>
    <t>-0,179309</t>
  </si>
  <si>
    <t>-78,482467</t>
  </si>
  <si>
    <t>Gratitud</t>
  </si>
  <si>
    <t>Conformidad</t>
  </si>
  <si>
    <t>Solo pasan un ratito y todo sigue igual</t>
  </si>
  <si>
    <t>No bajan las ventas ambulantes</t>
  </si>
  <si>
    <t>-0,178555</t>
  </si>
  <si>
    <t>-78,482217</t>
  </si>
  <si>
    <t>Venta de alcohol por los mismo vendedores de coco</t>
  </si>
  <si>
    <t>-0,179273</t>
  </si>
  <si>
    <t>-78,483424</t>
  </si>
  <si>
    <t>Ayuda a disuadir las ventas ambulantes</t>
  </si>
  <si>
    <t>Granola</t>
  </si>
  <si>
    <t>-0,177755</t>
  </si>
  <si>
    <t>-78,481847</t>
  </si>
  <si>
    <t>-0,178307</t>
  </si>
  <si>
    <t>-78,482147</t>
  </si>
  <si>
    <t>1. Delincuencia (robos, extorsiones, cualquier tipo de delito) 5. Consumo de alcohol en el espacio público</t>
  </si>
  <si>
    <t>No hay iluminación</t>
  </si>
  <si>
    <t>Respeto</t>
  </si>
  <si>
    <t>Cariño</t>
  </si>
  <si>
    <t>Venden alimentos en mal estado informales</t>
  </si>
  <si>
    <t>Regular para dar tranquilidad</t>
  </si>
  <si>
    <t>-0,177789</t>
  </si>
  <si>
    <t>-78,481902</t>
  </si>
  <si>
    <t>Drogadicto</t>
  </si>
  <si>
    <t>Nervios</t>
  </si>
  <si>
    <t>Conoce los horarios de control y se van las ventas</t>
  </si>
  <si>
    <t>No hacen nada son impávidos</t>
  </si>
  <si>
    <t>-0,1777</t>
  </si>
  <si>
    <t>-78,481823</t>
  </si>
  <si>
    <t>5. Montubia(o)</t>
  </si>
  <si>
    <t>Ayuda a controlar</t>
  </si>
  <si>
    <t>Poco falta más organización</t>
  </si>
  <si>
    <t>-0,177568</t>
  </si>
  <si>
    <t>-78,482992</t>
  </si>
  <si>
    <t>-0,17814</t>
  </si>
  <si>
    <t>-78,483269</t>
  </si>
  <si>
    <t>A la 1 am ya quitan la iluminación</t>
  </si>
  <si>
    <t>-0,178613</t>
  </si>
  <si>
    <t>-78,483878</t>
  </si>
  <si>
    <t>Mucho consumen droga más operativos</t>
  </si>
  <si>
    <t>-0,181306</t>
  </si>
  <si>
    <t>-78,483395</t>
  </si>
  <si>
    <t>Motivación</t>
  </si>
  <si>
    <t>-0,181237</t>
  </si>
  <si>
    <t>-78,483433</t>
  </si>
  <si>
    <t>AMC no ayuda en nada no saca comercio informal</t>
  </si>
  <si>
    <t>No hacen nada</t>
  </si>
  <si>
    <t>Necesitamos que bajen el comercio informal</t>
  </si>
  <si>
    <t>-0,17978</t>
  </si>
  <si>
    <t>-78,483677</t>
  </si>
  <si>
    <t>Billetes falsos.</t>
  </si>
  <si>
    <t>Cómoda</t>
  </si>
  <si>
    <t>Ayudan a  la seguridad a todos</t>
  </si>
  <si>
    <t>-0,181301</t>
  </si>
  <si>
    <t>-78,483434</t>
  </si>
  <si>
    <t>Hay más protección.</t>
  </si>
  <si>
    <t>Están haciendo control.</t>
  </si>
  <si>
    <t>-0,185765</t>
  </si>
  <si>
    <t>-78,484762</t>
  </si>
  <si>
    <t>Mejoran seguridad</t>
  </si>
  <si>
    <t>Comunicación contínua</t>
  </si>
  <si>
    <t>Por control</t>
  </si>
  <si>
    <t>-0,181116</t>
  </si>
  <si>
    <t>-78,483253</t>
  </si>
  <si>
    <t>2. No ha pasado nada 3. Presencia de Policía Nacional 10. ¿Cúal?1</t>
  </si>
  <si>
    <t>Guardaparque</t>
  </si>
  <si>
    <t>Revisa permisos</t>
  </si>
  <si>
    <t>Ellos tienen autoridad para ayudar</t>
  </si>
  <si>
    <t>-0,184337</t>
  </si>
  <si>
    <t>-78,482599</t>
  </si>
  <si>
    <t>1. Bate de béisbol 6. Otros</t>
  </si>
  <si>
    <t>-0,181058</t>
  </si>
  <si>
    <t>-78,483401</t>
  </si>
  <si>
    <t>Alquiler de bicicletas</t>
  </si>
  <si>
    <t>-0,180835</t>
  </si>
  <si>
    <t>-78,482942</t>
  </si>
  <si>
    <t>Contenta</t>
  </si>
  <si>
    <t>No les hacen caso</t>
  </si>
  <si>
    <t>Hay un chat al cual reporta</t>
  </si>
  <si>
    <t>-0,185365</t>
  </si>
  <si>
    <t>-78,484752</t>
  </si>
  <si>
    <t>-0,18102</t>
  </si>
  <si>
    <t>-78,482858</t>
  </si>
  <si>
    <t>Camaretas ruidosas en los campamentos</t>
  </si>
  <si>
    <t>Son autorizados</t>
  </si>
  <si>
    <t>Ayuda con la disminución de las ventas ambulantes</t>
  </si>
  <si>
    <t>-0,185339</t>
  </si>
  <si>
    <t>-78,484701</t>
  </si>
  <si>
    <t>1. Delincuencia (robos, extorsiones, cualquier tipo de delito) 7. Falta de alumbrado público</t>
  </si>
  <si>
    <t>Machete</t>
  </si>
  <si>
    <t>Porque solo les controlan a los que tienen permiso.</t>
  </si>
  <si>
    <t>Capacitación.</t>
  </si>
  <si>
    <t>No hacen nada, nos dejan solos, vienen contra nosotros</t>
  </si>
  <si>
    <t>No actualizan los permisos, no se sabe por qué.</t>
  </si>
  <si>
    <t>-0,185291</t>
  </si>
  <si>
    <t>-78,484698</t>
  </si>
  <si>
    <t>No hay presencia de seguridad.</t>
  </si>
  <si>
    <t>No son constantes</t>
  </si>
  <si>
    <t>No realizan control.</t>
  </si>
  <si>
    <t>-0,180149</t>
  </si>
  <si>
    <t>-78,482918</t>
  </si>
  <si>
    <t>Positivismo</t>
  </si>
  <si>
    <t>Es solo pantalla</t>
  </si>
  <si>
    <t>Falta de profesionalismo</t>
  </si>
  <si>
    <t>-0,185119</t>
  </si>
  <si>
    <t>-78,484644</t>
  </si>
  <si>
    <t>-0,184154</t>
  </si>
  <si>
    <t>-78,485270</t>
  </si>
  <si>
    <t>Cámara</t>
  </si>
  <si>
    <t>VI.2 Robo  (con violencia) VI.10 Otros</t>
  </si>
  <si>
    <t>Hombre armado</t>
  </si>
  <si>
    <t>Deben patrullar donde hay más árboles, que es muy desolado y obscuro.</t>
  </si>
  <si>
    <t>-0,184800</t>
  </si>
  <si>
    <t>-78,485711</t>
  </si>
  <si>
    <t>-0,184825</t>
  </si>
  <si>
    <t>-78,484586</t>
  </si>
  <si>
    <t>Falta de basureros, hay basureros muy pequeños</t>
  </si>
  <si>
    <t>Ayuda un poco</t>
  </si>
  <si>
    <t>Cumpliendo con los acuerdos designados en el permiso</t>
  </si>
  <si>
    <t>Es complicado pero de ser necesario lo haría</t>
  </si>
  <si>
    <t>Tachos de basura más grandes</t>
  </si>
  <si>
    <t>-0,183227</t>
  </si>
  <si>
    <t>-78,486044</t>
  </si>
  <si>
    <t>4. Armas blancas 6. Otros</t>
  </si>
  <si>
    <t>Picahielos</t>
  </si>
  <si>
    <t>VI.6 Amenazas</t>
  </si>
  <si>
    <t>Control seguro</t>
  </si>
  <si>
    <t>-0,183023</t>
  </si>
  <si>
    <t>-78,486500</t>
  </si>
  <si>
    <t>Palos</t>
  </si>
  <si>
    <t>Entretenida</t>
  </si>
  <si>
    <t>-0,185217</t>
  </si>
  <si>
    <t>-78,484720</t>
  </si>
  <si>
    <t>Asociación de guardias extra aparte</t>
  </si>
  <si>
    <t>Guardia privado</t>
  </si>
  <si>
    <t>Porque no hacen nada</t>
  </si>
  <si>
    <t>No confió en el trabajo</t>
  </si>
  <si>
    <t>Tiene guardias privados como asociación, AMC no controla, se paga el permiso en la EMMOP pero no nos dan mas que un certificado</t>
  </si>
  <si>
    <t>-0,181357</t>
  </si>
  <si>
    <t>-78,484002</t>
  </si>
  <si>
    <t>3. Consumo de drogas 4. Ventas ambulantes 6. Habitantes de calle (mendicidad)</t>
  </si>
  <si>
    <t>1. Bate de béisbol 3. Palos 6. Otros</t>
  </si>
  <si>
    <t>Chat de seguridad</t>
  </si>
  <si>
    <t>Riñas entre vendedores con machete.</t>
  </si>
  <si>
    <t>Estrés</t>
  </si>
  <si>
    <t>-0,184436</t>
  </si>
  <si>
    <t>-78,485520</t>
  </si>
  <si>
    <t>1. Delincuencia (robos, extorsiones, cualquier tipo de delito) 6. Habitantes de calle (mendicidad) 7. Falta de alumbrado público</t>
  </si>
  <si>
    <t>Daño a los arboles</t>
  </si>
  <si>
    <t>Norman</t>
  </si>
  <si>
    <t>Capacitaciones</t>
  </si>
  <si>
    <t>Son de seguridad</t>
  </si>
  <si>
    <t>Los arboles están por caerse en este puesto</t>
  </si>
  <si>
    <t>-0,182564</t>
  </si>
  <si>
    <t>-78,483049</t>
  </si>
  <si>
    <t>Molestan a los que tenemos permiso.</t>
  </si>
  <si>
    <t>Son pantalla.</t>
  </si>
  <si>
    <t>-0,18138</t>
  </si>
  <si>
    <t>-78,483515</t>
  </si>
  <si>
    <t>Hay control</t>
  </si>
  <si>
    <t>No es constante</t>
  </si>
  <si>
    <t>Granizados</t>
  </si>
  <si>
    <t>Que mejore la seguridad, que vengan los agentes de control para que controlen las ventas.</t>
  </si>
  <si>
    <t>-0,184210</t>
  </si>
  <si>
    <t>-78,485262</t>
  </si>
  <si>
    <t>No hay divisiones de canchas cerca de las áreas verdes</t>
  </si>
  <si>
    <t>Privilegio</t>
  </si>
  <si>
    <t>Menos vendedores más orden</t>
  </si>
  <si>
    <t>Solo han informado pero han dado detalles</t>
  </si>
  <si>
    <t>Apoyar a la autoridad</t>
  </si>
  <si>
    <t>Más iluminación y más cámaras</t>
  </si>
  <si>
    <t>-0,183204</t>
  </si>
  <si>
    <t>-78,483622</t>
  </si>
  <si>
    <t>1. Afluencia de gente 8. Parque tranquilo 9. Presencia de seguridad privada</t>
  </si>
  <si>
    <t>Confianza</t>
  </si>
  <si>
    <t>Al quitarles la fuente de trabajo, obligan a robar.</t>
  </si>
  <si>
    <t>Se mejora el actuar de los servidores públicos</t>
  </si>
  <si>
    <t>Más patrullajes.</t>
  </si>
  <si>
    <t>-0,183651</t>
  </si>
  <si>
    <t>-78,485567</t>
  </si>
  <si>
    <t>Solo es un rato</t>
  </si>
  <si>
    <t>Da seguridad</t>
  </si>
  <si>
    <t>-0,183348</t>
  </si>
  <si>
    <t>-78,485456</t>
  </si>
  <si>
    <t>1. Delincuencia (robos, extorsiones, cualquier tipo de delito) 6. Habitantes de calle (mendicidad) 8. ¿Cuál?1</t>
  </si>
  <si>
    <t>Personas extranjeras que molestan</t>
  </si>
  <si>
    <t>Ayuda a controlar la seguridad y las ventas informales</t>
  </si>
  <si>
    <t>-0,183015</t>
  </si>
  <si>
    <t>-78,486520</t>
  </si>
  <si>
    <t>Comunicación</t>
  </si>
  <si>
    <t>Se evidencia</t>
  </si>
  <si>
    <t>Capacitado</t>
  </si>
  <si>
    <t>Aguas medicinales</t>
  </si>
  <si>
    <t>-0,183076</t>
  </si>
  <si>
    <t>-78,486515</t>
  </si>
  <si>
    <t>Recelo</t>
  </si>
  <si>
    <t>-0,182932</t>
  </si>
  <si>
    <t>-78,485584</t>
  </si>
  <si>
    <t>Lanfor puerta</t>
  </si>
  <si>
    <t>VI.10 Otros</t>
  </si>
  <si>
    <t>Robo local</t>
  </si>
  <si>
    <t>Control ventas ambulantes</t>
  </si>
  <si>
    <t>-0,183378</t>
  </si>
  <si>
    <t>-78,485828</t>
  </si>
  <si>
    <t>3. Presencia de Policía Nacional 9. Presencia de seguridad privada 10. ¿Cúal?1</t>
  </si>
  <si>
    <t>Caballos</t>
  </si>
  <si>
    <t>Recuerdos</t>
  </si>
  <si>
    <t>Nostalgia</t>
  </si>
  <si>
    <t>Han controlado mejor</t>
  </si>
  <si>
    <t>Confía</t>
  </si>
  <si>
    <t>Alarmas y cámaras</t>
  </si>
  <si>
    <t>Es focal</t>
  </si>
  <si>
    <t>-0,179104</t>
  </si>
  <si>
    <t>-78,483320</t>
  </si>
  <si>
    <t>-0,178353</t>
  </si>
  <si>
    <t>-78,483367</t>
  </si>
  <si>
    <t>No queda a quien más</t>
  </si>
  <si>
    <t>-0,178432</t>
  </si>
  <si>
    <t>-78,483387</t>
  </si>
  <si>
    <t>-0,178712</t>
  </si>
  <si>
    <t>-78,483416</t>
  </si>
  <si>
    <t>Son solo para fotos</t>
  </si>
  <si>
    <t>Son pantalla</t>
  </si>
  <si>
    <t>-0,178776</t>
  </si>
  <si>
    <t>-78,484067</t>
  </si>
  <si>
    <t>Emaseo no lleva la basura y no limpia</t>
  </si>
  <si>
    <t>Solo en un ratito y ya todo es igual</t>
  </si>
  <si>
    <t>No vale la lámpara que está por los inflables y no tienen donde coger agua para los negocios</t>
  </si>
  <si>
    <t>-0,178905</t>
  </si>
  <si>
    <t>Mandan a gente sospechosa</t>
  </si>
  <si>
    <t>Ayuda lo que se necesita</t>
  </si>
  <si>
    <t>-0,178842</t>
  </si>
  <si>
    <t>Por más seguridad</t>
  </si>
  <si>
    <t>-0,17888</t>
  </si>
  <si>
    <t>-78,48423</t>
  </si>
  <si>
    <t>Rejas</t>
  </si>
  <si>
    <t>Inseguro</t>
  </si>
  <si>
    <t>Se controlan las ventas y la delincuencia</t>
  </si>
  <si>
    <t>Están pendientes pero les falta más organización</t>
  </si>
  <si>
    <t>Piden que la administración de l parque esté más pendiente de seguridad y coordinen con los puestos</t>
  </si>
  <si>
    <t>-0,17917</t>
  </si>
  <si>
    <t>-78,484133</t>
  </si>
  <si>
    <t>3. Consumo de drogas 4. Ventas ambulantes</t>
  </si>
  <si>
    <t>-0,178945</t>
  </si>
  <si>
    <t>-78,484129</t>
  </si>
  <si>
    <t>Ir temprano a casa</t>
  </si>
  <si>
    <t>No son continuos</t>
  </si>
  <si>
    <t>-0,179691</t>
  </si>
  <si>
    <t>-78,454142</t>
  </si>
  <si>
    <t>2. No ha pasado nada 3. Presencia de Policía Nacional</t>
  </si>
  <si>
    <t>Validador</t>
  </si>
  <si>
    <t>Val</t>
  </si>
  <si>
    <t>Kichwa</t>
  </si>
  <si>
    <t>Responsabilidad</t>
  </si>
  <si>
    <t>Impaciencia</t>
  </si>
  <si>
    <t>Ns/Nc</t>
  </si>
  <si>
    <t>Desprotegida</t>
  </si>
  <si>
    <t>No les conosco</t>
  </si>
  <si>
    <t>Corrupción y falta de compromiso</t>
  </si>
  <si>
    <t>Resguardan la seguridad</t>
  </si>
  <si>
    <t>Son buenos para los ciudadanos</t>
  </si>
  <si>
    <t>Cuando se van no hay quien mas que ayude</t>
  </si>
  <si>
    <t>Confía en las instituciones</t>
  </si>
  <si>
    <t>Son seguros</t>
  </si>
  <si>
    <t>No controlan</t>
  </si>
  <si>
    <t>Ayuda a evitar problemas</t>
  </si>
  <si>
    <t xml:space="preserve">Porque ayudan </t>
  </si>
  <si>
    <t>Controles</t>
  </si>
  <si>
    <t>Sob respetados</t>
  </si>
  <si>
    <t>Controlan mejor</t>
  </si>
  <si>
    <t>Hay más seguridad</t>
  </si>
  <si>
    <t>Solo controlan a los que tienen permiso</t>
  </si>
  <si>
    <t>Es un juego del gato y al ratón con los criminales</t>
  </si>
  <si>
    <t>Auyentan la venta informal</t>
  </si>
  <si>
    <t>Apoyo con información</t>
  </si>
  <si>
    <t>Solo ha escuchado</t>
  </si>
  <si>
    <t>Van a darles kioscos</t>
  </si>
  <si>
    <t>No hay seguridad</t>
  </si>
  <si>
    <t>Falta de Policía Nacional</t>
  </si>
  <si>
    <t>Demora en llegar la Policía</t>
  </si>
  <si>
    <t>Gente violenta con mascotas</t>
  </si>
  <si>
    <t>Abuso sexual</t>
  </si>
  <si>
    <t>Presencia de Policía esporádica</t>
  </si>
  <si>
    <t>2. Venta de drogas 4. Ventas ambulantes 8. ¿Cuál?1</t>
  </si>
  <si>
    <t>Madrugada (00:00 a 05:59)</t>
  </si>
  <si>
    <t>Ingreso de motos eléctricas y motos por pasos peatonales</t>
  </si>
  <si>
    <t>Gente que se pelea por los perros</t>
  </si>
  <si>
    <t>Agradecido</t>
  </si>
  <si>
    <t>Falta constancia</t>
  </si>
  <si>
    <t>No realizan patrullajes en todos los lugares</t>
  </si>
  <si>
    <t>Ayuda a mejorar la seguridad</t>
  </si>
  <si>
    <t>Controlan para el bienestar</t>
  </si>
  <si>
    <t>Venta de helados</t>
  </si>
  <si>
    <t>Jugos</t>
  </si>
  <si>
    <t>Balones</t>
  </si>
  <si>
    <t>Cuenta de DD. 1 Sexo Enc. Por observación</t>
  </si>
  <si>
    <t>Cuenta de PSC.2 En los últimos 6 meses, es decir,  de septiembre 2024 a la fecha. EN TÉRMINOS DE SEGURIDAD, ¿qué tan segura/o se siente usted cuando está atendiendo en este puesto?: Enc. leer opciones y RU</t>
  </si>
  <si>
    <t>Muy Seguro</t>
  </si>
  <si>
    <t>Muy Inseguro</t>
  </si>
  <si>
    <t>Año 2025</t>
  </si>
  <si>
    <t>Año 2026</t>
  </si>
  <si>
    <t>Etiquetas de fila</t>
  </si>
  <si>
    <t>Total general</t>
  </si>
  <si>
    <t>Cuenta de PSC.4 ¿En los últimos 6 meses, es decir,  de septiembre 2024 a la fecha, considera que la situación de inseguridad en el parque? Enc. leer opciones y RU</t>
  </si>
  <si>
    <t>Empeoró</t>
  </si>
  <si>
    <t>Esta igual</t>
  </si>
  <si>
    <t>Mejoró</t>
  </si>
  <si>
    <t>Sí</t>
  </si>
  <si>
    <t>No</t>
  </si>
  <si>
    <t xml:space="preserve">¿Ha cambiado su horario de venta al público? </t>
  </si>
  <si>
    <t>Cuenta de VI.1 En los últimos 6 meses, es decir, de septiembre 2024 a la fecha. Ud. ha sido víctima de algún tipo de delito en el parque?</t>
  </si>
  <si>
    <t>Cuenta de ¿De qué delitos fue víctima? Enc. respuesta espontáne. RM</t>
  </si>
  <si>
    <t xml:space="preserve"> Robo  (con violencia)</t>
  </si>
  <si>
    <t>Hurto (sin violencia)</t>
  </si>
  <si>
    <t>Amenazas</t>
  </si>
  <si>
    <t>Robo  (con violencia)</t>
  </si>
  <si>
    <t>Otros</t>
  </si>
  <si>
    <t>Extorsión</t>
  </si>
  <si>
    <t>Estafa</t>
  </si>
  <si>
    <t>Agresiones</t>
  </si>
  <si>
    <t>Poco Frecuente</t>
  </si>
  <si>
    <t>Frecuente</t>
  </si>
  <si>
    <t>Muy Frecuente</t>
  </si>
  <si>
    <t>Alguien puso música a un volumen excesivo o hizo mucho ruido y eso le molestó</t>
  </si>
  <si>
    <t>Grafitis no artísticos que le molestaron</t>
  </si>
  <si>
    <t>Personas que orinan en el parque</t>
  </si>
  <si>
    <t>Desechos de animales</t>
  </si>
  <si>
    <t>Áreas sin iluminación</t>
  </si>
  <si>
    <t>Peleas o riñas</t>
  </si>
  <si>
    <t>Habitantes en situación de calle</t>
  </si>
  <si>
    <t>Consumo de alcohol</t>
  </si>
  <si>
    <t>Venta de alcohol</t>
  </si>
  <si>
    <t>Consumo de drogas</t>
  </si>
  <si>
    <t xml:space="preserve"> Venta de drogas</t>
  </si>
  <si>
    <t>Daño a la propiedad pública y privada</t>
  </si>
  <si>
    <t>Fauna Urbana</t>
  </si>
  <si>
    <t>Basura y suciedad</t>
  </si>
  <si>
    <t>Trabajo sexual</t>
  </si>
  <si>
    <t>Aglomeración de personas</t>
  </si>
  <si>
    <t>Alguna otra que no le haya mencionado</t>
  </si>
  <si>
    <t>Cuenta de PCA.1 En los últimos 6 meses, es decir, de septiembre 2024 a la fecha. ¿Usted ha presenciado ventas ambulantes en el parque ? Enc. RE y RU.</t>
  </si>
  <si>
    <t>Con que fercuencia</t>
  </si>
  <si>
    <t>Cuenta de PCA.1.1 Le molestan las ventas ambulantes en el parque? Enc. RE y RU.</t>
  </si>
  <si>
    <t>Vio?</t>
  </si>
  <si>
    <t>¿Se benefició de alguna manera del  trabajo de esta institución?</t>
  </si>
  <si>
    <t>En una escala del 1 al 4, donde 1 es MUY BUENO y 4 es MUY MALO ¿Cómo califica el servicio?</t>
  </si>
  <si>
    <t>SI</t>
  </si>
  <si>
    <t>NO</t>
  </si>
  <si>
    <t>MUY BUENO</t>
  </si>
  <si>
    <t>BUENO</t>
  </si>
  <si>
    <t xml:space="preserve"> MALO</t>
  </si>
  <si>
    <t>MUY MALO</t>
  </si>
  <si>
    <t>NS/NC</t>
  </si>
  <si>
    <t>Policía Nacional (PN)</t>
  </si>
  <si>
    <t>Empresa Metropolitana de Aseo (EMASEO)</t>
  </si>
  <si>
    <t>Cuerpo de Agentes de Control Metropolitano de Quito (CACMQ)</t>
  </si>
  <si>
    <t>Agencia Metropolitana de Control (AMC)</t>
  </si>
  <si>
    <t>Agencia Metropolitana de Tránsito (AMT)</t>
  </si>
  <si>
    <t>Cuerpo de Bombero de Quito (CBQ)</t>
  </si>
  <si>
    <t>Fuerzas Armadas del Ecuador (FFAA)</t>
  </si>
  <si>
    <t>Patronato San José (UPMSJ)</t>
  </si>
  <si>
    <t>Secretaría General de Seguridad Ciudadana y Gestión de Riesgos (SGSCGR)</t>
  </si>
  <si>
    <t>Agencia Metropolitana de Control de Comercio (AMCC)</t>
  </si>
  <si>
    <t xml:space="preserve">Usted ha presenciado los operativos de control </t>
  </si>
  <si>
    <t>¿Cómo califica los operativos de control?</t>
  </si>
  <si>
    <t>Piensa que los operativos ayudaron a la disminución de las problematicas del sector</t>
  </si>
  <si>
    <t xml:space="preserve">por que si </t>
  </si>
  <si>
    <t>num</t>
  </si>
  <si>
    <t xml:space="preserve">por que no </t>
  </si>
  <si>
    <t>por que Si</t>
  </si>
  <si>
    <t>Por que no</t>
  </si>
  <si>
    <t>Usd fue involucrado en el plan de intervención</t>
  </si>
  <si>
    <t>¿Cómo?</t>
  </si>
  <si>
    <t>Confiaria en el personal de los operativos</t>
  </si>
  <si>
    <t>Caracterización del comercio</t>
  </si>
  <si>
    <t>Sentir 1</t>
  </si>
  <si>
    <t>Sentir 2</t>
  </si>
  <si>
    <t>Sentir 3</t>
  </si>
  <si>
    <t>Competencia</t>
  </si>
  <si>
    <t>Iras</t>
  </si>
  <si>
    <t>Ánimo</t>
  </si>
  <si>
    <t>Molestia</t>
  </si>
  <si>
    <t>¿Ha evitado estar solo para
 atender al público?</t>
  </si>
  <si>
    <t xml:space="preserve"> ¿Ha implementado medidas 
de seguridad en su negocio ?</t>
  </si>
  <si>
    <t>Si</t>
  </si>
  <si>
    <t>Poco frecuente</t>
  </si>
  <si>
    <t>Muy frecuente</t>
  </si>
  <si>
    <t>Muy bueno</t>
  </si>
  <si>
    <t>Bueno</t>
  </si>
  <si>
    <t>Malo</t>
  </si>
  <si>
    <t>Muy malo</t>
  </si>
  <si>
    <t>Vergüenza</t>
  </si>
  <si>
    <t>Las respuestas abiertas fueron agrupadas mediante categorización temática, identificando patrones comunes y consolidándolos en dimensiones analíticas amplias para facilitar su interpretación.</t>
  </si>
  <si>
    <t>Información y comunicación</t>
  </si>
  <si>
    <t>Regularización y gestión institucional</t>
  </si>
  <si>
    <t>Capacitación y organización comunitaria</t>
  </si>
  <si>
    <t>Seguridad y control</t>
  </si>
  <si>
    <t>Apoyo y recuperación comercial</t>
  </si>
  <si>
    <t>Control del comercio informal y orden</t>
  </si>
  <si>
    <t>Mayor control y vigilancia</t>
  </si>
  <si>
    <t>Mayor seguridad y reducción de delincuencia</t>
  </si>
  <si>
    <t>Ayuda limitada o temporal</t>
  </si>
  <si>
    <t>Otros aspectos positivos</t>
  </si>
  <si>
    <t>Cumplimiento de funciones institucionales</t>
  </si>
  <si>
    <t>Prevención de problemáticas</t>
  </si>
  <si>
    <t>Consecuencias sociales o económicas</t>
  </si>
  <si>
    <t>Percepción de ineficacia</t>
  </si>
  <si>
    <t>Controles temporales o poco constantes</t>
  </si>
  <si>
    <t>Persistencia del comercio informal y desorden</t>
  </si>
  <si>
    <t>Otros aspectos negativos</t>
  </si>
  <si>
    <t>Evasión de controles</t>
  </si>
  <si>
    <t>Afectación a comerciantes formales</t>
  </si>
  <si>
    <t>Falta de personal o recursos</t>
  </si>
  <si>
    <t>categorias SI</t>
  </si>
  <si>
    <t>categorias No</t>
  </si>
  <si>
    <t>categorias no</t>
  </si>
  <si>
    <t>Apoyo y ayuda institucional</t>
  </si>
  <si>
    <t>Confianza por seguridad y protección</t>
  </si>
  <si>
    <t>Percepción positiva del personal</t>
  </si>
  <si>
    <t>Confianza institucional y personal</t>
  </si>
  <si>
    <t>Capacidad de control y vigilancia</t>
  </si>
  <si>
    <t>Otros motivos de confianza</t>
  </si>
  <si>
    <t>Respeto a la autoridad</t>
  </si>
  <si>
    <t>Percepción de ineficacia institucional</t>
  </si>
  <si>
    <t>Percepción de corrupción</t>
  </si>
  <si>
    <t>Falta de continuidad en controles</t>
  </si>
  <si>
    <t>Falta de profesionalismo o compromiso</t>
  </si>
  <si>
    <t>Desconfianza y temor</t>
  </si>
  <si>
    <t>Persistencia del comercio informal</t>
  </si>
  <si>
    <t>Falta de apoyo a la ciudadanía</t>
  </si>
  <si>
    <t>Otros motivos de desconfianza</t>
  </si>
  <si>
    <t>num si</t>
  </si>
  <si>
    <t>num no</t>
  </si>
  <si>
    <t>sas</t>
  </si>
  <si>
    <t>PSC.1</t>
  </si>
  <si>
    <t>Muy seguro</t>
  </si>
  <si>
    <t>Muy inseguro</t>
  </si>
  <si>
    <t>Afluencia de gente</t>
  </si>
  <si>
    <t>No ha pasado nada</t>
  </si>
  <si>
    <t>Presencia de la Policía Nacional</t>
  </si>
  <si>
    <t xml:space="preserve">Buena iluminación </t>
  </si>
  <si>
    <t xml:space="preserve">No existe delincuencia </t>
  </si>
  <si>
    <t>Presencia de CACMQ</t>
  </si>
  <si>
    <t>Parque tranquilo</t>
  </si>
  <si>
    <t>Presencia de seguridad privada</t>
  </si>
  <si>
    <t>Razón Seguridad</t>
  </si>
  <si>
    <t>Razón Inseguridad</t>
  </si>
  <si>
    <t>Delincuencia(robos, extorsiones, cualquier tipo de delito)</t>
  </si>
  <si>
    <t>Venta de drogas</t>
  </si>
  <si>
    <t>Ventas ambulantes</t>
  </si>
  <si>
    <t>Consumo de alcohol en el espacio público</t>
  </si>
  <si>
    <t>Habitantes de calle (Mendicidad)</t>
  </si>
  <si>
    <t>Falta de alumbrado público</t>
  </si>
  <si>
    <t xml:space="preserve">Existen cámaras de seguridad 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</si>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</sst>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theme="0"/>
      <name val="Montserrat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0" xfId="0" pivotButton="1"/>
    <xf numFmtId="10" fontId="0" fillId="0" borderId="0" xfId="1" applyNumberFormat="1" applyFont="1"/>
    <xf numFmtId="0" fontId="2" fillId="2" borderId="1" xfId="0" applyFont="1" applyFill="1" applyBorder="1"/>
    <xf numFmtId="0" fontId="0" fillId="0" borderId="0" xfId="0" applyNumberFormat="1"/>
    <xf numFmtId="0" fontId="0" fillId="3" borderId="0" xfId="0" applyFill="1"/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0" fontId="5" fillId="4" borderId="3" xfId="1" applyNumberFormat="1" applyFont="1" applyFill="1" applyBorder="1" applyAlignment="1">
      <alignment horizontal="center" vertical="center"/>
    </xf>
    <xf numFmtId="10" fontId="5" fillId="4" borderId="2" xfId="1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0" fontId="3" fillId="5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0" borderId="0" xfId="0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8" borderId="0" xfId="0" applyFill="1" applyAlignment="1">
      <alignment horizontal="left"/>
    </xf>
    <xf numFmtId="0" fontId="0" fillId="8" borderId="0" xfId="0" applyNumberFormat="1" applyFill="1"/>
    <xf numFmtId="0" fontId="0" fillId="8" borderId="0" xfId="0" applyFill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0" fillId="9" borderId="0" xfId="0" applyFill="1"/>
    <xf numFmtId="0" fontId="2" fillId="0" borderId="0" xfId="0" applyFont="1"/>
    <xf numFmtId="10" fontId="0" fillId="0" borderId="0" xfId="1" applyNumberFormat="1" applyFont="1" applyAlignment="1">
      <alignment horizontal="left"/>
    </xf>
    <xf numFmtId="0" fontId="0" fillId="0" borderId="2" xfId="0" applyBorder="1" applyAlignment="1">
      <alignment horizontal="left"/>
    </xf>
    <xf numFmtId="10" fontId="0" fillId="0" borderId="2" xfId="1" applyNumberFormat="1" applyFont="1" applyBorder="1"/>
    <xf numFmtId="0" fontId="3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0" fontId="5" fillId="4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PSC.1!$B$11:$B$19</c:f>
              <c:strCache>
                <c:ptCount val="9"/>
                <c:pt idx="0">
                  <c:v>Presencia de la Policía Nacional</c:v>
                </c:pt>
                <c:pt idx="1">
                  <c:v>Afluencia de gente</c:v>
                </c:pt>
                <c:pt idx="2">
                  <c:v>No ha pasado nada</c:v>
                </c:pt>
                <c:pt idx="3">
                  <c:v>Presencia de seguridad privada</c:v>
                </c:pt>
                <c:pt idx="4">
                  <c:v>Parque tranquilo</c:v>
                </c:pt>
                <c:pt idx="5">
                  <c:v>Otros</c:v>
                </c:pt>
                <c:pt idx="6">
                  <c:v>Presencia de CACMQ</c:v>
                </c:pt>
                <c:pt idx="7">
                  <c:v>Buena iluminación </c:v>
                </c:pt>
                <c:pt idx="8">
                  <c:v>Existen cámaras de seguridad </c:v>
                </c:pt>
              </c:strCache>
            </c:strRef>
          </c:cat>
          <c:val>
            <c:numRef>
              <c:f>PSC.1!$E$11:$E$19</c:f>
              <c:numCache>
                <c:formatCode>0.00%</c:formatCode>
                <c:ptCount val="9"/>
                <c:pt idx="0">
                  <c:v>0.45238095238095238</c:v>
                </c:pt>
                <c:pt idx="1">
                  <c:v>0.29761904761904762</c:v>
                </c:pt>
                <c:pt idx="2">
                  <c:v>0.26190476190476192</c:v>
                </c:pt>
                <c:pt idx="3">
                  <c:v>0.25</c:v>
                </c:pt>
                <c:pt idx="4">
                  <c:v>0.15476190476190477</c:v>
                </c:pt>
                <c:pt idx="5">
                  <c:v>0.15476190476190477</c:v>
                </c:pt>
                <c:pt idx="6">
                  <c:v>0.14285714285714285</c:v>
                </c:pt>
                <c:pt idx="7">
                  <c:v>2.3809523809523808E-2</c:v>
                </c:pt>
                <c:pt idx="8">
                  <c:v>1.1904761904761904E-2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9-41D5-8DA2-01D1C5A51E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4421040"/>
        <c:axId val="1404421872"/>
      </c:barChart>
      <c:catAx>
        <c:axId val="1404421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21872"/>
        <c:crosses val="autoZero"/>
        <c:auto val="1"/>
        <c:lblAlgn val="ctr"/>
        <c:lblOffset val="100"/>
        <c:noMultiLvlLbl val="0"/>
      </c:catAx>
      <c:valAx>
        <c:axId val="1404421872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40442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PSC.1!$B$24:$B$31</c:f>
              <c:strCache>
                <c:ptCount val="8"/>
                <c:pt idx="0">
                  <c:v>Delincuencia(robos, extorsiones, cualquier tipo de delito)</c:v>
                </c:pt>
                <c:pt idx="1">
                  <c:v>Consumo de drogas</c:v>
                </c:pt>
                <c:pt idx="2">
                  <c:v>Otros</c:v>
                </c:pt>
                <c:pt idx="3">
                  <c:v>Ventas ambulantes</c:v>
                </c:pt>
                <c:pt idx="4">
                  <c:v>Habitantes de calle (Mendicidad)</c:v>
                </c:pt>
                <c:pt idx="5">
                  <c:v>Venta de drogas</c:v>
                </c:pt>
                <c:pt idx="6">
                  <c:v>Falta de alumbrado público</c:v>
                </c:pt>
                <c:pt idx="7">
                  <c:v>Consumo de alcohol en el espacio público</c:v>
                </c:pt>
              </c:strCache>
            </c:strRef>
          </c:cat>
          <c:val>
            <c:numRef>
              <c:f>PSC.1!$E$24:$E$31</c:f>
              <c:numCache>
                <c:formatCode>0.00%</c:formatCode>
                <c:ptCount val="8"/>
                <c:pt idx="0">
                  <c:v>0.87804878048780488</c:v>
                </c:pt>
                <c:pt idx="1">
                  <c:v>0.23170731707317074</c:v>
                </c:pt>
                <c:pt idx="2">
                  <c:v>0.18292682926829268</c:v>
                </c:pt>
                <c:pt idx="3">
                  <c:v>0.13414634146341464</c:v>
                </c:pt>
                <c:pt idx="4">
                  <c:v>0.10975609756097561</c:v>
                </c:pt>
                <c:pt idx="5">
                  <c:v>9.7560975609756101E-2</c:v>
                </c:pt>
                <c:pt idx="6">
                  <c:v>8.5365853658536592E-2</c:v>
                </c:pt>
                <c:pt idx="7">
                  <c:v>3.6585365853658534E-2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4-4FFC-9062-DACB308964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82367456"/>
        <c:axId val="1182363296"/>
      </c:barChart>
      <c:catAx>
        <c:axId val="1182367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63296"/>
        <c:crosses val="autoZero"/>
        <c:auto val="1"/>
        <c:lblAlgn val="ctr"/>
        <c:lblOffset val="100"/>
        <c:noMultiLvlLbl val="0"/>
      </c:catAx>
      <c:valAx>
        <c:axId val="118236329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8236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Procesamietno!$C$2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Procesamietno!$B$3:$B$6</c:f>
              <c:strCache>
                <c:ptCount val="4"/>
                <c:pt idx="0">
                  <c:v>Muy Seguro</c:v>
                </c:pt>
                <c:pt idx="1">
                  <c:v>Seguro</c:v>
                </c:pt>
                <c:pt idx="2">
                  <c:v>Inseguro</c:v>
                </c:pt>
                <c:pt idx="3">
                  <c:v>Muy Inseguro</c:v>
                </c:pt>
              </c:strCache>
            </c:strRef>
          </c:cat>
          <c:val>
            <c:numRef>
              <c:f>Procesamietno!$C$3:$C$6</c:f>
              <c:numCache>
                <c:formatCode>0.00%</c:formatCode>
                <c:ptCount val="4"/>
                <c:pt idx="0">
                  <c:v>5.4216867469879519E-2</c:v>
                </c:pt>
                <c:pt idx="1">
                  <c:v>0.63855421686746983</c:v>
                </c:pt>
                <c:pt idx="2">
                  <c:v>0.26506024096385544</c:v>
                </c:pt>
                <c:pt idx="3">
                  <c:v>4.2168674698795178E-2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9-4C1C-B515-C3C28C21C95F}"/>
            </c:ext>
          </c:extLst>
        </c:ser>
        <c:ser>
          <c:idx val="1"/>
          <c:order val="1"/>
          <c:tx>
            <c:strRef>
              <c:f>Procesamietno!$D$2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Procesamietno!$B$3:$B$6</c:f>
              <c:strCache>
                <c:ptCount val="4"/>
                <c:pt idx="0">
                  <c:v>Muy Seguro</c:v>
                </c:pt>
                <c:pt idx="1">
                  <c:v>Seguro</c:v>
                </c:pt>
                <c:pt idx="2">
                  <c:v>Inseguro</c:v>
                </c:pt>
                <c:pt idx="3">
                  <c:v>Muy Inseguro</c:v>
                </c:pt>
              </c:strCache>
            </c:strRef>
          </c:cat>
          <c:val>
            <c:numRef>
              <c:f>Procesamietno!$D$3:$D$6</c:f>
              <c:numCache>
                <c:formatCode>0.00%</c:formatCode>
                <c:ptCount val="4"/>
                <c:pt idx="0">
                  <c:v>6.0240963855421686E-2</c:v>
                </c:pt>
                <c:pt idx="1">
                  <c:v>0.65662650602409633</c:v>
                </c:pt>
                <c:pt idx="2">
                  <c:v>0.25301204819277107</c:v>
                </c:pt>
                <c:pt idx="3">
                  <c:v>3.0120481927710843E-2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9-4C1C-B515-C3C28C21C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1569592176"/>
        <c:axId val="1569590096"/>
      </c:barChart>
      <c:catAx>
        <c:axId val="156959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69590096"/>
        <c:crosses val="autoZero"/>
        <c:auto val="1"/>
        <c:lblAlgn val="ctr"/>
        <c:lblOffset val="100"/>
        <c:noMultiLvlLbl val="0"/>
      </c:catAx>
      <c:valAx>
        <c:axId val="15695900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5695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Procesamietno!$C$2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Procesamietno!$B$11:$B$13</c:f>
              <c:strCache>
                <c:ptCount val="3"/>
                <c:pt idx="0">
                  <c:v>Empeoró</c:v>
                </c:pt>
                <c:pt idx="1">
                  <c:v>Esta igual</c:v>
                </c:pt>
                <c:pt idx="2">
                  <c:v>Mejoró</c:v>
                </c:pt>
              </c:strCache>
            </c:strRef>
          </c:cat>
          <c:val>
            <c:numRef>
              <c:f>Procesamietno!$C$11:$C$13</c:f>
              <c:numCache>
                <c:formatCode>0.00%</c:formatCode>
                <c:ptCount val="3"/>
                <c:pt idx="0">
                  <c:v>0.42771084337349397</c:v>
                </c:pt>
                <c:pt idx="1">
                  <c:v>0.39759036144578314</c:v>
                </c:pt>
                <c:pt idx="2">
                  <c:v>0.1746987951807229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6-4421-8E0D-AB469BE57C08}"/>
            </c:ext>
          </c:extLst>
        </c:ser>
        <c:ser>
          <c:idx val="1"/>
          <c:order val="1"/>
          <c:tx>
            <c:strRef>
              <c:f>Procesamietno!$D$2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Procesamietno!$B$11:$B$13</c:f>
              <c:strCache>
                <c:ptCount val="3"/>
                <c:pt idx="0">
                  <c:v>Empeoró</c:v>
                </c:pt>
                <c:pt idx="1">
                  <c:v>Esta igual</c:v>
                </c:pt>
                <c:pt idx="2">
                  <c:v>Mejoró</c:v>
                </c:pt>
              </c:strCache>
            </c:strRef>
          </c:cat>
          <c:val>
            <c:numRef>
              <c:f>Procesamietno!$D$11:$D$13</c:f>
              <c:numCache>
                <c:formatCode>0.00%</c:formatCode>
                <c:ptCount val="3"/>
                <c:pt idx="0">
                  <c:v>0.27710843373493976</c:v>
                </c:pt>
                <c:pt idx="1">
                  <c:v>0.4759036144578313</c:v>
                </c:pt>
                <c:pt idx="2">
                  <c:v>0.24698795180722891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6-4421-8E0D-AB469BE57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1569592176"/>
        <c:axId val="1569590096"/>
      </c:barChart>
      <c:catAx>
        <c:axId val="156959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69590096"/>
        <c:crosses val="autoZero"/>
        <c:auto val="1"/>
        <c:lblAlgn val="ctr"/>
        <c:lblOffset val="100"/>
        <c:noMultiLvlLbl val="0"/>
      </c:catAx>
      <c:valAx>
        <c:axId val="15695900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5695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Procesamietno!$D$17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Procesamietno!$B$18:$C$23</c:f>
              <c:multiLvlStrCache>
                <c:ptCount val="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</c:lvl>
                <c:lvl>
                  <c:pt idx="0">
                    <c:v>¿Ha cambiado su horario de venta al público? </c:v>
                  </c:pt>
                  <c:pt idx="2">
                    <c:v>¿Ha evitado estar solo para
 atender al público?</c:v>
                  </c:pt>
                  <c:pt idx="4">
                    <c:v> ¿Ha implementado medidas 
de seguridad en su negocio ?</c:v>
                  </c:pt>
                </c:lvl>
              </c:multiLvlStrCache>
            </c:multiLvlStrRef>
          </c:cat>
          <c:val>
            <c:numRef>
              <c:f>Procesamietno!$D$18:$D$23</c:f>
              <c:numCache>
                <c:formatCode>0.00%</c:formatCode>
                <c:ptCount val="6"/>
                <c:pt idx="0">
                  <c:v>0.14457831325301204</c:v>
                </c:pt>
                <c:pt idx="1">
                  <c:v>0.13253012048192772</c:v>
                </c:pt>
                <c:pt idx="2">
                  <c:v>0.41566265060240964</c:v>
                </c:pt>
                <c:pt idx="3">
                  <c:v>0.33734939759036142</c:v>
                </c:pt>
                <c:pt idx="4">
                  <c:v>0.33132530120481929</c:v>
                </c:pt>
                <c:pt idx="5">
                  <c:v>0.28915662650602408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E-4702-8F3B-9F59D0F4D024}"/>
            </c:ext>
          </c:extLst>
        </c:ser>
        <c:ser>
          <c:idx val="1"/>
          <c:order val="1"/>
          <c:tx>
            <c:strRef>
              <c:f>Procesamietno!$E$17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Procesamietno!$B$18:$C$23</c:f>
              <c:multiLvlStrCache>
                <c:ptCount val="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</c:lvl>
                <c:lvl>
                  <c:pt idx="0">
                    <c:v>¿Ha cambiado su horario de venta al público? </c:v>
                  </c:pt>
                  <c:pt idx="2">
                    <c:v>¿Ha evitado estar solo para
 atender al público?</c:v>
                  </c:pt>
                  <c:pt idx="4">
                    <c:v> ¿Ha implementado medidas 
de seguridad en su negocio ?</c:v>
                  </c:pt>
                </c:lvl>
              </c:multiLvlStrCache>
            </c:multiLvlStrRef>
          </c:cat>
          <c:val>
            <c:numRef>
              <c:f>Procesamietno!$E$18:$E$23</c:f>
              <c:numCache>
                <c:formatCode>0.00%</c:formatCode>
                <c:ptCount val="6"/>
                <c:pt idx="0">
                  <c:v>0.85542168674698793</c:v>
                </c:pt>
                <c:pt idx="1">
                  <c:v>0.86746987951807231</c:v>
                </c:pt>
                <c:pt idx="2">
                  <c:v>0.58433734939759041</c:v>
                </c:pt>
                <c:pt idx="3">
                  <c:v>0.66265060240963858</c:v>
                </c:pt>
                <c:pt idx="4">
                  <c:v>0.66265060240963858</c:v>
                </c:pt>
                <c:pt idx="5">
                  <c:v>0.71084337349397586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E-4702-8F3B-9F59D0F4D0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557390272"/>
        <c:axId val="1557385696"/>
      </c:barChart>
      <c:catAx>
        <c:axId val="1557390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57385696"/>
        <c:crosses val="autoZero"/>
        <c:auto val="1"/>
        <c:lblAlgn val="ctr"/>
        <c:lblOffset val="100"/>
        <c:noMultiLvlLbl val="0"/>
      </c:catAx>
      <c:valAx>
        <c:axId val="155738569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55739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Procesamietno!$C$27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Procesamietno!$B$28:$B$29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Procesamietno!$C$28:$C$29</c:f>
              <c:numCache>
                <c:formatCode>0.00%</c:formatCode>
                <c:ptCount val="2"/>
                <c:pt idx="0">
                  <c:v>0.14457831325301204</c:v>
                </c:pt>
                <c:pt idx="1">
                  <c:v>0.85542168674698793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8-40A4-872F-1EC01DB6A8A9}"/>
            </c:ext>
          </c:extLst>
        </c:ser>
        <c:ser>
          <c:idx val="1"/>
          <c:order val="1"/>
          <c:tx>
            <c:strRef>
              <c:f>Procesamietno!$D$27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Procesamietno!$B$28:$B$29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Procesamietno!$D$28:$D$29</c:f>
              <c:numCache>
                <c:formatCode>0.00%</c:formatCode>
                <c:ptCount val="2"/>
                <c:pt idx="0">
                  <c:v>0.26506024096385544</c:v>
                </c:pt>
                <c:pt idx="1">
                  <c:v>0.73493975903614461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8-40A4-872F-1EC01DB6A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1178175872"/>
        <c:axId val="1178164640"/>
      </c:barChart>
      <c:catAx>
        <c:axId val="117817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78164640"/>
        <c:crosses val="autoZero"/>
        <c:auto val="1"/>
        <c:lblAlgn val="ctr"/>
        <c:lblOffset val="100"/>
        <c:noMultiLvlLbl val="0"/>
      </c:catAx>
      <c:valAx>
        <c:axId val="117816464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781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Procesamietno!$C$32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Procesamietno!$B$33:$B$39</c:f>
              <c:strCache>
                <c:ptCount val="7"/>
                <c:pt idx="0">
                  <c:v> Robo  (con violencia)</c:v>
                </c:pt>
                <c:pt idx="1">
                  <c:v>Hurto (sin violencia)</c:v>
                </c:pt>
                <c:pt idx="2">
                  <c:v>Amenazas</c:v>
                </c:pt>
                <c:pt idx="3">
                  <c:v>Extorsión</c:v>
                </c:pt>
                <c:pt idx="4">
                  <c:v>Estafa</c:v>
                </c:pt>
                <c:pt idx="5">
                  <c:v>Agresiones</c:v>
                </c:pt>
                <c:pt idx="6">
                  <c:v>Otros</c:v>
                </c:pt>
              </c:strCache>
            </c:strRef>
          </c:cat>
          <c:val>
            <c:numRef>
              <c:f>Procesamietno!$C$33:$C$39</c:f>
              <c:numCache>
                <c:formatCode>0.00%</c:formatCode>
                <c:ptCount val="7"/>
                <c:pt idx="0">
                  <c:v>0.41666666666666669</c:v>
                </c:pt>
                <c:pt idx="1">
                  <c:v>0.45833333333333331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0-47B9-9559-4C29B1F380C6}"/>
            </c:ext>
          </c:extLst>
        </c:ser>
        <c:ser>
          <c:idx val="1"/>
          <c:order val="1"/>
          <c:tx>
            <c:strRef>
              <c:f>Procesamietno!$D$32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Procesamietno!$B$33:$B$39</c:f>
              <c:strCache>
                <c:ptCount val="7"/>
                <c:pt idx="0">
                  <c:v> Robo  (con violencia)</c:v>
                </c:pt>
                <c:pt idx="1">
                  <c:v>Hurto (sin violencia)</c:v>
                </c:pt>
                <c:pt idx="2">
                  <c:v>Amenazas</c:v>
                </c:pt>
                <c:pt idx="3">
                  <c:v>Extorsión</c:v>
                </c:pt>
                <c:pt idx="4">
                  <c:v>Estafa</c:v>
                </c:pt>
                <c:pt idx="5">
                  <c:v>Agresiones</c:v>
                </c:pt>
                <c:pt idx="6">
                  <c:v>Otros</c:v>
                </c:pt>
              </c:strCache>
            </c:strRef>
          </c:cat>
          <c:val>
            <c:numRef>
              <c:f>Procesamietno!$D$33:$D$39</c:f>
              <c:numCache>
                <c:formatCode>0.00%</c:formatCode>
                <c:ptCount val="7"/>
                <c:pt idx="0">
                  <c:v>0.24489795918367346</c:v>
                </c:pt>
                <c:pt idx="1">
                  <c:v>0.42857142857142855</c:v>
                </c:pt>
                <c:pt idx="2">
                  <c:v>6.1224489795918366E-2</c:v>
                </c:pt>
                <c:pt idx="3">
                  <c:v>4.0816326530612242E-2</c:v>
                </c:pt>
                <c:pt idx="4">
                  <c:v>8.1632653061224483E-2</c:v>
                </c:pt>
                <c:pt idx="5">
                  <c:v>6.1224489795918366E-2</c:v>
                </c:pt>
                <c:pt idx="6">
                  <c:v>8.1600000000000006E-2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0-47B9-9559-4C29B1F380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82362048"/>
        <c:axId val="1182372032"/>
      </c:barChart>
      <c:catAx>
        <c:axId val="11823620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72032"/>
        <c:crosses val="autoZero"/>
        <c:auto val="1"/>
        <c:lblAlgn val="ctr"/>
        <c:lblOffset val="100"/>
        <c:noMultiLvlLbl val="0"/>
      </c:catAx>
      <c:valAx>
        <c:axId val="1182372032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8236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Procesamietno!$M$54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Procesamietno!$M$55:$M$70</c:f>
              <c:numCache>
                <c:formatCode>0.00%</c:formatCode>
                <c:ptCount val="16"/>
                <c:pt idx="0">
                  <c:v>0.68072289156626509</c:v>
                </c:pt>
                <c:pt idx="1">
                  <c:v>0.67469879518072284</c:v>
                </c:pt>
                <c:pt idx="2">
                  <c:v>0.65662650602409633</c:v>
                </c:pt>
                <c:pt idx="3">
                  <c:v>0.72891566265060237</c:v>
                </c:pt>
                <c:pt idx="4">
                  <c:v>0.62048192771084343</c:v>
                </c:pt>
                <c:pt idx="5">
                  <c:v>0.68674698795180722</c:v>
                </c:pt>
                <c:pt idx="6">
                  <c:v>0.54216867469879515</c:v>
                </c:pt>
                <c:pt idx="7">
                  <c:v>0.53614457831325302</c:v>
                </c:pt>
                <c:pt idx="8">
                  <c:v>0.46385542168674698</c:v>
                </c:pt>
                <c:pt idx="9">
                  <c:v>0.54819277108433739</c:v>
                </c:pt>
                <c:pt idx="10">
                  <c:v>0.42771084337349397</c:v>
                </c:pt>
                <c:pt idx="11">
                  <c:v>0.37349397590361444</c:v>
                </c:pt>
                <c:pt idx="12">
                  <c:v>0.40361445783132532</c:v>
                </c:pt>
                <c:pt idx="13">
                  <c:v>0.42168674698795183</c:v>
                </c:pt>
                <c:pt idx="14">
                  <c:v>0.37349397590361444</c:v>
                </c:pt>
                <c:pt idx="15">
                  <c:v>0.34337349397590361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1-4C7D-A71D-68B5C49C015A}"/>
            </c:ext>
          </c:extLst>
        </c:ser>
        <c:ser>
          <c:idx val="1"/>
          <c:order val="1"/>
          <c:tx>
            <c:strRef>
              <c:f>Procesamietno!$N$54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Procesamietno!$N$55:$N$70</c:f>
              <c:numCache>
                <c:formatCode>0.00%</c:formatCode>
                <c:ptCount val="16"/>
                <c:pt idx="0">
                  <c:v>0.31927710843373491</c:v>
                </c:pt>
                <c:pt idx="1">
                  <c:v>0.31927710843373491</c:v>
                </c:pt>
                <c:pt idx="2">
                  <c:v>0.33734939759036142</c:v>
                </c:pt>
                <c:pt idx="3">
                  <c:v>0.27108433734939757</c:v>
                </c:pt>
                <c:pt idx="4">
                  <c:v>0.36746987951807231</c:v>
                </c:pt>
                <c:pt idx="5">
                  <c:v>0.31325301204819278</c:v>
                </c:pt>
                <c:pt idx="6">
                  <c:v>0.45783132530120479</c:v>
                </c:pt>
                <c:pt idx="7">
                  <c:v>0.46385542168674698</c:v>
                </c:pt>
                <c:pt idx="8">
                  <c:v>0.53614457831325302</c:v>
                </c:pt>
                <c:pt idx="9">
                  <c:v>0.40963855421686746</c:v>
                </c:pt>
                <c:pt idx="10">
                  <c:v>0.57228915662650603</c:v>
                </c:pt>
                <c:pt idx="11">
                  <c:v>0.62650602409638556</c:v>
                </c:pt>
                <c:pt idx="12">
                  <c:v>0.59638554216867468</c:v>
                </c:pt>
                <c:pt idx="13">
                  <c:v>0.57831325301204817</c:v>
                </c:pt>
                <c:pt idx="14">
                  <c:v>0.62650602409638556</c:v>
                </c:pt>
                <c:pt idx="15">
                  <c:v>0.65662650602409633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1-4C7D-A71D-68B5C49C015A}"/>
            </c:ext>
          </c:extLst>
        </c:ser>
        <c:ser>
          <c:idx val="2"/>
          <c:order val="2"/>
          <c:tx>
            <c:strRef>
              <c:f>Procesamietno!$O$54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Procesamietno!$O$55:$O$70</c:f>
              <c:numCache>
                <c:formatCode>0.00%</c:formatCode>
                <c:ptCount val="16"/>
                <c:pt idx="0">
                  <c:v>0</c:v>
                </c:pt>
                <c:pt idx="1">
                  <c:v>6.024096385542169E-3</c:v>
                </c:pt>
                <c:pt idx="2">
                  <c:v>6.024096385542169E-3</c:v>
                </c:pt>
                <c:pt idx="3">
                  <c:v>0</c:v>
                </c:pt>
                <c:pt idx="4">
                  <c:v>1.2048192771084338E-2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4.2168674698795178E-2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1-4C7D-A71D-68B5C49C01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4503456"/>
        <c:axId val="1274491808"/>
      </c:barChart>
      <c:catAx>
        <c:axId val="1274503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274491808"/>
        <c:crosses val="autoZero"/>
        <c:auto val="1"/>
        <c:lblAlgn val="ctr"/>
        <c:lblOffset val="100"/>
        <c:noMultiLvlLbl val="0"/>
      </c:catAx>
      <c:valAx>
        <c:axId val="127449180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2745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Procesamietno!$P$54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Procesamietno!$P$55:$P$70</c:f>
              <c:numCache>
                <c:formatCode>0.00%</c:formatCode>
                <c:ptCount val="16"/>
                <c:pt idx="0">
                  <c:v>0.4336283185840708</c:v>
                </c:pt>
                <c:pt idx="1">
                  <c:v>0.38392857142857145</c:v>
                </c:pt>
                <c:pt idx="2">
                  <c:v>0.29357798165137616</c:v>
                </c:pt>
                <c:pt idx="3">
                  <c:v>0.17355371900826447</c:v>
                </c:pt>
                <c:pt idx="4">
                  <c:v>0.36893203883495146</c:v>
                </c:pt>
                <c:pt idx="5">
                  <c:v>0.35087719298245612</c:v>
                </c:pt>
                <c:pt idx="6">
                  <c:v>0.4777777777777778</c:v>
                </c:pt>
                <c:pt idx="7">
                  <c:v>0.47191011235955055</c:v>
                </c:pt>
                <c:pt idx="8">
                  <c:v>0.29870129870129869</c:v>
                </c:pt>
                <c:pt idx="9">
                  <c:v>0.25274725274725274</c:v>
                </c:pt>
                <c:pt idx="10">
                  <c:v>0.647887323943662</c:v>
                </c:pt>
                <c:pt idx="11">
                  <c:v>0.43548387096774194</c:v>
                </c:pt>
                <c:pt idx="12">
                  <c:v>0.4925373134328358</c:v>
                </c:pt>
                <c:pt idx="13">
                  <c:v>0.24285714285714285</c:v>
                </c:pt>
                <c:pt idx="14">
                  <c:v>0.38709677419354838</c:v>
                </c:pt>
                <c:pt idx="15">
                  <c:v>0.35087719298245612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7-4786-814F-F1AACCA5AAE6}"/>
            </c:ext>
          </c:extLst>
        </c:ser>
        <c:ser>
          <c:idx val="1"/>
          <c:order val="1"/>
          <c:tx>
            <c:strRef>
              <c:f>Procesamietno!$Q$54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Procesamietno!$Q$55:$Q$70</c:f>
              <c:numCache>
                <c:formatCode>0.00%</c:formatCode>
                <c:ptCount val="16"/>
                <c:pt idx="0">
                  <c:v>0.41592920353982299</c:v>
                </c:pt>
                <c:pt idx="1">
                  <c:v>0.3392857142857143</c:v>
                </c:pt>
                <c:pt idx="2">
                  <c:v>0.44954128440366975</c:v>
                </c:pt>
                <c:pt idx="3">
                  <c:v>0.43801652892561982</c:v>
                </c:pt>
                <c:pt idx="4">
                  <c:v>0.42718446601941745</c:v>
                </c:pt>
                <c:pt idx="5">
                  <c:v>0.33333333333333331</c:v>
                </c:pt>
                <c:pt idx="6">
                  <c:v>0.41111111111111109</c:v>
                </c:pt>
                <c:pt idx="7">
                  <c:v>0.24719101123595505</c:v>
                </c:pt>
                <c:pt idx="8">
                  <c:v>0.48051948051948051</c:v>
                </c:pt>
                <c:pt idx="9">
                  <c:v>0.49450549450549453</c:v>
                </c:pt>
                <c:pt idx="10">
                  <c:v>0.323943661971831</c:v>
                </c:pt>
                <c:pt idx="11">
                  <c:v>0.43548387096774194</c:v>
                </c:pt>
                <c:pt idx="12">
                  <c:v>0.44776119402985076</c:v>
                </c:pt>
                <c:pt idx="13">
                  <c:v>0.54285714285714282</c:v>
                </c:pt>
                <c:pt idx="14">
                  <c:v>0.532258064516129</c:v>
                </c:pt>
                <c:pt idx="15">
                  <c:v>0.38596491228070173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7-4786-814F-F1AACCA5AAE6}"/>
            </c:ext>
          </c:extLst>
        </c:ser>
        <c:ser>
          <c:idx val="2"/>
          <c:order val="2"/>
          <c:tx>
            <c:strRef>
              <c:f>Procesamietno!$R$54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Procesamietno!$K$55:$L$70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Habitantes en situación de calle</c:v>
                  </c:pt>
                  <c:pt idx="2">
                    <c:v>Personas que orinan en el parque</c:v>
                  </c:pt>
                  <c:pt idx="4">
                    <c:v>Desechos de animales</c:v>
                  </c:pt>
                  <c:pt idx="6">
                    <c:v>Basura y suciedad</c:v>
                  </c:pt>
                  <c:pt idx="8">
                    <c:v>Consumo de drogas</c:v>
                  </c:pt>
                  <c:pt idx="10">
                    <c:v>Peleas o riñas</c:v>
                  </c:pt>
                  <c:pt idx="12">
                    <c:v>Consumo de alcohol</c:v>
                  </c:pt>
                  <c:pt idx="14">
                    <c:v>Alguien puso música a un volumen excesivo o hizo mucho ruido y eso le molestó</c:v>
                  </c:pt>
                </c:lvl>
              </c:multiLvlStrCache>
            </c:multiLvlStrRef>
          </c:cat>
          <c:val>
            <c:numRef>
              <c:f>Procesamietno!$R$55:$R$70</c:f>
              <c:numCache>
                <c:formatCode>0.00%</c:formatCode>
                <c:ptCount val="16"/>
                <c:pt idx="0">
                  <c:v>0.15044247787610621</c:v>
                </c:pt>
                <c:pt idx="1">
                  <c:v>0.2767857142857143</c:v>
                </c:pt>
                <c:pt idx="2">
                  <c:v>0.25688073394495414</c:v>
                </c:pt>
                <c:pt idx="3">
                  <c:v>0.38842975206611569</c:v>
                </c:pt>
                <c:pt idx="4">
                  <c:v>0.20388349514563106</c:v>
                </c:pt>
                <c:pt idx="5">
                  <c:v>0.31578947368421051</c:v>
                </c:pt>
                <c:pt idx="6">
                  <c:v>0.1111111111111111</c:v>
                </c:pt>
                <c:pt idx="7">
                  <c:v>0.2808988764044944</c:v>
                </c:pt>
                <c:pt idx="8">
                  <c:v>0.22077922077922077</c:v>
                </c:pt>
                <c:pt idx="9">
                  <c:v>0.25274725274725274</c:v>
                </c:pt>
                <c:pt idx="10">
                  <c:v>2.8169014084507043E-2</c:v>
                </c:pt>
                <c:pt idx="11">
                  <c:v>0.12903225806451613</c:v>
                </c:pt>
                <c:pt idx="12">
                  <c:v>5.9701492537313432E-2</c:v>
                </c:pt>
                <c:pt idx="13">
                  <c:v>0.21428571428571427</c:v>
                </c:pt>
                <c:pt idx="14">
                  <c:v>8.0645161290322578E-2</c:v>
                </c:pt>
                <c:pt idx="15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7-4786-814F-F1AACCA5AA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4503456"/>
        <c:axId val="1274491808"/>
      </c:barChart>
      <c:catAx>
        <c:axId val="1274503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274491808"/>
        <c:crosses val="autoZero"/>
        <c:auto val="1"/>
        <c:lblAlgn val="ctr"/>
        <c:lblOffset val="100"/>
        <c:noMultiLvlLbl val="0"/>
      </c:catAx>
      <c:valAx>
        <c:axId val="127449180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2745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Procesamietno!$M$54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Procesamietno!$M$71:$M$86</c:f>
              <c:numCache>
                <c:formatCode>0.00%</c:formatCode>
                <c:ptCount val="16"/>
                <c:pt idx="0">
                  <c:v>0.35542168674698793</c:v>
                </c:pt>
                <c:pt idx="1">
                  <c:v>0.34337349397590361</c:v>
                </c:pt>
                <c:pt idx="2">
                  <c:v>0.31325301204819278</c:v>
                </c:pt>
                <c:pt idx="3">
                  <c:v>0.43373493975903615</c:v>
                </c:pt>
                <c:pt idx="4">
                  <c:v>0.30120481927710846</c:v>
                </c:pt>
                <c:pt idx="5">
                  <c:v>0.34337349397590361</c:v>
                </c:pt>
                <c:pt idx="6">
                  <c:v>0.2289156626506024</c:v>
                </c:pt>
                <c:pt idx="7">
                  <c:v>0.25903614457831325</c:v>
                </c:pt>
                <c:pt idx="8">
                  <c:v>0.19879518072289157</c:v>
                </c:pt>
                <c:pt idx="9">
                  <c:v>0.22289156626506024</c:v>
                </c:pt>
                <c:pt idx="10">
                  <c:v>0.13253012048192772</c:v>
                </c:pt>
                <c:pt idx="11">
                  <c:v>0.15662650602409639</c:v>
                </c:pt>
                <c:pt idx="12">
                  <c:v>0.10240963855421686</c:v>
                </c:pt>
                <c:pt idx="13">
                  <c:v>0.10240963855421686</c:v>
                </c:pt>
                <c:pt idx="14">
                  <c:v>1.2048192771084338E-2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4-45DB-8983-3BD1F315EE76}"/>
            </c:ext>
          </c:extLst>
        </c:ser>
        <c:ser>
          <c:idx val="1"/>
          <c:order val="1"/>
          <c:tx>
            <c:strRef>
              <c:f>Procesamietno!$N$54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Procesamietno!$N$71:$N$86</c:f>
              <c:numCache>
                <c:formatCode>0.00%</c:formatCode>
                <c:ptCount val="16"/>
                <c:pt idx="0">
                  <c:v>0.64457831325301207</c:v>
                </c:pt>
                <c:pt idx="1">
                  <c:v>0.65662650602409633</c:v>
                </c:pt>
                <c:pt idx="2">
                  <c:v>0.62650602409638556</c:v>
                </c:pt>
                <c:pt idx="3">
                  <c:v>0.49397590361445781</c:v>
                </c:pt>
                <c:pt idx="4">
                  <c:v>0.6987951807228916</c:v>
                </c:pt>
                <c:pt idx="5">
                  <c:v>0.6506024096385542</c:v>
                </c:pt>
                <c:pt idx="6">
                  <c:v>0.77108433734939763</c:v>
                </c:pt>
                <c:pt idx="7">
                  <c:v>0.73493975903614461</c:v>
                </c:pt>
                <c:pt idx="8">
                  <c:v>0.79518072289156627</c:v>
                </c:pt>
                <c:pt idx="9">
                  <c:v>0.74096385542168675</c:v>
                </c:pt>
                <c:pt idx="10">
                  <c:v>0.86746987951807231</c:v>
                </c:pt>
                <c:pt idx="11">
                  <c:v>0.83734939759036142</c:v>
                </c:pt>
                <c:pt idx="12">
                  <c:v>0.89759036144578308</c:v>
                </c:pt>
                <c:pt idx="13">
                  <c:v>0.89759036144578308</c:v>
                </c:pt>
                <c:pt idx="14">
                  <c:v>0.98795180722891562</c:v>
                </c:pt>
                <c:pt idx="15">
                  <c:v>0.96987951807228912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4-45DB-8983-3BD1F315EE76}"/>
            </c:ext>
          </c:extLst>
        </c:ser>
        <c:ser>
          <c:idx val="2"/>
          <c:order val="2"/>
          <c:tx>
            <c:strRef>
              <c:f>Procesamietno!$O$54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Procesamietno!$O$71:$O$86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6.0240963855421686E-2</c:v>
                </c:pt>
                <c:pt idx="3">
                  <c:v>7.2289156626506021E-2</c:v>
                </c:pt>
                <c:pt idx="4">
                  <c:v>0</c:v>
                </c:pt>
                <c:pt idx="5">
                  <c:v>6.024096385542169E-3</c:v>
                </c:pt>
                <c:pt idx="6">
                  <c:v>0</c:v>
                </c:pt>
                <c:pt idx="7">
                  <c:v>6.024096385542169E-3</c:v>
                </c:pt>
                <c:pt idx="8">
                  <c:v>6.024096385542169E-3</c:v>
                </c:pt>
                <c:pt idx="9">
                  <c:v>3.614457831325301E-2</c:v>
                </c:pt>
                <c:pt idx="10">
                  <c:v>0</c:v>
                </c:pt>
                <c:pt idx="11">
                  <c:v>6.024096385542169E-3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3.0120481927710843E-2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4-45DB-8983-3BD1F315EE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4503456"/>
        <c:axId val="1274491808"/>
      </c:barChart>
      <c:catAx>
        <c:axId val="1274503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274491808"/>
        <c:crosses val="autoZero"/>
        <c:auto val="1"/>
        <c:lblAlgn val="ctr"/>
        <c:lblOffset val="100"/>
        <c:noMultiLvlLbl val="0"/>
      </c:catAx>
      <c:valAx>
        <c:axId val="127449180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2745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Procesamietno!$P$54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Procesamietno!$P$71:$P$86</c:f>
              <c:numCache>
                <c:formatCode>0.00%</c:formatCode>
                <c:ptCount val="16"/>
                <c:pt idx="0">
                  <c:v>0.55932203389830504</c:v>
                </c:pt>
                <c:pt idx="1">
                  <c:v>0.50877192982456143</c:v>
                </c:pt>
                <c:pt idx="2">
                  <c:v>0.34615384615384615</c:v>
                </c:pt>
                <c:pt idx="3">
                  <c:v>0.43055555555555558</c:v>
                </c:pt>
                <c:pt idx="4">
                  <c:v>0.46</c:v>
                </c:pt>
                <c:pt idx="5">
                  <c:v>0.2982456140350877</c:v>
                </c:pt>
                <c:pt idx="6">
                  <c:v>0.68421052631578949</c:v>
                </c:pt>
                <c:pt idx="7">
                  <c:v>0.44186046511627908</c:v>
                </c:pt>
                <c:pt idx="8">
                  <c:v>0.33333333333333331</c:v>
                </c:pt>
                <c:pt idx="9">
                  <c:v>0.29729729729729731</c:v>
                </c:pt>
                <c:pt idx="10">
                  <c:v>0.90909090909090906</c:v>
                </c:pt>
                <c:pt idx="11">
                  <c:v>0.5</c:v>
                </c:pt>
                <c:pt idx="12">
                  <c:v>0.58823529411764708</c:v>
                </c:pt>
                <c:pt idx="13">
                  <c:v>0.47058823529411764</c:v>
                </c:pt>
                <c:pt idx="14">
                  <c:v>1</c:v>
                </c:pt>
                <c:pt idx="15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3-4426-8203-AA533219E6A6}"/>
            </c:ext>
          </c:extLst>
        </c:ser>
        <c:ser>
          <c:idx val="1"/>
          <c:order val="1"/>
          <c:tx>
            <c:strRef>
              <c:f>Procesamietno!$Q$54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Procesamietno!$Q$71:$Q$86</c:f>
              <c:numCache>
                <c:formatCode>0.00%</c:formatCode>
                <c:ptCount val="16"/>
                <c:pt idx="0">
                  <c:v>0.33898305084745761</c:v>
                </c:pt>
                <c:pt idx="1">
                  <c:v>0.2982456140350877</c:v>
                </c:pt>
                <c:pt idx="2">
                  <c:v>0.46153846153846156</c:v>
                </c:pt>
                <c:pt idx="3">
                  <c:v>0.33333333333333331</c:v>
                </c:pt>
                <c:pt idx="4">
                  <c:v>0.36</c:v>
                </c:pt>
                <c:pt idx="5">
                  <c:v>0.50877192982456143</c:v>
                </c:pt>
                <c:pt idx="6">
                  <c:v>0.26315789473684209</c:v>
                </c:pt>
                <c:pt idx="7">
                  <c:v>0.44186046511627908</c:v>
                </c:pt>
                <c:pt idx="8">
                  <c:v>0.36363636363636365</c:v>
                </c:pt>
                <c:pt idx="9">
                  <c:v>0.43243243243243246</c:v>
                </c:pt>
                <c:pt idx="10">
                  <c:v>9.0909090909090912E-2</c:v>
                </c:pt>
                <c:pt idx="11">
                  <c:v>0.34615384615384615</c:v>
                </c:pt>
                <c:pt idx="12">
                  <c:v>0.29411764705882354</c:v>
                </c:pt>
                <c:pt idx="13">
                  <c:v>0.23529411764705882</c:v>
                </c:pt>
                <c:pt idx="14" formatCode="0%">
                  <c:v>0</c:v>
                </c:pt>
                <c:pt idx="15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3-4426-8203-AA533219E6A6}"/>
            </c:ext>
          </c:extLst>
        </c:ser>
        <c:ser>
          <c:idx val="2"/>
          <c:order val="2"/>
          <c:tx>
            <c:strRef>
              <c:f>Procesamietno!$R$54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Procesamietno!$K$71:$L$86</c:f>
              <c:multiLvlStrCache>
                <c:ptCount val="16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</c:lvl>
                <c:lvl>
                  <c:pt idx="0">
                    <c:v>Fauna Urbana</c:v>
                  </c:pt>
                  <c:pt idx="2">
                    <c:v>Áreas sin iluminación</c:v>
                  </c:pt>
                  <c:pt idx="4">
                    <c:v>Aglomeración de personas</c:v>
                  </c:pt>
                  <c:pt idx="6">
                    <c:v>Daño a la propiedad pública y privada</c:v>
                  </c:pt>
                  <c:pt idx="8">
                    <c:v> Venta de drogas</c:v>
                  </c:pt>
                  <c:pt idx="10">
                    <c:v>Grafitis no artísticos que le molestaron</c:v>
                  </c:pt>
                  <c:pt idx="12">
                    <c:v>Venta de alcohol</c:v>
                  </c:pt>
                  <c:pt idx="14">
                    <c:v>Trabajo sexual</c:v>
                  </c:pt>
                </c:lvl>
              </c:multiLvlStrCache>
            </c:multiLvlStrRef>
          </c:cat>
          <c:val>
            <c:numRef>
              <c:f>Procesamietno!$R$71:$R$86</c:f>
              <c:numCache>
                <c:formatCode>0.00%</c:formatCode>
                <c:ptCount val="16"/>
                <c:pt idx="0">
                  <c:v>0.10169491525423729</c:v>
                </c:pt>
                <c:pt idx="1">
                  <c:v>0.19298245614035087</c:v>
                </c:pt>
                <c:pt idx="2">
                  <c:v>0.19230769230769232</c:v>
                </c:pt>
                <c:pt idx="3">
                  <c:v>0.2361111111111111</c:v>
                </c:pt>
                <c:pt idx="4">
                  <c:v>0.18</c:v>
                </c:pt>
                <c:pt idx="5">
                  <c:v>0.19298245614035087</c:v>
                </c:pt>
                <c:pt idx="6">
                  <c:v>5.2631578947368418E-2</c:v>
                </c:pt>
                <c:pt idx="7">
                  <c:v>0.11627906976744186</c:v>
                </c:pt>
                <c:pt idx="8">
                  <c:v>0.30303030303030304</c:v>
                </c:pt>
                <c:pt idx="9">
                  <c:v>0.27027027027027029</c:v>
                </c:pt>
                <c:pt idx="10" formatCode="0%">
                  <c:v>0</c:v>
                </c:pt>
                <c:pt idx="11">
                  <c:v>0.15384615384615385</c:v>
                </c:pt>
                <c:pt idx="12">
                  <c:v>0.11764705882352941</c:v>
                </c:pt>
                <c:pt idx="13">
                  <c:v>0.29411764705882354</c:v>
                </c:pt>
                <c:pt idx="14" formatCode="0%">
                  <c:v>0</c:v>
                </c:pt>
                <c:pt idx="15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3-4426-8203-AA533219E6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4503456"/>
        <c:axId val="1274491808"/>
      </c:barChart>
      <c:catAx>
        <c:axId val="1274503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274491808"/>
        <c:crosses val="autoZero"/>
        <c:auto val="1"/>
        <c:lblAlgn val="ctr"/>
        <c:lblOffset val="100"/>
        <c:noMultiLvlLbl val="0"/>
      </c:catAx>
      <c:valAx>
        <c:axId val="127449180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2745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Procesamietno!$C$94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Procesamietno!$B$95:$B$96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Procesamietno!$C$95:$C$96</c:f>
              <c:numCache>
                <c:formatCode>0.00%</c:formatCode>
                <c:ptCount val="2"/>
                <c:pt idx="0">
                  <c:v>0.94578313253012047</c:v>
                </c:pt>
                <c:pt idx="1">
                  <c:v>5.4216867469879519E-2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2-4003-A04E-A0D6A31DCD04}"/>
            </c:ext>
          </c:extLst>
        </c:ser>
        <c:ser>
          <c:idx val="1"/>
          <c:order val="1"/>
          <c:tx>
            <c:strRef>
              <c:f>Procesamietno!$D$94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Procesamietno!$B$95:$B$96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Procesamietno!$D$95:$D$96</c:f>
              <c:numCache>
                <c:formatCode>0.00%</c:formatCode>
                <c:ptCount val="2"/>
                <c:pt idx="0">
                  <c:v>0.96987951807228912</c:v>
                </c:pt>
                <c:pt idx="1">
                  <c:v>3.0120481927710843E-2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2-4003-A04E-A0D6A31DCD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404406064"/>
        <c:axId val="1404406480"/>
      </c:barChart>
      <c:catAx>
        <c:axId val="140440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06480"/>
        <c:crosses val="autoZero"/>
        <c:auto val="1"/>
        <c:lblAlgn val="ctr"/>
        <c:lblOffset val="100"/>
        <c:noMultiLvlLbl val="0"/>
      </c:catAx>
      <c:valAx>
        <c:axId val="14044064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044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Procesamietno!$C$98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Procesamietno!$B$99:$B$101</c:f>
              <c:strCache>
                <c:ptCount val="3"/>
                <c:pt idx="0">
                  <c:v>Poco frecuente</c:v>
                </c:pt>
                <c:pt idx="1">
                  <c:v>Frecuente</c:v>
                </c:pt>
                <c:pt idx="2">
                  <c:v>Muy frecuente</c:v>
                </c:pt>
              </c:strCache>
            </c:strRef>
          </c:cat>
          <c:val>
            <c:numRef>
              <c:f>Procesamietno!$C$99:$C$101</c:f>
              <c:numCache>
                <c:formatCode>0.00%</c:formatCode>
                <c:ptCount val="3"/>
                <c:pt idx="0">
                  <c:v>3.8216560509554139E-2</c:v>
                </c:pt>
                <c:pt idx="1">
                  <c:v>0.25477707006369427</c:v>
                </c:pt>
                <c:pt idx="2">
                  <c:v>0.70700636942675155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8-41A3-8EDA-3B10769B23FD}"/>
            </c:ext>
          </c:extLst>
        </c:ser>
        <c:ser>
          <c:idx val="1"/>
          <c:order val="1"/>
          <c:tx>
            <c:strRef>
              <c:f>Procesamietno!$D$98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Procesamietno!$B$99:$B$101</c:f>
              <c:strCache>
                <c:ptCount val="3"/>
                <c:pt idx="0">
                  <c:v>Poco frecuente</c:v>
                </c:pt>
                <c:pt idx="1">
                  <c:v>Frecuente</c:v>
                </c:pt>
                <c:pt idx="2">
                  <c:v>Muy frecuente</c:v>
                </c:pt>
              </c:strCache>
            </c:strRef>
          </c:cat>
          <c:val>
            <c:numRef>
              <c:f>Procesamietno!$D$99:$D$101</c:f>
              <c:numCache>
                <c:formatCode>0.00%</c:formatCode>
                <c:ptCount val="3"/>
                <c:pt idx="0">
                  <c:v>5.5900621118012424E-2</c:v>
                </c:pt>
                <c:pt idx="1">
                  <c:v>0.25465838509316768</c:v>
                </c:pt>
                <c:pt idx="2">
                  <c:v>0.68944099378881984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8-41A3-8EDA-3B10769B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1404410640"/>
        <c:axId val="1404399408"/>
      </c:barChart>
      <c:catAx>
        <c:axId val="14044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399408"/>
        <c:crosses val="autoZero"/>
        <c:auto val="1"/>
        <c:lblAlgn val="ctr"/>
        <c:lblOffset val="100"/>
        <c:noMultiLvlLbl val="0"/>
      </c:catAx>
      <c:valAx>
        <c:axId val="140439940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044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Procesamietno!$C$103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Procesamietno!$B$104:$B$105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Procesamietno!$C$104:$C$105</c:f>
              <c:numCache>
                <c:formatCode>0.00%</c:formatCode>
                <c:ptCount val="2"/>
                <c:pt idx="0">
                  <c:v>0.30573248407643311</c:v>
                </c:pt>
                <c:pt idx="1">
                  <c:v>0.69426751592356684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488-ABF1-CD7A9364D396}"/>
            </c:ext>
          </c:extLst>
        </c:ser>
        <c:ser>
          <c:idx val="1"/>
          <c:order val="1"/>
          <c:tx>
            <c:strRef>
              <c:f>Procesamietno!$D$103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Procesamietno!$B$104:$B$105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Procesamietno!$D$104:$D$105</c:f>
              <c:numCache>
                <c:formatCode>0.00%</c:formatCode>
                <c:ptCount val="2"/>
                <c:pt idx="0">
                  <c:v>0.62732919254658381</c:v>
                </c:pt>
                <c:pt idx="1">
                  <c:v>0.37267080745341613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E-4488-ABF1-CD7A9364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1404411888"/>
        <c:axId val="1404412720"/>
      </c:barChart>
      <c:catAx>
        <c:axId val="14044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12720"/>
        <c:crosses val="autoZero"/>
        <c:auto val="1"/>
        <c:lblAlgn val="ctr"/>
        <c:lblOffset val="100"/>
        <c:noMultiLvlLbl val="0"/>
      </c:catAx>
      <c:valAx>
        <c:axId val="14044127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044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Procesamietno!$P$109:$P$110</c:f>
              <c:strCache>
                <c:ptCount val="2"/>
                <c:pt idx="1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Procesamietno!$P$111:$P$130</c:f>
              <c:numCache>
                <c:formatCode>0.00%</c:formatCode>
                <c:ptCount val="20"/>
                <c:pt idx="0">
                  <c:v>0.9337349397590361</c:v>
                </c:pt>
                <c:pt idx="1">
                  <c:v>0.88554216867469882</c:v>
                </c:pt>
                <c:pt idx="2">
                  <c:v>0.86746987951807231</c:v>
                </c:pt>
                <c:pt idx="3">
                  <c:v>0.86144578313253017</c:v>
                </c:pt>
                <c:pt idx="4">
                  <c:v>0.66867469879518071</c:v>
                </c:pt>
                <c:pt idx="5">
                  <c:v>0.85542168674698793</c:v>
                </c:pt>
                <c:pt idx="6">
                  <c:v>0.59036144578313254</c:v>
                </c:pt>
                <c:pt idx="7">
                  <c:v>0.90361445783132532</c:v>
                </c:pt>
                <c:pt idx="8">
                  <c:v>0.46385542168674698</c:v>
                </c:pt>
                <c:pt idx="9">
                  <c:v>0.75301204819277112</c:v>
                </c:pt>
                <c:pt idx="10">
                  <c:v>0.41566265060240964</c:v>
                </c:pt>
                <c:pt idx="11">
                  <c:v>0.29518072289156627</c:v>
                </c:pt>
                <c:pt idx="12">
                  <c:v>0.31325301204819278</c:v>
                </c:pt>
                <c:pt idx="13">
                  <c:v>0.37349397590361444</c:v>
                </c:pt>
                <c:pt idx="14">
                  <c:v>0.30120481927710846</c:v>
                </c:pt>
                <c:pt idx="15">
                  <c:v>0.5</c:v>
                </c:pt>
                <c:pt idx="16">
                  <c:v>0.10843373493975904</c:v>
                </c:pt>
                <c:pt idx="17">
                  <c:v>0.21686746987951808</c:v>
                </c:pt>
                <c:pt idx="18">
                  <c:v>4.8192771084337352E-2</c:v>
                </c:pt>
                <c:pt idx="19">
                  <c:v>0.12650602409638553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5-43EE-B31B-EE26169532C8}"/>
            </c:ext>
          </c:extLst>
        </c:ser>
        <c:ser>
          <c:idx val="1"/>
          <c:order val="1"/>
          <c:tx>
            <c:strRef>
              <c:f>Procesamietno!$Q$109:$Q$110</c:f>
              <c:strCache>
                <c:ptCount val="2"/>
                <c:pt idx="1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Procesamietno!$Q$111:$Q$130</c:f>
              <c:numCache>
                <c:formatCode>0.00%</c:formatCode>
                <c:ptCount val="20"/>
                <c:pt idx="0">
                  <c:v>6.6265060240963861E-2</c:v>
                </c:pt>
                <c:pt idx="1">
                  <c:v>0.1144578313253012</c:v>
                </c:pt>
                <c:pt idx="2">
                  <c:v>0.13253012048192772</c:v>
                </c:pt>
                <c:pt idx="3">
                  <c:v>0.13855421686746988</c:v>
                </c:pt>
                <c:pt idx="4">
                  <c:v>0.33132530120481929</c:v>
                </c:pt>
                <c:pt idx="5">
                  <c:v>0.14457831325301204</c:v>
                </c:pt>
                <c:pt idx="6">
                  <c:v>0.40963855421686746</c:v>
                </c:pt>
                <c:pt idx="7">
                  <c:v>9.6385542168674704E-2</c:v>
                </c:pt>
                <c:pt idx="8">
                  <c:v>0.53614457831325302</c:v>
                </c:pt>
                <c:pt idx="9">
                  <c:v>0.24698795180722891</c:v>
                </c:pt>
                <c:pt idx="10">
                  <c:v>0.58433734939759041</c:v>
                </c:pt>
                <c:pt idx="11">
                  <c:v>0.70481927710843373</c:v>
                </c:pt>
                <c:pt idx="12">
                  <c:v>0.68674698795180722</c:v>
                </c:pt>
                <c:pt idx="13">
                  <c:v>0.62650602409638556</c:v>
                </c:pt>
                <c:pt idx="14">
                  <c:v>0.6987951807228916</c:v>
                </c:pt>
                <c:pt idx="15">
                  <c:v>0.5</c:v>
                </c:pt>
                <c:pt idx="16">
                  <c:v>0.89156626506024095</c:v>
                </c:pt>
                <c:pt idx="17">
                  <c:v>0.7831325301204819</c:v>
                </c:pt>
                <c:pt idx="18">
                  <c:v>0.95180722891566261</c:v>
                </c:pt>
                <c:pt idx="19">
                  <c:v>0.87349397590361444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5-43EE-B31B-EE2616953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82360800"/>
        <c:axId val="1182349984"/>
      </c:barChart>
      <c:catAx>
        <c:axId val="118236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49984"/>
        <c:crosses val="autoZero"/>
        <c:auto val="1"/>
        <c:lblAlgn val="ctr"/>
        <c:lblOffset val="100"/>
        <c:noMultiLvlLbl val="0"/>
      </c:catAx>
      <c:valAx>
        <c:axId val="11823499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823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Procesamietno!$R$109:$R$110</c:f>
              <c:strCache>
                <c:ptCount val="2"/>
                <c:pt idx="1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Procesamietno!$R$111:$R$130</c:f>
              <c:numCache>
                <c:formatCode>0.00%</c:formatCode>
                <c:ptCount val="20"/>
                <c:pt idx="0">
                  <c:v>0.76774193548387093</c:v>
                </c:pt>
                <c:pt idx="1">
                  <c:v>0.67346938775510201</c:v>
                </c:pt>
                <c:pt idx="2">
                  <c:v>0.43055555555555558</c:v>
                </c:pt>
                <c:pt idx="3">
                  <c:v>0.4825174825174825</c:v>
                </c:pt>
                <c:pt idx="4">
                  <c:v>0.53153153153153154</c:v>
                </c:pt>
                <c:pt idx="5">
                  <c:v>0.37323943661971831</c:v>
                </c:pt>
                <c:pt idx="6">
                  <c:v>0.2857142857142857</c:v>
                </c:pt>
                <c:pt idx="7">
                  <c:v>0.26</c:v>
                </c:pt>
                <c:pt idx="8">
                  <c:v>0.2857142857142857</c:v>
                </c:pt>
                <c:pt idx="9">
                  <c:v>0.32800000000000001</c:v>
                </c:pt>
                <c:pt idx="10">
                  <c:v>0.40579710144927539</c:v>
                </c:pt>
                <c:pt idx="11">
                  <c:v>0.24489795918367346</c:v>
                </c:pt>
                <c:pt idx="12">
                  <c:v>0.38461538461538464</c:v>
                </c:pt>
                <c:pt idx="13">
                  <c:v>0.22580645161290322</c:v>
                </c:pt>
                <c:pt idx="14">
                  <c:v>0.36</c:v>
                </c:pt>
                <c:pt idx="15">
                  <c:v>0.2289156626506024</c:v>
                </c:pt>
                <c:pt idx="16">
                  <c:v>0.33333333333333331</c:v>
                </c:pt>
                <c:pt idx="17">
                  <c:v>0.44444444444444442</c:v>
                </c:pt>
                <c:pt idx="18">
                  <c:v>0.125</c:v>
                </c:pt>
                <c:pt idx="19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5-4EA6-A6EF-DE6EB4E95FF0}"/>
            </c:ext>
          </c:extLst>
        </c:ser>
        <c:ser>
          <c:idx val="1"/>
          <c:order val="1"/>
          <c:tx>
            <c:strRef>
              <c:f>Procesamietno!$S$109:$S$110</c:f>
              <c:strCache>
                <c:ptCount val="2"/>
                <c:pt idx="1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Procesamietno!$S$111:$S$130</c:f>
              <c:numCache>
                <c:formatCode>0.00%</c:formatCode>
                <c:ptCount val="20"/>
                <c:pt idx="0">
                  <c:v>0.23225806451612904</c:v>
                </c:pt>
                <c:pt idx="1">
                  <c:v>0.32653061224489793</c:v>
                </c:pt>
                <c:pt idx="2">
                  <c:v>0.56944444444444442</c:v>
                </c:pt>
                <c:pt idx="3">
                  <c:v>0.5174825174825175</c:v>
                </c:pt>
                <c:pt idx="4">
                  <c:v>0.46846846846846846</c:v>
                </c:pt>
                <c:pt idx="5">
                  <c:v>0.62676056338028174</c:v>
                </c:pt>
                <c:pt idx="6">
                  <c:v>0.7142857142857143</c:v>
                </c:pt>
                <c:pt idx="7">
                  <c:v>0.74</c:v>
                </c:pt>
                <c:pt idx="8">
                  <c:v>0.7142857142857143</c:v>
                </c:pt>
                <c:pt idx="9">
                  <c:v>0.67200000000000004</c:v>
                </c:pt>
                <c:pt idx="10">
                  <c:v>0.59420289855072461</c:v>
                </c:pt>
                <c:pt idx="11">
                  <c:v>0.75510204081632648</c:v>
                </c:pt>
                <c:pt idx="12">
                  <c:v>0.61538461538461542</c:v>
                </c:pt>
                <c:pt idx="13">
                  <c:v>0.77419354838709675</c:v>
                </c:pt>
                <c:pt idx="14">
                  <c:v>0.64</c:v>
                </c:pt>
                <c:pt idx="15">
                  <c:v>0.77108433734939763</c:v>
                </c:pt>
                <c:pt idx="16">
                  <c:v>0.66666666666666663</c:v>
                </c:pt>
                <c:pt idx="17">
                  <c:v>0.55555555555555558</c:v>
                </c:pt>
                <c:pt idx="18">
                  <c:v>0.875</c:v>
                </c:pt>
                <c:pt idx="19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5-4EA6-A6EF-DE6EB4E95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82360800"/>
        <c:axId val="1182349984"/>
      </c:barChart>
      <c:catAx>
        <c:axId val="118236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49984"/>
        <c:crosses val="autoZero"/>
        <c:auto val="1"/>
        <c:lblAlgn val="ctr"/>
        <c:lblOffset val="100"/>
        <c:noMultiLvlLbl val="0"/>
      </c:catAx>
      <c:valAx>
        <c:axId val="11823499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823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Procesamietno!$T$109:$T$110</c:f>
              <c:strCache>
                <c:ptCount val="2"/>
                <c:pt idx="1">
                  <c:v>Muy bueno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Procesamietno!$T$111:$T$130</c:f>
              <c:numCache>
                <c:formatCode>0.00%</c:formatCode>
                <c:ptCount val="20"/>
                <c:pt idx="0">
                  <c:v>0.55462184873949583</c:v>
                </c:pt>
                <c:pt idx="1">
                  <c:v>0.21212121212121213</c:v>
                </c:pt>
                <c:pt idx="2">
                  <c:v>0.38709677419354838</c:v>
                </c:pt>
                <c:pt idx="3">
                  <c:v>0.11594202898550725</c:v>
                </c:pt>
                <c:pt idx="4">
                  <c:v>0.22033898305084745</c:v>
                </c:pt>
                <c:pt idx="5">
                  <c:v>0.11320754716981132</c:v>
                </c:pt>
                <c:pt idx="6">
                  <c:v>0.25</c:v>
                </c:pt>
                <c:pt idx="7">
                  <c:v>7.6923076923076927E-2</c:v>
                </c:pt>
                <c:pt idx="8">
                  <c:v>0.45454545454545453</c:v>
                </c:pt>
                <c:pt idx="9">
                  <c:v>0.14634146341463414</c:v>
                </c:pt>
                <c:pt idx="10">
                  <c:v>0.35714285714285715</c:v>
                </c:pt>
                <c:pt idx="11">
                  <c:v>8.3333333333333329E-2</c:v>
                </c:pt>
                <c:pt idx="12">
                  <c:v>0.10526315789473684</c:v>
                </c:pt>
                <c:pt idx="13">
                  <c:v>0</c:v>
                </c:pt>
                <c:pt idx="14">
                  <c:v>0.3888888888888889</c:v>
                </c:pt>
                <c:pt idx="15">
                  <c:v>0.21052631578947367</c:v>
                </c:pt>
                <c:pt idx="16">
                  <c:v>0.16666666666666666</c:v>
                </c:pt>
                <c:pt idx="17">
                  <c:v>6.25E-2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B-4D78-B075-3BA552B515E2}"/>
            </c:ext>
          </c:extLst>
        </c:ser>
        <c:ser>
          <c:idx val="1"/>
          <c:order val="1"/>
          <c:tx>
            <c:strRef>
              <c:f>Procesamietno!$U$109:$U$110</c:f>
              <c:strCache>
                <c:ptCount val="2"/>
                <c:pt idx="1">
                  <c:v>Bueno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Procesamietno!$U$111:$U$130</c:f>
              <c:numCache>
                <c:formatCode>0.00%</c:formatCode>
                <c:ptCount val="20"/>
                <c:pt idx="0">
                  <c:v>0.44537815126050423</c:v>
                </c:pt>
                <c:pt idx="1">
                  <c:v>0.73737373737373735</c:v>
                </c:pt>
                <c:pt idx="2">
                  <c:v>0.58064516129032262</c:v>
                </c:pt>
                <c:pt idx="3">
                  <c:v>0.82608695652173914</c:v>
                </c:pt>
                <c:pt idx="4">
                  <c:v>0.76271186440677963</c:v>
                </c:pt>
                <c:pt idx="5">
                  <c:v>0.84905660377358494</c:v>
                </c:pt>
                <c:pt idx="6">
                  <c:v>0.7142857142857143</c:v>
                </c:pt>
                <c:pt idx="7">
                  <c:v>0.53846153846153844</c:v>
                </c:pt>
                <c:pt idx="8">
                  <c:v>0.54545454545454541</c:v>
                </c:pt>
                <c:pt idx="9">
                  <c:v>0.85365853658536583</c:v>
                </c:pt>
                <c:pt idx="10">
                  <c:v>0.6428571428571429</c:v>
                </c:pt>
                <c:pt idx="11">
                  <c:v>0.83333333333333337</c:v>
                </c:pt>
                <c:pt idx="12">
                  <c:v>0.89473684210526316</c:v>
                </c:pt>
                <c:pt idx="13">
                  <c:v>0.5714285714285714</c:v>
                </c:pt>
                <c:pt idx="14">
                  <c:v>0.61111111111111116</c:v>
                </c:pt>
                <c:pt idx="15">
                  <c:v>0.78947368421052633</c:v>
                </c:pt>
                <c:pt idx="16">
                  <c:v>0.83333333333333337</c:v>
                </c:pt>
                <c:pt idx="17">
                  <c:v>0.875</c:v>
                </c:pt>
                <c:pt idx="18">
                  <c:v>1</c:v>
                </c:pt>
                <c:pt idx="19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B-4D78-B075-3BA552B515E2}"/>
            </c:ext>
          </c:extLst>
        </c:ser>
        <c:ser>
          <c:idx val="2"/>
          <c:order val="2"/>
          <c:tx>
            <c:strRef>
              <c:f>Procesamietno!$V$109:$V$110</c:f>
              <c:strCache>
                <c:ptCount val="2"/>
                <c:pt idx="1">
                  <c:v>Malo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Procesamietno!$V$111:$V$130</c:f>
              <c:numCache>
                <c:formatCode>0.00%</c:formatCode>
                <c:ptCount val="20"/>
                <c:pt idx="0">
                  <c:v>0</c:v>
                </c:pt>
                <c:pt idx="1">
                  <c:v>3.0303030303030304E-2</c:v>
                </c:pt>
                <c:pt idx="2">
                  <c:v>3.2258064516129031E-2</c:v>
                </c:pt>
                <c:pt idx="3">
                  <c:v>5.7971014492753624E-2</c:v>
                </c:pt>
                <c:pt idx="4">
                  <c:v>1.6949152542372881E-2</c:v>
                </c:pt>
                <c:pt idx="5">
                  <c:v>3.7735849056603772E-2</c:v>
                </c:pt>
                <c:pt idx="6">
                  <c:v>3.5714285714285712E-2</c:v>
                </c:pt>
                <c:pt idx="7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8.3333333333333329E-2</c:v>
                </c:pt>
                <c:pt idx="12">
                  <c:v>0</c:v>
                </c:pt>
                <c:pt idx="13">
                  <c:v>0.14285714285714285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B-4D78-B075-3BA552B515E2}"/>
            </c:ext>
          </c:extLst>
        </c:ser>
        <c:ser>
          <c:idx val="3"/>
          <c:order val="3"/>
          <c:tx>
            <c:strRef>
              <c:f>Procesamietno!$W$109:$W$110</c:f>
              <c:strCache>
                <c:ptCount val="2"/>
                <c:pt idx="1">
                  <c:v>Muy malo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Procesamietno!$W$111:$W$130</c:f>
              <c:numCache>
                <c:formatCode>0.00%</c:formatCode>
                <c:ptCount val="20"/>
                <c:pt idx="0">
                  <c:v>0</c:v>
                </c:pt>
                <c:pt idx="1">
                  <c:v>2.0202020202020204E-2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5.128205128205128E-2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0.2857142857142857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6.25E-2</c:v>
                </c:pt>
                <c:pt idx="18">
                  <c:v>0</c:v>
                </c:pt>
                <c:pt idx="19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3B-4D78-B075-3BA552B515E2}"/>
            </c:ext>
          </c:extLst>
        </c:ser>
        <c:ser>
          <c:idx val="4"/>
          <c:order val="4"/>
          <c:tx>
            <c:strRef>
              <c:f>Procesamietno!$X$109:$X$110</c:f>
              <c:strCache>
                <c:ptCount val="2"/>
                <c:pt idx="1">
                  <c:v>Ns/Nc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Procesamietno!$N$111:$O$130</c:f>
              <c:multiLvlStrCache>
                <c:ptCount val="20"/>
                <c:lvl>
                  <c:pt idx="0">
                    <c:v>Año 2025</c:v>
                  </c:pt>
                  <c:pt idx="1">
                    <c:v>Año 2026</c:v>
                  </c:pt>
                  <c:pt idx="2">
                    <c:v>Año 2025</c:v>
                  </c:pt>
                  <c:pt idx="3">
                    <c:v>Año 2026</c:v>
                  </c:pt>
                  <c:pt idx="4">
                    <c:v>Año 2025</c:v>
                  </c:pt>
                  <c:pt idx="5">
                    <c:v>Año 2026</c:v>
                  </c:pt>
                  <c:pt idx="6">
                    <c:v>Año 2025</c:v>
                  </c:pt>
                  <c:pt idx="7">
                    <c:v>Año 2026</c:v>
                  </c:pt>
                  <c:pt idx="8">
                    <c:v>Año 2025</c:v>
                  </c:pt>
                  <c:pt idx="9">
                    <c:v>Año 2026</c:v>
                  </c:pt>
                  <c:pt idx="10">
                    <c:v>Año 2025</c:v>
                  </c:pt>
                  <c:pt idx="11">
                    <c:v>Año 2026</c:v>
                  </c:pt>
                  <c:pt idx="12">
                    <c:v>Año 2025</c:v>
                  </c:pt>
                  <c:pt idx="13">
                    <c:v>Año 2026</c:v>
                  </c:pt>
                  <c:pt idx="14">
                    <c:v>Año 2025</c:v>
                  </c:pt>
                  <c:pt idx="15">
                    <c:v>Año 2026</c:v>
                  </c:pt>
                  <c:pt idx="16">
                    <c:v>Año 2025</c:v>
                  </c:pt>
                  <c:pt idx="17">
                    <c:v>Año 2026</c:v>
                  </c:pt>
                  <c:pt idx="18">
                    <c:v>Año 2025</c:v>
                  </c:pt>
                  <c:pt idx="19">
                    <c:v>Año 2026</c:v>
                  </c:pt>
                </c:lvl>
                <c:lvl>
                  <c:pt idx="0">
                    <c:v>Empresa Metropolitana de Aseo (EMASEO)</c:v>
                  </c:pt>
                  <c:pt idx="2">
                    <c:v>Policía Nacional (PN)</c:v>
                  </c:pt>
                  <c:pt idx="4">
                    <c:v>Cuerpo de Agentes de Control Metropolitano de Quito (CACMQ)</c:v>
                  </c:pt>
                  <c:pt idx="6">
                    <c:v>Agencia Metropolitana de Control (AMC)</c:v>
                  </c:pt>
                  <c:pt idx="8">
                    <c:v>Fuerzas Armadas del Ecuador (FFAA)</c:v>
                  </c:pt>
                  <c:pt idx="10">
                    <c:v>Agencia Metropolitana de Tránsito (AMT)</c:v>
                  </c:pt>
                  <c:pt idx="12">
                    <c:v>Agencia Metropolitana de Control de Comercio (AMCC)</c:v>
                  </c:pt>
                  <c:pt idx="14">
                    <c:v>Cuerpo de Bombero de Quito (CBQ)</c:v>
                  </c:pt>
                  <c:pt idx="16">
                    <c:v>Patronato San José (UPMSJ)</c:v>
                  </c:pt>
                  <c:pt idx="18">
                    <c:v>Secretaría General de Seguridad Ciudadana y Gestión de Riesgos (SGSCGR)</c:v>
                  </c:pt>
                </c:lvl>
              </c:multiLvlStrCache>
            </c:multiLvlStrRef>
          </c:cat>
          <c:val>
            <c:numRef>
              <c:f>Procesamietno!$X$111:$X$130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3B-4D78-B075-3BA552B51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82360800"/>
        <c:axId val="1182349984"/>
      </c:barChart>
      <c:catAx>
        <c:axId val="118236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49984"/>
        <c:crosses val="autoZero"/>
        <c:auto val="1"/>
        <c:lblAlgn val="ctr"/>
        <c:lblOffset val="100"/>
        <c:noMultiLvlLbl val="0"/>
      </c:catAx>
      <c:valAx>
        <c:axId val="11823499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823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81C784"/>
            </a:solidFill>
          </c:spPr>
          <c:dPt>
            <c:idx val="0"/>
            <c:bubble3D val="0"/>
            <c:spPr>
              <a:solidFill>
                <a:srgbClr val="81C7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E-44CE-B564-52B38594347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E-44CE-B564-52B385943470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E-44CE-B564-52B385943470}"/>
              </c:ext>
            </c:extLst>
          </c:dPt>
          <c:dLbls>
            <c:dLbl>
              <c:idx val="0"/>
              <c:layout>
                <c:manualLayout>
                  <c:x val="0.1346197261340055"/>
                  <c:y val="0.239594899133093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DE-44CE-B564-52B385943470}"/>
                </c:ext>
              </c:extLst>
            </c:dLbl>
            <c:dLbl>
              <c:idx val="1"/>
              <c:layout>
                <c:manualLayout>
                  <c:x val="-0.1619499941718654"/>
                  <c:y val="-0.222187424337284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E-44CE-B564-52B385943470}"/>
                </c:ext>
              </c:extLst>
            </c:dLbl>
            <c:dLbl>
              <c:idx val="2"/>
              <c:layout>
                <c:manualLayout>
                  <c:x val="0"/>
                  <c:y val="-0.1095890410958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E-44CE-B564-52B3859434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Procesamietno!$B$135:$B$137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Ns/Nc</c:v>
                </c:pt>
              </c:strCache>
            </c:strRef>
          </c:cat>
          <c:val>
            <c:numRef>
              <c:f>Procesamietno!$C$135:$C$137</c:f>
              <c:numCache>
                <c:formatCode>0.00%</c:formatCode>
                <c:ptCount val="3"/>
                <c:pt idx="0">
                  <c:v>0.58433734939759041</c:v>
                </c:pt>
                <c:pt idx="1">
                  <c:v>0.40361445783132532</c:v>
                </c:pt>
                <c:pt idx="2">
                  <c:v>1.2048192771084338E-2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DE-44CE-B564-52B3859434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Procesamietno!$B$140:$B$144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Malo</c:v>
                </c:pt>
                <c:pt idx="3">
                  <c:v>Muy malo</c:v>
                </c:pt>
                <c:pt idx="4">
                  <c:v>Ns/Nc</c:v>
                </c:pt>
              </c:strCache>
            </c:strRef>
          </c:cat>
          <c:val>
            <c:numRef>
              <c:f>Procesamietno!$C$140:$C$144</c:f>
              <c:numCache>
                <c:formatCode>0.00%</c:formatCode>
                <c:ptCount val="5"/>
                <c:pt idx="0">
                  <c:v>0.17525773195876287</c:v>
                </c:pt>
                <c:pt idx="1">
                  <c:v>0.58762886597938147</c:v>
                </c:pt>
                <c:pt idx="2">
                  <c:v>0.15463917525773196</c:v>
                </c:pt>
                <c:pt idx="3">
                  <c:v>7.2164948453608241E-2</c:v>
                </c:pt>
                <c:pt idx="4">
                  <c:v>1.0309278350515464E-2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6-4447-AB92-322AA57A66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404400656"/>
        <c:axId val="1404404400"/>
      </c:barChart>
      <c:catAx>
        <c:axId val="140440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04400"/>
        <c:crosses val="autoZero"/>
        <c:auto val="1"/>
        <c:lblAlgn val="ctr"/>
        <c:lblOffset val="100"/>
        <c:noMultiLvlLbl val="0"/>
      </c:catAx>
      <c:valAx>
        <c:axId val="140440440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0440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81C784"/>
            </a:solidFill>
          </c:spPr>
          <c:dPt>
            <c:idx val="0"/>
            <c:bubble3D val="0"/>
            <c:spPr>
              <a:solidFill>
                <a:srgbClr val="81C7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8A-4F6F-B606-E65EE85EE47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8A-4F6F-B606-E65EE85EE478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8A-4F6F-B606-E65EE85EE478}"/>
              </c:ext>
            </c:extLst>
          </c:dPt>
          <c:dLbls>
            <c:dLbl>
              <c:idx val="0"/>
              <c:layout>
                <c:manualLayout>
                  <c:x val="0.1346197261340055"/>
                  <c:y val="0.239594899133093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8A-4F6F-B606-E65EE85EE478}"/>
                </c:ext>
              </c:extLst>
            </c:dLbl>
            <c:dLbl>
              <c:idx val="1"/>
              <c:layout>
                <c:manualLayout>
                  <c:x val="-0.1619499941718654"/>
                  <c:y val="-0.222187424337284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8A-4F6F-B606-E65EE85EE478}"/>
                </c:ext>
              </c:extLst>
            </c:dLbl>
            <c:dLbl>
              <c:idx val="2"/>
              <c:layout>
                <c:manualLayout>
                  <c:x val="0"/>
                  <c:y val="-0.1095890410958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8A-4F6F-B606-E65EE85EE4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Procesamietno!$B$147:$B$149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Ns/Nc</c:v>
                </c:pt>
              </c:strCache>
            </c:strRef>
          </c:cat>
          <c:val>
            <c:numRef>
              <c:f>Procesamietno!$C$147:$C$149</c:f>
              <c:numCache>
                <c:formatCode>0.00%</c:formatCode>
                <c:ptCount val="3"/>
                <c:pt idx="0">
                  <c:v>0.67010309278350511</c:v>
                </c:pt>
                <c:pt idx="1">
                  <c:v>0.31958762886597936</c:v>
                </c:pt>
                <c:pt idx="2">
                  <c:v>1.0309278350515464E-2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8A-4F6F-B606-E65EE85EE4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81C784"/>
            </a:solidFill>
          </c:spPr>
          <c:dPt>
            <c:idx val="0"/>
            <c:bubble3D val="0"/>
            <c:spPr>
              <a:solidFill>
                <a:srgbClr val="81C7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6-4AAB-8B2E-4D7BA6A7430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6-4AAB-8B2E-4D7BA6A74301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6-4AAB-8B2E-4D7BA6A74301}"/>
              </c:ext>
            </c:extLst>
          </c:dPt>
          <c:dLbls>
            <c:dLbl>
              <c:idx val="0"/>
              <c:layout>
                <c:manualLayout>
                  <c:x val="0.1346197261340055"/>
                  <c:y val="0.239594899133093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6-4AAB-8B2E-4D7BA6A74301}"/>
                </c:ext>
              </c:extLst>
            </c:dLbl>
            <c:dLbl>
              <c:idx val="1"/>
              <c:layout>
                <c:manualLayout>
                  <c:x val="-0.1619499941718654"/>
                  <c:y val="-0.222187424337284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16-4AAB-8B2E-4D7BA6A74301}"/>
                </c:ext>
              </c:extLst>
            </c:dLbl>
            <c:dLbl>
              <c:idx val="2"/>
              <c:layout>
                <c:manualLayout>
                  <c:x val="0"/>
                  <c:y val="-0.1095890410958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16-4AAB-8B2E-4D7BA6A74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Procesamietno!$B$174:$B$176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Ns/Nc</c:v>
                </c:pt>
              </c:strCache>
            </c:strRef>
          </c:cat>
          <c:val>
            <c:numRef>
              <c:f>Procesamietno!$C$174:$C$176</c:f>
              <c:numCache>
                <c:formatCode>0.00%</c:formatCode>
                <c:ptCount val="3"/>
                <c:pt idx="0">
                  <c:v>0.28865979381443296</c:v>
                </c:pt>
                <c:pt idx="1">
                  <c:v>0.69072164948453607</c:v>
                </c:pt>
                <c:pt idx="2">
                  <c:v>2.0618556701030927E-2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6-4AAB-8B2E-4D7BA6A743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81C784"/>
            </a:solidFill>
          </c:spPr>
          <c:dPt>
            <c:idx val="0"/>
            <c:bubble3D val="0"/>
            <c:spPr>
              <a:solidFill>
                <a:srgbClr val="81C7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50-404F-A491-D0860D1BD2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50-404F-A491-D0860D1BD2A0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50-404F-A491-D0860D1BD2A0}"/>
              </c:ext>
            </c:extLst>
          </c:dPt>
          <c:dLbls>
            <c:dLbl>
              <c:idx val="0"/>
              <c:layout>
                <c:manualLayout>
                  <c:x val="0.1346197261340055"/>
                  <c:y val="0.239594899133093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0-404F-A491-D0860D1BD2A0}"/>
                </c:ext>
              </c:extLst>
            </c:dLbl>
            <c:dLbl>
              <c:idx val="1"/>
              <c:layout>
                <c:manualLayout>
                  <c:x val="-0.1619499941718654"/>
                  <c:y val="-0.2221874243372841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50-404F-A491-D0860D1BD2A0}"/>
                </c:ext>
              </c:extLst>
            </c:dLbl>
            <c:dLbl>
              <c:idx val="2"/>
              <c:layout>
                <c:manualLayout>
                  <c:x val="0"/>
                  <c:y val="-0.10958904109589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50-404F-A491-D0860D1BD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Procesamietno!$B$199:$B$201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Ns/Nc</c:v>
                </c:pt>
              </c:strCache>
            </c:strRef>
          </c:cat>
          <c:val>
            <c:numRef>
              <c:f>Procesamietno!$C$199:$C$201</c:f>
              <c:numCache>
                <c:formatCode>0.00%</c:formatCode>
                <c:ptCount val="3"/>
                <c:pt idx="0">
                  <c:v>0.67010309278350511</c:v>
                </c:pt>
                <c:pt idx="1">
                  <c:v>0.30927835051546393</c:v>
                </c:pt>
                <c:pt idx="2">
                  <c:v>2.0618556701030927E-2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50-404F-A491-D0860D1BD2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Procesamietno!$E$178:$E$182</c:f>
              <c:strCache>
                <c:ptCount val="5"/>
                <c:pt idx="0">
                  <c:v>Capacitación y organización comunitaria</c:v>
                </c:pt>
                <c:pt idx="1">
                  <c:v>Apoyo y recuperación comercial</c:v>
                </c:pt>
                <c:pt idx="2">
                  <c:v>Información y comunicación</c:v>
                </c:pt>
                <c:pt idx="3">
                  <c:v>Regularización y gestión institucional</c:v>
                </c:pt>
                <c:pt idx="4">
                  <c:v>Seguridad y control</c:v>
                </c:pt>
              </c:strCache>
            </c:strRef>
          </c:cat>
          <c:val>
            <c:numRef>
              <c:f>Procesamietno!$G$178:$G$182</c:f>
              <c:numCache>
                <c:formatCode>0.00%</c:formatCode>
                <c:ptCount val="5"/>
                <c:pt idx="0">
                  <c:v>0.5357142857142857</c:v>
                </c:pt>
                <c:pt idx="1">
                  <c:v>0.21428571428571427</c:v>
                </c:pt>
                <c:pt idx="2">
                  <c:v>0.14285714285714285</c:v>
                </c:pt>
                <c:pt idx="3">
                  <c:v>7.1428571428571425E-2</c:v>
                </c:pt>
                <c:pt idx="4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C-446B-86D0-28D7609FA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4429776"/>
        <c:axId val="1404430608"/>
      </c:barChart>
      <c:catAx>
        <c:axId val="1404429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30608"/>
        <c:crosses val="autoZero"/>
        <c:auto val="1"/>
        <c:lblAlgn val="ctr"/>
        <c:lblOffset val="100"/>
        <c:noMultiLvlLbl val="0"/>
      </c:catAx>
      <c:valAx>
        <c:axId val="1404430608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4044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Procesamietno!$B$163:$B$169</c:f>
              <c:strCache>
                <c:ptCount val="7"/>
                <c:pt idx="0">
                  <c:v>Mayor control y vigilancia</c:v>
                </c:pt>
                <c:pt idx="1">
                  <c:v>Mayor seguridad y reducción de delincuencia</c:v>
                </c:pt>
                <c:pt idx="2">
                  <c:v>Control del comercio informal y orden</c:v>
                </c:pt>
                <c:pt idx="3">
                  <c:v>Otros aspectos positivos</c:v>
                </c:pt>
                <c:pt idx="4">
                  <c:v>Ayuda limitada o temporal</c:v>
                </c:pt>
                <c:pt idx="5">
                  <c:v>Cumplimiento de funciones institucionales</c:v>
                </c:pt>
                <c:pt idx="6">
                  <c:v>Prevención de problemáticas</c:v>
                </c:pt>
              </c:strCache>
            </c:strRef>
          </c:cat>
          <c:val>
            <c:numRef>
              <c:f>Procesamietno!$C$163:$C$169</c:f>
              <c:numCache>
                <c:formatCode>0.00%</c:formatCode>
                <c:ptCount val="7"/>
                <c:pt idx="0">
                  <c:v>0.32307692307692309</c:v>
                </c:pt>
                <c:pt idx="1">
                  <c:v>0.30769230769230771</c:v>
                </c:pt>
                <c:pt idx="2">
                  <c:v>0.18461538461538463</c:v>
                </c:pt>
                <c:pt idx="3">
                  <c:v>0.1076923076923077</c:v>
                </c:pt>
                <c:pt idx="4">
                  <c:v>3.0769230769230771E-2</c:v>
                </c:pt>
                <c:pt idx="5">
                  <c:v>3.0769230769230771E-2</c:v>
                </c:pt>
                <c:pt idx="6">
                  <c:v>1.5384615384615385E-2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F-414D-9362-0720765C70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4407312"/>
        <c:axId val="1404417296"/>
      </c:barChart>
      <c:catAx>
        <c:axId val="1404407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17296"/>
        <c:crosses val="autoZero"/>
        <c:auto val="1"/>
        <c:lblAlgn val="ctr"/>
        <c:lblOffset val="100"/>
        <c:noMultiLvlLbl val="0"/>
      </c:catAx>
      <c:valAx>
        <c:axId val="140441729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40440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Procesamietno!$E$163:$E$170</c:f>
              <c:strCache>
                <c:ptCount val="8"/>
                <c:pt idx="0">
                  <c:v>Controles temporales o poco constantes</c:v>
                </c:pt>
                <c:pt idx="1">
                  <c:v>Otros aspectos negativos</c:v>
                </c:pt>
                <c:pt idx="2">
                  <c:v>Percepción de ineficacia</c:v>
                </c:pt>
                <c:pt idx="3">
                  <c:v>Persistencia del comercio informal y desorden</c:v>
                </c:pt>
                <c:pt idx="4">
                  <c:v>Afectación a comerciantes formales</c:v>
                </c:pt>
                <c:pt idx="5">
                  <c:v>Consecuencias sociales o económicas</c:v>
                </c:pt>
                <c:pt idx="6">
                  <c:v>Evasión de controles</c:v>
                </c:pt>
                <c:pt idx="7">
                  <c:v>Falta de personal o recursos</c:v>
                </c:pt>
              </c:strCache>
            </c:strRef>
          </c:cat>
          <c:val>
            <c:numRef>
              <c:f>Procesamietno!$F$163:$F$170</c:f>
              <c:numCache>
                <c:formatCode>0.00%</c:formatCode>
                <c:ptCount val="8"/>
                <c:pt idx="0">
                  <c:v>0.41935483870967744</c:v>
                </c:pt>
                <c:pt idx="1">
                  <c:v>0.19354838709677419</c:v>
                </c:pt>
                <c:pt idx="2">
                  <c:v>0.19354838709677419</c:v>
                </c:pt>
                <c:pt idx="3">
                  <c:v>6.4516129032258063E-2</c:v>
                </c:pt>
                <c:pt idx="4">
                  <c:v>3.2258064516129031E-2</c:v>
                </c:pt>
                <c:pt idx="5">
                  <c:v>3.2258064516129031E-2</c:v>
                </c:pt>
                <c:pt idx="6">
                  <c:v>3.2258064516129031E-2</c:v>
                </c:pt>
                <c:pt idx="7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5-43C6-AB37-A9208CF23C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82357056"/>
        <c:axId val="1182362464"/>
      </c:barChart>
      <c:catAx>
        <c:axId val="11823570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182362464"/>
        <c:crosses val="autoZero"/>
        <c:auto val="1"/>
        <c:lblAlgn val="ctr"/>
        <c:lblOffset val="100"/>
        <c:noMultiLvlLbl val="0"/>
      </c:catAx>
      <c:valAx>
        <c:axId val="1182362464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823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Procesamietno!$B$213:$B$219</c:f>
              <c:strCache>
                <c:ptCount val="7"/>
                <c:pt idx="0">
                  <c:v>Otros motivos de confianza</c:v>
                </c:pt>
                <c:pt idx="1">
                  <c:v>Confianza por seguridad y protección</c:v>
                </c:pt>
                <c:pt idx="2">
                  <c:v>Apoyo y ayuda institucional</c:v>
                </c:pt>
                <c:pt idx="3">
                  <c:v>Capacidad de control y vigilancia</c:v>
                </c:pt>
                <c:pt idx="4">
                  <c:v>Confianza institucional y personal</c:v>
                </c:pt>
                <c:pt idx="5">
                  <c:v>Percepción positiva del personal</c:v>
                </c:pt>
                <c:pt idx="6">
                  <c:v>Respeto a la autoridad</c:v>
                </c:pt>
              </c:strCache>
            </c:strRef>
          </c:cat>
          <c:val>
            <c:numRef>
              <c:f>Procesamietno!$C$213:$C$219</c:f>
              <c:numCache>
                <c:formatCode>0.00%</c:formatCode>
                <c:ptCount val="7"/>
                <c:pt idx="0">
                  <c:v>0.35384615384615387</c:v>
                </c:pt>
                <c:pt idx="1">
                  <c:v>0.32307692307692309</c:v>
                </c:pt>
                <c:pt idx="2">
                  <c:v>0.13846153846153847</c:v>
                </c:pt>
                <c:pt idx="3">
                  <c:v>7.6923076923076927E-2</c:v>
                </c:pt>
                <c:pt idx="4">
                  <c:v>4.6153846153846156E-2</c:v>
                </c:pt>
                <c:pt idx="5">
                  <c:v>3.0769230769230771E-2</c:v>
                </c:pt>
                <c:pt idx="6">
                  <c:v>3.0769230769230771E-2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3-44FD-926E-A6D70662AC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04423536"/>
        <c:axId val="1404425616"/>
      </c:barChart>
      <c:catAx>
        <c:axId val="1404423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404425616"/>
        <c:crosses val="autoZero"/>
        <c:auto val="1"/>
        <c:lblAlgn val="ctr"/>
        <c:lblOffset val="100"/>
        <c:noMultiLvlLbl val="0"/>
      </c:catAx>
      <c:valAx>
        <c:axId val="140442561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40442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Procesamietno!$F$214:$F$221</c:f>
              <c:strCache>
                <c:ptCount val="8"/>
                <c:pt idx="0">
                  <c:v>Otros motivos de desconfianza</c:v>
                </c:pt>
                <c:pt idx="1">
                  <c:v>Percepción de ineficacia institucional</c:v>
                </c:pt>
                <c:pt idx="2">
                  <c:v>Percepción de corrupción</c:v>
                </c:pt>
                <c:pt idx="3">
                  <c:v>Desconfianza y temor</c:v>
                </c:pt>
                <c:pt idx="4">
                  <c:v>Falta de continuidad en controles</c:v>
                </c:pt>
                <c:pt idx="5">
                  <c:v>Falta de apoyo a la ciudadanía</c:v>
                </c:pt>
                <c:pt idx="6">
                  <c:v>Falta de profesionalismo o compromiso</c:v>
                </c:pt>
                <c:pt idx="7">
                  <c:v>Persistencia del comercio informal</c:v>
                </c:pt>
              </c:strCache>
            </c:strRef>
          </c:cat>
          <c:val>
            <c:numRef>
              <c:f>Procesamietno!$G$214:$G$221</c:f>
              <c:numCache>
                <c:formatCode>0.00%</c:formatCode>
                <c:ptCount val="8"/>
                <c:pt idx="0">
                  <c:v>0.26666666666666666</c:v>
                </c:pt>
                <c:pt idx="1">
                  <c:v>0.26666666666666666</c:v>
                </c:pt>
                <c:pt idx="2">
                  <c:v>0.2</c:v>
                </c:pt>
                <c:pt idx="3">
                  <c:v>0.1</c:v>
                </c:pt>
                <c:pt idx="4">
                  <c:v>6.6666666666666666E-2</c:v>
                </c:pt>
                <c:pt idx="5">
                  <c:v>3.3333333333333333E-2</c:v>
                </c:pt>
                <c:pt idx="6">
                  <c:v>3.3333333333333333E-2</c:v>
                </c:pt>
                <c:pt idx="7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3-41B3-9D4C-DDAA91E09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98805040"/>
        <c:axId val="1398799216"/>
      </c:barChart>
      <c:catAx>
        <c:axId val="13988050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398799216"/>
        <c:crosses val="autoZero"/>
        <c:auto val="1"/>
        <c:lblAlgn val="ctr"/>
        <c:lblOffset val="100"/>
        <c:noMultiLvlLbl val="0"/>
      </c:catAx>
      <c:valAx>
        <c:axId val="139879921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3988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26" Type="http://schemas.openxmlformats.org/officeDocument/2006/relationships/chart" Target="../charts/chart27.xml"/><Relationship Id="rId3" Type="http://schemas.openxmlformats.org/officeDocument/2006/relationships/chart" Target="../charts/chart4.xml"/><Relationship Id="rId21" Type="http://schemas.openxmlformats.org/officeDocument/2006/relationships/chart" Target="../charts/chart22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5" Type="http://schemas.openxmlformats.org/officeDocument/2006/relationships/chart" Target="../charts/chart26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0" Type="http://schemas.openxmlformats.org/officeDocument/2006/relationships/chart" Target="../charts/chart21.xml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7</xdr:row>
      <xdr:rowOff>0</xdr:rowOff>
    </xdr:from>
    <xdr:to>
      <xdr:col>12</xdr:col>
      <xdr:colOff>347662</xdr:colOff>
      <xdr:row>21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452437</xdr:colOff>
      <xdr:row>22</xdr:row>
      <xdr:rowOff>85725</xdr:rowOff>
    </xdr:from>
    <xdr:to>
      <xdr:col>11</xdr:col>
      <xdr:colOff>452437</xdr:colOff>
      <xdr:row>36</xdr:row>
      <xdr:rowOff>161925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179294</xdr:colOff>
      <xdr:row>0</xdr:row>
      <xdr:rowOff>0</xdr:rowOff>
    </xdr:from>
    <xdr:to>
      <xdr:col>13</xdr:col>
      <xdr:colOff>1528770</xdr:colOff>
      <xdr:row>9</xdr:row>
      <xdr:rowOff>911662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3147" y="0"/>
          <a:ext cx="5188146" cy="3578662"/>
        </a:xfrm>
        <a:prstGeom prst="rect">
          <a:avLst/>
        </a:prstGeom>
      </xdr:spPr>
    </xdr:pic>
    <xdr:clientData/>
  </xdr:twoCellAnchor>
  <xdr:twoCellAnchor>
    <xdr:from>
      <xdr:col>4</xdr:col>
      <xdr:colOff>571499</xdr:colOff>
      <xdr:row>0</xdr:row>
      <xdr:rowOff>89648</xdr:rowOff>
    </xdr:from>
    <xdr:to>
      <xdr:col>9</xdr:col>
      <xdr:colOff>280147</xdr:colOff>
      <xdr:row>6</xdr:row>
      <xdr:rowOff>56029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593912</xdr:colOff>
      <xdr:row>8</xdr:row>
      <xdr:rowOff>145677</xdr:rowOff>
    </xdr:from>
    <xdr:to>
      <xdr:col>9</xdr:col>
      <xdr:colOff>280147</xdr:colOff>
      <xdr:row>14</xdr:row>
      <xdr:rowOff>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666750</xdr:colOff>
      <xdr:row>10</xdr:row>
      <xdr:rowOff>108857</xdr:rowOff>
    </xdr:from>
    <xdr:to>
      <xdr:col>15</xdr:col>
      <xdr:colOff>612322</xdr:colOff>
      <xdr:row>31</xdr:row>
      <xdr:rowOff>13607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224118</xdr:colOff>
      <xdr:row>26</xdr:row>
      <xdr:rowOff>56030</xdr:rowOff>
    </xdr:from>
    <xdr:to>
      <xdr:col>7</xdr:col>
      <xdr:colOff>414617</xdr:colOff>
      <xdr:row>31</xdr:row>
      <xdr:rowOff>78442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465045</xdr:colOff>
      <xdr:row>32</xdr:row>
      <xdr:rowOff>40342</xdr:rowOff>
    </xdr:from>
    <xdr:to>
      <xdr:col>9</xdr:col>
      <xdr:colOff>593912</xdr:colOff>
      <xdr:row>51</xdr:row>
      <xdr:rowOff>67236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367393</xdr:colOff>
      <xdr:row>52</xdr:row>
      <xdr:rowOff>179614</xdr:rowOff>
    </xdr:from>
    <xdr:to>
      <xdr:col>26</xdr:col>
      <xdr:colOff>666750</xdr:colOff>
      <xdr:row>85</xdr:row>
      <xdr:rowOff>54429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258536</xdr:colOff>
      <xdr:row>53</xdr:row>
      <xdr:rowOff>13607</xdr:rowOff>
    </xdr:from>
    <xdr:to>
      <xdr:col>35</xdr:col>
      <xdr:colOff>557893</xdr:colOff>
      <xdr:row>85</xdr:row>
      <xdr:rowOff>78922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479653</xdr:colOff>
      <xdr:row>85</xdr:row>
      <xdr:rowOff>190500</xdr:rowOff>
    </xdr:from>
    <xdr:to>
      <xdr:col>26</xdr:col>
      <xdr:colOff>476251</xdr:colOff>
      <xdr:row>105</xdr:row>
      <xdr:rowOff>119062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299357</xdr:colOff>
      <xdr:row>87</xdr:row>
      <xdr:rowOff>95250</xdr:rowOff>
    </xdr:from>
    <xdr:to>
      <xdr:col>37</xdr:col>
      <xdr:colOff>95250</xdr:colOff>
      <xdr:row>106</xdr:row>
      <xdr:rowOff>23812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367393</xdr:colOff>
      <xdr:row>91</xdr:row>
      <xdr:rowOff>152400</xdr:rowOff>
    </xdr:from>
    <xdr:to>
      <xdr:col>8</xdr:col>
      <xdr:colOff>789214</xdr:colOff>
      <xdr:row>105</xdr:row>
      <xdr:rowOff>136072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149679</xdr:colOff>
      <xdr:row>91</xdr:row>
      <xdr:rowOff>125186</xdr:rowOff>
    </xdr:from>
    <xdr:to>
      <xdr:col>13</xdr:col>
      <xdr:colOff>108858</xdr:colOff>
      <xdr:row>106</xdr:row>
      <xdr:rowOff>40822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530679</xdr:colOff>
      <xdr:row>91</xdr:row>
      <xdr:rowOff>57150</xdr:rowOff>
    </xdr:from>
    <xdr:to>
      <xdr:col>18</xdr:col>
      <xdr:colOff>176892</xdr:colOff>
      <xdr:row>106</xdr:row>
      <xdr:rowOff>13608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181841</xdr:colOff>
      <xdr:row>131</xdr:row>
      <xdr:rowOff>152401</xdr:rowOff>
    </xdr:from>
    <xdr:to>
      <xdr:col>16</xdr:col>
      <xdr:colOff>138546</xdr:colOff>
      <xdr:row>173</xdr:row>
      <xdr:rowOff>190500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294410</xdr:colOff>
      <xdr:row>132</xdr:row>
      <xdr:rowOff>17318</xdr:rowOff>
    </xdr:from>
    <xdr:to>
      <xdr:col>22</xdr:col>
      <xdr:colOff>649433</xdr:colOff>
      <xdr:row>174</xdr:row>
      <xdr:rowOff>20781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132</xdr:row>
      <xdr:rowOff>0</xdr:rowOff>
    </xdr:from>
    <xdr:to>
      <xdr:col>30</xdr:col>
      <xdr:colOff>597478</xdr:colOff>
      <xdr:row>174</xdr:row>
      <xdr:rowOff>3463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390525</xdr:colOff>
      <xdr:row>126</xdr:row>
      <xdr:rowOff>19050</xdr:rowOff>
    </xdr:from>
    <xdr:to>
      <xdr:col>7</xdr:col>
      <xdr:colOff>714375</xdr:colOff>
      <xdr:row>134</xdr:row>
      <xdr:rowOff>161925</xdr:rowOff>
    </xdr:to>
    <xdr:graphicFrame macro="">
      <xdr:nvGraphicFramePr>
        <xdr:cNvPr id="24" name="Gráfico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342900</xdr:colOff>
      <xdr:row>132</xdr:row>
      <xdr:rowOff>180975</xdr:rowOff>
    </xdr:from>
    <xdr:to>
      <xdr:col>11</xdr:col>
      <xdr:colOff>95250</xdr:colOff>
      <xdr:row>145</xdr:row>
      <xdr:rowOff>28575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1152524</xdr:colOff>
      <xdr:row>142</xdr:row>
      <xdr:rowOff>180975</xdr:rowOff>
    </xdr:from>
    <xdr:to>
      <xdr:col>5</xdr:col>
      <xdr:colOff>1142999</xdr:colOff>
      <xdr:row>148</xdr:row>
      <xdr:rowOff>28575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647700</xdr:colOff>
      <xdr:row>174</xdr:row>
      <xdr:rowOff>104775</xdr:rowOff>
    </xdr:from>
    <xdr:to>
      <xdr:col>12</xdr:col>
      <xdr:colOff>171450</xdr:colOff>
      <xdr:row>183</xdr:row>
      <xdr:rowOff>133350</xdr:rowOff>
    </xdr:to>
    <xdr:graphicFrame macro="">
      <xdr:nvGraphicFramePr>
        <xdr:cNvPr id="27" name="Grá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161924</xdr:colOff>
      <xdr:row>197</xdr:row>
      <xdr:rowOff>28575</xdr:rowOff>
    </xdr:from>
    <xdr:to>
      <xdr:col>4</xdr:col>
      <xdr:colOff>1352549</xdr:colOff>
      <xdr:row>204</xdr:row>
      <xdr:rowOff>152400</xdr:rowOff>
    </xdr:to>
    <xdr:graphicFrame macro="">
      <xdr:nvGraphicFramePr>
        <xdr:cNvPr id="28" name="Gráfico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402770</xdr:colOff>
      <xdr:row>174</xdr:row>
      <xdr:rowOff>57149</xdr:rowOff>
    </xdr:from>
    <xdr:to>
      <xdr:col>17</xdr:col>
      <xdr:colOff>831394</xdr:colOff>
      <xdr:row>192</xdr:row>
      <xdr:rowOff>39460</xdr:rowOff>
    </xdr:to>
    <xdr:graphicFrame macro="">
      <xdr:nvGraphicFramePr>
        <xdr:cNvPr id="29" name="Gráfico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276225</xdr:colOff>
      <xdr:row>148</xdr:row>
      <xdr:rowOff>228599</xdr:rowOff>
    </xdr:from>
    <xdr:to>
      <xdr:col>3</xdr:col>
      <xdr:colOff>962025</xdr:colOff>
      <xdr:row>159</xdr:row>
      <xdr:rowOff>209550</xdr:rowOff>
    </xdr:to>
    <xdr:graphicFrame macro="">
      <xdr:nvGraphicFramePr>
        <xdr:cNvPr id="30" name="Gráfico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1624011</xdr:colOff>
      <xdr:row>148</xdr:row>
      <xdr:rowOff>66675</xdr:rowOff>
    </xdr:from>
    <xdr:to>
      <xdr:col>6</xdr:col>
      <xdr:colOff>1000124</xdr:colOff>
      <xdr:row>160</xdr:row>
      <xdr:rowOff>95250</xdr:rowOff>
    </xdr:to>
    <xdr:graphicFrame macro="">
      <xdr:nvGraphicFramePr>
        <xdr:cNvPr id="32" name="Gráfico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</xdr:col>
      <xdr:colOff>242887</xdr:colOff>
      <xdr:row>208</xdr:row>
      <xdr:rowOff>114300</xdr:rowOff>
    </xdr:from>
    <xdr:to>
      <xdr:col>4</xdr:col>
      <xdr:colOff>2033587</xdr:colOff>
      <xdr:row>223</xdr:row>
      <xdr:rowOff>0</xdr:rowOff>
    </xdr:to>
    <xdr:graphicFrame macro="">
      <xdr:nvGraphicFramePr>
        <xdr:cNvPr id="33" name="Gráfico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</xdr:col>
      <xdr:colOff>42862</xdr:colOff>
      <xdr:row>198</xdr:row>
      <xdr:rowOff>142875</xdr:rowOff>
    </xdr:from>
    <xdr:to>
      <xdr:col>10</xdr:col>
      <xdr:colOff>919162</xdr:colOff>
      <xdr:row>212</xdr:row>
      <xdr:rowOff>66675</xdr:rowOff>
    </xdr:to>
    <xdr:graphicFrame macro="">
      <xdr:nvGraphicFramePr>
        <xdr:cNvPr id="34" name="Gráfico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is Fernando Coronado Espin" refreshedDate="46149.675258333336" createdVersion="6" refreshedVersion="6" minRefreshableVersion="3" recordCount="166">
  <cacheSource type="worksheet">
    <worksheetSource ref="A1:GD167" sheet="EVPI Carolina CAR (2026)"/>
  </cacheSource>
  <cacheFields count="186">
    <cacheField name="start" numFmtId="164">
      <sharedItems containsSemiMixedTypes="0" containsNonDate="0" containsDate="1" containsString="0" minDate="2026-04-20T10:15:18" maxDate="2026-04-23T10:58:15"/>
    </cacheField>
    <cacheField name="end" numFmtId="164">
      <sharedItems containsSemiMixedTypes="0" containsNonDate="0" containsDate="1" containsString="0" minDate="2026-04-20T10:23:06" maxDate="2026-04-23T11:01:02"/>
    </cacheField>
    <cacheField name="Digitador" numFmtId="0">
      <sharedItems/>
    </cacheField>
    <cacheField name="Cuestionario No." numFmtId="0">
      <sharedItems containsSemiMixedTypes="0" containsString="0" containsNumber="1" containsInteger="1" minValue="1" maxValue="166"/>
    </cacheField>
    <cacheField name="Validador" numFmtId="0">
      <sharedItems containsSemiMixedTypes="0" containsString="0" containsNumber="1" containsInteger="1" minValue="1" maxValue="166"/>
    </cacheField>
    <cacheField name="Val" numFmtId="0">
      <sharedItems/>
    </cacheField>
    <cacheField name="Fecha:" numFmtId="164">
      <sharedItems containsSemiMixedTypes="0" containsNonDate="0" containsDate="1" containsString="0" minDate="2026-04-16T00:00:00" maxDate="2026-04-20T00:00:00"/>
    </cacheField>
    <cacheField name="Grupo:" numFmtId="0">
      <sharedItems containsSemiMixedTypes="0" containsString="0" containsNumber="1" containsInteger="1" minValue="1" maxValue="3"/>
    </cacheField>
    <cacheField name="Encuestador:" numFmtId="0">
      <sharedItems/>
    </cacheField>
    <cacheField name="Supervisor:" numFmtId="0">
      <sharedItems/>
    </cacheField>
    <cacheField name="Latitud" numFmtId="0">
      <sharedItems containsMixedTypes="1" containsNumber="1" minValue="-0.17918999999999999" maxValue="-0.17918999999999999" count="153">
        <s v="-0,18577"/>
        <s v="-0,18571"/>
        <s v="-0,18531"/>
        <s v="-0,18583"/>
        <s v="-0,18589"/>
        <s v="-0,18591"/>
        <s v="-0,18594"/>
        <s v="-0,18586"/>
        <s v="-0,18578"/>
        <s v="-0,17579"/>
        <s v="-0,18576"/>
        <s v="-0,18579"/>
        <s v="-0,18742"/>
        <s v="-0,18768"/>
        <s v="-0,18746"/>
        <s v="-0,18936"/>
        <s v="-0,19014"/>
        <s v="-0,18802"/>
        <s v="-0,18912"/>
        <s v="-0,18772"/>
        <s v="-0,18754"/>
        <s v="-0,18759"/>
        <s v="-0,18753"/>
        <s v="-0,18756"/>
        <s v="-0,18769"/>
        <s v="-0,18740"/>
        <s v="-0,18745"/>
        <s v="-0,18721"/>
        <s v="-0,18606"/>
        <s v="-0,18599"/>
        <s v="-0,18567"/>
        <s v="-0,188629"/>
        <s v="-0,18549"/>
        <s v="-0,18902"/>
        <s v="-0,18795"/>
        <s v="-0,18774"/>
        <s v="-0,18755"/>
        <s v="-0,18749"/>
        <s v="-0,18695"/>
        <s v="-0,18760"/>
        <s v="-0,18724"/>
        <s v="-0,18729"/>
        <s v="-0,18711"/>
        <s v="-0,18709"/>
        <s v="-0,18658"/>
        <s v="-0,18643"/>
        <s v="-0,18671"/>
        <s v="-0,18656"/>
        <s v="-0,18634"/>
        <s v="-0,18607"/>
        <s v="-0,18574"/>
        <s v="-0,18648"/>
        <s v="-0,187478"/>
        <s v="-0,18762"/>
        <s v="-0,181688"/>
        <s v="-0,181626"/>
        <s v="-0,18900"/>
        <s v="-0,182018"/>
        <s v="-0,182699"/>
        <s v="-0,182870"/>
        <s v="-0,184350"/>
        <s v="-0,184701"/>
        <s v="-0,184339"/>
        <s v="-0,184406"/>
        <s v="-0,184742"/>
        <s v="-0,185197"/>
        <s v="-0,185119"/>
        <s v="-0,184825"/>
        <s v="-0,185217"/>
        <s v="-0,184436"/>
        <s v="-0,184210"/>
        <s v="-0,183651"/>
        <s v="-0,183348"/>
        <s v="-0,183015"/>
        <s v="-0,183023"/>
        <s v="-0,181357"/>
        <s v="-0,182564"/>
        <s v="-0,18138"/>
        <s v="-0,183204"/>
        <s v="-0,176775"/>
        <s v="-0,179002"/>
        <s v="-0,1791840"/>
        <s v="-0,179418"/>
        <s v="-0,179462"/>
        <s v="-0,180734"/>
        <s v="-0,179261"/>
        <s v="-0,179313"/>
        <s v="-0,18009"/>
        <s v="-0,178313"/>
        <s v="-0,178338"/>
        <s v="-0,177548"/>
        <s v="-0,178523"/>
        <s v="-0,178581"/>
        <s v="-0,178386"/>
        <n v="-0.17918999999999999"/>
        <s v="-0,179199"/>
        <s v="-0,179358"/>
        <s v="-0,179027"/>
        <s v="-0,17978"/>
        <s v="-0,181301"/>
        <s v="-0,185765"/>
        <s v="-0,184337"/>
        <s v="-0,185365"/>
        <s v="-0,185339"/>
        <s v="-0,185291"/>
        <s v="-0,184154"/>
        <s v="-0,184800"/>
        <s v="-0,183227"/>
        <s v="-0,183076"/>
        <s v="-0,182932"/>
        <s v="-0,183378"/>
        <s v="-0,179104"/>
        <s v="-0,178353"/>
        <s v="-0,178432"/>
        <s v="-0,178712"/>
        <s v="-0,178776"/>
        <s v="-0,178905"/>
        <s v="-0,178842"/>
        <s v="-0,17888"/>
        <s v="-0,17917"/>
        <s v="-0,178945"/>
        <s v="-0,179691"/>
        <s v="-0,17991"/>
        <s v="-0,179192"/>
        <s v="-0,180235"/>
        <s v="-0,180208"/>
        <s v="-0,179612"/>
        <s v="-0,18025"/>
        <s v="-0,181251"/>
        <s v="-0,18098"/>
        <s v="-0,181362"/>
        <s v="-0,181306"/>
        <s v="-0,181237"/>
        <s v="-0,181116"/>
        <s v="-0,181058"/>
        <s v="-0,180835"/>
        <s v="-0,18102"/>
        <s v="-0,180149"/>
        <s v="-0,180715"/>
        <s v="-0,180611"/>
        <s v="-0,180658"/>
        <s v="-0,179989"/>
        <s v="-0,1795"/>
        <s v="-0,179309"/>
        <s v="-0,178555"/>
        <s v="-0,179273"/>
        <s v="-0,177755"/>
        <s v="-0,178307"/>
        <s v="-0,177789"/>
        <s v="-0,1777"/>
        <s v="-0,177568"/>
        <s v="-0,17814"/>
        <s v="-0,178613"/>
      </sharedItems>
    </cacheField>
    <cacheField name="Longitud" numFmtId="0">
      <sharedItems count="151">
        <s v="-78,48431"/>
        <s v="-78,48430"/>
        <s v="-78,48467"/>
        <s v="-78,48433"/>
        <s v="-78,48732"/>
        <s v="-78,48439"/>
        <s v="-78,48427"/>
        <s v="-78,48432"/>
        <s v="-78,48429"/>
        <s v="-78,48436"/>
        <s v="-78,48438"/>
        <s v="-78,48440"/>
        <s v="-78,48625"/>
        <s v="-78,48661"/>
        <s v="-78,48628"/>
        <s v="-78,48474"/>
        <s v="-78,48605"/>
        <s v="-78,48603"/>
        <s v="-78,48389"/>
        <s v="-78,48386"/>
        <s v="-78,48362"/>
        <s v="-78,48374"/>
        <s v="-78,48370"/>
        <s v="-78,48376"/>
        <s v="-78,48391"/>
        <s v="-78,48384"/>
        <s v="-78,48227"/>
        <s v="-78,48454"/>
        <s v="-78,48448"/>
        <s v="-78,48502"/>
        <s v="-78,48505"/>
        <s v="-78,48480"/>
        <s v="-78,485883"/>
        <s v="-78,48596"/>
        <s v="-78,48468"/>
        <s v="-78,48398"/>
        <s v="-78,48359"/>
        <s v="-78,48380"/>
        <s v="-78,48351"/>
        <s v="-78,48416"/>
        <s v="-78,48403"/>
        <s v="-78,48437"/>
        <s v="-78,48447"/>
        <s v="-78,48458"/>
        <s v="-78,48491"/>
        <s v="-78,48495"/>
        <s v="-78,48492"/>
        <s v="-78,484847"/>
        <s v="-78,48487"/>
        <s v="-78,48481"/>
        <s v="-78,48490"/>
        <s v="-78,48571"/>
        <s v="-78,48570"/>
        <s v="-78,48575"/>
        <s v="-78,48613"/>
        <s v="-78,483535"/>
        <s v="-78,483657"/>
        <s v="-78,483180"/>
        <s v="-78,483085"/>
        <s v="-78,483146"/>
        <s v="-78,483091"/>
        <s v="-78,483611"/>
        <s v="-78,484016"/>
        <s v="-78,483626"/>
        <s v="-78,483617"/>
        <s v="-78,484260"/>
        <s v="-78,484661"/>
        <s v="-78,484644"/>
        <s v="-78,484586"/>
        <s v="-78,484720"/>
        <s v="-78,485520"/>
        <s v="-78,485262"/>
        <s v="-78,485567"/>
        <s v="-78,485456"/>
        <s v="-78,486520"/>
        <s v="-78,486500"/>
        <s v="-78,484002"/>
        <s v="-78,483049"/>
        <s v="-78,483515"/>
        <s v="-78,483622"/>
        <s v="-78,48363"/>
        <s v="-78,483501"/>
        <s v="-78,4833147"/>
        <s v="-78,482372"/>
        <s v="-78,483944"/>
        <s v="-78,482185"/>
        <s v="-78,484177"/>
        <s v="-78,484266"/>
        <s v="-78,483741"/>
        <s v="-78,483760"/>
        <s v="-78,483298"/>
        <s v="-78,483575"/>
        <s v="-78,483368"/>
        <s v="-78,403647"/>
        <s v="-78,483431"/>
        <s v="-78,483519"/>
        <s v="-78,48201"/>
        <s v="-78,484112"/>
        <s v="-78,483523"/>
        <s v="-78,483677"/>
        <s v="-78,483434"/>
        <s v="-78,484762"/>
        <s v="-78,482599"/>
        <s v="-78,484752"/>
        <s v="-78,484701"/>
        <s v="-78,484698"/>
        <s v="-78,485270"/>
        <s v="-78,485711"/>
        <s v="-78,486044"/>
        <s v="-78,486515"/>
        <s v="-78,485584"/>
        <s v="-78,485828"/>
        <s v="-78,483320"/>
        <s v="-78,483367"/>
        <s v="-78,483387"/>
        <s v="-78,483416"/>
        <s v="-78,484067"/>
        <s v="-78,48408"/>
        <s v="-78,484144"/>
        <s v="-78,48423"/>
        <s v="-78,484133"/>
        <s v="-78,484129"/>
        <s v="-78,454142"/>
        <s v="-78,484239"/>
        <s v="-78,483635"/>
        <s v="-78,483491"/>
        <s v="-78,48366"/>
        <s v="-78,483852"/>
        <s v="-78,482562"/>
        <s v="-78,483335"/>
        <s v="-78,483395"/>
        <s v="-78,483433"/>
        <s v="-78,483253"/>
        <s v="-78,483401"/>
        <s v="-78,482942"/>
        <s v="-78,482858"/>
        <s v="-78,482918"/>
        <s v="-78,483343"/>
        <s v="-78,483706"/>
        <s v="-78,482203"/>
        <s v="-78,482798"/>
        <s v="-78,482467"/>
        <s v="-78,482217"/>
        <s v="-78,483424"/>
        <s v="-78,481847"/>
        <s v="-78,482147"/>
        <s v="-78,481902"/>
        <s v="-78,481823"/>
        <s v="-78,482992"/>
        <s v="-78,483269"/>
        <s v="-78,483878"/>
      </sharedItems>
    </cacheField>
    <cacheField name="¿Usted cuenta con un permiso de funcionamiento?" numFmtId="0">
      <sharedItems/>
    </cacheField>
    <cacheField name="¿Quién le otorgó el permiso?" numFmtId="0">
      <sharedItems/>
    </cacheField>
    <cacheField name="¿Cuánto tiempo lleva trabajando en este parque?( en años o meses)" numFmtId="0">
      <sharedItems containsSemiMixedTypes="0" containsString="0" containsNumber="1" containsInteger="1" minValue="1" maxValue="50"/>
    </cacheField>
    <cacheField name="Tiempo:" numFmtId="0">
      <sharedItems count="2">
        <s v="1. Años"/>
        <s v="2. Meses"/>
      </sharedItems>
    </cacheField>
    <cacheField name="Rechazó la encuesta" numFmtId="0">
      <sharedItems containsSemiMixedTypes="0" containsString="0" containsNumber="1" containsInteger="1" minValue="0" maxValue="2"/>
    </cacheField>
    <cacheField name="Menor de edad" numFmtId="0">
      <sharedItems containsSemiMixedTypes="0" containsString="0" containsNumber="1" containsInteger="1" minValue="0" maxValue="1"/>
    </cacheField>
    <cacheField name="No termina la encuesta" numFmtId="0">
      <sharedItems containsSemiMixedTypes="0" containsString="0" containsNumber="1" containsInteger="1" minValue="0" maxValue="0"/>
    </cacheField>
    <cacheField name="No es el dueño" numFmtId="0">
      <sharedItems containsSemiMixedTypes="0" containsString="0" containsNumber="1" containsInteger="1" minValue="0" maxValue="0"/>
    </cacheField>
    <cacheField name="No cumple con el filtro" numFmtId="0">
      <sharedItems containsSemiMixedTypes="0" containsString="0" containsNumber="1" containsInteger="1" minValue="0" maxValue="1"/>
    </cacheField>
    <cacheField name="DD. 1 Sexo Enc. Por observación" numFmtId="0">
      <sharedItems/>
    </cacheField>
    <cacheField name="DD.2 ¿Cuántos años tiene?" numFmtId="0">
      <sharedItems containsSemiMixedTypes="0" containsString="0" containsNumber="1" containsInteger="1" minValue="18" maxValue="76"/>
    </cacheField>
    <cacheField name="DD. 3 ¿Su nacionalidad es ecuatoriana?" numFmtId="0">
      <sharedItems/>
    </cacheField>
    <cacheField name="DD3.1 ¿Cuál es su nacionalidad?" numFmtId="0">
      <sharedItems containsBlank="1"/>
    </cacheField>
    <cacheField name="DD. 4 ¿Cómo se identifica usted según su cultura y costumbres?:Enc. leer RU." numFmtId="0">
      <sharedItems count="7">
        <s v="6. Mestiza(o)"/>
        <s v="8. Otro"/>
        <s v="1. Indígena"/>
        <s v="2. Afro Ecuatoriana(o)/Afro Descendiente"/>
        <s v="7. Blanca(o)"/>
        <s v="3. Negra(o)"/>
        <s v="5. Montubia(o)"/>
      </sharedItems>
    </cacheField>
    <cacheField name="DD.4.8 ¿Cuál?" numFmtId="0">
      <sharedItems containsBlank="1"/>
    </cacheField>
    <cacheField name="DD. 5 Actualmente, ¿cuál es su Estado Civil? Enc. respuesta espontánea y RU." numFmtId="0">
      <sharedItems/>
    </cacheField>
    <cacheField name="DD.6 ¿Cuál es su nivel de estudios aprobados? Enc. respuesta espontánea y RU." numFmtId="0">
      <sharedItems/>
    </cacheField>
    <cacheField name="DD.6.1 ¿Completa/Incompleta?" numFmtId="0">
      <sharedItems containsBlank="1"/>
    </cacheField>
    <cacheField name="DD. 7 ¿En qué rango se encuentra los ingresos mensuales de su hogar, es decir, de todas las personas que trabajan y/o reciben ingresos? (ingresos laborales, remesas, ayudas, rentas, bonos, entre otros) Enc. leer opciones y RU." numFmtId="0">
      <sharedItems/>
    </cacheField>
    <cacheField name="PSC.1 En los últimos 12 meses, es decir, de septiembre 2024 a la fecha. EN TÉRMINOS DE SU SEGURIDAD PERSONAL,  ¿cómo se sintió usted en el parque? Enc. leer opciones y RU" numFmtId="0">
      <sharedItems count="4">
        <s v="3. INSEGURO"/>
        <s v="2. SEGURO"/>
        <s v="4. MUY INSEGURO"/>
        <s v="1. MUY SEGURO"/>
      </sharedItems>
    </cacheField>
    <cacheField name="PSC.1.1 ¿ Cuáles son las principales razones por las que usted se siente seguro en el parque? Enc. RE y RM" numFmtId="0">
      <sharedItems containsBlank="1" count="33">
        <m/>
        <s v="2. No ha pasado nada 10. ¿Cúal?1"/>
        <s v="1. Afluencia de gente"/>
        <s v="2. No ha pasado nada"/>
        <s v="1. Afluencia de gente 10. ¿Cúal?1"/>
        <s v="8. Parque tranquilo"/>
        <s v="3. Presencia de Policía Nacional 8. Parque tranquilo"/>
        <s v="2. No ha pasado nada 3. Presencia de Policía Nacional 9. Presencia de seguridad privada"/>
        <s v="7. Existen cámaras de seguridad 9. Presencia de seguridad privada"/>
        <s v="3. Presencia de Policía Nacional 9. Presencia de seguridad privada"/>
        <s v="1. Afluencia de gente 9. Presencia de seguridad privada"/>
        <s v="10. ¿Cúal?1"/>
        <s v="3. Presencia de Policía Nacional 10. ¿Cúal?1 11. ¿Cúal?2"/>
        <s v="3. Presencia de Policía Nacional 6. Presencia de CACMQ 8. Parque tranquilo"/>
        <s v="6. Presencia de CACMQ 10. ¿Cúal?1"/>
        <s v="1. Afluencia de gente 3. Presencia de Policía Nacional 6. Presencia de CACMQ 9. Presencia de seguridad privada"/>
        <s v="1. Afluencia de gente 2. No ha pasado nada"/>
        <s v="3. Presencia de Policía Nacional"/>
        <s v="3. Presencia de Policía Nacional 10. ¿Cúal?1"/>
        <s v="2. No ha pasado nada 6. Presencia de CACMQ"/>
        <s v="2. No ha pasado nada 3. Presencia de Policía Nacional 6. Presencia de CACMQ 9. Presencia de seguridad privada 10. ¿Cúal?1"/>
        <s v="3. Presencia de Policía Nacional 8. Parque tranquilo 9. Presencia de seguridad privada"/>
        <s v="1. Afluencia de gente 3. Presencia de Policía Nacional 8. Parque tranquilo 9. Presencia de seguridad privada"/>
        <s v="1. Afluencia de gente 3. Presencia de Policía Nacional 8. Parque tranquilo"/>
        <s v="3. Presencia de Policía Nacional 6. Presencia de CACMQ 9. Presencia de seguridad privada"/>
        <s v="1. Afluencia de gente 3. Presencia de Policía Nacional"/>
        <s v="1. Afluencia de gente 8. Parque tranquilo 9. Presencia de seguridad privada"/>
        <s v="9. Presencia de seguridad privada"/>
        <s v="3. Presencia de Policía Nacional 9. Presencia de seguridad privada 10. ¿Cúal?1"/>
        <s v="3. Presencia de Policía Nacional 4. Buena iluminación"/>
        <s v="2. No ha pasado nada 3. Presencia de Policía Nacional"/>
        <s v="3. Presencia de Policía Nacional 6. Presencia de CACMQ"/>
        <s v="2. No ha pasado nada 3. Presencia de Policía Nacional 10. ¿Cúal?1"/>
      </sharedItems>
    </cacheField>
    <cacheField name="PSC.1.1 ¿ Cuáles son las principales razones por las que usted se siente seguro en el parque? Enc. RE y RM/1. Afluencia de gente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2. No ha pasado nada" numFmtId="0">
      <sharedItems containsString="0" containsBlank="1" containsNumber="1" containsInteger="1" minValue="0" maxValue="1" count="3">
        <m/>
        <n v="1"/>
        <n v="0"/>
      </sharedItems>
    </cacheField>
    <cacheField name="PSC.1.1 ¿ Cuáles son las principales razones por las que usted se siente seguro en el parque? Enc. RE y RM/3. Presencia de Policía Nacional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4. Buena iluminación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5. No existe delincuencia" numFmtId="0">
      <sharedItems containsString="0" containsBlank="1" containsNumber="1" containsInteger="1" minValue="0" maxValue="0" count="2">
        <m/>
        <n v="0"/>
      </sharedItems>
    </cacheField>
    <cacheField name="PSC.1.1 ¿ Cuáles son las principales razones por las que usted se siente seguro en el parque? Enc. RE y RM/6. Presencia de CACMQ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7. Existen cámaras de seguridad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8. Parque tranquilo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9. Presencia de seguridad privada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10. ¿Cúal?1" numFmtId="0">
      <sharedItems containsString="0" containsBlank="1" containsNumber="1" containsInteger="1" minValue="0" maxValue="1" count="3">
        <m/>
        <n v="1"/>
        <n v="0"/>
      </sharedItems>
    </cacheField>
    <cacheField name="PSC.1.1 ¿ Cuáles son las principales razones por las que usted se siente seguro en el parque? Enc. RE y RM/11. ¿Cúal?2" numFmtId="0">
      <sharedItems containsString="0" containsBlank="1" containsNumber="1" containsInteger="1" minValue="0" maxValue="1" count="3">
        <m/>
        <n v="0"/>
        <n v="1"/>
      </sharedItems>
    </cacheField>
    <cacheField name="PSC.1.1 ¿ Cuáles son las principales razones por las que usted se siente seguro en el parque? Enc. RE y RM/12. ¿Cúal?3" numFmtId="0">
      <sharedItems containsString="0" containsBlank="1" containsNumber="1" containsInteger="1" minValue="0" maxValue="0" count="2">
        <m/>
        <n v="0"/>
      </sharedItems>
    </cacheField>
    <cacheField name="¿Cúal?1" numFmtId="0">
      <sharedItems containsBlank="1" count="10">
        <m/>
        <s v="Cliente seguro"/>
        <s v="Actividades divertidas"/>
        <s v="Operativos"/>
        <s v="Guardabosques"/>
        <s v="Militares"/>
        <s v="Asociación de guardias extra aparte"/>
        <s v="Guardaparques"/>
        <s v="Caballos"/>
        <s v="Guardaparque"/>
      </sharedItems>
    </cacheField>
    <cacheField name="¿Cúal?2" numFmtId="0">
      <sharedItems containsBlank="1" count="2">
        <m/>
        <s v="No hay droga"/>
      </sharedItems>
    </cacheField>
    <cacheField name="¿Cúal?3" numFmtId="0">
      <sharedItems containsNonDate="0" containsString="0" containsBlank="1"/>
    </cacheField>
    <cacheField name="PSC.1.2 ¿ Cuáles son las principales razones por las que usted se siente inseguro en el parque? Enc. RE y RM" numFmtId="0">
      <sharedItems containsBlank="1"/>
    </cacheField>
    <cacheField name="PSC.1.2 ¿ Cuáles son las principales razones por las que usted se siente inseguro en el parque? Enc. RE y RM/1. Delincuencia (robos, extorsiones, cualquier tipo de delito)" numFmtId="0">
      <sharedItems containsString="0" containsBlank="1" containsNumber="1" containsInteger="1" minValue="0" maxValue="1" count="3">
        <n v="1"/>
        <n v="0"/>
        <m/>
      </sharedItems>
    </cacheField>
    <cacheField name="PSC.1.2 ¿ Cuáles son las principales razones por las que usted se siente inseguro en el parque? Enc. RE y RM/2. Venta de drogas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3. Consumo de drogas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4. Ventas ambulantes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5. Consumo de alcohol en el espacio público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6. Habitantes de calle (mendicidad)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7. Falta de alumbrado público" numFmtId="0">
      <sharedItems containsString="0" containsBlank="1" containsNumber="1" containsInteger="1" minValue="0" maxValue="1" count="3">
        <n v="0"/>
        <m/>
        <n v="1"/>
      </sharedItems>
    </cacheField>
    <cacheField name="PSC.1.2 ¿ Cuáles son las principales razones por las que usted se siente inseguro en el parque? Enc. RE y RM/8. ¿Cuál?1" numFmtId="0">
      <sharedItems containsString="0" containsBlank="1" containsNumber="1" containsInteger="1" minValue="0" maxValue="1" count="3">
        <n v="0"/>
        <n v="1"/>
        <m/>
      </sharedItems>
    </cacheField>
    <cacheField name="PSC.1.2 ¿ Cuáles son las principales razones por las que usted se siente inseguro en el parque? Enc. RE y RM/9. ¿Cuál?2" numFmtId="0">
      <sharedItems containsString="0" containsBlank="1" containsNumber="1" containsInteger="1" minValue="0" maxValue="0" count="2">
        <n v="0"/>
        <m/>
      </sharedItems>
    </cacheField>
    <cacheField name="PSC.1.2 ¿ Cuáles son las principales razones por las que usted se siente inseguro en el parque? Enc. RE y RM/10. ¿Cuál?3" numFmtId="0">
      <sharedItems containsString="0" containsBlank="1" containsNumber="1" containsInteger="1" minValue="0" maxValue="0" count="2">
        <n v="0"/>
        <m/>
      </sharedItems>
    </cacheField>
    <cacheField name="¿Cuál?1" numFmtId="0">
      <sharedItems containsBlank="1" count="16">
        <m/>
        <s v="No hay seguridad"/>
        <s v="Migrantes"/>
        <s v="No hay interés de cuidado por la administración"/>
        <s v="Agresores"/>
        <s v="Extranjeros"/>
        <s v="Falta de Policía Nacional"/>
        <s v="Les ha pasado robos a los compañeros"/>
        <s v="Demora en llegar la Policía"/>
        <s v="Presencia de Policía esporádica"/>
        <s v="Gente violenta con mascotas"/>
        <s v="Abuso sexual"/>
        <s v="Personas extranjeras que molestan"/>
        <s v="Billetes falsos."/>
        <s v="No hay presencia de seguridad."/>
        <s v="Drogadicto"/>
      </sharedItems>
    </cacheField>
    <cacheField name="¿Cuál?2" numFmtId="0">
      <sharedItems containsNonDate="0" containsString="0" containsBlank="1"/>
    </cacheField>
    <cacheField name="¿Cuál?3" numFmtId="0">
      <sharedItems containsNonDate="0" containsString="0" containsBlank="1"/>
    </cacheField>
    <cacheField name="PSC.2 En los últimos 12 meses, es decir,  de septiembre 2024 a la fecha. EN TÉRMINOS DE SEGURIDAD, ¿qué tan segura/o se siente usted cuando está atendiendo en este puesto?: Enc. leer opciones y RU" numFmtId="0">
      <sharedItems/>
    </cacheField>
    <cacheField name="PSC.3 ¿En qué horario? Enc. Respuesta Leer opciones. RM" numFmtId="0">
      <sharedItems/>
    </cacheField>
    <cacheField name="Madrugada (00:00 a 05:59)" numFmtId="0">
      <sharedItems containsSemiMixedTypes="0" containsString="0" containsNumber="1" containsInteger="1" minValue="0" maxValue="1"/>
    </cacheField>
    <cacheField name="Mañana  (06:00 a 11:59)" numFmtId="0">
      <sharedItems containsSemiMixedTypes="0" containsString="0" containsNumber="1" containsInteger="1" minValue="0" maxValue="1"/>
    </cacheField>
    <cacheField name="Tarde (12:00 a 17:59)" numFmtId="0">
      <sharedItems containsSemiMixedTypes="0" containsString="0" containsNumber="1" containsInteger="1" minValue="0" maxValue="1"/>
    </cacheField>
    <cacheField name="Noche  (18:00 a 23:59)" numFmtId="0">
      <sharedItems containsSemiMixedTypes="0" containsString="0" containsNumber="1" containsInteger="1" minValue="0" maxValue="1"/>
    </cacheField>
    <cacheField name="Todos los horarios" numFmtId="0">
      <sharedItems containsSemiMixedTypes="0" containsString="0" containsNumber="1" containsInteger="1" minValue="0" maxValue="1"/>
    </cacheField>
    <cacheField name="PSC.4 ¿En los últimos 12 meses, es decir,  de septiembre 2024 a la fecha, considera que la situación de inseguridad en el parque? Enc. leer opciones y RU" numFmtId="0">
      <sharedItems/>
    </cacheField>
    <cacheField name="¿Ha cambiado su horario de venta al público?  Enc. respuesta espontánea y RU" numFmtId="0">
      <sharedItems/>
    </cacheField>
    <cacheField name="¿Ha evitado estar solo/a para atender al público? Enc. respuesta espontánea y RU" numFmtId="0">
      <sharedItems/>
    </cacheField>
    <cacheField name="¿Ha implementado medidas de seguridad en su negocio ? Como bates, palos, gas pimienta.    Enc. Si la respuesta es SI preguntar ¿cuáles?" numFmtId="0">
      <sharedItems/>
    </cacheField>
    <cacheField name="CH.1.1 ¿Cuáles?" numFmtId="0">
      <sharedItems containsBlank="1"/>
    </cacheField>
    <cacheField name="CH.1.1 ¿Cuáles?/1. Bate de béisbol" numFmtId="0">
      <sharedItems containsString="0" containsBlank="1" containsNumber="1" containsInteger="1" minValue="0" maxValue="1"/>
    </cacheField>
    <cacheField name="CH.1.1 ¿Cuáles?/2. Gas pimienta" numFmtId="0">
      <sharedItems containsString="0" containsBlank="1" containsNumber="1" containsInteger="1" minValue="0" maxValue="1"/>
    </cacheField>
    <cacheField name="CH.1.1 ¿Cuáles?/3. Palos" numFmtId="0">
      <sharedItems containsString="0" containsBlank="1" containsNumber="1" containsInteger="1" minValue="0" maxValue="1"/>
    </cacheField>
    <cacheField name="CH.1.1 ¿Cuáles?/4. Armas blancas" numFmtId="0">
      <sharedItems containsString="0" containsBlank="1" containsNumber="1" containsInteger="1" minValue="0" maxValue="1"/>
    </cacheField>
    <cacheField name="CH.1.1 ¿Cuáles?/5. Arma de fuego" numFmtId="0">
      <sharedItems containsString="0" containsBlank="1" containsNumber="1" containsInteger="1" minValue="0" maxValue="0"/>
    </cacheField>
    <cacheField name="CH.1.1 ¿Cuáles?/6. Otros" numFmtId="0">
      <sharedItems containsString="0" containsBlank="1" containsNumber="1" containsInteger="1" minValue="0" maxValue="1"/>
    </cacheField>
    <cacheField name="CH.1.1.1 ¿Cuál?" numFmtId="0">
      <sharedItems containsBlank="1"/>
    </cacheField>
    <cacheField name="VI.1 En los últimos 12 meses, es decir, de septiembre 2024 a la fecha. Ud. ha sido víctima de algún tipo de delito en el parque?" numFmtId="0">
      <sharedItems/>
    </cacheField>
    <cacheField name="¿De qué delitos fue víctima? Enc. respuesta espontáne. RM" numFmtId="0">
      <sharedItems containsBlank="1"/>
    </cacheField>
    <cacheField name="¿De qué delitos fue víctima? Enc. respuesta espontáne. RM/VI.2 Robo  (con violencia)" numFmtId="0">
      <sharedItems containsString="0" containsBlank="1" containsNumber="1" containsInteger="1" minValue="0" maxValue="1"/>
    </cacheField>
    <cacheField name="¿De qué delitos fue víctima? Enc. respuesta espontáne. RM/VI.3 Hurto (sin violencia)" numFmtId="0">
      <sharedItems containsString="0" containsBlank="1" containsNumber="1" containsInteger="1" minValue="0" maxValue="1"/>
    </cacheField>
    <cacheField name="¿De qué delitos fue víctima? Enc. respuesta espontáne. RM/VI.4 Extorsión" numFmtId="0">
      <sharedItems containsString="0" containsBlank="1" containsNumber="1" containsInteger="1" minValue="0" maxValue="1"/>
    </cacheField>
    <cacheField name="¿De qué delitos fue víctima? Enc. respuesta espontáne. RM/VI.5 Estafa" numFmtId="0">
      <sharedItems containsString="0" containsBlank="1" containsNumber="1" containsInteger="1" minValue="0" maxValue="1"/>
    </cacheField>
    <cacheField name="¿De qué delitos fue víctima? Enc. respuesta espontáne. RM/VI.6 Amenazas" numFmtId="0">
      <sharedItems containsString="0" containsBlank="1" containsNumber="1" containsInteger="1" minValue="0" maxValue="1"/>
    </cacheField>
    <cacheField name="¿De qué delitos fue víctima? Enc. respuesta espontáne. RM/VI.7 Agresiones" numFmtId="0">
      <sharedItems containsString="0" containsBlank="1" containsNumber="1" containsInteger="1" minValue="0" maxValue="1"/>
    </cacheField>
    <cacheField name="¿De qué delitos fue víctima? Enc. respuesta espontáne. RM/VI.8 Fraude bancario" numFmtId="0">
      <sharedItems containsString="0" containsBlank="1" containsNumber="1" containsInteger="1" minValue="0" maxValue="0"/>
    </cacheField>
    <cacheField name="¿De qué delitos fue víctima? Enc. respuesta espontáne. RM/VI.9 Soborno" numFmtId="0">
      <sharedItems containsString="0" containsBlank="1" containsNumber="1" containsInteger="1" minValue="0" maxValue="0"/>
    </cacheField>
    <cacheField name="¿De qué delitos fue víctima? Enc. respuesta espontáne. RM/VI.10 Otros" numFmtId="0">
      <sharedItems containsString="0" containsBlank="1" containsNumber="1" containsInteger="1" minValue="0" maxValue="1"/>
    </cacheField>
    <cacheField name="VI.10.1 ¿Cuál?" numFmtId="0">
      <sharedItems containsBlank="1"/>
    </cacheField>
    <cacheField name="VI.12.1 ¿Denunció ese delito?" numFmtId="0">
      <sharedItems containsBlank="1"/>
    </cacheField>
    <cacheField name="VI.2.1 ¿Denunció Robo  (con violencia)?" numFmtId="0">
      <sharedItems containsBlank="1"/>
    </cacheField>
    <cacheField name="VI.3.1 ¿Denunció Hurto (sin violencia) ?" numFmtId="0">
      <sharedItems containsBlank="1"/>
    </cacheField>
    <cacheField name="VI.4.1 ¿Denunció Extorsión?" numFmtId="0">
      <sharedItems containsBlank="1"/>
    </cacheField>
    <cacheField name="VI.5.1 ¿Denunció Estafa?" numFmtId="0">
      <sharedItems containsBlank="1"/>
    </cacheField>
    <cacheField name="VI.6.1 ¿Denunció Amenazas?" numFmtId="0">
      <sharedItems containsBlank="1"/>
    </cacheField>
    <cacheField name="VI.7.1 ¿Denunció Agresiones?" numFmtId="0">
      <sharedItems containsBlank="1"/>
    </cacheField>
    <cacheField name="VI.8.1 ¿Denunció Fraude bancario?" numFmtId="0">
      <sharedItems containsNonDate="0" containsString="0" containsBlank="1"/>
    </cacheField>
    <cacheField name="VI.9.1 ¿Denunció Soborno?" numFmtId="0">
      <sharedItems containsNonDate="0" containsString="0" containsBlank="1"/>
    </cacheField>
    <cacheField name="En los últimos 12 meses, es decir, de septiembre 2024 a la fecha. ¿Usted ha presenciado y con qué frecuencia las siguientes situaciones en el espacio público de este parque, por ejemplo: Enc. leer opciones  RU. por situación" numFmtId="0">
      <sharedItems containsNonDate="0" containsString="0" containsBlank="1"/>
    </cacheField>
    <cacheField name="CC.1 Alguien puso música a un volumen excesivo o hizo mucho ruido y eso le molestó?" numFmtId="0">
      <sharedItems/>
    </cacheField>
    <cacheField name="CC.1.1 ¿Con qué frecuencia?" numFmtId="0">
      <sharedItems containsBlank="1"/>
    </cacheField>
    <cacheField name="CC.2 Grafitis no artísticos que le molestaron?" numFmtId="0">
      <sharedItems/>
    </cacheField>
    <cacheField name="CC.2.1 ¿Con qué frecuencia?" numFmtId="0">
      <sharedItems containsBlank="1"/>
    </cacheField>
    <cacheField name="CC.3 Personas que orinan en el parque?" numFmtId="0">
      <sharedItems/>
    </cacheField>
    <cacheField name="CC.3.1 ¿Con qué frecuencia?" numFmtId="0">
      <sharedItems containsBlank="1"/>
    </cacheField>
    <cacheField name="CC.4 Desechos de animales ?" numFmtId="0">
      <sharedItems/>
    </cacheField>
    <cacheField name="CC.4.1 ¿Con qué frecuencia?" numFmtId="0">
      <sharedItems containsBlank="1"/>
    </cacheField>
    <cacheField name="CC.5 Áreas sin iluminación ?" numFmtId="0">
      <sharedItems/>
    </cacheField>
    <cacheField name="CC.5.1 ¿Con qué frecuencia?" numFmtId="0">
      <sharedItems containsBlank="1"/>
    </cacheField>
    <cacheField name="CC.6 Peleas o riñas ?" numFmtId="0">
      <sharedItems/>
    </cacheField>
    <cacheField name="CC.6.1 ¿Con qué frecuencia?" numFmtId="0">
      <sharedItems containsBlank="1"/>
    </cacheField>
    <cacheField name="CC.7 Habitantes en situación de calle (mendicidad) ?" numFmtId="0">
      <sharedItems/>
    </cacheField>
    <cacheField name="CC.7.1 ¿Con qué frecuencia?" numFmtId="0">
      <sharedItems containsBlank="1"/>
    </cacheField>
    <cacheField name="CC.8 Consumo de alcohol?" numFmtId="0">
      <sharedItems/>
    </cacheField>
    <cacheField name="CC.8.1 ¿Con qué frecuencia?" numFmtId="0">
      <sharedItems containsBlank="1"/>
    </cacheField>
    <cacheField name="CC.9 Venta de alcohol?" numFmtId="0">
      <sharedItems/>
    </cacheField>
    <cacheField name="CC.9.1 ¿Con qué frecuencia?" numFmtId="0">
      <sharedItems containsBlank="1"/>
    </cacheField>
    <cacheField name="CC.10 Consumo de drogas?" numFmtId="0">
      <sharedItems/>
    </cacheField>
    <cacheField name="CC.10.1 ¿Con qué frecuencia?" numFmtId="0">
      <sharedItems containsBlank="1"/>
    </cacheField>
    <cacheField name="CC.11 Venta de drogas?" numFmtId="0">
      <sharedItems/>
    </cacheField>
    <cacheField name="CC.11.1 ¿Con qué frecuencia?" numFmtId="0">
      <sharedItems containsBlank="1"/>
    </cacheField>
    <cacheField name="CC.12 Daño a la propiedad pública y privada?" numFmtId="0">
      <sharedItems/>
    </cacheField>
    <cacheField name="CC.12.1 ¿Con qué frecuencia?" numFmtId="0">
      <sharedItems containsBlank="1"/>
    </cacheField>
    <cacheField name="CC.13 Fauna Urbana? (animales sin hogar)" numFmtId="0">
      <sharedItems/>
    </cacheField>
    <cacheField name="CC.13.2 ¿Con qué frecuencia?" numFmtId="0">
      <sharedItems containsBlank="1"/>
    </cacheField>
    <cacheField name="CC.14 Basura y suciedad?" numFmtId="0">
      <sharedItems/>
    </cacheField>
    <cacheField name="CC.14.2 ¿Con qué frecuencia?" numFmtId="0">
      <sharedItems containsBlank="1"/>
    </cacheField>
    <cacheField name="CC.15 Trabajo sexual (prostitución)?" numFmtId="0">
      <sharedItems/>
    </cacheField>
    <cacheField name="CC.15.2 ¿Con qué frecuencia?" numFmtId="0">
      <sharedItems containsNonDate="0" containsString="0" containsBlank="1"/>
    </cacheField>
    <cacheField name="CC.16 Aglomeración de personas?" numFmtId="0">
      <sharedItems/>
    </cacheField>
    <cacheField name="CC.16.2 ¿Con qué frecuencia?" numFmtId="0">
      <sharedItems containsBlank="1"/>
    </cacheField>
    <cacheField name="CC.17 ¿Alguna otra que no le haya mencionado?" numFmtId="0">
      <sharedItems/>
    </cacheField>
    <cacheField name="CC.17.1 ¿Cuál?" numFmtId="0">
      <sharedItems containsBlank="1"/>
    </cacheField>
    <cacheField name="CC.17.2 ¿Con qué frecuencia?" numFmtId="0">
      <sharedItems containsBlank="1"/>
    </cacheField>
    <cacheField name="PCA.1 En los últimos 12 meses, es decir, de septiembre 2024 a la fecha. ¿Usted ha presenciado ventas ambulantes en el parque ? Enc. RE y RU." numFmtId="0">
      <sharedItems/>
    </cacheField>
    <cacheField name="PCA.1.0 ¿Con qué frecuencia?" numFmtId="0">
      <sharedItems containsBlank="1"/>
    </cacheField>
    <cacheField name="PCA.1.1 Le molestan las ventas ambulantes en el parque? Enc. RE y RU." numFmtId="0">
      <sharedItems containsBlank="1"/>
    </cacheField>
    <cacheField name="En los últimos 12 meses, es decir, de septiembre 2024 a la fecha ¿Ud ha visto funcionarios de las siguientes instituciones? Enc. si la respuesta es &quot;SI&quot;, por favor preguntar si utilizó algún servicio" numFmtId="0">
      <sharedItems containsNonDate="0" containsString="0" containsBlank="1"/>
    </cacheField>
    <cacheField name="SSM.1 Agencia Metropolitana de Control (AMC)" numFmtId="0">
      <sharedItems/>
    </cacheField>
    <cacheField name="SSM.1.1 ¿Utilizó algún servicio o guía?" numFmtId="0">
      <sharedItems containsBlank="1"/>
    </cacheField>
    <cacheField name="SSM.1.2 ¿Cómo califica el servicio?" numFmtId="0">
      <sharedItems containsBlank="1"/>
    </cacheField>
    <cacheField name="SSM.2 Agencia Metropolitana de Control de Comercio (AMCC)" numFmtId="0">
      <sharedItems/>
    </cacheField>
    <cacheField name="SSM.2.1 ¿Utilizó algún servicio o guía?" numFmtId="0">
      <sharedItems containsBlank="1"/>
    </cacheField>
    <cacheField name="SSM.2.2 ¿Cómo califica el servicio?" numFmtId="0">
      <sharedItems containsBlank="1"/>
    </cacheField>
    <cacheField name="SSM.3 Patronato San José (UPMSJ)" numFmtId="0">
      <sharedItems/>
    </cacheField>
    <cacheField name="SSM.3.1 ¿Utilizó algún servicio o guía?" numFmtId="0">
      <sharedItems containsBlank="1"/>
    </cacheField>
    <cacheField name="SSM.3.2 ¿Cómo califica el servicio?" numFmtId="0">
      <sharedItems containsBlank="1"/>
    </cacheField>
    <cacheField name="SSM.4 Cuerpo de Agentes de Control Metropolitano de Quito (CACMQ)" numFmtId="0">
      <sharedItems/>
    </cacheField>
    <cacheField name="SSM.4.1 ¿Utilizó algún servicio o guía?" numFmtId="0">
      <sharedItems containsBlank="1"/>
    </cacheField>
    <cacheField name="SSM.4.2 ¿Cómo califica el servicio?" numFmtId="0">
      <sharedItems containsBlank="1"/>
    </cacheField>
    <cacheField name="SSM.5 Cuerpo de Bombero de Quito (CBQ)" numFmtId="0">
      <sharedItems/>
    </cacheField>
    <cacheField name="SSM.5.1 ¿Utilizó algún servicio o guía?" numFmtId="0">
      <sharedItems containsBlank="1"/>
    </cacheField>
    <cacheField name="SSM.5.2 ¿Cómo califica el servicio?" numFmtId="0">
      <sharedItems containsBlank="1"/>
    </cacheField>
    <cacheField name="SSM.6 Agencia Metropolitana de Tránsito (AMT)" numFmtId="0">
      <sharedItems/>
    </cacheField>
    <cacheField name="SSM.6.1 ¿Utilizó algún servicio o guía?" numFmtId="0">
      <sharedItems containsBlank="1"/>
    </cacheField>
    <cacheField name="SSM.6.2 ¿Cómo califica el servicio?" numFmtId="0">
      <sharedItems containsBlank="1"/>
    </cacheField>
    <cacheField name="SSM.7 Empresa Metropolitana de Aseo (EMASEO)" numFmtId="0">
      <sharedItems/>
    </cacheField>
    <cacheField name="SSM.7.1 ¿Utilizó algún servicio o guía?" numFmtId="0">
      <sharedItems containsBlank="1"/>
    </cacheField>
    <cacheField name="SSM.7.2 ¿Cómo califica el servicio?" numFmtId="0">
      <sharedItems containsBlank="1"/>
    </cacheField>
    <cacheField name="SSM.8 Policía Nacional (PPNN)" numFmtId="0">
      <sharedItems/>
    </cacheField>
    <cacheField name="SSM.8.1 ¿Utilizó algún servicio o guía?" numFmtId="0">
      <sharedItems containsBlank="1"/>
    </cacheField>
    <cacheField name="SSM.8.2 ¿Cómo califica el servicio?" numFmtId="0">
      <sharedItems containsBlank="1"/>
    </cacheField>
    <cacheField name="SSM.10 Fuerzas Armadas del Ecuador (FFAA)" numFmtId="0">
      <sharedItems/>
    </cacheField>
    <cacheField name="SSM.10.1 ¿Utilizó algún servicio o guía?" numFmtId="0">
      <sharedItems containsBlank="1"/>
    </cacheField>
    <cacheField name="SSM.10.2 ¿Cómo califica el servicio?" numFmtId="0">
      <sharedItems containsBlank="1"/>
    </cacheField>
    <cacheField name="SSM.11 Secretaría General de Seguridad Ciudadana y Gestión de Riesgos" numFmtId="0">
      <sharedItems/>
    </cacheField>
    <cacheField name="SSM.11.1 ¿Utilizó algún servicio o guía?" numFmtId="0">
      <sharedItems containsBlank="1"/>
    </cacheField>
    <cacheField name="SSM.11.2 ¿Cómo califica el servicio?" numFmtId="0">
      <sharedItems containsBlank="1"/>
    </cacheField>
    <cacheField name="SSM.10 Por favor me puede mencionar tres sentimientos que le generen cuando se encuentra en este parque  Enc. respuesta espontánea y RM." numFmtId="0">
      <sharedItems containsNonDate="0" containsString="0" containsBlank="1"/>
    </cacheField>
    <cacheField name="Sentir 1" numFmtId="0">
      <sharedItems/>
    </cacheField>
    <cacheField name="Sentir 2" numFmtId="0">
      <sharedItems containsBlank="1"/>
    </cacheField>
    <cacheField name="Sentir 3" numFmtId="0">
      <sharedItems containsBlank="1" count="47">
        <m/>
        <s v="Incertidumbre"/>
        <s v="Movilización"/>
        <s v="Alerta"/>
        <s v="Naturaleza"/>
        <s v="Seguridad"/>
        <s v="Paz"/>
        <s v="Alegría"/>
        <s v="Poco ruido"/>
        <s v="Tranquilidad"/>
        <s v="Frustración"/>
        <s v="Amistad"/>
        <s v="Gusto"/>
        <s v="Miedo"/>
        <s v="Tranquilo"/>
        <s v="Privilegiado"/>
        <s v="Enseñanza"/>
        <s v="Relación"/>
        <s v="Perseverancia"/>
        <s v="Diversión"/>
        <s v="Seguro"/>
        <s v="Inseguridad"/>
        <s v="Molestia"/>
        <s v="Ánimo"/>
        <s v="Falta de control"/>
        <s v="Tristeza"/>
        <s v="Preocupación"/>
        <s v="Agradecido"/>
        <s v="Entretenimiento"/>
        <s v="Respeto"/>
        <s v="Distracción"/>
        <s v="Feliz"/>
        <s v="Pensando"/>
        <s v="Bien"/>
        <s v="Temor"/>
        <s v="Esparcimiento"/>
        <s v="Despecho"/>
        <s v="Trabajo"/>
        <s v="Intranquilidad"/>
        <s v="Conformidad"/>
        <s v="Temor a veces" u="1"/>
        <s v="No digo nada, no peleo" u="1"/>
        <s v="Molestia porque la administración no apoya" u="1"/>
        <s v="Alegre" u="1"/>
        <s v="Intranquilo" u="1"/>
        <s v="Animó" u="1"/>
        <s v="Mucha seguridad" u="1"/>
      </sharedItems>
    </cacheField>
    <cacheField name="EOS. 1 En los últimos 12 meses, es decir, de abril 2025 a la fecha. ¿Usted ha presenciado en este sector los operativos  de control que planifica y coordina el Muncipio de Quito, a través de la Secretaria General de Seguridad y Gestión de Riesgos, se ejecutan mediante un enfoque de articulación interinstitucional con la AMC, CACMQ, PPNN y UPSJ. Estas intervenciones tienen como objetivo garantizar la seguridad ciudadana, el orden público y la convivencia en el espacio público, en el marco de las competencias legales y operativas de cada entidad, así como del cumplimiento de la normativa metropolitana vigente?  Enc. si la respuesta es &quot;SI&quot;, por favor preguntar  la calificación.  Responde Si continuar  Responde No pasar a EOS.5" numFmtId="0">
      <sharedItems/>
    </cacheField>
    <cacheField name="EOS. 1.1 En una escala del 1 al 4, donde 1 es MUY BUENO y 4 es MUY MALO ¿Cómo califica los operativos de control?" numFmtId="0">
      <sharedItems containsBlank="1"/>
    </cacheField>
    <cacheField name="EOS. 2 En los últimos 12 meses, es decir, de abril 2025 a la fecha. ¿Usted piensa que los operativos de control ayudaron para la disminución de las problematicas del sector? Enc. respuesta espontánea y RU, por favor preguntar el ¿por qué? tanto de la respuesta Si o No " numFmtId="0">
      <sharedItems containsBlank="1"/>
    </cacheField>
    <cacheField name="EOS.2.1 ¿Por qué?" numFmtId="0">
      <sharedItems containsBlank="1"/>
    </cacheField>
    <cacheField name="EOS. 3 En los últimos 12 meses, es decir, de abril 2025 a la fecha. ¿Usted fue involucrada/o de alguna manera en el plan de recuperación e intervención del sector (operativos de control)? Enc. respuesta espontánea y RU, por favor preguntar ¿cómo? la respuesta Si  Responde No o NS/NC Pase a la EOS.4" numFmtId="0">
      <sharedItems containsBlank="1"/>
    </cacheField>
    <cacheField name="EOS. 3.1 ¿Cómo?" numFmtId="0">
      <sharedItems containsBlank="1"/>
    </cacheField>
    <cacheField name="EOS. 4 En los últimos 12 meses, es decir, de abril 2025 a la fecha. ¿Usted confia o confiaría en el personal de las instituciones que participan en los operativos de control si fuera testigo y/o víctima de algún tipo de delito o incidente en el sector? Enc. respuesta espontánea y RU, por favor preguntar el ¿por qué? tanto de la respuesta Si o No" numFmtId="0">
      <sharedItems containsBlank="1"/>
    </cacheField>
    <cacheField name="EOS. 4.1 ¿Por qué?" numFmtId="0">
      <sharedItems containsBlank="1"/>
    </cacheField>
    <cacheField name="CARACTERIZACION DEL COMERCIO" numFmtId="0">
      <sharedItems/>
    </cacheField>
    <cacheField name="Observaciones: ENC: REGISTRE AQUÍ CUALQUIER OBSERVACIÓN NO CONSIGNADA EN LAS PREGUNTAS DEL CUESTIONARI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d v="2026-04-20T10:15:18"/>
    <d v="2026-04-20T10:23:06"/>
    <s v="VB"/>
    <n v="1"/>
    <n v="1"/>
    <b v="1"/>
    <d v="2026-04-19T00:00:00"/>
    <n v="1"/>
    <s v="PA"/>
    <s v="IA"/>
    <x v="0"/>
    <x v="0"/>
    <s v="1. Sí"/>
    <s v="1. EPMMOP"/>
    <n v="17"/>
    <x v="0"/>
    <n v="0"/>
    <n v="0"/>
    <n v="0"/>
    <n v="0"/>
    <n v="0"/>
    <s v="2. Mujer"/>
    <n v="58"/>
    <s v="1. Sí"/>
    <m/>
    <x v="0"/>
    <m/>
    <s v="4. Casada/o"/>
    <s v="5. Universitari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Seguridad privada"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2. No"/>
    <m/>
    <s v="2. No"/>
    <m/>
    <s v="1. Sí"/>
    <s v="1. POCO FRECUENTE"/>
    <s v="99. NS/NC"/>
    <m/>
    <s v="99. NS/NC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2. No"/>
    <m/>
    <s v="2. No"/>
    <m/>
    <m/>
    <s v="2. No"/>
    <m/>
    <m/>
    <s v="2. No"/>
    <m/>
    <m/>
    <s v="1. Sí"/>
    <s v="2. No"/>
    <m/>
    <s v="2. No"/>
    <m/>
    <m/>
    <s v="1. Sí"/>
    <s v="2. No"/>
    <m/>
    <s v="2. No"/>
    <m/>
    <m/>
    <s v="1. Sí"/>
    <s v="2. No"/>
    <m/>
    <s v="2. No"/>
    <m/>
    <m/>
    <s v="2. No"/>
    <m/>
    <m/>
    <m/>
    <s v="Inseguridad"/>
    <s v="Temor"/>
    <x v="0"/>
    <s v="2. No"/>
    <m/>
    <m/>
    <m/>
    <m/>
    <m/>
    <m/>
    <m/>
    <s v="Frutas y Legumbres"/>
    <s v="Las instituciones deben vigilar constantemente"/>
  </r>
  <r>
    <d v="2026-04-21T07:53:03"/>
    <d v="2026-04-21T07:58:40"/>
    <s v="AFC"/>
    <n v="2"/>
    <n v="2"/>
    <b v="1"/>
    <d v="2026-04-19T00:00:00"/>
    <n v="1"/>
    <s v="FT"/>
    <s v="IA"/>
    <x v="1"/>
    <x v="1"/>
    <s v="1. Sí"/>
    <s v="1. EPMMOP"/>
    <n v="8"/>
    <x v="0"/>
    <n v="0"/>
    <n v="0"/>
    <n v="0"/>
    <n v="0"/>
    <n v="0"/>
    <s v="1. Hombre"/>
    <n v="62"/>
    <s v="1. Sí"/>
    <m/>
    <x v="1"/>
    <s v="Kichwa"/>
    <s v="4. Cas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8. ¿Cuál?1"/>
    <x v="1"/>
    <x v="0"/>
    <x v="0"/>
    <x v="0"/>
    <x v="0"/>
    <x v="0"/>
    <x v="0"/>
    <x v="1"/>
    <x v="0"/>
    <x v="0"/>
    <x v="1"/>
    <m/>
    <m/>
    <s v="3. INSEGURO"/>
    <s v="Mañana  (06:00 a 11:59)"/>
    <n v="0"/>
    <n v="1"/>
    <n v="0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2. No"/>
    <m/>
    <m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2. No"/>
    <m/>
    <s v="2. No"/>
    <m/>
    <m/>
    <s v="2. No"/>
    <m/>
    <m/>
    <m/>
    <s v="Tranquilidad"/>
    <m/>
    <x v="0"/>
    <s v="2. No"/>
    <m/>
    <m/>
    <m/>
    <m/>
    <m/>
    <m/>
    <m/>
    <s v="Frutas y Legumbres"/>
    <m/>
  </r>
  <r>
    <d v="2026-04-21T08:02:41"/>
    <d v="2026-04-21T08:07:17"/>
    <s v="AFC"/>
    <n v="3"/>
    <n v="3"/>
    <b v="1"/>
    <d v="2026-04-19T00:00:00"/>
    <n v="1"/>
    <s v="MJM"/>
    <s v="IA"/>
    <x v="2"/>
    <x v="2"/>
    <s v="1. Sí"/>
    <s v="1. EPMMOP"/>
    <n v="15"/>
    <x v="0"/>
    <n v="0"/>
    <n v="0"/>
    <n v="0"/>
    <n v="0"/>
    <n v="0"/>
    <s v="1. Hombre"/>
    <n v="54"/>
    <s v="1. Sí"/>
    <m/>
    <x v="2"/>
    <m/>
    <s v="4. Casada/o"/>
    <s v="2. Primaria"/>
    <s v="1. Completa"/>
    <s v="2. de $471 a $919"/>
    <x v="1"/>
    <x v="1"/>
    <x v="1"/>
    <x v="1"/>
    <x v="1"/>
    <x v="1"/>
    <x v="1"/>
    <x v="1"/>
    <x v="1"/>
    <x v="1"/>
    <x v="1"/>
    <x v="1"/>
    <x v="1"/>
    <x v="1"/>
    <x v="1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Tranquilidad"/>
    <s v="Calma"/>
    <x v="1"/>
    <s v="2. No"/>
    <m/>
    <m/>
    <m/>
    <m/>
    <m/>
    <m/>
    <m/>
    <s v="Frutas y Legumbres"/>
    <m/>
  </r>
  <r>
    <d v="2026-04-21T08:07:18"/>
    <d v="2026-04-21T08:25:04"/>
    <s v="AFC"/>
    <n v="4"/>
    <n v="4"/>
    <b v="1"/>
    <d v="2026-04-19T00:00:00"/>
    <n v="1"/>
    <s v="FT"/>
    <s v="IA"/>
    <x v="3"/>
    <x v="3"/>
    <s v="1. Sí"/>
    <s v="1. EPMMOP"/>
    <n v="17"/>
    <x v="0"/>
    <n v="0"/>
    <n v="0"/>
    <n v="0"/>
    <n v="0"/>
    <n v="0"/>
    <s v="2. Mujer"/>
    <n v="61"/>
    <s v="1. Sí"/>
    <m/>
    <x v="2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Mañana  (06:00 a 11:59)"/>
    <n v="0"/>
    <n v="1"/>
    <n v="0"/>
    <n v="0"/>
    <n v="0"/>
    <s v="1. Empeoró"/>
    <s v="2. No"/>
    <s v="1. Sí"/>
    <s v="2. No"/>
    <m/>
    <m/>
    <m/>
    <m/>
    <m/>
    <m/>
    <m/>
    <m/>
    <s v="1. Sí"/>
    <s v="VI.2 Robo  (con violencia)"/>
    <n v="1"/>
    <n v="0"/>
    <n v="0"/>
    <n v="0"/>
    <n v="0"/>
    <n v="0"/>
    <n v="0"/>
    <n v="0"/>
    <n v="0"/>
    <m/>
    <m/>
    <s v="2. No"/>
    <m/>
    <m/>
    <m/>
    <m/>
    <m/>
    <m/>
    <m/>
    <m/>
    <s v="2. No"/>
    <m/>
    <s v="2. No"/>
    <m/>
    <s v="2. No"/>
    <m/>
    <s v="1. Sí"/>
    <s v="2. FRECUENTE"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m/>
    <s v="Miedo"/>
    <s v="Inseguridad"/>
    <x v="0"/>
    <s v="99. Ns/Nc"/>
    <m/>
    <m/>
    <m/>
    <m/>
    <m/>
    <m/>
    <m/>
    <s v="Frutas y Legumbres"/>
    <m/>
  </r>
  <r>
    <d v="2026-04-21T08:25:04"/>
    <d v="2026-04-21T08:29:50"/>
    <s v="AFC"/>
    <n v="5"/>
    <n v="5"/>
    <b v="1"/>
    <d v="2026-04-19T00:00:00"/>
    <n v="1"/>
    <s v="PA"/>
    <s v="IA"/>
    <x v="4"/>
    <x v="4"/>
    <s v="1. Sí"/>
    <s v="1. EPMMOP"/>
    <n v="15"/>
    <x v="0"/>
    <n v="0"/>
    <n v="0"/>
    <n v="0"/>
    <n v="0"/>
    <n v="0"/>
    <s v="1. Hombre"/>
    <n v="35"/>
    <s v="1. Sí"/>
    <m/>
    <x v="2"/>
    <m/>
    <s v="5. Soltera/o"/>
    <s v="3. Secundaria/ Bachillerato"/>
    <s v="1. Completa"/>
    <s v="2. de $471 a $919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2. No"/>
    <s v="2. No"/>
    <s v="1. Sí"/>
    <s v="6. Otros"/>
    <n v="0"/>
    <n v="0"/>
    <n v="0"/>
    <n v="0"/>
    <n v="0"/>
    <n v="1"/>
    <s v="Artes marciales"/>
    <s v="1. Sí"/>
    <s v="VI.5 Estafa"/>
    <n v="0"/>
    <n v="0"/>
    <n v="0"/>
    <n v="1"/>
    <n v="0"/>
    <n v="0"/>
    <n v="0"/>
    <n v="0"/>
    <n v="0"/>
    <m/>
    <m/>
    <m/>
    <m/>
    <m/>
    <s v="2. No"/>
    <m/>
    <m/>
    <m/>
    <m/>
    <m/>
    <s v="2. No"/>
    <m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1. Sí"/>
    <s v="2. FRECUENTE"/>
    <s v="2. No"/>
    <m/>
    <s v="2. No"/>
    <m/>
    <s v="2. No"/>
    <m/>
    <s v="1. Sí"/>
    <s v="1. POCO FRECUENTE"/>
    <s v="2. No"/>
    <m/>
    <s v="1. Sí"/>
    <s v="2. FRECUENTE"/>
    <s v="2. No"/>
    <m/>
    <m/>
    <s v="1. Sí"/>
    <s v="3. MUY FRECUENTE"/>
    <s v="2. No"/>
    <m/>
    <s v="1. Sí"/>
    <s v="2. No"/>
    <m/>
    <s v="2. No"/>
    <m/>
    <m/>
    <s v="1. Sí"/>
    <s v="1. Sí"/>
    <s v="2. BUENO"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s v="Preocupación"/>
    <s v="Justicia"/>
    <x v="0"/>
    <s v="2. No"/>
    <m/>
    <m/>
    <m/>
    <m/>
    <m/>
    <m/>
    <m/>
    <s v="Frutas y Legumbres"/>
    <m/>
  </r>
  <r>
    <d v="2026-04-21T08:29:50"/>
    <d v="2026-04-21T09:21:33"/>
    <s v="AFC"/>
    <n v="6"/>
    <n v="6"/>
    <b v="1"/>
    <d v="2026-04-19T00:00:00"/>
    <n v="1"/>
    <s v="MJM"/>
    <s v="IA"/>
    <x v="5"/>
    <x v="3"/>
    <s v="1. Sí"/>
    <s v="1. EPMMOP"/>
    <n v="18"/>
    <x v="0"/>
    <n v="0"/>
    <n v="0"/>
    <n v="0"/>
    <n v="0"/>
    <n v="0"/>
    <s v="2. Mujer"/>
    <n v="47"/>
    <s v="1. Sí"/>
    <m/>
    <x v="2"/>
    <m/>
    <s v="4. Cas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1. MUY SEGURO"/>
    <s v="Mañana  (06:00 a 11:59)"/>
    <n v="0"/>
    <n v="1"/>
    <n v="0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3. MUY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2. BUENO"/>
    <s v="1. Sí"/>
    <s v="2. No"/>
    <m/>
    <s v="2. No"/>
    <m/>
    <m/>
    <s v="2. No"/>
    <m/>
    <m/>
    <m/>
    <s v="Alegría"/>
    <s v="Distracción"/>
    <x v="0"/>
    <s v="2. No"/>
    <m/>
    <m/>
    <m/>
    <m/>
    <m/>
    <m/>
    <m/>
    <s v="Frutas y Legumbres"/>
    <m/>
  </r>
  <r>
    <d v="2026-04-21T09:21:33"/>
    <d v="2026-04-21T09:29:34"/>
    <s v="AFC"/>
    <n v="7"/>
    <n v="7"/>
    <b v="1"/>
    <d v="2026-04-19T00:00:00"/>
    <n v="1"/>
    <s v="PA"/>
    <s v="IA"/>
    <x v="4"/>
    <x v="0"/>
    <s v="1. Sí"/>
    <s v="1. EPMMOP"/>
    <n v="18"/>
    <x v="0"/>
    <n v="0"/>
    <n v="0"/>
    <n v="0"/>
    <n v="0"/>
    <n v="0"/>
    <s v="2. Mujer"/>
    <n v="73"/>
    <s v="1. Sí"/>
    <m/>
    <x v="0"/>
    <m/>
    <s v="2. Divorci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1. Sí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1. Sí"/>
    <s v="2. FRECUENTE"/>
    <s v="1. Sí"/>
    <s v="1. POCO FRECUENTE"/>
    <s v="2. No"/>
    <m/>
    <s v="2. No"/>
    <m/>
    <s v="2. No"/>
    <m/>
    <m/>
    <s v="1. Sí"/>
    <s v="3. MUY FRECUENTE"/>
    <s v="2. No"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2. No"/>
    <m/>
    <s v="2. No"/>
    <m/>
    <m/>
    <s v="2. No"/>
    <m/>
    <m/>
    <m/>
    <s v="Miedo"/>
    <s v="Ansiedad"/>
    <x v="0"/>
    <s v="1. Si"/>
    <s v="2. Bueno"/>
    <s v="1. Si"/>
    <s v="Mejor seguridad"/>
    <s v="2. No "/>
    <m/>
    <s v="1.Si"/>
    <s v="Por seguridad"/>
    <s v="Frutas y Legumbres"/>
    <s v="Campaña de prevención mascotas"/>
  </r>
  <r>
    <d v="2026-04-21T09:29:34"/>
    <d v="2026-04-21T09:44:45"/>
    <s v="AFC"/>
    <n v="8"/>
    <n v="8"/>
    <b v="1"/>
    <d v="2026-04-19T00:00:00"/>
    <n v="1"/>
    <s v="FT"/>
    <s v="IA"/>
    <x v="6"/>
    <x v="5"/>
    <s v="1. Sí"/>
    <s v="1. EPMMOP"/>
    <n v="15"/>
    <x v="0"/>
    <n v="0"/>
    <n v="0"/>
    <n v="0"/>
    <n v="0"/>
    <n v="0"/>
    <s v="1. Hombre"/>
    <n v="75"/>
    <s v="1. Sí"/>
    <m/>
    <x v="0"/>
    <m/>
    <s v="3. Viuda/o"/>
    <s v="3. Secundaria/ Bachillerato"/>
    <s v="1. Completa"/>
    <s v="99. NS/NC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2. No"/>
    <m/>
    <m/>
    <m/>
    <s v="Tranquilidad"/>
    <m/>
    <x v="0"/>
    <s v="99. Ns/Nc"/>
    <m/>
    <m/>
    <m/>
    <m/>
    <m/>
    <m/>
    <m/>
    <s v="Bebidas/Confites/Comestibles industrializados/ Tabacos"/>
    <m/>
  </r>
  <r>
    <d v="2026-04-21T09:44:45"/>
    <d v="2026-04-21T09:49:48"/>
    <s v="AFC"/>
    <n v="9"/>
    <n v="9"/>
    <b v="1"/>
    <d v="2026-04-19T00:00:00"/>
    <n v="1"/>
    <s v="MJM"/>
    <s v="IA"/>
    <x v="7"/>
    <x v="6"/>
    <s v="1. Sí"/>
    <s v="1. EPMMOP"/>
    <n v="3"/>
    <x v="0"/>
    <n v="0"/>
    <n v="0"/>
    <n v="0"/>
    <n v="0"/>
    <n v="0"/>
    <s v="2. Mujer"/>
    <n v="31"/>
    <s v="1. Sí"/>
    <m/>
    <x v="0"/>
    <m/>
    <s v="5. Soltera/o"/>
    <s v="5. Universitario"/>
    <s v="1. Completa"/>
    <s v="3. de $920 a $1339"/>
    <x v="1"/>
    <x v="4"/>
    <x v="2"/>
    <x v="2"/>
    <x v="1"/>
    <x v="1"/>
    <x v="1"/>
    <x v="1"/>
    <x v="1"/>
    <x v="1"/>
    <x v="1"/>
    <x v="1"/>
    <x v="1"/>
    <x v="1"/>
    <x v="2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1. Sí"/>
    <s v="2. FRECUENTE"/>
    <s v="2. No"/>
    <m/>
    <s v="1. Sí"/>
    <s v="1. POCO FRECUENTE"/>
    <s v="2. No"/>
    <m/>
    <s v="1. Sí"/>
    <s v="1. POCO FRECUENTE"/>
    <s v="2. No"/>
    <m/>
    <s v="2. No"/>
    <m/>
    <s v="2. No"/>
    <m/>
    <s v="1. Sí"/>
    <s v="1. POCO FRECUENTE"/>
    <s v="1. Sí"/>
    <s v="2. FRECUENTE"/>
    <s v="2. No"/>
    <m/>
    <s v="1. Sí"/>
    <s v="1. POCO FRECUENTE"/>
    <s v="2. No"/>
    <m/>
    <m/>
    <s v="1. Sí"/>
    <s v="3. MUY FRECUENTE"/>
    <s v="2. No"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2. No"/>
    <m/>
    <m/>
    <m/>
    <s v="Comunidad"/>
    <s v="Serenidad"/>
    <x v="2"/>
    <s v="2. No"/>
    <m/>
    <m/>
    <m/>
    <m/>
    <m/>
    <m/>
    <m/>
    <s v="Bebidas/Confites/Comestibles industrializados/ Tabacos"/>
    <m/>
  </r>
  <r>
    <d v="2026-04-21T09:49:48"/>
    <d v="2026-04-21T10:18:23"/>
    <s v="AFC"/>
    <n v="10"/>
    <n v="10"/>
    <b v="1"/>
    <d v="2026-04-19T00:00:00"/>
    <n v="1"/>
    <s v="FT"/>
    <s v="IA"/>
    <x v="8"/>
    <x v="7"/>
    <s v="1. Sí"/>
    <s v="1. EPMMOP"/>
    <n v="1"/>
    <x v="0"/>
    <n v="0"/>
    <n v="0"/>
    <n v="0"/>
    <n v="0"/>
    <n v="0"/>
    <s v="2. Mujer"/>
    <n v="36"/>
    <s v="1. Sí"/>
    <m/>
    <x v="0"/>
    <m/>
    <s v="4. Casada/o"/>
    <s v="5. Universitario"/>
    <s v="2. In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7. Falta de alumbrado público"/>
    <x v="1"/>
    <x v="0"/>
    <x v="0"/>
    <x v="0"/>
    <x v="0"/>
    <x v="0"/>
    <x v="2"/>
    <x v="0"/>
    <x v="0"/>
    <x v="0"/>
    <x v="0"/>
    <m/>
    <m/>
    <s v="2. SEGURO"/>
    <s v="Mañana  (06:00 a 11:59)"/>
    <n v="0"/>
    <n v="1"/>
    <n v="0"/>
    <n v="0"/>
    <n v="0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3. MUY FRECUENTE"/>
    <s v="1. Sí"/>
    <s v="2. FRECUENTE"/>
    <s v="2. No"/>
    <m/>
    <s v="1. Sí"/>
    <s v="3. MUY FRECUENTE"/>
    <s v="2. No"/>
    <m/>
    <s v="2. No"/>
    <m/>
    <s v="1. Sí"/>
    <s v="2. FRECUENTE"/>
    <s v="2. No"/>
    <m/>
    <s v="1. Sí"/>
    <s v="1. POCO FRECUENTE"/>
    <s v="2. No"/>
    <m/>
    <s v="1. Sí"/>
    <s v="3. MUY FRECUENTE"/>
    <s v="2. No"/>
    <m/>
    <s v="1. Sí"/>
    <s v="2. FRECUENTE"/>
    <s v="2. No"/>
    <m/>
    <m/>
    <s v="1. Sí"/>
    <s v="2. FRECUENTE"/>
    <s v="1. Sí"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m/>
    <s v="Tranquilidad"/>
    <s v="Preocupación"/>
    <x v="3"/>
    <s v="2. No"/>
    <m/>
    <m/>
    <m/>
    <m/>
    <m/>
    <m/>
    <m/>
    <s v="Artesanías"/>
    <m/>
  </r>
  <r>
    <d v="2026-04-21T10:18:23"/>
    <d v="2026-04-21T10:58:54"/>
    <s v="AFC"/>
    <n v="11"/>
    <n v="11"/>
    <b v="1"/>
    <d v="2026-04-19T00:00:00"/>
    <n v="1"/>
    <s v="MJM"/>
    <s v="IA"/>
    <x v="9"/>
    <x v="8"/>
    <s v="1. Sí"/>
    <s v="1. EPMMOP"/>
    <n v="1"/>
    <x v="0"/>
    <n v="0"/>
    <n v="0"/>
    <n v="0"/>
    <n v="0"/>
    <n v="0"/>
    <s v="2. Mujer"/>
    <n v="42"/>
    <s v="1. Sí"/>
    <m/>
    <x v="0"/>
    <m/>
    <s v="2. Divorci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99. NS/NC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m/>
    <s v="2. No"/>
    <m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m/>
    <s v="Precaución"/>
    <s v="Gusto"/>
    <x v="3"/>
    <s v="2. No"/>
    <m/>
    <m/>
    <m/>
    <m/>
    <m/>
    <m/>
    <m/>
    <s v="Vestimenta y accesorios"/>
    <m/>
  </r>
  <r>
    <d v="2026-04-21T10:58:54"/>
    <d v="2026-04-21T11:22:17"/>
    <s v="AFC"/>
    <n v="12"/>
    <n v="12"/>
    <b v="1"/>
    <d v="2026-04-19T00:00:00"/>
    <n v="1"/>
    <s v="PA"/>
    <s v="IA"/>
    <x v="1"/>
    <x v="9"/>
    <s v="1. Sí"/>
    <s v="1. EPMMOP"/>
    <n v="15"/>
    <x v="0"/>
    <n v="0"/>
    <n v="0"/>
    <n v="0"/>
    <n v="0"/>
    <n v="0"/>
    <s v="1. Hombre"/>
    <n v="60"/>
    <s v="1. Sí"/>
    <m/>
    <x v="0"/>
    <m/>
    <s v="5. Soltera/o"/>
    <s v="5. Universitario"/>
    <s v="1. Completa"/>
    <s v="2. de $471 a $919"/>
    <x v="1"/>
    <x v="5"/>
    <x v="1"/>
    <x v="2"/>
    <x v="1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Bienestar"/>
    <x v="4"/>
    <s v="1. Si"/>
    <s v="2. Bueno"/>
    <s v="1. Si"/>
    <s v="Realizar su trabajo"/>
    <s v="2. No "/>
    <m/>
    <s v="99. Ns/Nc"/>
    <m/>
    <s v="Comida preparada"/>
    <m/>
  </r>
  <r>
    <d v="2026-04-21T11:22:17"/>
    <d v="2026-04-21T11:29:52"/>
    <s v="AFC"/>
    <n v="13"/>
    <n v="13"/>
    <b v="1"/>
    <d v="2026-04-19T00:00:00"/>
    <n v="1"/>
    <s v="MJM"/>
    <s v="IA"/>
    <x v="10"/>
    <x v="10"/>
    <s v="1. Sí"/>
    <s v="1. EPMMOP"/>
    <n v="7"/>
    <x v="0"/>
    <n v="0"/>
    <n v="0"/>
    <n v="0"/>
    <n v="0"/>
    <n v="0"/>
    <s v="2. Mujer"/>
    <n v="40"/>
    <s v="1. Sí"/>
    <m/>
    <x v="0"/>
    <m/>
    <s v="5. Soltera/o"/>
    <s v="5. Universitario"/>
    <s v="1. Completa"/>
    <s v="2. de $471 a $919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s v="Serenidad"/>
    <s v="Alegría"/>
    <x v="5"/>
    <s v="2. No"/>
    <m/>
    <m/>
    <m/>
    <m/>
    <m/>
    <m/>
    <m/>
    <s v="Dermatológico (Naturista)"/>
    <m/>
  </r>
  <r>
    <d v="2026-04-21T11:29:52"/>
    <d v="2026-04-21T11:37:00"/>
    <s v="AFC"/>
    <n v="14"/>
    <n v="14"/>
    <b v="1"/>
    <d v="2026-04-19T00:00:00"/>
    <n v="1"/>
    <s v="PA"/>
    <s v="IA"/>
    <x v="8"/>
    <x v="11"/>
    <s v="1. Sí"/>
    <s v="1. EPMMOP"/>
    <n v="20"/>
    <x v="0"/>
    <n v="0"/>
    <n v="0"/>
    <n v="0"/>
    <n v="0"/>
    <n v="0"/>
    <s v="2. Mujer"/>
    <n v="49"/>
    <s v="1. Sí"/>
    <m/>
    <x v="0"/>
    <m/>
    <s v="5. Soltera/o"/>
    <s v="3. Secundaria/ Bachillerato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m/>
    <s v="1. Sí"/>
    <s v="1. POCO FRECUENTE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s v="Miedo"/>
    <s v="Tranquilidad"/>
    <x v="6"/>
    <s v="2. No"/>
    <m/>
    <m/>
    <m/>
    <m/>
    <m/>
    <m/>
    <m/>
    <s v="Comida preparada"/>
    <m/>
  </r>
  <r>
    <d v="2026-04-21T11:37:00"/>
    <d v="2026-04-21T11:52:58"/>
    <s v="AFC"/>
    <n v="15"/>
    <n v="15"/>
    <b v="1"/>
    <d v="2026-04-19T00:00:00"/>
    <n v="1"/>
    <s v="FT"/>
    <s v="IA"/>
    <x v="11"/>
    <x v="5"/>
    <s v="1. Sí"/>
    <s v="1. EPMMOP"/>
    <n v="15"/>
    <x v="0"/>
    <n v="0"/>
    <n v="0"/>
    <n v="0"/>
    <n v="0"/>
    <n v="0"/>
    <s v="1. Hombre"/>
    <n v="73"/>
    <s v="1. Sí"/>
    <m/>
    <x v="0"/>
    <m/>
    <s v="4. Casada/o"/>
    <s v="5. Universitario"/>
    <s v="1. Completa"/>
    <s v="4. de $1340 a $1839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 VI.10 Otros"/>
    <n v="0"/>
    <n v="1"/>
    <n v="0"/>
    <n v="0"/>
    <n v="0"/>
    <n v="0"/>
    <n v="0"/>
    <n v="0"/>
    <n v="1"/>
    <s v="Billete falso"/>
    <s v="2. No"/>
    <m/>
    <s v="2. No"/>
    <m/>
    <m/>
    <m/>
    <m/>
    <m/>
    <m/>
    <m/>
    <s v="2. No"/>
    <m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s v="1. Sí"/>
    <s v="1. Sí"/>
    <s v="2. BUENO"/>
    <s v="1. Sí"/>
    <s v="2. No"/>
    <m/>
    <s v="2. No"/>
    <m/>
    <m/>
    <s v="2. No"/>
    <m/>
    <m/>
    <m/>
    <s v="Descanso"/>
    <s v="Esparcimiento"/>
    <x v="0"/>
    <s v="2. No"/>
    <m/>
    <m/>
    <m/>
    <m/>
    <m/>
    <m/>
    <m/>
    <s v="Bebidas/Confites/Comestibles industrializados/ Tabacos"/>
    <m/>
  </r>
  <r>
    <d v="2026-04-21T11:52:58"/>
    <d v="2026-04-21T12:01:40"/>
    <s v="AFC"/>
    <n v="16"/>
    <n v="16"/>
    <b v="1"/>
    <d v="2026-04-19T00:00:00"/>
    <n v="1"/>
    <s v="MJM"/>
    <s v="IA"/>
    <x v="12"/>
    <x v="12"/>
    <s v="1. Sí"/>
    <s v="1. EPMMOP"/>
    <n v="50"/>
    <x v="0"/>
    <n v="0"/>
    <n v="0"/>
    <n v="0"/>
    <n v="0"/>
    <n v="0"/>
    <s v="2. Mujer"/>
    <n v="72"/>
    <s v="1. Sí"/>
    <m/>
    <x v="2"/>
    <m/>
    <s v="5. Soltera/o"/>
    <s v="2. Primaria"/>
    <s v="2. Incompleta"/>
    <s v="2. de $471 a $919"/>
    <x v="1"/>
    <x v="6"/>
    <x v="1"/>
    <x v="2"/>
    <x v="2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2. No"/>
    <m/>
    <s v="2. No"/>
    <m/>
    <s v="1. Sí"/>
    <s v="2. FRECUENTE"/>
    <s v="1. Sí"/>
    <s v="2. FRECUENTE"/>
    <s v="1. Sí"/>
    <s v="1. POCO FRECUENTE"/>
    <s v="1. Sí"/>
    <s v="1. POCO FRECUENTE"/>
    <s v="2. No"/>
    <m/>
    <s v="1. Sí"/>
    <s v="1. POCO FRECUENTE"/>
    <s v="1. Sí"/>
    <s v="2. FRECUENTE"/>
    <s v="2. No"/>
    <m/>
    <s v="1. Sí"/>
    <s v="3. MUY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2. No"/>
    <m/>
    <s v="1. Sí"/>
    <s v="2. No"/>
    <m/>
    <s v="2. No"/>
    <m/>
    <m/>
    <m/>
    <s v="Bienestar"/>
    <s v="Tranquilidad"/>
    <x v="7"/>
    <s v="2. No"/>
    <m/>
    <m/>
    <m/>
    <m/>
    <m/>
    <m/>
    <m/>
    <s v="Bebidas/Confites/Comestibles industrializados/ Tabacos"/>
    <m/>
  </r>
  <r>
    <d v="2026-04-21T12:01:40"/>
    <d v="2026-04-21T12:15:04"/>
    <s v="AFC"/>
    <n v="17"/>
    <n v="17"/>
    <b v="1"/>
    <d v="2026-04-19T00:00:00"/>
    <n v="1"/>
    <s v="FT"/>
    <s v="IA"/>
    <x v="13"/>
    <x v="13"/>
    <s v="1. Sí"/>
    <s v="1. EPMMOP"/>
    <n v="12"/>
    <x v="0"/>
    <n v="0"/>
    <n v="0"/>
    <n v="0"/>
    <n v="0"/>
    <n v="0"/>
    <s v="2. Mujer"/>
    <n v="41"/>
    <s v="1. Sí"/>
    <m/>
    <x v="0"/>
    <m/>
    <s v="4. Casada/o"/>
    <s v="4. Tecnicatura/Tecnologí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 3. Consumo de drogas"/>
    <x v="0"/>
    <x v="2"/>
    <x v="2"/>
    <x v="0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1. Sí"/>
    <s v="1. Sí"/>
    <s v="1. Sí"/>
    <s v="2. Gas pimienta 3. Palos"/>
    <n v="0"/>
    <n v="1"/>
    <n v="1"/>
    <n v="0"/>
    <n v="0"/>
    <n v="0"/>
    <m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1. Sí"/>
    <s v="1. POCO FRECUENTE"/>
    <s v="2. No"/>
    <m/>
    <s v="1. Sí"/>
    <s v="3. MUY FRECUENTE"/>
    <s v="1. Sí"/>
    <s v="3. MUY FRECUENTE"/>
    <s v="1. Sí"/>
    <s v="2. FRECUENTE"/>
    <s v="1. Sí"/>
    <s v="2. FRECUENTE"/>
    <s v="1. Sí"/>
    <s v="1. POCO FRECUENTE"/>
    <s v="1. Sí"/>
    <s v="1. POCO FRECUENTE"/>
    <s v="1. Sí"/>
    <s v="1. POCO FRECUENTE"/>
    <s v="1. Sí"/>
    <s v="2. FRECUENTE"/>
    <s v="1. Sí"/>
    <s v="2. FRECUENTE"/>
    <s v="1. Sí"/>
    <s v="1. POCO FRECUENTE"/>
    <s v="1. Sí"/>
    <s v="2. FRECUENTE"/>
    <s v="1. Sí"/>
    <s v="2. FRECUENTE"/>
    <s v="2. No"/>
    <m/>
    <s v="1. Sí"/>
    <s v="2. FRECUENTE"/>
    <s v="2. No"/>
    <m/>
    <m/>
    <s v="1. Sí"/>
    <s v="3. MUY FRECUENTE"/>
    <s v="1. Sí"/>
    <m/>
    <s v="1. Sí"/>
    <s v="1. Sí"/>
    <s v="3. MALO"/>
    <s v="1. Sí"/>
    <s v="1. Sí"/>
    <s v="4. MUY MALO"/>
    <s v="1. Sí"/>
    <s v="2. No"/>
    <m/>
    <s v="1. Sí"/>
    <s v="2. No"/>
    <m/>
    <s v="2. No"/>
    <m/>
    <m/>
    <s v="2. No"/>
    <m/>
    <m/>
    <s v="1. Sí"/>
    <s v="1. Sí"/>
    <s v="1. MUY BUENO"/>
    <s v="2. No"/>
    <m/>
    <m/>
    <s v="1. Sí"/>
    <s v="2. No"/>
    <m/>
    <s v="2. No"/>
    <m/>
    <m/>
    <m/>
    <s v="Ansiedad"/>
    <s v="Alerta"/>
    <x v="0"/>
    <s v="1. Si"/>
    <s v="99. Ns/Nc"/>
    <s v="1. Si"/>
    <s v="Patrullar todo el parque"/>
    <s v="2. No "/>
    <m/>
    <s v="2. No"/>
    <s v="No realizan patrullajes en todos los lugares"/>
    <s v="Juegos infantiles"/>
    <m/>
  </r>
  <r>
    <d v="2026-04-21T12:15:04"/>
    <d v="2026-04-21T12:30:28"/>
    <s v="AFC"/>
    <n v="18"/>
    <n v="18"/>
    <b v="1"/>
    <d v="2026-04-19T00:00:00"/>
    <n v="1"/>
    <s v="PA"/>
    <s v="IA"/>
    <x v="14"/>
    <x v="14"/>
    <s v="1. Sí"/>
    <s v="1. EPMMOP"/>
    <n v="25"/>
    <x v="0"/>
    <n v="0"/>
    <n v="0"/>
    <n v="0"/>
    <n v="0"/>
    <n v="0"/>
    <s v="1. Hombre"/>
    <n v="60"/>
    <s v="1. Sí"/>
    <m/>
    <x v="0"/>
    <m/>
    <s v="4. Casada/o"/>
    <s v="1. Ninguno"/>
    <m/>
    <s v="1. Menos de $470"/>
    <x v="1"/>
    <x v="5"/>
    <x v="1"/>
    <x v="2"/>
    <x v="1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1. Sí"/>
    <s v="2. FRECUENTE"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1. Sí"/>
    <m/>
    <s v="1. Sí"/>
    <s v="1. Sí"/>
    <s v="3. MAL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m/>
    <s v="Tranquilidad"/>
    <m/>
    <x v="0"/>
    <s v="1. Si"/>
    <s v="2. Bueno"/>
    <s v="1. Si"/>
    <s v="Más control"/>
    <s v="2. No "/>
    <m/>
    <s v="1.Si"/>
    <s v="Dan seguridad"/>
    <s v="Venta de helados"/>
    <m/>
  </r>
  <r>
    <d v="2026-04-21T12:30:28"/>
    <d v="2026-04-21T13:41:43"/>
    <s v="AFC"/>
    <n v="19"/>
    <n v="19"/>
    <b v="1"/>
    <d v="2026-04-17T00:00:00"/>
    <n v="1"/>
    <s v="FT"/>
    <s v="IA"/>
    <x v="15"/>
    <x v="15"/>
    <s v="1. Sí"/>
    <s v="1. EPMMOP"/>
    <n v="17"/>
    <x v="0"/>
    <n v="0"/>
    <n v="0"/>
    <n v="0"/>
    <n v="0"/>
    <n v="0"/>
    <s v="2. Mujer"/>
    <n v="41"/>
    <s v="1. Sí"/>
    <m/>
    <x v="0"/>
    <m/>
    <s v="2. Divorciada/o"/>
    <s v="3. Secundaria/ Bachillerato"/>
    <s v="1. Completa"/>
    <s v="1. Menos de $470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1. Empeoró"/>
    <s v="1. Sí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3. MUY FRECUENTE"/>
    <s v="1. Sí"/>
    <s v="1. POCO FRECUENTE"/>
    <s v="2. No"/>
    <m/>
    <s v="1. Sí"/>
    <s v="2. FRECUENTE"/>
    <s v="2. No"/>
    <m/>
    <s v="2. No"/>
    <m/>
    <s v="1. Sí"/>
    <s v="3. MUY FRECUENTE"/>
    <s v="1. Sí"/>
    <s v="1. POCO FRECUENTE"/>
    <s v="2. No"/>
    <m/>
    <s v="1. Sí"/>
    <s v="1. POCO FRECUENTE"/>
    <s v="1. Sí"/>
    <s v="1. POCO FRECUENTE"/>
    <s v="2. No"/>
    <m/>
    <s v="2. No"/>
    <m/>
    <s v="2. No"/>
    <m/>
    <m/>
    <s v="1. Sí"/>
    <s v="3. MUY FRECUENTE"/>
    <s v="2. No"/>
    <m/>
    <s v="1. Sí"/>
    <s v="2. No"/>
    <m/>
    <s v="1. Sí"/>
    <s v="2. No"/>
    <m/>
    <s v="1. Sí"/>
    <s v="1. Sí"/>
    <s v="2. BUENO"/>
    <s v="1. Sí"/>
    <s v="2. No"/>
    <m/>
    <s v="1. Sí"/>
    <s v="2. No"/>
    <m/>
    <s v="1. Sí"/>
    <s v="2. No"/>
    <m/>
    <s v="1. Sí"/>
    <s v="1. Sí"/>
    <s v="1. MUY BUENO"/>
    <s v="1. Sí"/>
    <s v="1. Sí"/>
    <s v="2. BUENO"/>
    <s v="1. Sí"/>
    <s v="1. Sí"/>
    <s v="2. BUENO"/>
    <s v="2. No"/>
    <m/>
    <m/>
    <m/>
    <s v="Tranquilidad"/>
    <m/>
    <x v="0"/>
    <s v="2. No"/>
    <m/>
    <m/>
    <m/>
    <m/>
    <m/>
    <m/>
    <m/>
    <s v="Bebidas/Confites/Comestibles industrializados/ Tabacos"/>
    <m/>
  </r>
  <r>
    <d v="2026-04-21T13:41:44"/>
    <d v="2026-04-21T13:47:31"/>
    <s v="AFC"/>
    <n v="20"/>
    <n v="20"/>
    <b v="1"/>
    <d v="2026-04-17T00:00:00"/>
    <n v="1"/>
    <s v="JA"/>
    <s v="IA"/>
    <x v="16"/>
    <x v="16"/>
    <s v="1. Sí"/>
    <s v="2. AMC"/>
    <n v="1"/>
    <x v="0"/>
    <n v="0"/>
    <n v="0"/>
    <n v="0"/>
    <n v="0"/>
    <n v="0"/>
    <s v="2. Mujer"/>
    <n v="40"/>
    <s v="1. Sí"/>
    <m/>
    <x v="2"/>
    <m/>
    <s v="5. Soltera/o"/>
    <s v="2. Primaria"/>
    <s v="1. Completa"/>
    <s v="1. Menos de $470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2. No"/>
    <m/>
    <s v="1. Sí"/>
    <s v="1. Sí"/>
    <s v="3. MALO"/>
    <s v="1. Sí"/>
    <s v="1. Sí"/>
    <s v="3. MALO"/>
    <s v="1. Sí"/>
    <s v="1. Sí"/>
    <s v="2. BUENO"/>
    <s v="1. Sí"/>
    <s v="2. No"/>
    <m/>
    <s v="1. Sí"/>
    <s v="1. Sí"/>
    <s v="2. BUENO"/>
    <s v="1. Sí"/>
    <s v="2. No"/>
    <m/>
    <s v="2. No"/>
    <m/>
    <m/>
    <s v="1. Sí"/>
    <s v="2. No"/>
    <m/>
    <s v="2. No"/>
    <m/>
    <m/>
    <s v="2. No"/>
    <m/>
    <m/>
    <m/>
    <s v="Tranquilidad"/>
    <m/>
    <x v="0"/>
    <s v="2. No"/>
    <m/>
    <m/>
    <m/>
    <m/>
    <m/>
    <m/>
    <m/>
    <s v="Frutas y Legumbres"/>
    <m/>
  </r>
  <r>
    <d v="2026-04-21T13:47:31"/>
    <d v="2026-04-21T13:54:45"/>
    <s v="AFC"/>
    <n v="21"/>
    <n v="21"/>
    <b v="1"/>
    <d v="2026-04-17T00:00:00"/>
    <n v="1"/>
    <s v="PA"/>
    <s v="IA"/>
    <x v="17"/>
    <x v="17"/>
    <s v="1. Sí"/>
    <s v="1. EPMMOP"/>
    <n v="17"/>
    <x v="0"/>
    <n v="0"/>
    <n v="0"/>
    <n v="0"/>
    <n v="0"/>
    <n v="1"/>
    <s v="2. Mujer"/>
    <n v="62"/>
    <s v="1. Sí"/>
    <m/>
    <x v="0"/>
    <m/>
    <s v="3. Viuda/o"/>
    <s v="2. Primaria"/>
    <s v="1. Completa"/>
    <s v="1. Menos de $470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6. Habitantes de calle (mendicidad)"/>
    <x v="0"/>
    <x v="0"/>
    <x v="0"/>
    <x v="0"/>
    <x v="0"/>
    <x v="2"/>
    <x v="0"/>
    <x v="0"/>
    <x v="0"/>
    <x v="0"/>
    <x v="0"/>
    <m/>
    <m/>
    <s v="4. MUY INSEGURO"/>
    <s v="Madrugada (00:00 a 05:59) Tarde (12:00 a 17:59)"/>
    <n v="1"/>
    <n v="0"/>
    <n v="1"/>
    <n v="0"/>
    <n v="0"/>
    <s v="2. Esta igual"/>
    <s v="2. No"/>
    <s v="2. No"/>
    <s v="1. Sí"/>
    <s v="6. Otros"/>
    <n v="0"/>
    <n v="0"/>
    <n v="0"/>
    <n v="0"/>
    <n v="0"/>
    <n v="1"/>
    <s v="Cámaras robadas"/>
    <s v="1. Sí"/>
    <s v="VI.3 Hurto (sin violencia) VI.6 Amenazas"/>
    <n v="0"/>
    <n v="1"/>
    <n v="0"/>
    <n v="0"/>
    <n v="1"/>
    <n v="0"/>
    <n v="0"/>
    <n v="0"/>
    <n v="0"/>
    <m/>
    <m/>
    <m/>
    <s v="2. No"/>
    <m/>
    <m/>
    <s v="2. No"/>
    <m/>
    <m/>
    <m/>
    <m/>
    <s v="2. No"/>
    <m/>
    <s v="2. No"/>
    <m/>
    <s v="1. Sí"/>
    <s v="1. POCO FRECUENTE"/>
    <s v="1. Sí"/>
    <s v="1. POCO FRECUENTE"/>
    <s v="1. Sí"/>
    <s v="3. MUY FRECUENTE"/>
    <s v="2. No"/>
    <m/>
    <s v="1. Sí"/>
    <s v="3. MUY FRECUENTE"/>
    <s v="1. Sí"/>
    <s v="1. POCO FRECUENTE"/>
    <s v="2. No"/>
    <m/>
    <s v="1. Sí"/>
    <s v="1. POCO FRECUENTE"/>
    <s v="2. No"/>
    <m/>
    <s v="1. Sí"/>
    <s v="3. MUY FRECUENTE"/>
    <s v="2. No"/>
    <m/>
    <s v="1. Sí"/>
    <s v="1. POCO FRECUENTE"/>
    <s v="2. No"/>
    <m/>
    <s v="1. Sí"/>
    <s v="2. FRECUENTE"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2. No"/>
    <m/>
    <m/>
    <m/>
    <s v="Miedo"/>
    <s v="Distracción"/>
    <x v="0"/>
    <s v="1. Si"/>
    <s v="2. Bueno"/>
    <s v="1. Si"/>
    <s v="Para mayor control"/>
    <s v="2. No "/>
    <m/>
    <s v="1.Si"/>
    <s v="Porque ayudan"/>
    <s v="Bebidas/Confites/Comestibles industrializados/ Tabacos"/>
    <m/>
  </r>
  <r>
    <d v="2026-04-21T13:54:45"/>
    <d v="2026-04-21T14:04:13"/>
    <s v="AFC"/>
    <n v="22"/>
    <n v="22"/>
    <b v="1"/>
    <d v="2026-04-17T00:00:00"/>
    <n v="1"/>
    <s v="JA"/>
    <s v="IA"/>
    <x v="18"/>
    <x v="18"/>
    <s v="1. Sí"/>
    <s v="2. AMC"/>
    <n v="36"/>
    <x v="0"/>
    <n v="0"/>
    <n v="0"/>
    <n v="0"/>
    <n v="0"/>
    <n v="0"/>
    <s v="1. Hombre"/>
    <n v="71"/>
    <s v="1. Sí"/>
    <m/>
    <x v="0"/>
    <m/>
    <s v="2. Divorciada/o"/>
    <s v="2. Primaria"/>
    <s v="1. Completa"/>
    <s v="2. de $471 a $919"/>
    <x v="3"/>
    <x v="7"/>
    <x v="1"/>
    <x v="1"/>
    <x v="2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3. MUY FRECUENTE"/>
    <s v="1. Sí"/>
    <s v="1. POCO FRECUENTE"/>
    <s v="1. Sí"/>
    <s v="3. MUY FRECUENTE"/>
    <s v="2. No"/>
    <m/>
    <s v="2. No"/>
    <m/>
    <s v="1. Sí"/>
    <s v="1. POCO FRECUENTE"/>
    <s v="1. Sí"/>
    <s v="3. MUY FRECUENTE"/>
    <s v="2. No"/>
    <m/>
    <s v="1. Sí"/>
    <s v="1. POCO FRECUENTE"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1. Sí"/>
    <s v="1. Sí"/>
    <s v="1. MUY BUENO"/>
    <s v="1. Sí"/>
    <s v="2. No"/>
    <m/>
    <s v="1. Sí"/>
    <s v="2. No"/>
    <m/>
    <s v="1. Sí"/>
    <s v="2. No"/>
    <m/>
    <s v="1. Sí"/>
    <s v="1. Sí"/>
    <s v="1. MUY BUENO"/>
    <s v="1. Sí"/>
    <s v="1. Sí"/>
    <s v="1. MUY BUENO"/>
    <s v="1. Sí"/>
    <s v="1. Sí"/>
    <s v="1. MUY BUENO"/>
    <s v="2. No"/>
    <m/>
    <m/>
    <m/>
    <s v="Trabajo"/>
    <s v="Ambiente"/>
    <x v="8"/>
    <s v="1. Si"/>
    <s v="1. Muy bueno"/>
    <s v="1. Si"/>
    <s v="Viene más frecuente"/>
    <s v="1. Si"/>
    <s v="Le visitaron"/>
    <s v="1.Si"/>
    <s v="Ponen seguridad y orden"/>
    <s v="Comida preparada"/>
    <m/>
  </r>
  <r>
    <d v="2026-04-21T14:04:13"/>
    <d v="2026-04-21T14:18:49"/>
    <s v="AFC"/>
    <n v="23"/>
    <n v="23"/>
    <b v="1"/>
    <d v="2026-04-17T00:00:00"/>
    <n v="1"/>
    <s v="FT"/>
    <s v="IA"/>
    <x v="19"/>
    <x v="19"/>
    <s v="1. Sí"/>
    <s v="1. EPMMOP"/>
    <n v="25"/>
    <x v="0"/>
    <n v="0"/>
    <n v="0"/>
    <n v="0"/>
    <n v="0"/>
    <n v="0"/>
    <s v="1. Hombre"/>
    <n v="60"/>
    <s v="1. Sí"/>
    <m/>
    <x v="2"/>
    <m/>
    <s v="4. Casada/o"/>
    <s v="2. Primaria"/>
    <s v="1. Completa"/>
    <s v="99. NS/NC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2. No"/>
    <m/>
    <m/>
    <s v="2. No"/>
    <m/>
    <m/>
    <s v="2. No"/>
    <m/>
    <m/>
    <s v="2. No"/>
    <m/>
    <m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m/>
    <s v="Seguridad"/>
    <s v="Tranquilidad"/>
    <x v="0"/>
    <s v="2. No"/>
    <m/>
    <m/>
    <m/>
    <m/>
    <m/>
    <m/>
    <m/>
    <s v="Comida preparada"/>
    <s v="Necesita algun número de emergencia directa con PMO para tomar de emergencias medicas ya que la pista de patinaje hay accidentes frecuentes"/>
  </r>
  <r>
    <d v="2026-04-21T14:18:49"/>
    <d v="2026-04-21T15:20:37"/>
    <s v="AFC"/>
    <n v="24"/>
    <n v="24"/>
    <b v="1"/>
    <d v="2026-04-17T00:00:00"/>
    <n v="1"/>
    <s v="FT"/>
    <s v="IA"/>
    <x v="20"/>
    <x v="20"/>
    <s v="1. Sí"/>
    <s v="1. EPMMOP"/>
    <n v="10"/>
    <x v="0"/>
    <n v="0"/>
    <n v="0"/>
    <n v="0"/>
    <n v="0"/>
    <n v="0"/>
    <s v="2. Mujer"/>
    <n v="40"/>
    <s v="1. Sí"/>
    <m/>
    <x v="0"/>
    <m/>
    <s v="4. Casada/o"/>
    <s v="3. Secundaria/ Bachillerato"/>
    <s v="2. Incompleta"/>
    <s v="99. NS/NC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m/>
    <s v="Tranquilidad"/>
    <m/>
    <x v="0"/>
    <s v="2. No"/>
    <m/>
    <m/>
    <m/>
    <m/>
    <m/>
    <m/>
    <m/>
    <s v="Comida preparada"/>
    <m/>
  </r>
  <r>
    <d v="2026-04-21T15:20:37"/>
    <d v="2026-04-21T15:26:32"/>
    <s v="AFC"/>
    <n v="25"/>
    <n v="25"/>
    <b v="1"/>
    <d v="2026-04-17T00:00:00"/>
    <n v="1"/>
    <s v="PA"/>
    <s v="IA"/>
    <x v="19"/>
    <x v="19"/>
    <s v="1. Sí"/>
    <s v="1. EPMMOP"/>
    <n v="30"/>
    <x v="0"/>
    <n v="0"/>
    <n v="0"/>
    <n v="0"/>
    <n v="0"/>
    <n v="0"/>
    <s v="1. Hombre"/>
    <n v="60"/>
    <s v="1. Sí"/>
    <m/>
    <x v="0"/>
    <m/>
    <s v="4. Casada/o"/>
    <s v="5. Universitari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 7. Falta de alumbrado público"/>
    <x v="0"/>
    <x v="2"/>
    <x v="0"/>
    <x v="0"/>
    <x v="0"/>
    <x v="0"/>
    <x v="2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3. Palos 6. Otros"/>
    <n v="0"/>
    <n v="0"/>
    <n v="1"/>
    <n v="0"/>
    <n v="0"/>
    <n v="1"/>
    <s v="Cámaras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1. Sí"/>
    <s v="3. MUY FRECUENTE"/>
    <s v="2. No"/>
    <m/>
    <s v="1. Sí"/>
    <s v="2. FRECUENTE"/>
    <s v="1. Sí"/>
    <s v="1. POCO FRECUENTE"/>
    <s v="2. No"/>
    <m/>
    <s v="1. Sí"/>
    <s v="3. MUY FRECUENTE"/>
    <s v="2. No"/>
    <m/>
    <s v="2. No"/>
    <m/>
    <s v="2. No"/>
    <m/>
    <s v="1. Sí"/>
    <s v="3. MUY FRECUENTE"/>
    <s v="2. No"/>
    <m/>
    <s v="1. Sí"/>
    <s v="3. MUY FRECUENTE"/>
    <s v="2. No"/>
    <m/>
    <m/>
    <s v="1. Sí"/>
    <s v="3. MUY FRECUENTE"/>
    <s v="1. Sí"/>
    <m/>
    <s v="1. Sí"/>
    <s v="1. Sí"/>
    <s v="3. MALO"/>
    <s v="1. Sí"/>
    <s v="2. No"/>
    <m/>
    <s v="2. No"/>
    <m/>
    <m/>
    <s v="1. Sí"/>
    <s v="2. No"/>
    <m/>
    <s v="1. Sí"/>
    <s v="1. Sí"/>
    <s v="1. MUY BUENO"/>
    <s v="2. No"/>
    <m/>
    <m/>
    <s v="2. No"/>
    <m/>
    <m/>
    <s v="1. Sí"/>
    <s v="2. No"/>
    <m/>
    <s v="1. Sí"/>
    <s v="2. No"/>
    <m/>
    <s v="2. No"/>
    <m/>
    <m/>
    <m/>
    <s v="Rentabilidad"/>
    <s v="Esperanza"/>
    <x v="9"/>
    <s v="1. Si"/>
    <s v="2. Bueno"/>
    <s v="1. Si"/>
    <s v="Prevención"/>
    <s v="2. No "/>
    <m/>
    <s v="2. No"/>
    <s v="Mucha corrupción"/>
    <s v="Comida preparada"/>
    <m/>
  </r>
  <r>
    <d v="2026-04-21T15:26:32"/>
    <d v="2026-04-21T15:34:30"/>
    <s v="AFC"/>
    <n v="26"/>
    <n v="26"/>
    <b v="1"/>
    <d v="2026-04-17T00:00:00"/>
    <n v="1"/>
    <s v="JA"/>
    <s v="IA"/>
    <x v="21"/>
    <x v="21"/>
    <s v="1. Sí"/>
    <s v="1. EPMMOP"/>
    <n v="40"/>
    <x v="0"/>
    <n v="0"/>
    <n v="0"/>
    <n v="0"/>
    <n v="0"/>
    <n v="0"/>
    <s v="1. Hombre"/>
    <n v="40"/>
    <s v="1. Sí"/>
    <m/>
    <x v="0"/>
    <m/>
    <s v="5. Soltera/o"/>
    <s v="5. Universitario"/>
    <s v="1. Completa"/>
    <s v="5. más de $1840"/>
    <x v="2"/>
    <x v="0"/>
    <x v="0"/>
    <x v="0"/>
    <x v="0"/>
    <x v="0"/>
    <x v="0"/>
    <x v="0"/>
    <x v="0"/>
    <x v="0"/>
    <x v="0"/>
    <x v="0"/>
    <x v="0"/>
    <x v="0"/>
    <x v="0"/>
    <x v="0"/>
    <m/>
    <s v="3. Consumo de drogas 4. Ventas ambulantes 8. ¿Cuál?1"/>
    <x v="1"/>
    <x v="0"/>
    <x v="2"/>
    <x v="2"/>
    <x v="0"/>
    <x v="0"/>
    <x v="0"/>
    <x v="1"/>
    <x v="0"/>
    <x v="0"/>
    <x v="2"/>
    <m/>
    <m/>
    <s v="3. INSEGURO"/>
    <s v="Mañana  (06:00 a 11:59) Tarde (12:00 a 17:59) Noche  (18:00 a 23:59)"/>
    <n v="0"/>
    <n v="1"/>
    <n v="1"/>
    <n v="1"/>
    <n v="0"/>
    <s v="2. Esta igual"/>
    <s v="2. No"/>
    <s v="1. Sí"/>
    <s v="1. Sí"/>
    <s v="6. Otros"/>
    <n v="0"/>
    <n v="0"/>
    <n v="0"/>
    <n v="0"/>
    <n v="0"/>
    <n v="1"/>
    <s v="Resguardo del dinero en el local al depositarlo"/>
    <s v="1. Sí"/>
    <s v="VI.7 Agresiones"/>
    <n v="0"/>
    <n v="0"/>
    <n v="0"/>
    <n v="0"/>
    <n v="0"/>
    <n v="1"/>
    <n v="0"/>
    <n v="0"/>
    <n v="0"/>
    <m/>
    <m/>
    <m/>
    <m/>
    <m/>
    <m/>
    <m/>
    <s v="1. Sí"/>
    <m/>
    <m/>
    <m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2. FRECUENTE"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2. FRECUENTE"/>
    <s v="2. No"/>
    <m/>
    <s v="2. No"/>
    <m/>
    <s v="1. Sí"/>
    <s v="Venta ilegal por comercio autónomo alcohol droga y tabaco"/>
    <s v="2. FRECUENTE"/>
    <s v="1. Sí"/>
    <s v="3. MUY FRECUENTE"/>
    <s v="1. Sí"/>
    <m/>
    <s v="1. Sí"/>
    <s v="1. Sí"/>
    <s v="3. MALO"/>
    <s v="1. Sí"/>
    <s v="1. Sí"/>
    <s v="3. MALO"/>
    <s v="1. Sí"/>
    <s v="1. Sí"/>
    <s v="2. BUENO"/>
    <s v="1. Sí"/>
    <s v="1. Sí"/>
    <s v="3. MALO"/>
    <s v="1. Sí"/>
    <s v="1. Sí"/>
    <s v="2. BUENO"/>
    <s v="1. Sí"/>
    <s v="1. Sí"/>
    <s v="2. BUENO"/>
    <s v="1. Sí"/>
    <s v="1. Sí"/>
    <s v="1. MUY BUENO"/>
    <s v="1. Sí"/>
    <s v="1. Sí"/>
    <s v="3. MALO"/>
    <s v="1. Sí"/>
    <s v="1. Sí"/>
    <s v="2. BUENO"/>
    <s v="1. Sí"/>
    <s v="1. Sí"/>
    <s v="4. MUY MALO"/>
    <m/>
    <s v="Miedo"/>
    <s v="Inseguridad"/>
    <x v="10"/>
    <s v="1. Si"/>
    <s v="4. Muy malo"/>
    <s v="1. Si"/>
    <s v="Solo se retiran y regresan"/>
    <s v="1. Si"/>
    <s v="Porque nosotros exigimos"/>
    <s v="2. No"/>
    <s v="Ya hemos hecho y resultados cero no hacen nada"/>
    <s v="Comida preparada"/>
    <m/>
  </r>
  <r>
    <d v="2026-04-21T15:34:30"/>
    <d v="2026-04-21T15:44:44"/>
    <s v="AFC"/>
    <n v="27"/>
    <n v="27"/>
    <b v="1"/>
    <d v="2026-04-16T00:00:00"/>
    <n v="1"/>
    <s v="FT"/>
    <s v="IA"/>
    <x v="22"/>
    <x v="22"/>
    <s v="1. Sí"/>
    <s v="1. EPMMOP"/>
    <n v="6"/>
    <x v="0"/>
    <n v="0"/>
    <n v="0"/>
    <n v="0"/>
    <n v="0"/>
    <n v="0"/>
    <s v="1. Hombre"/>
    <n v="70"/>
    <s v="1. Sí"/>
    <m/>
    <x v="2"/>
    <m/>
    <s v="2. Divorciada/o"/>
    <s v="2. Primaria"/>
    <s v="1. Completa"/>
    <s v="1. Menos de $470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1. Sí"/>
    <s v="1. POCO FRECUENTE"/>
    <s v="2. No"/>
    <m/>
    <s v="1. Sí"/>
    <s v="1. POCO FRECUENTE"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3. MALO"/>
    <s v="2. No"/>
    <m/>
    <m/>
    <s v="2. No"/>
    <m/>
    <m/>
    <s v="1. Sí"/>
    <s v="1. Sí"/>
    <s v="2. BUENO"/>
    <s v="1. Sí"/>
    <s v="1. Sí"/>
    <s v="2. BUENO"/>
    <s v="1. Sí"/>
    <s v="2. No"/>
    <m/>
    <s v="1. Sí"/>
    <s v="1. Sí"/>
    <s v="2. BUENO"/>
    <s v="1. Sí"/>
    <s v="1. Sí"/>
    <s v="3. MALO"/>
    <s v="1. Sí"/>
    <s v="1. Sí"/>
    <s v="2. BUENO"/>
    <s v="2. No"/>
    <m/>
    <m/>
    <m/>
    <s v="Tranquilidad"/>
    <m/>
    <x v="0"/>
    <s v="2. No"/>
    <m/>
    <m/>
    <m/>
    <m/>
    <m/>
    <m/>
    <m/>
    <s v="Jugos"/>
    <m/>
  </r>
  <r>
    <d v="2026-04-21T15:44:44"/>
    <d v="2026-04-21T15:51:18"/>
    <s v="AFC"/>
    <n v="28"/>
    <n v="28"/>
    <b v="1"/>
    <d v="2026-04-17T00:00:00"/>
    <n v="1"/>
    <s v="PA"/>
    <s v="IA"/>
    <x v="23"/>
    <x v="23"/>
    <s v="1. Sí"/>
    <s v="1. EPMMOP"/>
    <n v="40"/>
    <x v="0"/>
    <n v="0"/>
    <n v="0"/>
    <n v="0"/>
    <n v="0"/>
    <n v="0"/>
    <s v="2. Mujer"/>
    <n v="75"/>
    <s v="1. Sí"/>
    <m/>
    <x v="0"/>
    <m/>
    <s v="1. Unión de Hecho/Libre"/>
    <s v="3. Secundaria/ Bachillerato"/>
    <s v="2. Incompleta"/>
    <s v="1. Menos de $470"/>
    <x v="1"/>
    <x v="8"/>
    <x v="1"/>
    <x v="2"/>
    <x v="1"/>
    <x v="1"/>
    <x v="1"/>
    <x v="1"/>
    <x v="2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Todos los horarios"/>
    <n v="0"/>
    <n v="0"/>
    <n v="0"/>
    <n v="0"/>
    <n v="1"/>
    <s v="1. Empeoró"/>
    <s v="2. No"/>
    <s v="2. No"/>
    <s v="1. Sí"/>
    <s v="6. Otros"/>
    <n v="0"/>
    <n v="0"/>
    <n v="0"/>
    <n v="0"/>
    <n v="0"/>
    <n v="1"/>
    <s v="Internet cámaras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2. FRECUENTE"/>
    <s v="1. Sí"/>
    <s v="1. POCO FRECUENTE"/>
    <s v="2. No"/>
    <m/>
    <s v="2. No"/>
    <m/>
    <s v="1. Sí"/>
    <s v="3. MUY FRECUENTE"/>
    <s v="2. No"/>
    <m/>
    <s v="2. No"/>
    <m/>
    <s v="1. Sí"/>
    <s v="3. MUY FRECUENTE"/>
    <s v="1. Sí"/>
    <s v="1. POCO FRECUENTE"/>
    <s v="2. No"/>
    <m/>
    <s v="2. No"/>
    <m/>
    <s v="2. No"/>
    <m/>
    <s v="2. No"/>
    <m/>
    <s v="1. Sí"/>
    <s v="3. MUY FRECUENTE"/>
    <s v="2. No"/>
    <m/>
    <m/>
    <s v="1. Sí"/>
    <s v="3. MUY FRECUENTE"/>
    <s v="1. Sí"/>
    <m/>
    <s v="1. Sí"/>
    <s v="1. Sí"/>
    <s v="3. MALO"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Hogar"/>
    <s v="Familia"/>
    <x v="11"/>
    <s v="1. Si"/>
    <s v="3. Malo"/>
    <s v="2. No "/>
    <s v="Debe ser el control permanente"/>
    <s v="1. Si"/>
    <s v="Recuperación sector comidas"/>
    <s v="2. No"/>
    <s v="Por insibilidades"/>
    <s v="Bebidas/Confites/Comestibles industrializados/ Tabacos"/>
    <s v="Se comunican los informales entre ellos"/>
  </r>
  <r>
    <d v="2026-04-21T15:51:18"/>
    <d v="2026-04-21T16:01:01"/>
    <s v="AFC"/>
    <n v="29"/>
    <n v="29"/>
    <b v="1"/>
    <d v="2026-04-17T00:00:00"/>
    <n v="1"/>
    <s v="JA"/>
    <s v="IA"/>
    <x v="24"/>
    <x v="24"/>
    <s v="1. Sí"/>
    <s v="2. AMC"/>
    <n v="3"/>
    <x v="0"/>
    <n v="0"/>
    <n v="0"/>
    <n v="0"/>
    <n v="0"/>
    <n v="0"/>
    <s v="2. Mujer"/>
    <n v="33"/>
    <s v="2. No"/>
    <s v="Venezolana"/>
    <x v="0"/>
    <m/>
    <s v="4. Casada/o"/>
    <s v="3. Secundaria/ Bachillerato"/>
    <s v="1. Completa"/>
    <s v="1. Menos de $470"/>
    <x v="1"/>
    <x v="9"/>
    <x v="1"/>
    <x v="2"/>
    <x v="2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arde (12:00 a 17:59)"/>
    <n v="0"/>
    <n v="0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1. Sí"/>
    <s v="2. FRECUENTE"/>
    <s v="2. No"/>
    <m/>
    <s v="1. Sí"/>
    <s v="2. FRECUENTE"/>
    <s v="2. No"/>
    <m/>
    <s v="2. No"/>
    <m/>
    <s v="1. Sí"/>
    <s v="1. POCO FRECUENTE"/>
    <s v="2. No"/>
    <m/>
    <s v="2. No"/>
    <m/>
    <s v="2. No"/>
    <m/>
    <s v="1. Sí"/>
    <s v="3. MUY FRECUENTE"/>
    <s v="2. No"/>
    <m/>
    <s v="1. Sí"/>
    <s v="3. MUY FRECUENTE"/>
    <s v="2. No"/>
    <m/>
    <m/>
    <s v="1. Sí"/>
    <s v="2. FRECUENTE"/>
    <s v="2. No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1. Sí"/>
    <s v="2. BUENO"/>
    <s v="1. Sí"/>
    <s v="2. No"/>
    <m/>
    <s v="2. No"/>
    <m/>
    <m/>
    <m/>
    <s v="Servicio"/>
    <s v="Ayuda"/>
    <x v="12"/>
    <s v="1. Si"/>
    <s v="2. Bueno"/>
    <s v="1. Si"/>
    <s v="Estan ellos realizan los delincuentes"/>
    <s v="2. No "/>
    <m/>
    <s v="1.Si"/>
    <s v="Búsqueda de ayuda"/>
    <s v="Comida preparada"/>
    <m/>
  </r>
  <r>
    <d v="2026-04-21T16:01:01"/>
    <d v="2026-04-21T16:08:21"/>
    <s v="AFC"/>
    <n v="30"/>
    <n v="30"/>
    <b v="1"/>
    <d v="2026-04-17T00:00:00"/>
    <n v="1"/>
    <s v="PA"/>
    <s v="IA"/>
    <x v="23"/>
    <x v="25"/>
    <s v="1. Sí"/>
    <s v="1. EPMMOP"/>
    <n v="28"/>
    <x v="0"/>
    <n v="0"/>
    <n v="0"/>
    <n v="0"/>
    <n v="0"/>
    <n v="0"/>
    <s v="1. Hombre"/>
    <n v="59"/>
    <s v="1. Sí"/>
    <m/>
    <x v="0"/>
    <m/>
    <s v="4. Casad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 Noche  (18:00 a 23:59)"/>
    <n v="0"/>
    <n v="0"/>
    <n v="1"/>
    <n v="1"/>
    <n v="0"/>
    <s v="2. Esta igual"/>
    <s v="2. No"/>
    <s v="2. No"/>
    <s v="1. Sí"/>
    <s v="6. Otros"/>
    <n v="0"/>
    <n v="0"/>
    <n v="0"/>
    <n v="0"/>
    <n v="0"/>
    <n v="1"/>
    <s v="Cámaras"/>
    <s v="1. Sí"/>
    <s v="VI.6 Amenazas VI.7 Agresiones"/>
    <n v="0"/>
    <n v="0"/>
    <n v="0"/>
    <n v="0"/>
    <n v="1"/>
    <n v="1"/>
    <n v="0"/>
    <n v="0"/>
    <n v="0"/>
    <m/>
    <m/>
    <m/>
    <m/>
    <m/>
    <m/>
    <s v="2. No"/>
    <s v="2. No"/>
    <m/>
    <m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1. Sí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m/>
    <s v="Seguridad"/>
    <s v="Tranquilidad"/>
    <x v="13"/>
    <s v="1. Si"/>
    <s v="2. Bueno"/>
    <s v="1. Si"/>
    <s v="Por control y respeto"/>
    <s v="1. Si"/>
    <s v="Parte recuperación sector alimentos comidas"/>
    <s v="1.Si"/>
    <s v="Por el control y vigilancia"/>
    <s v="Comida preparada"/>
    <m/>
  </r>
  <r>
    <d v="2026-04-20T10:23:06"/>
    <d v="2026-04-20T15:53:26"/>
    <s v="VB"/>
    <n v="31"/>
    <n v="31"/>
    <b v="1"/>
    <d v="2026-04-17T00:00:00"/>
    <n v="1"/>
    <s v="FT"/>
    <s v="IA"/>
    <x v="25"/>
    <x v="26"/>
    <s v="1. Sí"/>
    <s v="1. EPMMOP"/>
    <n v="6"/>
    <x v="0"/>
    <n v="0"/>
    <n v="0"/>
    <n v="0"/>
    <n v="0"/>
    <n v="0"/>
    <s v="2. Mujer"/>
    <n v="57"/>
    <s v="1. Sí"/>
    <m/>
    <x v="3"/>
    <m/>
    <s v="2. Divorciada/o"/>
    <s v="2. Primaria"/>
    <s v="2. Incompleta"/>
    <s v="99. NS/NC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4. MUY INSEGURO"/>
    <s v="Mañana  (06:00 a 11:59) Tarde (12:00 a 17:59)"/>
    <n v="0"/>
    <n v="1"/>
    <n v="1"/>
    <n v="0"/>
    <n v="0"/>
    <s v="3. Mejoró"/>
    <s v="2. No"/>
    <s v="2. No"/>
    <s v="1. Sí"/>
    <s v="3. Palos"/>
    <n v="0"/>
    <n v="0"/>
    <n v="1"/>
    <n v="0"/>
    <n v="0"/>
    <n v="0"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1. Sí"/>
    <s v="2. FRECUENTE"/>
    <s v="99. NS/NC"/>
    <m/>
    <s v="2. No"/>
    <m/>
    <s v="2. No"/>
    <m/>
    <s v="99. NS/NC"/>
    <m/>
    <s v="2. No"/>
    <m/>
    <s v="1. Sí"/>
    <s v="2. FRECUENTE"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4. MUY MALO"/>
    <s v="1. Sí"/>
    <s v="1. Sí"/>
    <s v="4. MUY MALO"/>
    <s v="2. No"/>
    <m/>
    <m/>
    <s v="1. Sí"/>
    <s v="2. No"/>
    <m/>
    <s v="1. Sí"/>
    <s v="2. No"/>
    <m/>
    <s v="2. No"/>
    <m/>
    <m/>
    <s v="1. Sí"/>
    <s v="1. Sí"/>
    <s v="3. MALO"/>
    <s v="2. No"/>
    <m/>
    <m/>
    <s v="2. No"/>
    <m/>
    <m/>
    <s v="2. No"/>
    <m/>
    <m/>
    <m/>
    <s v="Tranquilidad"/>
    <m/>
    <x v="0"/>
    <s v="2. No"/>
    <m/>
    <m/>
    <m/>
    <m/>
    <m/>
    <m/>
    <m/>
    <s v="Jugos"/>
    <m/>
  </r>
  <r>
    <d v="2026-04-20T15:53:26"/>
    <d v="2026-04-20T15:59:33"/>
    <s v="VB"/>
    <n v="32"/>
    <n v="32"/>
    <b v="1"/>
    <d v="2026-04-17T00:00:00"/>
    <n v="1"/>
    <s v="JA"/>
    <s v="IA"/>
    <x v="26"/>
    <x v="27"/>
    <s v="1. Sí"/>
    <s v="1. EPMMOP"/>
    <n v="2"/>
    <x v="0"/>
    <n v="0"/>
    <n v="0"/>
    <n v="0"/>
    <n v="0"/>
    <n v="0"/>
    <s v="1. Hombre"/>
    <n v="38"/>
    <s v="1. Sí"/>
    <m/>
    <x v="0"/>
    <m/>
    <s v="5. Soltera/o"/>
    <s v="5. Universitario"/>
    <s v="1. Completa"/>
    <s v="2. de $471 a $919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1. Sí"/>
    <s v="1. Sí"/>
    <s v="1. Sí"/>
    <s v="6. Otros"/>
    <n v="0"/>
    <n v="0"/>
    <n v="0"/>
    <n v="0"/>
    <n v="0"/>
    <n v="1"/>
    <s v="Cercado"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2. FRECUENTE"/>
    <s v="2. No"/>
    <m/>
    <s v="1. Sí"/>
    <s v="2. FRECUENTE"/>
    <s v="1. Sí"/>
    <s v="1. POCO FRECUENTE"/>
    <s v="2. No"/>
    <m/>
    <s v="1. Sí"/>
    <s v="2. FRECUENTE"/>
    <s v="1. Sí"/>
    <s v="2. FRECUENTE"/>
    <s v="1. Sí"/>
    <s v="1. POCO FRECUENTE"/>
    <s v="2. No"/>
    <m/>
    <s v="1. Sí"/>
    <s v="3. MUY FRECUENTE"/>
    <s v="2. No"/>
    <m/>
    <s v="1. Sí"/>
    <s v="2.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1. Sí"/>
    <s v="1. Sí"/>
    <s v="1. MUY BUENO"/>
    <s v="2. No"/>
    <m/>
    <m/>
    <m/>
    <s v="Frustración"/>
    <s v="Verguenza"/>
    <x v="14"/>
    <s v="2. No"/>
    <m/>
    <m/>
    <m/>
    <m/>
    <m/>
    <m/>
    <m/>
    <s v="Comida preparada"/>
    <m/>
  </r>
  <r>
    <d v="2026-04-20T15:59:33"/>
    <d v="2026-04-20T16:13:59"/>
    <s v="VB"/>
    <n v="33"/>
    <n v="33"/>
    <b v="1"/>
    <d v="2026-04-17T00:00:00"/>
    <n v="1"/>
    <s v="PA"/>
    <s v="IA"/>
    <x v="27"/>
    <x v="28"/>
    <s v="1. Sí"/>
    <s v="1. EPMMOP"/>
    <n v="24"/>
    <x v="0"/>
    <n v="0"/>
    <n v="0"/>
    <n v="0"/>
    <n v="0"/>
    <n v="0"/>
    <s v="1. Hombre"/>
    <n v="53"/>
    <s v="1. Sí"/>
    <m/>
    <x v="0"/>
    <m/>
    <s v="4. Casada/o"/>
    <s v="2. Primaria"/>
    <s v="1. Completa"/>
    <s v="3. de $920 a $1339"/>
    <x v="1"/>
    <x v="9"/>
    <x v="1"/>
    <x v="2"/>
    <x v="2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2. No"/>
    <m/>
    <s v="2. No"/>
    <m/>
    <s v="2. No"/>
    <m/>
    <s v="1. Sí"/>
    <s v="2.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Tranquilidad"/>
    <s v="Miedo"/>
    <x v="0"/>
    <s v="1. Si"/>
    <s v="2. Bueno"/>
    <s v="1. Si"/>
    <s v="Más seguridad"/>
    <s v="2. No "/>
    <m/>
    <s v="1.Si"/>
    <s v="Para ayudar al control"/>
    <s v="Comida preparada"/>
    <m/>
  </r>
  <r>
    <d v="2026-04-20T16:13:59"/>
    <d v="2026-04-20T16:21:46"/>
    <s v="VB"/>
    <n v="34"/>
    <n v="34"/>
    <b v="1"/>
    <d v="2026-04-17T00:00:00"/>
    <n v="1"/>
    <s v="JA"/>
    <s v="IA"/>
    <x v="28"/>
    <x v="29"/>
    <s v="1. Sí"/>
    <s v="2. AMC"/>
    <n v="2"/>
    <x v="0"/>
    <n v="0"/>
    <n v="0"/>
    <n v="0"/>
    <n v="0"/>
    <n v="0"/>
    <s v="2. Mujer"/>
    <n v="35"/>
    <s v="1. Sí"/>
    <m/>
    <x v="0"/>
    <m/>
    <s v="5. Soltera/o"/>
    <s v="5. Universitario"/>
    <s v="1. Completa"/>
    <s v="3. de $920 a $1339"/>
    <x v="1"/>
    <x v="10"/>
    <x v="2"/>
    <x v="2"/>
    <x v="1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 Tarde (12:00 a 17:59) Noche  (18:00 a 23:59)"/>
    <n v="0"/>
    <n v="1"/>
    <n v="1"/>
    <n v="1"/>
    <n v="0"/>
    <s v="2. Esta igual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1. Sí"/>
    <s v="2. FRECUENTE"/>
    <s v="1. Sí"/>
    <s v="1. POCO FRECUENTE"/>
    <s v="2. No"/>
    <m/>
    <s v="2. No"/>
    <m/>
    <s v="2. No"/>
    <m/>
    <m/>
    <s v="1. Sí"/>
    <s v="2. FRECUENTE"/>
    <s v="2. No"/>
    <m/>
    <s v="2. No"/>
    <m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s v="Bonito"/>
    <s v="Natural"/>
    <x v="15"/>
    <s v="2. No"/>
    <m/>
    <m/>
    <m/>
    <m/>
    <m/>
    <m/>
    <m/>
    <s v="GYM"/>
    <m/>
  </r>
  <r>
    <d v="2026-04-20T16:21:46"/>
    <d v="2026-04-20T16:32:47"/>
    <s v="VB"/>
    <n v="35"/>
    <n v="35"/>
    <b v="1"/>
    <d v="2026-04-16T00:00:00"/>
    <n v="1"/>
    <s v="FT"/>
    <s v="IA"/>
    <x v="28"/>
    <x v="29"/>
    <s v="1. Sí"/>
    <s v="1. EPMMOP"/>
    <n v="1"/>
    <x v="0"/>
    <n v="0"/>
    <n v="1"/>
    <n v="0"/>
    <n v="0"/>
    <n v="1"/>
    <s v="2. Mujer"/>
    <n v="43"/>
    <s v="2. No"/>
    <s v="Venezolana"/>
    <x v="0"/>
    <m/>
    <s v="1. Unión de Hecho/Libre"/>
    <s v="3. Secundaria/ Bachillerato"/>
    <s v="1. Completa"/>
    <s v="2. de $471 a $919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4. MUY INSEGURO"/>
    <s v="Noche  (18:00 a 23:59)"/>
    <n v="0"/>
    <n v="0"/>
    <n v="0"/>
    <n v="1"/>
    <n v="0"/>
    <s v="2. Esta igual"/>
    <s v="1. Sí"/>
    <s v="2. No"/>
    <s v="1. Sí"/>
    <s v="6. Otros"/>
    <n v="0"/>
    <n v="0"/>
    <n v="0"/>
    <n v="0"/>
    <n v="0"/>
    <n v="1"/>
    <s v="No abre la puerta lateral del local por seguridad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1. Sí"/>
    <s v="1. POCO FRECUENTE"/>
    <s v="2. No"/>
    <m/>
    <s v="1. Sí"/>
    <s v="3. MUY FRECUENTE"/>
    <s v="1. Sí"/>
    <s v="1. POCO FRECUENTE"/>
    <s v="99. NS/NC"/>
    <m/>
    <s v="1. Sí"/>
    <s v="1. POCO FRECUENTE"/>
    <s v="1. Sí"/>
    <s v="1. POCO FRECUENTE"/>
    <s v="1. Sí"/>
    <s v="3. MUY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1. POCO FRECUENTE"/>
    <s v="1. Sí"/>
    <m/>
    <s v="1. Sí"/>
    <s v="2. No"/>
    <m/>
    <s v="1. Sí"/>
    <s v="2. No"/>
    <m/>
    <s v="1. Sí"/>
    <s v="2. No"/>
    <m/>
    <s v="1. Sí"/>
    <s v="2. No"/>
    <m/>
    <s v="1. Sí"/>
    <s v="1. Sí"/>
    <s v="1. MUY BUENO"/>
    <s v="2. No"/>
    <m/>
    <m/>
    <s v="1. Sí"/>
    <s v="1. Sí"/>
    <s v="2. BUENO"/>
    <s v="1. Sí"/>
    <s v="2. No"/>
    <m/>
    <s v="1. Sí"/>
    <s v="2. No"/>
    <m/>
    <s v="1. Sí"/>
    <s v="2. No"/>
    <m/>
    <m/>
    <s v="Tranquilidad"/>
    <s v="Insegura"/>
    <x v="0"/>
    <s v="2. No"/>
    <m/>
    <m/>
    <m/>
    <m/>
    <m/>
    <m/>
    <m/>
    <s v="Comida preparada"/>
    <s v="Música alto volumen fines de semana junto al local por parte de los tatuadores y vendedores de ropa"/>
  </r>
  <r>
    <d v="2026-04-20T16:32:47"/>
    <d v="2026-04-21T09:31:31"/>
    <s v="VB"/>
    <n v="36"/>
    <n v="36"/>
    <b v="1"/>
    <d v="2026-04-17T00:00:00"/>
    <n v="1"/>
    <s v="PA"/>
    <s v="IA"/>
    <x v="29"/>
    <x v="30"/>
    <s v="1. Sí"/>
    <s v="2. AMC"/>
    <n v="19"/>
    <x v="0"/>
    <n v="0"/>
    <n v="0"/>
    <n v="0"/>
    <n v="0"/>
    <n v="0"/>
    <s v="2. Mujer"/>
    <n v="45"/>
    <s v="1. Sí"/>
    <m/>
    <x v="0"/>
    <m/>
    <s v="4. Casada/o"/>
    <s v="5. Universitario"/>
    <s v="1. Completa"/>
    <s v="2. de $471 a $919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Cámaras y guardias"/>
    <s v="2. No"/>
    <m/>
    <m/>
    <m/>
    <m/>
    <m/>
    <m/>
    <m/>
    <m/>
    <m/>
    <m/>
    <m/>
    <m/>
    <m/>
    <m/>
    <m/>
    <m/>
    <m/>
    <m/>
    <m/>
    <m/>
    <m/>
    <s v="1. Sí"/>
    <s v="3. MUY FRECUENTE"/>
    <s v="1. Sí"/>
    <s v="1. POCO FRECUENTE"/>
    <s v="1. Sí"/>
    <s v="3. MUY FRECUENTE"/>
    <s v="1. Sí"/>
    <s v="1. POCO FRECUENTE"/>
    <s v="2. No"/>
    <m/>
    <s v="2. No"/>
    <m/>
    <s v="1. Sí"/>
    <s v="2. FRECUENTE"/>
    <s v="1. Sí"/>
    <s v="2. FRECUENTE"/>
    <s v="2. No"/>
    <m/>
    <s v="1. Sí"/>
    <s v="2. FRECUENTE"/>
    <s v="2. No"/>
    <m/>
    <s v="1. Sí"/>
    <s v="1. POCO FRECUENTE"/>
    <s v="2. No"/>
    <m/>
    <s v="1. Sí"/>
    <s v="3. MUY FRECUENTE"/>
    <s v="2. No"/>
    <m/>
    <s v="1. Sí"/>
    <s v="2. FRECUENTE"/>
    <s v="2. No"/>
    <m/>
    <m/>
    <s v="1. Sí"/>
    <s v="2. FRECUENTE"/>
    <s v="2. No"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3. MALO"/>
    <s v="1. Sí"/>
    <s v="1. Sí"/>
    <s v="2. BUENO"/>
    <s v="1. Sí"/>
    <s v="1. Sí"/>
    <s v="2. BUENO"/>
    <s v="1. Sí"/>
    <s v="2. No"/>
    <m/>
    <s v="2. No"/>
    <m/>
    <m/>
    <m/>
    <s v="Vida"/>
    <s v="Cuidado"/>
    <x v="16"/>
    <s v="1. Si"/>
    <s v="1. Muy bueno"/>
    <s v="1. Si"/>
    <s v="Reduce el consumo"/>
    <s v="1. Si"/>
    <s v="Reuniones  entre el parque, administración y vivarium"/>
    <s v="1.Si"/>
    <s v="Confianza y familia"/>
    <s v="Bebidas/Confites/Comestibles industrializados/ Tabacos"/>
    <s v="Museo Vivarium"/>
  </r>
  <r>
    <d v="2026-04-21T09:31:31"/>
    <d v="2026-04-21T09:38:19"/>
    <s v="VB"/>
    <n v="37"/>
    <n v="37"/>
    <b v="1"/>
    <d v="2026-04-17T00:00:00"/>
    <n v="1"/>
    <s v="JA"/>
    <s v="IA"/>
    <x v="30"/>
    <x v="31"/>
    <s v="1. Sí"/>
    <s v="1. EPMMOP"/>
    <n v="33"/>
    <x v="0"/>
    <n v="0"/>
    <n v="0"/>
    <n v="0"/>
    <n v="0"/>
    <n v="0"/>
    <s v="2. Mujer"/>
    <n v="53"/>
    <s v="1. Sí"/>
    <m/>
    <x v="0"/>
    <m/>
    <s v="2. Divorci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 3. Consumo de drogas"/>
    <x v="0"/>
    <x v="2"/>
    <x v="2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1. Sí"/>
    <s v="2. No"/>
    <s v="1. Sí"/>
    <s v="6. Otros"/>
    <n v="0"/>
    <n v="0"/>
    <n v="0"/>
    <n v="0"/>
    <n v="0"/>
    <n v="1"/>
    <s v="Cámaras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1. Sí"/>
    <s v="3. MUY FRECUENTE"/>
    <s v="2. No"/>
    <m/>
    <s v="1. Sí"/>
    <s v="1. POCO FRECUENTE"/>
    <s v="1. Sí"/>
    <s v="2. FRECUENTE"/>
    <s v="2. No"/>
    <m/>
    <s v="2. No"/>
    <m/>
    <s v="1. Sí"/>
    <s v="3. MUY FRECUENTE"/>
    <s v="1. Sí"/>
    <s v="2. FRECUENTE"/>
    <s v="2. No"/>
    <m/>
    <s v="1. Sí"/>
    <s v="3. MUY FRECUENTE"/>
    <s v="1. Sí"/>
    <s v="3. MUY FRECUENTE"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1. Sí"/>
    <s v="3. MALO"/>
    <s v="2. No"/>
    <m/>
    <m/>
    <s v="2. No"/>
    <m/>
    <m/>
    <s v="2. No"/>
    <m/>
    <m/>
    <s v="1. Sí"/>
    <s v="1. Sí"/>
    <s v="2. BUENO"/>
    <s v="2. No"/>
    <m/>
    <m/>
    <s v="1. Sí"/>
    <s v="1. Sí"/>
    <s v="1. MUY BUENO"/>
    <s v="1. Sí"/>
    <s v="1. Sí"/>
    <s v="2. BUENO"/>
    <s v="1. Sí"/>
    <s v="1. Sí"/>
    <s v="2. BUENO"/>
    <s v="2. No"/>
    <m/>
    <m/>
    <m/>
    <s v="Trabajo"/>
    <s v="Soledad"/>
    <x v="17"/>
    <s v="2. No"/>
    <m/>
    <m/>
    <m/>
    <m/>
    <m/>
    <m/>
    <m/>
    <s v="Bebidas/Confites/Comestibles industrializados/ Tabacos"/>
    <m/>
  </r>
  <r>
    <d v="2026-04-21T14:30:25"/>
    <d v="2026-04-21T15:05:03"/>
    <s v="VB"/>
    <n v="38"/>
    <n v="38"/>
    <b v="1"/>
    <d v="2026-04-17T00:00:00"/>
    <n v="1"/>
    <s v="PA"/>
    <s v="IA"/>
    <x v="31"/>
    <x v="32"/>
    <s v="1. Sí"/>
    <s v="1. EPMMOP"/>
    <n v="28"/>
    <x v="0"/>
    <n v="0"/>
    <n v="0"/>
    <n v="0"/>
    <n v="0"/>
    <n v="0"/>
    <s v="1. Hombre"/>
    <n v="26"/>
    <s v="1. Sí"/>
    <m/>
    <x v="0"/>
    <m/>
    <s v="5. Soltera/o"/>
    <s v="3. Secundaria/ Bachillerato"/>
    <s v="2. Incompleta"/>
    <s v="3. de $920 a $1339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1. Sí"/>
    <s v="6. Otros"/>
    <n v="0"/>
    <n v="0"/>
    <n v="0"/>
    <n v="0"/>
    <n v="0"/>
    <n v="1"/>
    <s v="Alarma y cámara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1. Sí"/>
    <s v="1. POCO FRECUENTE"/>
    <s v="2. No"/>
    <m/>
    <s v="1. Sí"/>
    <s v="3. MUY FRECUENTE"/>
    <s v="2. No"/>
    <m/>
    <s v="1. Sí"/>
    <s v="1. POCO FRECUENTE"/>
    <s v="1. Sí"/>
    <s v="2. FRECUENTE"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1. Sí"/>
    <s v="2. BUENO"/>
    <s v="1. Sí"/>
    <s v="1. Sí"/>
    <s v="2. BUENO"/>
    <s v="1. Sí"/>
    <s v="2. No"/>
    <m/>
    <s v="2. No"/>
    <m/>
    <m/>
    <s v="1. Sí"/>
    <s v="1. Sí"/>
    <s v="2. BUENO"/>
    <s v="1. Sí"/>
    <s v="1. Sí"/>
    <s v="2. BUENO"/>
    <s v="1. Sí"/>
    <s v="2. No"/>
    <m/>
    <s v="2. No"/>
    <m/>
    <m/>
    <m/>
    <s v="Amor"/>
    <s v="Constancia"/>
    <x v="18"/>
    <s v="2. No"/>
    <m/>
    <m/>
    <m/>
    <m/>
    <m/>
    <m/>
    <m/>
    <s v="Frutas y Legumbres"/>
    <m/>
  </r>
  <r>
    <d v="2026-04-21T09:38:19"/>
    <d v="2026-04-21T09:47:02"/>
    <s v="VB"/>
    <n v="39"/>
    <n v="39"/>
    <b v="1"/>
    <d v="2026-04-17T00:00:00"/>
    <n v="1"/>
    <s v="JA"/>
    <s v="IA"/>
    <x v="32"/>
    <x v="33"/>
    <s v="1. Sí"/>
    <s v="1. EPMMOP"/>
    <n v="3"/>
    <x v="0"/>
    <n v="1"/>
    <n v="0"/>
    <n v="0"/>
    <n v="0"/>
    <n v="0"/>
    <s v="1. Hombre"/>
    <n v="35"/>
    <s v="2. No"/>
    <s v="Venezolana"/>
    <x v="0"/>
    <m/>
    <s v="5. Soltera/o"/>
    <s v="3. Secundaria/ Bachillerato"/>
    <s v="1. Completa"/>
    <s v="4. de $1340 a $1839"/>
    <x v="1"/>
    <x v="11"/>
    <x v="1"/>
    <x v="2"/>
    <x v="1"/>
    <x v="1"/>
    <x v="1"/>
    <x v="1"/>
    <x v="1"/>
    <x v="1"/>
    <x v="1"/>
    <x v="1"/>
    <x v="1"/>
    <x v="1"/>
    <x v="3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 Tarde (12:00 a 17:59)"/>
    <n v="0"/>
    <n v="1"/>
    <n v="1"/>
    <n v="0"/>
    <n v="0"/>
    <s v="3. Mejoró"/>
    <s v="2. No"/>
    <s v="1. Sí"/>
    <s v="1. Sí"/>
    <s v="6. Otros"/>
    <n v="0"/>
    <n v="0"/>
    <n v="0"/>
    <n v="0"/>
    <n v="0"/>
    <n v="1"/>
    <s v="Alarma"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1. Sí"/>
    <s v="Personas que no recogen los desechos"/>
    <s v="1. POCO FRECUENTE"/>
    <s v="1. Sí"/>
    <s v="2. FRECUENTE"/>
    <s v="2. No"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1. Sí"/>
    <s v="1. Sí"/>
    <s v="2. BUENO"/>
    <s v="1. Sí"/>
    <s v="2. No"/>
    <m/>
    <s v="1. Sí"/>
    <s v="2. No"/>
    <m/>
    <s v="2. No"/>
    <m/>
    <m/>
    <m/>
    <s v="Tranquilidad"/>
    <s v="Energía"/>
    <x v="19"/>
    <s v="2. No"/>
    <m/>
    <m/>
    <m/>
    <m/>
    <m/>
    <m/>
    <m/>
    <s v="Comida preparada"/>
    <m/>
  </r>
  <r>
    <d v="2026-04-21T09:47:02"/>
    <d v="2026-04-21T10:01:15"/>
    <s v="VB"/>
    <n v="40"/>
    <n v="40"/>
    <b v="1"/>
    <d v="2026-04-19T00:00:00"/>
    <n v="1"/>
    <s v="MJM"/>
    <s v="IA"/>
    <x v="33"/>
    <x v="34"/>
    <s v="1. Sí"/>
    <s v="1. EPMMOP"/>
    <n v="20"/>
    <x v="0"/>
    <n v="0"/>
    <n v="0"/>
    <n v="0"/>
    <n v="0"/>
    <n v="0"/>
    <s v="2. Mujer"/>
    <n v="61"/>
    <s v="1. Sí"/>
    <m/>
    <x v="2"/>
    <m/>
    <s v="2. Divorciada/o"/>
    <s v="1. Ninguno"/>
    <m/>
    <s v="2. de $471 a $919"/>
    <x v="1"/>
    <x v="12"/>
    <x v="1"/>
    <x v="2"/>
    <x v="2"/>
    <x v="1"/>
    <x v="1"/>
    <x v="1"/>
    <x v="1"/>
    <x v="1"/>
    <x v="1"/>
    <x v="1"/>
    <x v="2"/>
    <x v="1"/>
    <x v="4"/>
    <x v="1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1. POCO FRECUENTE"/>
    <s v="2. No"/>
    <m/>
    <s v="1. Sí"/>
    <s v="2. FRECUENTE"/>
    <s v="2. No"/>
    <m/>
    <m/>
    <s v="1. Sí"/>
    <s v="2. FRECUENTE"/>
    <s v="1. Sí"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s v="1. Sí"/>
    <s v="1. Sí"/>
    <s v="2. BUENO"/>
    <s v="1. Sí"/>
    <s v="2. No"/>
    <m/>
    <s v="2. No"/>
    <m/>
    <m/>
    <s v="1. Sí"/>
    <s v="1. Sí"/>
    <s v="2. BUENO"/>
    <m/>
    <s v="Bienestar"/>
    <s v="Tranquilidad"/>
    <x v="9"/>
    <s v="2. No"/>
    <m/>
    <m/>
    <m/>
    <m/>
    <m/>
    <m/>
    <m/>
    <s v="Bebidas/Confites/Comestibles industrializados/ Tabacos"/>
    <m/>
  </r>
  <r>
    <d v="2026-04-21T10:01:15"/>
    <d v="2026-04-21T10:18:26"/>
    <s v="VB"/>
    <n v="41"/>
    <n v="41"/>
    <b v="1"/>
    <d v="2026-04-19T00:00:00"/>
    <n v="1"/>
    <s v="FT"/>
    <s v="IA"/>
    <x v="34"/>
    <x v="35"/>
    <s v="1. Sí"/>
    <s v="1. EPMMOP"/>
    <n v="18"/>
    <x v="1"/>
    <n v="0"/>
    <n v="0"/>
    <n v="0"/>
    <n v="0"/>
    <n v="0"/>
    <s v="1. Hombre"/>
    <n v="27"/>
    <s v="1. Sí"/>
    <m/>
    <x v="0"/>
    <m/>
    <s v="5. Solter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2. No"/>
    <s v="2. No"/>
    <m/>
    <m/>
    <m/>
    <m/>
    <m/>
    <m/>
    <m/>
    <m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2. No"/>
    <m/>
    <s v="2. No"/>
    <m/>
    <s v="2. No"/>
    <m/>
    <s v="2. No"/>
    <m/>
    <s v="1. Sí"/>
    <s v="1. POCO FRECUENTE"/>
    <s v="1. Sí"/>
    <s v="2. FRECUENTE"/>
    <s v="1. Sí"/>
    <s v="3. MUY FRECUENTE"/>
    <s v="2. No"/>
    <m/>
    <s v="2. No"/>
    <m/>
    <s v="1. Sí"/>
    <s v="2. FRECUENTE"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m/>
    <s v="1. Sí"/>
    <s v="2. No"/>
    <m/>
    <s v="1. Sí"/>
    <s v="2. No"/>
    <m/>
    <s v="1. Sí"/>
    <s v="1. Sí"/>
    <s v="4. MUY MALO"/>
    <s v="1. Sí"/>
    <s v="1. Sí"/>
    <s v="2. BUENO"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m/>
    <s v="Tranquilidad"/>
    <m/>
    <x v="0"/>
    <s v="1. Si"/>
    <s v="2. Bueno"/>
    <s v="1. Si"/>
    <s v="Seguridad de la Policía Nacional y Cuerpo de Agentes de Control Metropolitano"/>
    <s v="1. Si"/>
    <s v="Policías encubiertos para ladrones y vendedores de droga"/>
    <s v="1.Si"/>
    <s v="Ayuda a dar mas seguridad"/>
    <s v="Bebidas/Confites/Comestibles industrializados/ Tabacos"/>
    <m/>
  </r>
  <r>
    <d v="2026-04-21T10:18:26"/>
    <d v="2026-04-21T10:27:13"/>
    <s v="VB"/>
    <n v="42"/>
    <n v="42"/>
    <b v="1"/>
    <d v="2026-04-19T00:00:00"/>
    <n v="1"/>
    <s v="PA"/>
    <s v="IA"/>
    <x v="35"/>
    <x v="36"/>
    <s v="1. Sí"/>
    <s v="1. EPMMOP"/>
    <n v="15"/>
    <x v="0"/>
    <n v="0"/>
    <n v="0"/>
    <n v="0"/>
    <n v="0"/>
    <n v="1"/>
    <s v="1. Hombre"/>
    <n v="76"/>
    <s v="1. Sí"/>
    <m/>
    <x v="0"/>
    <m/>
    <s v="1. Unión de Hecho/Libre"/>
    <s v="2. Primaria"/>
    <s v="1. Completa"/>
    <s v="1. Menos de $470"/>
    <x v="1"/>
    <x v="13"/>
    <x v="1"/>
    <x v="2"/>
    <x v="2"/>
    <x v="1"/>
    <x v="1"/>
    <x v="2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3. Mejoró"/>
    <s v="2. No"/>
    <s v="1. Sí"/>
    <s v="2. No"/>
    <m/>
    <m/>
    <m/>
    <m/>
    <m/>
    <m/>
    <m/>
    <m/>
    <s v="1. Sí"/>
    <s v="VI.5 Estafa"/>
    <n v="0"/>
    <n v="0"/>
    <n v="0"/>
    <n v="1"/>
    <n v="0"/>
    <n v="0"/>
    <n v="0"/>
    <n v="0"/>
    <n v="0"/>
    <m/>
    <m/>
    <m/>
    <m/>
    <m/>
    <s v="2. No"/>
    <m/>
    <m/>
    <m/>
    <m/>
    <m/>
    <s v="1. Sí"/>
    <s v="1. POCO FRECUENTE"/>
    <s v="1. Sí"/>
    <s v="1. POCO FRECUENTE"/>
    <s v="1. Sí"/>
    <s v="3. MUY FRECUENTE"/>
    <s v="1. Sí"/>
    <s v="1. POCO FRECUENTE"/>
    <s v="1. Sí"/>
    <s v="1. POCO FRECUENTE"/>
    <s v="2. No"/>
    <m/>
    <s v="1. Sí"/>
    <s v="3. MUY FRECUENTE"/>
    <s v="1. Sí"/>
    <s v="2. FRECUENTE"/>
    <s v="2. No"/>
    <m/>
    <s v="1. Sí"/>
    <s v="3. MUY FRECUENTE"/>
    <s v="1. Sí"/>
    <s v="1. POCO FRECUENTE"/>
    <s v="2. No"/>
    <m/>
    <s v="1. Sí"/>
    <s v="3. MUY FRECUENTE"/>
    <s v="2. No"/>
    <m/>
    <s v="2. No"/>
    <m/>
    <s v="1. Sí"/>
    <s v="1. POCO FRECUENTE"/>
    <s v="2. No"/>
    <m/>
    <m/>
    <s v="1. Sí"/>
    <s v="2. FRECUENTE"/>
    <s v="2. No"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Felicidad"/>
    <m/>
    <x v="0"/>
    <s v="1. Si"/>
    <s v="2. Bueno"/>
    <s v="1. Si"/>
    <s v="Mucho control"/>
    <s v="1. Si"/>
    <s v="Asociación de comidas"/>
    <s v="1.Si"/>
    <s v="Colaboración"/>
    <s v="Comida preparada"/>
    <s v="Muchos vacunadores"/>
  </r>
  <r>
    <d v="2026-04-21T10:27:13"/>
    <d v="2026-04-21T10:34:08"/>
    <s v="VB"/>
    <n v="43"/>
    <n v="43"/>
    <b v="1"/>
    <d v="2026-04-19T00:00:00"/>
    <n v="1"/>
    <s v="MJM"/>
    <s v="IA"/>
    <x v="36"/>
    <x v="37"/>
    <s v="1. Sí"/>
    <s v="1. EPMMOP"/>
    <n v="5"/>
    <x v="0"/>
    <n v="0"/>
    <n v="0"/>
    <n v="0"/>
    <n v="0"/>
    <n v="0"/>
    <s v="1. Hombre"/>
    <n v="19"/>
    <s v="1. Sí"/>
    <m/>
    <x v="2"/>
    <m/>
    <s v="5. Soltera/o"/>
    <s v="3. Secundaria/ Bachillerato"/>
    <s v="1. Completa"/>
    <s v="2. de $471 a $919"/>
    <x v="1"/>
    <x v="14"/>
    <x v="1"/>
    <x v="2"/>
    <x v="1"/>
    <x v="1"/>
    <x v="1"/>
    <x v="2"/>
    <x v="1"/>
    <x v="1"/>
    <x v="1"/>
    <x v="1"/>
    <x v="1"/>
    <x v="1"/>
    <x v="5"/>
    <x v="0"/>
    <m/>
    <m/>
    <x v="2"/>
    <x v="1"/>
    <x v="1"/>
    <x v="1"/>
    <x v="1"/>
    <x v="1"/>
    <x v="1"/>
    <x v="2"/>
    <x v="1"/>
    <x v="1"/>
    <x v="0"/>
    <m/>
    <m/>
    <s v="2. SEGURO"/>
    <s v="Tarde (12:00 a 17:59)"/>
    <n v="0"/>
    <n v="0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1. POCO FRECUENTE"/>
    <s v="1. Sí"/>
    <s v="1. POCO FRECUENTE"/>
    <s v="1. Sí"/>
    <s v="2. FRECUENTE"/>
    <s v="2. No"/>
    <m/>
    <s v="1. Sí"/>
    <s v="2. FRECUENTE"/>
    <s v="1. Sí"/>
    <s v="1. POCO FRECUENTE"/>
    <s v="2. No"/>
    <m/>
    <s v="1. Sí"/>
    <s v="2. FRECUENTE"/>
    <s v="1. Sí"/>
    <s v="2. FRECUENTE"/>
    <s v="2. No"/>
    <m/>
    <s v="2. No"/>
    <m/>
    <s v="2. No"/>
    <m/>
    <m/>
    <s v="1. Sí"/>
    <s v="1. POCO FRECUENTE"/>
    <s v="2. No"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m/>
    <s v="Seguridad"/>
    <s v="Comodidad"/>
    <x v="9"/>
    <s v="1. Si"/>
    <s v="1. Muy bueno"/>
    <s v="1. Si"/>
    <s v="Reduce las ventas ambulantes y el espacio esta más limpio"/>
    <s v="99. Ns/Nc"/>
    <m/>
    <s v="1.Si"/>
    <s v="Me sentiría mas seguro con el apoyo de ellos"/>
    <s v="Comida preparada"/>
    <m/>
  </r>
  <r>
    <d v="2026-04-21T10:34:08"/>
    <d v="2026-04-21T10:40:25"/>
    <s v="VB"/>
    <n v="44"/>
    <n v="44"/>
    <b v="1"/>
    <d v="2026-04-19T00:00:00"/>
    <n v="1"/>
    <s v="PA"/>
    <s v="IA"/>
    <x v="37"/>
    <x v="38"/>
    <s v="1. Sí"/>
    <s v="1. EPMMOP"/>
    <n v="20"/>
    <x v="0"/>
    <n v="0"/>
    <n v="0"/>
    <n v="0"/>
    <n v="0"/>
    <n v="0"/>
    <s v="1. Hombre"/>
    <n v="20"/>
    <s v="1. Sí"/>
    <m/>
    <x v="0"/>
    <m/>
    <s v="5. Soltera/o"/>
    <s v="3. Secundaria/ Bachillerato"/>
    <s v="2. Incompleta"/>
    <s v="3. de $920 a $1339"/>
    <x v="1"/>
    <x v="15"/>
    <x v="2"/>
    <x v="2"/>
    <x v="2"/>
    <x v="1"/>
    <x v="1"/>
    <x v="2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1. Sí"/>
    <s v="1. Sí"/>
    <s v="1. Sí"/>
    <s v="6. Otros"/>
    <n v="0"/>
    <n v="0"/>
    <n v="0"/>
    <n v="0"/>
    <n v="0"/>
    <n v="1"/>
    <s v="Cámara y botón de pánico"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3. MUY FRECUENTE"/>
    <s v="1. Sí"/>
    <s v="2. FRECUENTE"/>
    <s v="1. Sí"/>
    <s v="3. MUY FRECUENTE"/>
    <s v="2. No"/>
    <m/>
    <s v="2. No"/>
    <m/>
    <s v="1. Sí"/>
    <s v="3. MUY FRECUENTE"/>
    <s v="1. Sí"/>
    <s v="2. FRECUENTE"/>
    <s v="2. No"/>
    <m/>
    <s v="1. Sí"/>
    <s v="3. MUY FRECUENTE"/>
    <s v="1. Sí"/>
    <s v="1. POCO FRECUENTE"/>
    <s v="2. No"/>
    <m/>
    <s v="1. Sí"/>
    <s v="3. MUY FRECUENTE"/>
    <s v="2. No"/>
    <m/>
    <m/>
    <s v="1. Sí"/>
    <s v="3. MUY FRECUENTE"/>
    <s v="2. No"/>
    <m/>
    <s v="1. Sí"/>
    <s v="2. No"/>
    <m/>
    <s v="1. Sí"/>
    <s v="2. No"/>
    <m/>
    <s v="2. No"/>
    <m/>
    <m/>
    <s v="1. Sí"/>
    <s v="2. No"/>
    <m/>
    <s v="2. No"/>
    <m/>
    <m/>
    <s v="2. No"/>
    <m/>
    <m/>
    <s v="2. No"/>
    <m/>
    <m/>
    <s v="1. Sí"/>
    <s v="1. Sí"/>
    <s v="2. BUENO"/>
    <s v="1. Sí"/>
    <s v="2. No"/>
    <m/>
    <s v="2. No"/>
    <m/>
    <m/>
    <m/>
    <s v="Tranquilidad"/>
    <m/>
    <x v="0"/>
    <s v="1. Si"/>
    <s v="2. Bueno"/>
    <s v="1. Si"/>
    <s v="Mas control"/>
    <s v="2. No "/>
    <m/>
    <s v="1.Si"/>
    <s v="Hacen su trabajo"/>
    <s v="Juegos infantiles"/>
    <s v="Juegos infantiles"/>
  </r>
  <r>
    <d v="2026-04-21T10:40:25"/>
    <d v="2026-04-21T11:02:40"/>
    <s v="VB"/>
    <n v="45"/>
    <n v="45"/>
    <b v="1"/>
    <d v="2026-04-19T00:00:00"/>
    <n v="1"/>
    <s v="FT"/>
    <s v="IA"/>
    <x v="38"/>
    <x v="39"/>
    <s v="1. Sí"/>
    <s v="1. EPMMOP"/>
    <n v="9"/>
    <x v="0"/>
    <n v="1"/>
    <n v="0"/>
    <n v="0"/>
    <n v="0"/>
    <n v="0"/>
    <s v="1. Hombre"/>
    <n v="30"/>
    <s v="1. Sí"/>
    <m/>
    <x v="0"/>
    <m/>
    <s v="5. Soltera/o"/>
    <s v="5. Universitario"/>
    <s v="2. Incompleta"/>
    <s v="1. Menos de $470"/>
    <x v="1"/>
    <x v="16"/>
    <x v="2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Otras personas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1. Sí"/>
    <s v="1. POCO FRECUENTE"/>
    <s v="1. Sí"/>
    <s v="1. POCO FRECUENTE"/>
    <s v="1. Sí"/>
    <s v="3. MUY FRECUENTE"/>
    <s v="1. Sí"/>
    <s v="1. POCO FRECUENTE"/>
    <s v="1. Sí"/>
    <s v="1. POCO FRECUENTE"/>
    <s v="1. Sí"/>
    <s v="3. MUY FRECUENTE"/>
    <s v="1. Sí"/>
    <s v="3. MUY FRECUENTE"/>
    <s v="1. Sí"/>
    <s v="1. POCO FRECUENTE"/>
    <s v="1. Sí"/>
    <s v="1. POCO FRECUENTE"/>
    <s v="1. Sí"/>
    <s v="3. MUY FRECUENTE"/>
    <s v="2. No"/>
    <m/>
    <s v="1. Sí"/>
    <s v="1. POCO FRECUENTE"/>
    <s v="2. No"/>
    <m/>
    <m/>
    <s v="1. Sí"/>
    <s v="3. MUY FRECUENTE"/>
    <s v="1. Sí"/>
    <m/>
    <s v="1. Sí"/>
    <s v="2. No"/>
    <m/>
    <s v="1. Sí"/>
    <s v="1. Sí"/>
    <s v="2. BUENO"/>
    <s v="1. Sí"/>
    <s v="2. No"/>
    <m/>
    <s v="1. Sí"/>
    <s v="1. Sí"/>
    <s v="2. BUENO"/>
    <s v="1. Sí"/>
    <s v="2. No"/>
    <m/>
    <s v="1. Sí"/>
    <s v="2. No"/>
    <m/>
    <s v="1. Sí"/>
    <s v="1. Sí"/>
    <s v="2. BUENO"/>
    <s v="1. Sí"/>
    <s v="1. Sí"/>
    <s v="2. BUENO"/>
    <s v="1. Sí"/>
    <s v="2. No"/>
    <m/>
    <s v="2. No"/>
    <m/>
    <m/>
    <m/>
    <s v="Alerta"/>
    <m/>
    <x v="0"/>
    <s v="1. Si"/>
    <s v="3. Malo"/>
    <s v="2. No "/>
    <s v="Pocos efectivos"/>
    <s v="2. No "/>
    <m/>
    <s v="2. No"/>
    <s v="AMCy CACMQ: Ineficiencia en el trabajo"/>
    <s v="Juegos infantiles"/>
    <m/>
  </r>
  <r>
    <d v="2026-04-21T11:02:40"/>
    <d v="2026-04-21T11:07:20"/>
    <s v="VB"/>
    <n v="46"/>
    <n v="46"/>
    <b v="1"/>
    <d v="2026-04-19T00:00:00"/>
    <n v="1"/>
    <s v="MJM"/>
    <s v="IA"/>
    <x v="39"/>
    <x v="40"/>
    <s v="1. Sí"/>
    <s v="1. EPMMOP"/>
    <n v="32"/>
    <x v="0"/>
    <n v="0"/>
    <n v="0"/>
    <n v="0"/>
    <n v="0"/>
    <n v="0"/>
    <s v="1. Hombre"/>
    <n v="63"/>
    <s v="1. Sí"/>
    <m/>
    <x v="2"/>
    <m/>
    <s v="2. Divorciada/o"/>
    <s v="2. Primaria"/>
    <s v="1. Completa"/>
    <s v="2. de $471 a $919"/>
    <x v="1"/>
    <x v="17"/>
    <x v="1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2. No"/>
    <m/>
    <s v="2. No"/>
    <m/>
    <s v="2. No"/>
    <m/>
    <s v="2. No"/>
    <m/>
    <s v="99. NS/NC"/>
    <m/>
    <s v="99. NS/NC"/>
    <m/>
    <s v="99. NS/NC"/>
    <m/>
    <s v="2. No"/>
    <m/>
    <s v="2. No"/>
    <m/>
    <s v="2. No"/>
    <m/>
    <s v="2. No"/>
    <m/>
    <s v="2. No"/>
    <m/>
    <m/>
    <s v="1. Sí"/>
    <s v="2. FRECUENTE"/>
    <s v="2. No"/>
    <m/>
    <s v="1. Sí"/>
    <s v="2. No"/>
    <m/>
    <s v="2. No"/>
    <m/>
    <m/>
    <s v="2. No"/>
    <m/>
    <m/>
    <s v="1. Sí"/>
    <s v="2. No"/>
    <m/>
    <s v="2. No"/>
    <m/>
    <m/>
    <s v="1. Sí"/>
    <s v="2. No"/>
    <m/>
    <s v="1. Sí"/>
    <s v="1. Sí"/>
    <s v="2. BUENO"/>
    <s v="1. Sí"/>
    <s v="1. Sí"/>
    <s v="2. BUENO"/>
    <s v="1. Sí"/>
    <s v="1. Sí"/>
    <s v="2. BUENO"/>
    <s v="2. No"/>
    <m/>
    <m/>
    <m/>
    <s v="Bendecido"/>
    <s v="Tranquilidad"/>
    <x v="20"/>
    <s v="2. No"/>
    <m/>
    <m/>
    <m/>
    <m/>
    <m/>
    <m/>
    <m/>
    <s v="Bebidas/Confites/Comestibles industrializados/ Tabacos"/>
    <m/>
  </r>
  <r>
    <d v="2026-04-21T11:07:20"/>
    <d v="2026-04-21T11:25:04"/>
    <s v="VB"/>
    <n v="47"/>
    <n v="47"/>
    <b v="1"/>
    <d v="2026-04-19T00:00:00"/>
    <n v="1"/>
    <s v="FT"/>
    <s v="IA"/>
    <x v="40"/>
    <x v="11"/>
    <s v="1. Sí"/>
    <s v="1. EPMMOP"/>
    <n v="30"/>
    <x v="0"/>
    <n v="0"/>
    <n v="0"/>
    <n v="0"/>
    <n v="0"/>
    <n v="0"/>
    <s v="2. Mujer"/>
    <n v="41"/>
    <s v="1. Sí"/>
    <m/>
    <x v="0"/>
    <m/>
    <s v="3. Viu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6. Habitantes de calle (mendicidad)"/>
    <x v="0"/>
    <x v="0"/>
    <x v="0"/>
    <x v="0"/>
    <x v="0"/>
    <x v="2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1. Sí"/>
    <m/>
    <m/>
    <m/>
    <m/>
    <m/>
    <m/>
    <m/>
    <s v="1. Sí"/>
    <s v="2. FRECUENTE"/>
    <s v="2. No"/>
    <m/>
    <s v="2. No"/>
    <m/>
    <s v="2. No"/>
    <m/>
    <s v="2. No"/>
    <m/>
    <s v="2. No"/>
    <m/>
    <s v="1. Sí"/>
    <s v="2. FRECUENTE"/>
    <s v="1. Sí"/>
    <s v="2. FRECUENTE"/>
    <s v="2. No"/>
    <m/>
    <s v="1. Sí"/>
    <s v="2. FRECUENTE"/>
    <s v="2. No"/>
    <m/>
    <s v="1. Sí"/>
    <s v="1. POCO FRECUENTE"/>
    <s v="1. Sí"/>
    <s v="2. FRECUENTE"/>
    <s v="2. No"/>
    <m/>
    <s v="2. No"/>
    <m/>
    <s v="2. No"/>
    <m/>
    <s v="2. No"/>
    <m/>
    <m/>
    <s v="1. Sí"/>
    <s v="3. MUY FRECUENTE"/>
    <s v="1. Sí"/>
    <m/>
    <s v="2. No"/>
    <m/>
    <m/>
    <s v="2. No"/>
    <m/>
    <m/>
    <s v="1. Sí"/>
    <s v="2. No"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m/>
    <s v="Recuperación"/>
    <m/>
    <x v="0"/>
    <s v="2. No"/>
    <m/>
    <m/>
    <m/>
    <m/>
    <m/>
    <m/>
    <m/>
    <s v="Comida preparada"/>
    <m/>
  </r>
  <r>
    <d v="2026-04-21T11:25:05"/>
    <d v="2026-04-21T11:35:34"/>
    <s v="VB"/>
    <n v="48"/>
    <n v="48"/>
    <b v="1"/>
    <d v="2026-04-19T00:00:00"/>
    <n v="1"/>
    <s v="PA"/>
    <s v="IA"/>
    <x v="41"/>
    <x v="41"/>
    <s v="1. Sí"/>
    <s v="1. EPMMOP"/>
    <n v="15"/>
    <x v="0"/>
    <n v="0"/>
    <n v="0"/>
    <n v="0"/>
    <n v="0"/>
    <n v="0"/>
    <s v="2. Mujer"/>
    <n v="28"/>
    <s v="1. Sí"/>
    <m/>
    <x v="0"/>
    <m/>
    <s v="4. Casada/o"/>
    <s v="5. Universitari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1. Sí"/>
    <s v="1. POCO FRECUENTE"/>
    <s v="2. No"/>
    <m/>
    <s v="1. Sí"/>
    <s v="3. MUY FRECUENTE"/>
    <s v="2. No"/>
    <m/>
    <s v="2. No"/>
    <m/>
    <s v="1. Sí"/>
    <s v="1. POCO FRECUENTE"/>
    <s v="1. Sí"/>
    <s v="1. POCO FRECUENTE"/>
    <s v="2. No"/>
    <m/>
    <s v="2. No"/>
    <m/>
    <s v="1. Sí"/>
    <s v="3. MUY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Felicidad"/>
    <s v="Tranquilidad"/>
    <x v="21"/>
    <s v="1. Si"/>
    <s v="2. Bueno"/>
    <s v="1. Si"/>
    <s v="Disminución de ladrones"/>
    <s v="1. Si"/>
    <s v="Grupo de independientes"/>
    <s v="2. No"/>
    <s v="Por corrupción"/>
    <s v="Juguetes y variedades"/>
    <m/>
  </r>
  <r>
    <d v="2026-04-21T11:35:34"/>
    <d v="2026-04-21T11:49:29"/>
    <s v="VB"/>
    <n v="49"/>
    <n v="49"/>
    <b v="1"/>
    <d v="2026-04-19T00:00:00"/>
    <n v="1"/>
    <s v="FT"/>
    <s v="IA"/>
    <x v="42"/>
    <x v="42"/>
    <s v="1. Sí"/>
    <s v="1. EPMMOP"/>
    <n v="3"/>
    <x v="0"/>
    <n v="0"/>
    <n v="0"/>
    <n v="0"/>
    <n v="0"/>
    <n v="0"/>
    <s v="2. Mujer"/>
    <n v="23"/>
    <s v="1. Sí"/>
    <m/>
    <x v="0"/>
    <m/>
    <s v="5. Soltera/o"/>
    <s v="5. Universitario"/>
    <s v="2. Incompleta"/>
    <s v="99. NS/NC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1. POCO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1. Sí"/>
    <s v="3. MUY FRECUENTE"/>
    <s v="2. No"/>
    <m/>
    <s v="1. Sí"/>
    <s v="1. POCO FRECUENTE"/>
    <s v="2. No"/>
    <m/>
    <m/>
    <s v="1. Sí"/>
    <s v="3. MUY FRECUENTE"/>
    <s v="1. Sí"/>
    <m/>
    <s v="1. Sí"/>
    <s v="1. Sí"/>
    <s v="2. BUENO"/>
    <s v="1. Sí"/>
    <s v="2. No"/>
    <m/>
    <s v="2. No"/>
    <m/>
    <m/>
    <s v="1. Sí"/>
    <s v="1. Sí"/>
    <s v="2. BUENO"/>
    <s v="1. Sí"/>
    <s v="2. No"/>
    <m/>
    <s v="1. Sí"/>
    <s v="2. No"/>
    <m/>
    <s v="1. Sí"/>
    <s v="1. Sí"/>
    <s v="1. MUY BUENO"/>
    <s v="2. No"/>
    <m/>
    <m/>
    <s v="1. Sí"/>
    <s v="2. No"/>
    <m/>
    <s v="2. No"/>
    <m/>
    <m/>
    <m/>
    <s v="Satisfecha"/>
    <s v="Tranquilidad"/>
    <x v="5"/>
    <s v="2. No"/>
    <m/>
    <m/>
    <m/>
    <m/>
    <m/>
    <m/>
    <m/>
    <s v="Frutas y Legumbres"/>
    <s v="Frutas"/>
  </r>
  <r>
    <d v="2026-04-21T11:49:29"/>
    <d v="2026-04-21T11:57:19"/>
    <s v="VB"/>
    <n v="50"/>
    <n v="50"/>
    <b v="1"/>
    <d v="2026-04-19T00:00:00"/>
    <n v="1"/>
    <s v="MJM"/>
    <s v="IA"/>
    <x v="42"/>
    <x v="42"/>
    <s v="1. Sí"/>
    <s v="1. EPMMOP"/>
    <n v="36"/>
    <x v="0"/>
    <n v="0"/>
    <n v="0"/>
    <n v="0"/>
    <n v="0"/>
    <n v="0"/>
    <s v="2. Mujer"/>
    <n v="32"/>
    <s v="1. Sí"/>
    <m/>
    <x v="2"/>
    <m/>
    <s v="4. Casada/o"/>
    <s v="2. Primaria"/>
    <s v="2. Incompleta"/>
    <s v="2. de $471 a $919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3"/>
    <m/>
    <m/>
    <s v="2. SEGURO"/>
    <s v="Mañana  (06:00 a 11:59)"/>
    <n v="0"/>
    <n v="1"/>
    <n v="0"/>
    <n v="0"/>
    <n v="0"/>
    <s v="2. Esta igual"/>
    <s v="2. No"/>
    <s v="1. Sí"/>
    <s v="2. No"/>
    <m/>
    <m/>
    <m/>
    <m/>
    <m/>
    <m/>
    <m/>
    <m/>
    <s v="1. Sí"/>
    <s v="VI.2 Robo  (con violencia)"/>
    <n v="1"/>
    <n v="0"/>
    <n v="0"/>
    <n v="0"/>
    <n v="0"/>
    <n v="0"/>
    <n v="0"/>
    <n v="0"/>
    <n v="0"/>
    <m/>
    <m/>
    <s v="2. No"/>
    <m/>
    <m/>
    <m/>
    <m/>
    <m/>
    <m/>
    <m/>
    <m/>
    <s v="1. Sí"/>
    <s v="2. FRECUENTE"/>
    <s v="1. Sí"/>
    <s v="1. POCO FRECUENTE"/>
    <s v="1. Sí"/>
    <s v="3. MUY FRECUENTE"/>
    <s v="1. Sí"/>
    <s v="3. MUY FRECUENTE"/>
    <s v="99. NS/NC"/>
    <m/>
    <s v="1. Sí"/>
    <s v="2. FRECUENTE"/>
    <s v="1. Sí"/>
    <s v="1. POCO FRECUENTE"/>
    <s v="1. Sí"/>
    <s v="2. FRECUENTE"/>
    <s v="2. No"/>
    <m/>
    <s v="1. Sí"/>
    <s v="2. FRECUENTE"/>
    <s v="2. No"/>
    <m/>
    <s v="1. Sí"/>
    <s v="1. POCO FRECUENTE"/>
    <s v="2. No"/>
    <m/>
    <s v="1. Sí"/>
    <s v="2. FRECUENTE"/>
    <s v="99. NS/NC"/>
    <m/>
    <s v="1. Sí"/>
    <s v="3. MUY FRECUENTE"/>
    <s v="2. No"/>
    <m/>
    <m/>
    <s v="1. Sí"/>
    <s v="2.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1. Sí"/>
    <s v="2. BUENO"/>
    <s v="1. Sí"/>
    <s v="1. Sí"/>
    <s v="2. BUENO"/>
    <s v="2. No"/>
    <m/>
    <m/>
    <s v="2. No"/>
    <m/>
    <m/>
    <m/>
    <s v="Gratitud"/>
    <s v="Temor"/>
    <x v="22"/>
    <s v="2. No"/>
    <m/>
    <m/>
    <m/>
    <m/>
    <m/>
    <m/>
    <m/>
    <s v="Comida preparada"/>
    <s v="Los que venden coco jugo tienen machetes escondidos y amenazan"/>
  </r>
  <r>
    <d v="2026-04-21T11:57:19"/>
    <d v="2026-04-21T12:01:43"/>
    <s v="VB"/>
    <n v="51"/>
    <n v="51"/>
    <b v="1"/>
    <d v="2026-04-19T00:00:00"/>
    <n v="1"/>
    <s v="PA"/>
    <s v="IA"/>
    <x v="43"/>
    <x v="43"/>
    <s v="1. Sí"/>
    <s v="1. EPMMOP"/>
    <n v="36"/>
    <x v="0"/>
    <n v="0"/>
    <n v="0"/>
    <n v="0"/>
    <n v="0"/>
    <n v="0"/>
    <s v="1. Hombre"/>
    <n v="69"/>
    <s v="1. Sí"/>
    <m/>
    <x v="0"/>
    <m/>
    <s v="2. Divorciada/o"/>
    <s v="2. Primaria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"/>
    <x v="0"/>
    <x v="2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1. Sí"/>
    <s v="2. FRECUENTE"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1. Sí"/>
    <s v="2. BUENO"/>
    <s v="2. No"/>
    <m/>
    <m/>
    <s v="1. Sí"/>
    <s v="1. Sí"/>
    <s v="2. BUENO"/>
    <s v="1. Sí"/>
    <s v="1. Sí"/>
    <s v="2. BUENO"/>
    <s v="1. Sí"/>
    <s v="2. No"/>
    <m/>
    <s v="2. No"/>
    <m/>
    <m/>
    <m/>
    <s v="Miedo"/>
    <s v="Tranquilidad"/>
    <x v="0"/>
    <s v="1. Si"/>
    <s v="2. Bueno"/>
    <s v="1. Si"/>
    <s v="Vigilando"/>
    <s v="2. No "/>
    <m/>
    <s v="1.Si"/>
    <s v="Controlando"/>
    <s v="Comida preparada"/>
    <s v="Pagan por servicio de recolección"/>
  </r>
  <r>
    <d v="2026-04-21T12:01:43"/>
    <d v="2026-04-21T12:07:05"/>
    <s v="VB"/>
    <n v="52"/>
    <n v="52"/>
    <b v="1"/>
    <d v="2026-04-19T00:00:00"/>
    <n v="1"/>
    <s v="FT"/>
    <s v="IA"/>
    <x v="44"/>
    <x v="44"/>
    <s v="1. Sí"/>
    <s v="1. EPMMOP"/>
    <n v="30"/>
    <x v="0"/>
    <n v="0"/>
    <n v="0"/>
    <n v="0"/>
    <n v="0"/>
    <n v="0"/>
    <s v="2. Mujer"/>
    <n v="55"/>
    <s v="1. Sí"/>
    <m/>
    <x v="0"/>
    <m/>
    <s v="5. Solter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 4. Ventas ambulantes"/>
    <x v="0"/>
    <x v="2"/>
    <x v="0"/>
    <x v="2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1. Empeoró"/>
    <s v="2. No"/>
    <s v="1. Sí"/>
    <s v="1. Sí"/>
    <s v="3. Palos"/>
    <n v="0"/>
    <n v="0"/>
    <n v="1"/>
    <n v="0"/>
    <n v="0"/>
    <n v="0"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1. POCO FRECUENTE"/>
    <s v="1. Sí"/>
    <s v="2. FRECUENTE"/>
    <s v="1. Sí"/>
    <s v="3. MUY FRECUENTE"/>
    <s v="1. Sí"/>
    <s v="2. FRECUENTE"/>
    <s v="2. No"/>
    <m/>
    <s v="1. Sí"/>
    <s v="2. FRECUENTE"/>
    <s v="1. Sí"/>
    <s v="2. FRECUENTE"/>
    <s v="1. Sí"/>
    <s v="2. FRECUENTE"/>
    <s v="2. No"/>
    <m/>
    <s v="1. Sí"/>
    <s v="2. FRECUENTE"/>
    <s v="2. No"/>
    <m/>
    <s v="1. Sí"/>
    <s v="1. POCO FRECUENTE"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Alegría"/>
    <s v="Temor"/>
    <x v="0"/>
    <s v="1. Si"/>
    <s v="3. Malo"/>
    <s v="2. No "/>
    <s v="Van apurados y no controlan"/>
    <s v="2. No "/>
    <m/>
    <s v="2. No"/>
    <s v="No hay eficiencia"/>
    <s v="Comida preparada"/>
    <m/>
  </r>
  <r>
    <d v="2026-04-21T12:07:05"/>
    <d v="2026-04-21T12:10:50"/>
    <s v="VB"/>
    <n v="53"/>
    <n v="53"/>
    <b v="1"/>
    <d v="2026-04-19T00:00:00"/>
    <n v="1"/>
    <s v="PA"/>
    <s v="IA"/>
    <x v="45"/>
    <x v="44"/>
    <s v="1. Sí"/>
    <s v="1. EPMMOP"/>
    <n v="3"/>
    <x v="0"/>
    <n v="0"/>
    <n v="0"/>
    <n v="0"/>
    <n v="0"/>
    <n v="1"/>
    <s v="1. Hombre"/>
    <n v="62"/>
    <s v="1. Sí"/>
    <m/>
    <x v="0"/>
    <m/>
    <s v="2. Divorciada/o"/>
    <s v="2. Primaria"/>
    <s v="2. In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1. Sí"/>
    <s v="3. Palos"/>
    <n v="0"/>
    <n v="0"/>
    <n v="1"/>
    <n v="0"/>
    <n v="0"/>
    <n v="0"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1. Sí"/>
    <s v="1. POCO FRECUENTE"/>
    <s v="1. Sí"/>
    <s v="1. POCO FRECUENTE"/>
    <s v="2. No"/>
    <m/>
    <s v="1. Sí"/>
    <s v="1. POCO FRECUENTE"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s v="Tranquilidad"/>
    <s v="Alegría"/>
    <x v="0"/>
    <s v="1. Si"/>
    <s v="2. Bueno"/>
    <s v="1. Si"/>
    <s v="Control"/>
    <s v="2. No "/>
    <m/>
    <s v="1.Si"/>
    <s v="Buenas personas"/>
    <s v="Vestimenta y accesorios"/>
    <m/>
  </r>
  <r>
    <d v="2026-04-21T12:10:50"/>
    <d v="2026-04-21T12:14:39"/>
    <s v="VB"/>
    <n v="54"/>
    <n v="54"/>
    <b v="1"/>
    <d v="2026-04-19T00:00:00"/>
    <n v="1"/>
    <s v="PA"/>
    <s v="IA"/>
    <x v="46"/>
    <x v="45"/>
    <s v="1. Sí"/>
    <s v="1. EPMMOP"/>
    <n v="2"/>
    <x v="0"/>
    <n v="0"/>
    <n v="0"/>
    <n v="0"/>
    <n v="0"/>
    <n v="1"/>
    <s v="1. Hombre"/>
    <n v="30"/>
    <s v="1. Sí"/>
    <m/>
    <x v="0"/>
    <m/>
    <s v="5. Solter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4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1. Sí"/>
    <s v="2. FRECUENTE"/>
    <s v="2. No"/>
    <m/>
    <s v="1. Sí"/>
    <s v="1. POCO FRECUENTE"/>
    <s v="2. No"/>
    <m/>
    <s v="2. No"/>
    <m/>
    <s v="1. Sí"/>
    <s v="3. MUY FRECUENTE"/>
    <s v="2. No"/>
    <m/>
    <s v="2. No"/>
    <m/>
    <s v="1. Sí"/>
    <s v="3. MUY FRECUENTE"/>
    <s v="1. Sí"/>
    <s v="3. MUY FRECUENTE"/>
    <s v="2. No"/>
    <m/>
    <s v="1. Sí"/>
    <s v="3. MUY FRECUENTE"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m/>
    <s v="Emoción"/>
    <s v="Paciencia"/>
    <x v="23"/>
    <s v="2. No"/>
    <m/>
    <m/>
    <m/>
    <m/>
    <m/>
    <m/>
    <m/>
    <s v="Comida preparada"/>
    <m/>
  </r>
  <r>
    <d v="2026-04-21T12:14:40"/>
    <d v="2026-04-21T12:25:17"/>
    <s v="VB"/>
    <n v="55"/>
    <n v="55"/>
    <b v="1"/>
    <d v="2026-04-19T00:00:00"/>
    <n v="1"/>
    <s v="FT"/>
    <s v="IA"/>
    <x v="47"/>
    <x v="46"/>
    <s v="1. Sí"/>
    <s v="1. EPMMOP"/>
    <n v="10"/>
    <x v="0"/>
    <n v="0"/>
    <n v="0"/>
    <n v="0"/>
    <n v="0"/>
    <n v="0"/>
    <s v="2. Mujer"/>
    <n v="53"/>
    <s v="1. Sí"/>
    <m/>
    <x v="2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Tranquilidad"/>
    <m/>
    <x v="0"/>
    <s v="2. No"/>
    <m/>
    <m/>
    <m/>
    <m/>
    <m/>
    <m/>
    <m/>
    <s v="Vestimenta y accesorios"/>
    <s v="Correas y gafas"/>
  </r>
  <r>
    <d v="2026-04-21T12:25:17"/>
    <d v="2026-04-21T13:58:27"/>
    <s v="VB"/>
    <n v="56"/>
    <n v="56"/>
    <b v="1"/>
    <d v="2026-04-19T00:00:00"/>
    <n v="1"/>
    <s v="MJM"/>
    <s v="IA"/>
    <x v="48"/>
    <x v="47"/>
    <s v="1. Sí"/>
    <s v="1. EPMMOP"/>
    <n v="30"/>
    <x v="0"/>
    <n v="0"/>
    <n v="0"/>
    <n v="0"/>
    <n v="0"/>
    <n v="0"/>
    <s v="1. Hombre"/>
    <n v="60"/>
    <s v="1. Sí"/>
    <m/>
    <x v="0"/>
    <m/>
    <s v="5. Soltera/o"/>
    <s v="5. Universitario"/>
    <s v="1. Completa"/>
    <s v="3. de $920 a $1339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3. INSEGURO"/>
    <s v="Todos los horarios"/>
    <n v="0"/>
    <n v="0"/>
    <n v="0"/>
    <n v="0"/>
    <n v="1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1. POCO FRECUENTE"/>
    <s v="1. Sí"/>
    <s v="2. FRECUENTE"/>
    <s v="1. Sí"/>
    <s v="1. POCO FRECUENTE"/>
    <s v="1. Sí"/>
    <s v="1. POCO FRECUENTE"/>
    <s v="1. Sí"/>
    <s v="2. FRECUENTE"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Inseguridad"/>
    <s v="Competencia"/>
    <x v="24"/>
    <s v="2. No"/>
    <m/>
    <m/>
    <m/>
    <m/>
    <m/>
    <m/>
    <m/>
    <s v="Artesanías"/>
    <m/>
  </r>
  <r>
    <d v="2026-04-21T13:58:27"/>
    <d v="2026-04-21T14:13:09"/>
    <s v="VB"/>
    <n v="57"/>
    <n v="57"/>
    <b v="1"/>
    <d v="2026-04-19T00:00:00"/>
    <n v="1"/>
    <s v="FT"/>
    <s v="IA"/>
    <x v="49"/>
    <x v="48"/>
    <s v="1. Sí"/>
    <s v="1. EPMMOP"/>
    <n v="2"/>
    <x v="0"/>
    <n v="0"/>
    <n v="0"/>
    <n v="0"/>
    <n v="0"/>
    <n v="0"/>
    <s v="2. Mujer"/>
    <n v="24"/>
    <s v="1. Sí"/>
    <m/>
    <x v="0"/>
    <m/>
    <s v="5. Soltera/o"/>
    <s v="3. Secundaria/ Bachillerato"/>
    <s v="1. 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m/>
    <s v="1. Sí"/>
    <s v="1. Sí"/>
    <s v="2. BUENO"/>
    <s v="2. No"/>
    <m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2. No"/>
    <m/>
    <s v="1. Sí"/>
    <s v="2. No"/>
    <m/>
    <s v="2. No"/>
    <m/>
    <m/>
    <m/>
    <s v="Tranquilidad"/>
    <m/>
    <x v="0"/>
    <s v="1. Si"/>
    <s v="2. Bueno"/>
    <s v="1. Si"/>
    <s v="Patrullan y disminuye la delincuencia"/>
    <s v="99. Ns/Nc"/>
    <m/>
    <s v="1.Si"/>
    <s v="Hacer bien el trabajo"/>
    <s v="Bebidas/Confites/Comestibles industrializados/ Tabacos"/>
    <m/>
  </r>
  <r>
    <d v="2026-04-21T14:13:09"/>
    <d v="2026-04-21T14:18:54"/>
    <s v="VB"/>
    <n v="58"/>
    <n v="58"/>
    <b v="1"/>
    <d v="2026-04-19T00:00:00"/>
    <n v="1"/>
    <s v="MJM"/>
    <s v="IA"/>
    <x v="50"/>
    <x v="49"/>
    <s v="1. Sí"/>
    <s v="1. EPMMOP"/>
    <n v="25"/>
    <x v="0"/>
    <n v="0"/>
    <n v="0"/>
    <n v="0"/>
    <n v="0"/>
    <n v="0"/>
    <s v="2. Mujer"/>
    <n v="46"/>
    <s v="1. Sí"/>
    <m/>
    <x v="0"/>
    <m/>
    <s v="2. Divorci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4. Ventas ambulantes 6. Habitantes de calle (mendicidad) 8. ¿Cuál?1"/>
    <x v="1"/>
    <x v="0"/>
    <x v="0"/>
    <x v="2"/>
    <x v="0"/>
    <x v="2"/>
    <x v="0"/>
    <x v="1"/>
    <x v="0"/>
    <x v="0"/>
    <x v="5"/>
    <m/>
    <m/>
    <s v="3. INSEGURO"/>
    <s v="Tarde (12:00 a 17:59)"/>
    <n v="0"/>
    <n v="0"/>
    <n v="1"/>
    <n v="0"/>
    <n v="0"/>
    <s v="2. Esta igual"/>
    <s v="1. Sí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1. Sí"/>
    <s v="1. POCO FRECUENTE"/>
    <s v="2. No"/>
    <m/>
    <s v="1. Sí"/>
    <s v="1. POCO FRECUENTE"/>
    <s v="1. Sí"/>
    <s v="2. FRECUENTE"/>
    <s v="2. No"/>
    <m/>
    <s v="2. No"/>
    <m/>
    <s v="1. Sí"/>
    <s v="1. POCO FRECUENTE"/>
    <s v="1. Sí"/>
    <s v="1. POCO FRECUENTE"/>
    <s v="2. No"/>
    <m/>
    <s v="1. Sí"/>
    <s v="1. POCO FRECUENTE"/>
    <s v="1. Sí"/>
    <s v="2. FRECUENTE"/>
    <s v="2. No"/>
    <m/>
    <s v="1. Sí"/>
    <s v="1. POCO FRECUENTE"/>
    <s v="2. No"/>
    <m/>
    <m/>
    <s v="1. Sí"/>
    <s v="3. MUY FRECUENTE"/>
    <s v="1. Sí"/>
    <m/>
    <s v="1. Sí"/>
    <s v="2. No"/>
    <m/>
    <s v="1. Sí"/>
    <s v="2. No"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1. Sí"/>
    <s v="2. No"/>
    <m/>
    <s v="1. Sí"/>
    <s v="2. No"/>
    <m/>
    <m/>
    <s v="Cómoda"/>
    <s v="Alegría"/>
    <x v="0"/>
    <s v="1. Si"/>
    <s v="2. Bueno"/>
    <s v="1. Si"/>
    <s v="Porque cuando les ven huyen y se esconden"/>
    <s v="2. No "/>
    <m/>
    <s v="1.Si"/>
    <s v="Porque  son entidades que brindan seguridad y apoyan"/>
    <s v="Comida preparada"/>
    <m/>
  </r>
  <r>
    <d v="2026-04-21T14:18:54"/>
    <d v="2026-04-21T14:25:42"/>
    <s v="VB"/>
    <n v="59"/>
    <n v="59"/>
    <b v="1"/>
    <d v="2026-04-19T00:00:00"/>
    <n v="1"/>
    <s v="PA"/>
    <s v="IA"/>
    <x v="51"/>
    <x v="50"/>
    <s v="1. Sí"/>
    <s v="1. EPMMOP"/>
    <n v="10"/>
    <x v="0"/>
    <n v="0"/>
    <n v="0"/>
    <n v="0"/>
    <n v="0"/>
    <n v="0"/>
    <s v="2. Mujer"/>
    <n v="57"/>
    <s v="1. Sí"/>
    <m/>
    <x v="0"/>
    <m/>
    <s v="4. Casada/o"/>
    <s v="3. Secundaria/ Bachillerato"/>
    <s v="1. 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3. INSEGURO"/>
    <s v="Mañana  (06:00 a 11:59) Tarde (12:00 a 17:59)"/>
    <n v="0"/>
    <n v="1"/>
    <n v="1"/>
    <n v="0"/>
    <n v="0"/>
    <s v="1. Empeoró"/>
    <s v="2. No"/>
    <s v="2. No"/>
    <s v="2. No"/>
    <m/>
    <m/>
    <m/>
    <m/>
    <m/>
    <m/>
    <m/>
    <m/>
    <s v="1. Sí"/>
    <s v="VI.4 Extorsión"/>
    <n v="0"/>
    <n v="0"/>
    <n v="1"/>
    <n v="0"/>
    <n v="0"/>
    <n v="0"/>
    <n v="0"/>
    <n v="0"/>
    <n v="0"/>
    <m/>
    <m/>
    <m/>
    <m/>
    <s v="2. No"/>
    <m/>
    <m/>
    <m/>
    <m/>
    <m/>
    <m/>
    <s v="2. No"/>
    <m/>
    <s v="2. No"/>
    <m/>
    <s v="1. Sí"/>
    <s v="1. POCO FRECUENTE"/>
    <s v="2. No"/>
    <m/>
    <s v="1. Sí"/>
    <s v="1. POCO FRECUENTE"/>
    <s v="1. Sí"/>
    <s v="3. MUY FRECUENTE"/>
    <s v="1. Sí"/>
    <s v="1. POCO FRECUENTE"/>
    <s v="1. Sí"/>
    <s v="2. FRECUENTE"/>
    <s v="2. No"/>
    <m/>
    <s v="1. Sí"/>
    <s v="2. FRECUENTE"/>
    <s v="2. No"/>
    <m/>
    <s v="2. No"/>
    <m/>
    <s v="1. Sí"/>
    <s v="2. FRECUENTE"/>
    <s v="1. Sí"/>
    <s v="3. MUY FRECUENTE"/>
    <s v="2. No"/>
    <m/>
    <s v="1. Sí"/>
    <s v="2. FRECUENTE"/>
    <s v="2. No"/>
    <m/>
    <m/>
    <s v="1. Sí"/>
    <s v="3. MUY FRECUENTE"/>
    <s v="1. Sí"/>
    <m/>
    <s v="1. Sí"/>
    <s v="1. Sí"/>
    <s v="3. MALO"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1. Sí"/>
    <s v="2. BUENO"/>
    <s v="2. No"/>
    <m/>
    <m/>
    <s v="2. No"/>
    <m/>
    <m/>
    <m/>
    <s v="Tranquilidad"/>
    <m/>
    <x v="0"/>
    <s v="1. Si"/>
    <s v="2. Bueno"/>
    <s v="2. No "/>
    <s v="No son permanentes"/>
    <s v="2. No "/>
    <m/>
    <s v="2. No"/>
    <s v="Corrupción"/>
    <s v="Vestimenta y accesorios"/>
    <s v="No se meten con las ventas ambulantes porque tienen armas blancas"/>
  </r>
  <r>
    <d v="2026-04-21T14:25:42"/>
    <d v="2026-04-21T14:30:25"/>
    <s v="VB"/>
    <n v="60"/>
    <n v="60"/>
    <b v="1"/>
    <d v="2026-04-19T00:00:00"/>
    <n v="1"/>
    <s v="PA"/>
    <s v="IA"/>
    <x v="52"/>
    <x v="51"/>
    <s v="1. Sí"/>
    <s v="1. EPMMOP"/>
    <n v="5"/>
    <x v="0"/>
    <n v="0"/>
    <n v="0"/>
    <n v="0"/>
    <n v="0"/>
    <n v="0"/>
    <s v="1. Hombre"/>
    <n v="45"/>
    <s v="1. Sí"/>
    <m/>
    <x v="0"/>
    <m/>
    <s v="4. Casada/o"/>
    <s v="3. Secundaria/ Bachillerato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1. POCO FRECUENTE"/>
    <s v="1. Sí"/>
    <s v="3. MUY FRECUENTE"/>
    <s v="1. Sí"/>
    <s v="3. MUY FRECUENTE"/>
    <s v="1. Sí"/>
    <s v="1. POCO FRECUENTE"/>
    <s v="1. Sí"/>
    <s v="1. POCO FRECUENTE"/>
    <s v="2. No"/>
    <m/>
    <s v="2. No"/>
    <m/>
    <s v="2. No"/>
    <m/>
    <s v="2. No"/>
    <m/>
    <s v="1. Sí"/>
    <s v="1. POCO FRECUENTE"/>
    <s v="1. Sí"/>
    <s v="3. MUY FRECUENTE"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s v="Preocupación"/>
    <s v="Alegría"/>
    <x v="25"/>
    <s v="1. Si"/>
    <s v="2. Bueno"/>
    <s v="1. Si"/>
    <s v="Disminuye ventas informales"/>
    <s v="2. No "/>
    <m/>
    <s v="1.Si"/>
    <s v="Dan seguridad"/>
    <s v="Comida preparada"/>
    <m/>
  </r>
  <r>
    <d v="2026-04-21T12:02:18"/>
    <d v="2026-04-21T12:22:55"/>
    <s v="IA"/>
    <n v="61"/>
    <n v="61"/>
    <b v="1"/>
    <d v="2026-04-19T00:00:00"/>
    <n v="1"/>
    <s v="MJM"/>
    <s v="IA"/>
    <x v="53"/>
    <x v="52"/>
    <s v="1. Sí"/>
    <s v="1. EPMMOP"/>
    <n v="20"/>
    <x v="0"/>
    <n v="0"/>
    <n v="0"/>
    <n v="0"/>
    <n v="0"/>
    <n v="0"/>
    <s v="2. Mujer"/>
    <n v="53"/>
    <s v="1. Sí"/>
    <m/>
    <x v="2"/>
    <m/>
    <s v="4. Casada/o"/>
    <s v="2. Primaria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6"/>
    <m/>
    <m/>
    <s v="3. INSEGURO"/>
    <s v="Tarde (12:00 a 17:59)"/>
    <n v="0"/>
    <n v="0"/>
    <n v="1"/>
    <n v="0"/>
    <n v="0"/>
    <s v="2. Esta igual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2. No"/>
    <m/>
    <s v="2. No"/>
    <m/>
    <s v="1. Sí"/>
    <s v="1. POCO FRECUENTE"/>
    <s v="2. No"/>
    <m/>
    <s v="2. No"/>
    <m/>
    <s v="1. Sí"/>
    <s v="1. POCO FRECUENTE"/>
    <s v="1. Sí"/>
    <s v="1. POCO FRECUENTE"/>
    <s v="2. No"/>
    <m/>
    <s v="2. No"/>
    <m/>
    <s v="1. Sí"/>
    <s v="2. FRECUENTE"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2. No"/>
    <m/>
    <m/>
    <m/>
    <s v="Inseguridad"/>
    <s v="Intranquilidad"/>
    <x v="26"/>
    <s v="1. Si"/>
    <s v="2. Bueno"/>
    <s v="1. Si"/>
    <s v="Ayuda a evitar problemas"/>
    <s v="2. No "/>
    <m/>
    <s v="1.Si"/>
    <s v="Ayuda"/>
    <s v="Bebidas/Confites/Comestibles industrializados/ Tabacos"/>
    <m/>
  </r>
  <r>
    <d v="2026-04-21T12:22:55"/>
    <d v="2026-04-21T13:19:24"/>
    <s v="IA"/>
    <n v="62"/>
    <n v="62"/>
    <b v="1"/>
    <d v="2026-04-19T00:00:00"/>
    <n v="1"/>
    <s v="FT"/>
    <s v="IA"/>
    <x v="36"/>
    <x v="53"/>
    <s v="1. Sí"/>
    <s v="1. EPMMOP"/>
    <n v="40"/>
    <x v="0"/>
    <n v="0"/>
    <n v="0"/>
    <n v="0"/>
    <n v="0"/>
    <n v="0"/>
    <s v="1. Hombre"/>
    <n v="42"/>
    <s v="1. Sí"/>
    <m/>
    <x v="0"/>
    <m/>
    <s v="2. Divorciada/o"/>
    <s v="6. Post grad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3. Consumo de drogas 6. Habitantes de calle (mendicidad) 7. Falta de alumbrado público"/>
    <x v="1"/>
    <x v="0"/>
    <x v="2"/>
    <x v="0"/>
    <x v="0"/>
    <x v="2"/>
    <x v="2"/>
    <x v="0"/>
    <x v="0"/>
    <x v="0"/>
    <x v="0"/>
    <m/>
    <m/>
    <s v="3. IN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TUBO"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2. No"/>
    <m/>
    <s v="2. No"/>
    <m/>
    <s v="1. Sí"/>
    <s v="3. MUY FRECUENTE"/>
    <s v="2. No"/>
    <m/>
    <s v="1. Sí"/>
    <s v="2. FRECUENTE"/>
    <s v="1. Sí"/>
    <s v="1. POCO FRECUENTE"/>
    <s v="1. Sí"/>
    <s v="3. MUY FRECUENTE"/>
    <s v="1. Sí"/>
    <s v="2. FRECUENTE"/>
    <s v="2. No"/>
    <m/>
    <s v="1. Sí"/>
    <s v="3. MUY FRECUENTE"/>
    <s v="1. Sí"/>
    <s v="3. MUY FRECUENTE"/>
    <s v="1. Sí"/>
    <s v="2. FRECUENTE"/>
    <s v="1. Sí"/>
    <s v="2. FRECUENTE"/>
    <s v="1. Sí"/>
    <s v="1. POCO FRECUENTE"/>
    <s v="2. No"/>
    <m/>
    <s v="2. No"/>
    <m/>
    <s v="2. No"/>
    <m/>
    <m/>
    <s v="1. Sí"/>
    <s v="3. MUY FRECUENTE"/>
    <s v="1. Sí"/>
    <m/>
    <s v="1. Sí"/>
    <s v="1. Sí"/>
    <s v="3. MALO"/>
    <s v="1. Sí"/>
    <s v="1. Sí"/>
    <s v="4. MUY MALO"/>
    <s v="2. No"/>
    <m/>
    <m/>
    <s v="1. Sí"/>
    <s v="1. Sí"/>
    <s v="3. MALO"/>
    <s v="1. Sí"/>
    <s v="1. Sí"/>
    <s v="1. MUY BUENO"/>
    <s v="1. Sí"/>
    <s v="1. Sí"/>
    <s v="2. BUENO"/>
    <s v="1. Sí"/>
    <s v="1. Sí"/>
    <s v="4. MUY MALO"/>
    <s v="1. Sí"/>
    <s v="1. Sí"/>
    <s v="1. MUY BUENO"/>
    <s v="1. Sí"/>
    <s v="2. No"/>
    <m/>
    <s v="2. No"/>
    <m/>
    <m/>
    <m/>
    <s v="Inseguridad"/>
    <m/>
    <x v="0"/>
    <s v="2. No"/>
    <m/>
    <m/>
    <m/>
    <m/>
    <m/>
    <m/>
    <m/>
    <s v="Comida preparada"/>
    <m/>
  </r>
  <r>
    <d v="2026-04-21T13:19:24"/>
    <d v="2026-04-21T13:24:11"/>
    <s v="IA"/>
    <n v="63"/>
    <n v="63"/>
    <b v="1"/>
    <d v="2026-04-19T00:00:00"/>
    <n v="1"/>
    <s v="MJM"/>
    <s v="IA"/>
    <x v="13"/>
    <x v="54"/>
    <s v="1. Sí"/>
    <s v="1. EPMMOP"/>
    <n v="12"/>
    <x v="0"/>
    <n v="0"/>
    <n v="0"/>
    <n v="0"/>
    <n v="0"/>
    <n v="0"/>
    <s v="1. Hombre"/>
    <n v="33"/>
    <s v="1. Sí"/>
    <m/>
    <x v="2"/>
    <m/>
    <s v="4. Casada/o"/>
    <s v="3. Secundaria/ Bachillerato"/>
    <s v="1. Completa"/>
    <s v="1. Menos de $470"/>
    <x v="1"/>
    <x v="18"/>
    <x v="1"/>
    <x v="2"/>
    <x v="2"/>
    <x v="1"/>
    <x v="1"/>
    <x v="1"/>
    <x v="1"/>
    <x v="1"/>
    <x v="1"/>
    <x v="1"/>
    <x v="1"/>
    <x v="1"/>
    <x v="5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2. No"/>
    <m/>
    <s v="1. Sí"/>
    <s v="1. POCO FRECUENTE"/>
    <s v="1. Sí"/>
    <s v="3. MUY FRECUENTE"/>
    <s v="1. Sí"/>
    <s v="2. FRECUENTE"/>
    <s v="1. Sí"/>
    <s v="2. FRECUENTE"/>
    <s v="2. No"/>
    <m/>
    <s v="1. Sí"/>
    <s v="2. FRECUENTE"/>
    <s v="2. No"/>
    <m/>
    <s v="1. Sí"/>
    <s v="2. FRECUENTE"/>
    <s v="1. Sí"/>
    <s v="1. POCO FRECUENTE"/>
    <s v="1. Sí"/>
    <s v="3. MUY FRECUENTE"/>
    <s v="2. No"/>
    <m/>
    <s v="1. Sí"/>
    <s v="2. FRECUENTE"/>
    <s v="2. No"/>
    <m/>
    <m/>
    <s v="1. Sí"/>
    <s v="3. MUY FRECUENTE"/>
    <s v="2. No"/>
    <m/>
    <s v="1. Sí"/>
    <s v="2. No"/>
    <m/>
    <s v="1. Sí"/>
    <s v="2. No"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Responsabilidad"/>
    <s v="Incertidumbre"/>
    <x v="5"/>
    <s v="1. Si"/>
    <s v="2. Bueno"/>
    <s v="2. No "/>
    <s v="Porque ayudan "/>
    <s v="2. No "/>
    <m/>
    <s v="2. No"/>
    <s v="No les conosco"/>
    <s v="Juegos infantiles"/>
    <m/>
  </r>
  <r>
    <d v="2026-04-21T13:24:11"/>
    <d v="2026-04-21T13:29:16"/>
    <s v="IA"/>
    <n v="64"/>
    <n v="64"/>
    <b v="1"/>
    <d v="2026-04-19T00:00:00"/>
    <n v="1"/>
    <s v="PA"/>
    <s v="IA"/>
    <x v="22"/>
    <x v="53"/>
    <s v="1. Sí"/>
    <s v="1. EPMMOP"/>
    <n v="35"/>
    <x v="0"/>
    <n v="0"/>
    <n v="0"/>
    <n v="0"/>
    <n v="0"/>
    <n v="0"/>
    <s v="1. Hombre"/>
    <n v="70"/>
    <s v="1. Sí"/>
    <m/>
    <x v="2"/>
    <m/>
    <s v="4. Casada/o"/>
    <s v="2. Primaria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4. Ventas ambulantes"/>
    <x v="0"/>
    <x v="0"/>
    <x v="0"/>
    <x v="2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1. Empeoró"/>
    <s v="1. Sí"/>
    <s v="2. No"/>
    <s v="1. Sí"/>
    <s v="6. Otros"/>
    <n v="0"/>
    <n v="0"/>
    <n v="0"/>
    <n v="0"/>
    <n v="0"/>
    <n v="1"/>
    <s v="CHAT COMUNITARIO"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1. Sí"/>
    <s v="1. POCO FRECUENTE"/>
    <s v="1. Sí"/>
    <s v="1. POCO FRECUENTE"/>
    <s v="1. Sí"/>
    <s v="3. MUY FRECUENTE"/>
    <s v="1. Sí"/>
    <s v="3. MUY FRECUENTE"/>
    <s v="2. No"/>
    <m/>
    <s v="1. Sí"/>
    <s v="2. FRECUENTE"/>
    <s v="1. Sí"/>
    <s v="1. POCO FRECUENTE"/>
    <s v="2. No"/>
    <m/>
    <s v="2. No"/>
    <m/>
    <s v="1. Sí"/>
    <s v="1. POCO FRECUENTE"/>
    <s v="2. No"/>
    <m/>
    <s v="1. Sí"/>
    <s v="1. POCO FRECUENTE"/>
    <s v="2. No"/>
    <m/>
    <s v="1. Sí"/>
    <s v="1. POCO FRECUENTE"/>
    <s v="2. No"/>
    <m/>
    <s v="1. Sí"/>
    <s v="2. FRECUENTE"/>
    <s v="2. No"/>
    <m/>
    <m/>
    <s v="1. Sí"/>
    <s v="3. MUY FRECUENTE"/>
    <s v="1. Sí"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m/>
    <s v="Miedo"/>
    <s v="Tranquilidad"/>
    <x v="5"/>
    <s v="1. Si"/>
    <s v="2. Bueno"/>
    <s v="1. Si"/>
    <s v="Controles"/>
    <s v="1. Si"/>
    <s v="Apoyo con información"/>
    <s v="2. No"/>
    <s v="Corrupción y falta de compromiso"/>
    <s v="Comida preparada"/>
    <m/>
  </r>
  <r>
    <d v="2026-04-21T13:29:16"/>
    <d v="2026-04-21T13:35:22"/>
    <s v="IA"/>
    <n v="65"/>
    <n v="65"/>
    <b v="1"/>
    <d v="2026-04-19T00:00:00"/>
    <n v="1"/>
    <s v="MJM"/>
    <s v="IA"/>
    <x v="13"/>
    <x v="13"/>
    <s v="1. Sí"/>
    <s v="1. EPMMOP"/>
    <n v="8"/>
    <x v="0"/>
    <n v="0"/>
    <n v="0"/>
    <n v="0"/>
    <n v="0"/>
    <n v="0"/>
    <s v="1. Hombre"/>
    <n v="69"/>
    <s v="1. Sí"/>
    <m/>
    <x v="0"/>
    <m/>
    <s v="4. Casada/o"/>
    <s v="3. Secundaria/ Bachillerato"/>
    <s v="1. Completa"/>
    <s v="2. de $471 a $919"/>
    <x v="1"/>
    <x v="19"/>
    <x v="1"/>
    <x v="1"/>
    <x v="1"/>
    <x v="1"/>
    <x v="1"/>
    <x v="2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3. MUY FRECUENTE"/>
    <s v="2. No"/>
    <m/>
    <s v="2. No"/>
    <m/>
    <s v="1. Sí"/>
    <s v="1. POCO FRECUENTE"/>
    <s v="1. Sí"/>
    <s v="2. FRECUENTE"/>
    <s v="2. No"/>
    <m/>
    <s v="2. No"/>
    <m/>
    <s v="2. No"/>
    <m/>
    <s v="2. No"/>
    <m/>
    <s v="1. Sí"/>
    <s v="1. POCO FRECUENTE"/>
    <s v="1. Sí"/>
    <s v="2.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Impaciencia"/>
    <s v="Intranquilidad"/>
    <x v="0"/>
    <s v="1. Si"/>
    <s v="2. Bueno"/>
    <s v="1. Si"/>
    <s v="Sob respetados"/>
    <s v="2. No "/>
    <m/>
    <s v="1.Si"/>
    <s v="Resguardan la seguridad"/>
    <s v="Juegos infantiles"/>
    <s v="Juegos infantiles"/>
  </r>
  <r>
    <d v="2026-04-21T13:35:22"/>
    <d v="2026-04-21T14:12:07"/>
    <s v="IA"/>
    <n v="66"/>
    <n v="66"/>
    <b v="1"/>
    <d v="2026-04-19T00:00:00"/>
    <n v="2"/>
    <s v="FN"/>
    <s v="AA"/>
    <x v="54"/>
    <x v="55"/>
    <s v="1. Sí"/>
    <s v="1. EPMMOP"/>
    <n v="12"/>
    <x v="0"/>
    <n v="0"/>
    <n v="0"/>
    <n v="0"/>
    <n v="0"/>
    <n v="0"/>
    <s v="1. Hombre"/>
    <n v="60"/>
    <s v="1. Sí"/>
    <m/>
    <x v="2"/>
    <m/>
    <s v="4. Casada/o"/>
    <s v="2. Primaria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7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2. No"/>
    <m/>
    <s v="2. No"/>
    <m/>
    <s v="2. No"/>
    <m/>
    <s v="1. Sí"/>
    <s v="1. POCO FRECUENTE"/>
    <s v="1. Sí"/>
    <s v="2. FRECUENTE"/>
    <s v="2. No"/>
    <m/>
    <s v="2. No"/>
    <m/>
    <s v="2. No"/>
    <m/>
    <s v="1. Sí"/>
    <s v="2. FRECUENTE"/>
    <s v="2. No"/>
    <m/>
    <s v="2. No"/>
    <m/>
    <s v="2. No"/>
    <m/>
    <s v="1. Sí"/>
    <s v="2. FRECUENTE"/>
    <s v="2. No"/>
    <m/>
    <m/>
    <s v="1. Sí"/>
    <s v="1. POCO FRECUENTE"/>
    <s v="2. No"/>
    <m/>
    <s v="1. Sí"/>
    <s v="1. Sí"/>
    <s v="2. BUENO"/>
    <s v="1. Sí"/>
    <s v="2. No"/>
    <m/>
    <s v="2. No"/>
    <m/>
    <m/>
    <s v="1. Sí"/>
    <s v="1. Sí"/>
    <s v="2. BUENO"/>
    <s v="1. Sí"/>
    <s v="2. No"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m/>
    <s v="Alegría"/>
    <s v="Tranquilidad"/>
    <x v="27"/>
    <s v="1. Si"/>
    <s v="2. Bueno"/>
    <s v="1. Si"/>
    <s v="Controlan mejor"/>
    <s v="1. Si"/>
    <s v="Solo ha escuchado"/>
    <s v="1.Si"/>
    <s v="Son buenos para los ciudadanos"/>
    <s v="Frutas y Legumbres"/>
    <m/>
  </r>
  <r>
    <d v="2026-04-21T14:12:07"/>
    <d v="2026-04-21T14:19:49"/>
    <s v="IA"/>
    <n v="67"/>
    <n v="67"/>
    <b v="1"/>
    <d v="2026-04-19T00:00:00"/>
    <n v="2"/>
    <s v="MT"/>
    <s v="AA"/>
    <x v="55"/>
    <x v="56"/>
    <s v="1. Sí"/>
    <s v="1. EPMMOP"/>
    <n v="34"/>
    <x v="0"/>
    <n v="0"/>
    <n v="0"/>
    <n v="0"/>
    <n v="0"/>
    <n v="0"/>
    <s v="2. Mujer"/>
    <n v="68"/>
    <s v="1. Sí"/>
    <m/>
    <x v="0"/>
    <m/>
    <s v="4. Casada/o"/>
    <s v="3. Secundaria/ Bachillerato"/>
    <s v="1. Completa"/>
    <s v="1. Menos de $470"/>
    <x v="1"/>
    <x v="17"/>
    <x v="1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1. Sí"/>
    <s v="3. Palos"/>
    <n v="0"/>
    <n v="0"/>
    <n v="1"/>
    <n v="0"/>
    <n v="0"/>
    <n v="0"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1. Sí"/>
    <s v="1. POCO FRECUENTE"/>
    <s v="1. Sí"/>
    <s v="1. POCO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1. Sí"/>
    <m/>
    <s v="1. Sí"/>
    <s v="2. No"/>
    <m/>
    <s v="1. Sí"/>
    <s v="2. No"/>
    <m/>
    <s v="2. No"/>
    <m/>
    <m/>
    <s v="2. No"/>
    <m/>
    <m/>
    <s v="1. Sí"/>
    <s v="1. Sí"/>
    <s v="2. BUENO"/>
    <s v="2. No"/>
    <m/>
    <m/>
    <s v="1. Sí"/>
    <s v="1. Sí"/>
    <s v="1. MUY BUENO"/>
    <s v="1. Sí"/>
    <s v="1. Sí"/>
    <s v="2. BUENO"/>
    <s v="2. No"/>
    <m/>
    <m/>
    <s v="2. No"/>
    <m/>
    <m/>
    <m/>
    <s v="Ns/Nc"/>
    <m/>
    <x v="0"/>
    <s v="2. No"/>
    <m/>
    <m/>
    <m/>
    <m/>
    <m/>
    <m/>
    <m/>
    <s v="Comida preparada"/>
    <m/>
  </r>
  <r>
    <d v="2026-04-21T14:19:49"/>
    <d v="2026-04-21T14:26:04"/>
    <s v="IA"/>
    <n v="68"/>
    <n v="68"/>
    <b v="1"/>
    <d v="2026-04-19T00:00:00"/>
    <n v="2"/>
    <s v="FN"/>
    <s v="AA"/>
    <x v="56"/>
    <x v="57"/>
    <s v="1. Sí"/>
    <s v="1. EPMMOP"/>
    <n v="25"/>
    <x v="0"/>
    <n v="0"/>
    <n v="0"/>
    <n v="0"/>
    <n v="0"/>
    <n v="0"/>
    <s v="2. Mujer"/>
    <n v="60"/>
    <s v="1. Sí"/>
    <m/>
    <x v="0"/>
    <m/>
    <s v="5. Soltera/o"/>
    <s v="3. Secundaria/ Bachillerato"/>
    <s v="1. Completa"/>
    <s v="1. Menos de $470"/>
    <x v="1"/>
    <x v="20"/>
    <x v="1"/>
    <x v="1"/>
    <x v="2"/>
    <x v="1"/>
    <x v="1"/>
    <x v="2"/>
    <x v="1"/>
    <x v="1"/>
    <x v="2"/>
    <x v="1"/>
    <x v="1"/>
    <x v="1"/>
    <x v="5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 Tarde (12:00 a 17:59) Noche  (18:00 a 23:59)"/>
    <n v="0"/>
    <n v="1"/>
    <n v="1"/>
    <n v="1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2. No"/>
    <m/>
    <s v="2. No"/>
    <m/>
    <s v="1. Sí"/>
    <s v="1. POCO FRECUENTE"/>
    <s v="1. Sí"/>
    <s v="2. FRECUENTE"/>
    <s v="2. No"/>
    <m/>
    <s v="2. No"/>
    <m/>
    <s v="2. No"/>
    <m/>
    <s v="1. Sí"/>
    <s v="1. POCO FRECUENTE"/>
    <s v="1. Sí"/>
    <s v="1. POCO FRECUENTE"/>
    <s v="2. No"/>
    <m/>
    <s v="2. No"/>
    <m/>
    <s v="2. No"/>
    <m/>
    <s v="1. Sí"/>
    <s v="Ocupan el lactario para consumir bebidas alcohólicas"/>
    <s v="3. MUY FRECUENTE"/>
    <s v="1. Sí"/>
    <s v="3. MUY FRECUENTE"/>
    <s v="1. Sí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m/>
    <s v="Recuerdos"/>
    <s v="Alegría"/>
    <x v="0"/>
    <s v="1. Si"/>
    <s v="2. Bueno"/>
    <s v="1. Si"/>
    <s v="Falta constancia"/>
    <s v="2. No "/>
    <m/>
    <s v="1.Si"/>
    <s v="Ayuda a mejorar la seguridad"/>
    <s v="Comida preparada"/>
    <m/>
  </r>
  <r>
    <d v="2026-04-21T14:26:04"/>
    <d v="2026-04-21T14:32:55"/>
    <s v="IA"/>
    <n v="69"/>
    <n v="69"/>
    <b v="1"/>
    <d v="2026-04-19T00:00:00"/>
    <n v="2"/>
    <s v="MT"/>
    <s v="AA"/>
    <x v="57"/>
    <x v="58"/>
    <s v="1. Sí"/>
    <s v="2. AMC"/>
    <n v="3"/>
    <x v="0"/>
    <n v="0"/>
    <n v="0"/>
    <n v="0"/>
    <n v="0"/>
    <n v="0"/>
    <s v="1. Hombre"/>
    <n v="53"/>
    <s v="1. Sí"/>
    <m/>
    <x v="0"/>
    <m/>
    <s v="4. Casada/o"/>
    <s v="3. Secundaria/ Bachillerato"/>
    <s v="2. Incompleta"/>
    <s v="1. Menos de $470"/>
    <x v="1"/>
    <x v="9"/>
    <x v="1"/>
    <x v="2"/>
    <x v="2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1. Sí"/>
    <s v="2. FRECUENTE"/>
    <s v="2. No"/>
    <m/>
    <s v="2. No"/>
    <m/>
    <s v="1. Sí"/>
    <s v="3. MUY FRECUENTE"/>
    <s v="2. No"/>
    <m/>
    <s v="2. No"/>
    <m/>
    <s v="2. No"/>
    <m/>
    <s v="2. No"/>
    <m/>
    <s v="1. Sí"/>
    <s v="3. MUY FRECUENTE"/>
    <s v="2. No"/>
    <m/>
    <s v="1. Sí"/>
    <s v="3. MUY FRECUENTE"/>
    <s v="2. No"/>
    <m/>
    <s v="2. No"/>
    <m/>
    <s v="2. No"/>
    <m/>
    <m/>
    <s v="1. Sí"/>
    <s v="2. FRECUENTE"/>
    <s v="1. Sí"/>
    <m/>
    <s v="1. Sí"/>
    <s v="2. No"/>
    <m/>
    <s v="1. Sí"/>
    <s v="2. No"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1. MUY BUENO"/>
    <s v="1. Sí"/>
    <s v="1. Sí"/>
    <s v="2. BUENO"/>
    <s v="2. No"/>
    <m/>
    <m/>
    <m/>
    <s v="Tranquilidad"/>
    <m/>
    <x v="0"/>
    <s v="1. Si"/>
    <s v="1. Muy bueno"/>
    <s v="1. Si"/>
    <s v="Hay más seguridad"/>
    <s v="1. Si"/>
    <s v="Capacitaciones"/>
    <s v="2. No"/>
    <s v="Cuando se van no hay quien mas que ayude"/>
    <s v="Juegos infantiles"/>
    <m/>
  </r>
  <r>
    <d v="2026-04-21T14:32:55"/>
    <d v="2026-04-21T14:58:31"/>
    <s v="IA"/>
    <n v="70"/>
    <n v="70"/>
    <b v="1"/>
    <d v="2026-04-19T00:00:00"/>
    <n v="2"/>
    <s v="FN"/>
    <s v="AA"/>
    <x v="58"/>
    <x v="59"/>
    <s v="1. Sí"/>
    <s v="1. EPMMOP"/>
    <n v="42"/>
    <x v="0"/>
    <n v="0"/>
    <n v="0"/>
    <n v="0"/>
    <n v="0"/>
    <n v="0"/>
    <s v="2. Mujer"/>
    <n v="63"/>
    <s v="1. Sí"/>
    <m/>
    <x v="0"/>
    <m/>
    <s v="5. Soltera/o"/>
    <s v="3. Secundaria/ Bachillerato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7. Falta de alumbrado público 8. ¿Cuál?1"/>
    <x v="0"/>
    <x v="0"/>
    <x v="0"/>
    <x v="0"/>
    <x v="0"/>
    <x v="0"/>
    <x v="2"/>
    <x v="1"/>
    <x v="0"/>
    <x v="0"/>
    <x v="8"/>
    <m/>
    <m/>
    <s v="3. INSEGURO"/>
    <s v="Mañana  (06:00 a 11:59) Noche  (18:00 a 23:59)"/>
    <n v="0"/>
    <n v="1"/>
    <n v="0"/>
    <n v="1"/>
    <n v="0"/>
    <s v="2. Esta igual"/>
    <s v="1. Sí"/>
    <s v="1. Sí"/>
    <s v="1. Sí"/>
    <s v="2. Gas pimienta"/>
    <n v="0"/>
    <n v="1"/>
    <n v="0"/>
    <n v="0"/>
    <n v="0"/>
    <n v="0"/>
    <m/>
    <s v="2. No"/>
    <m/>
    <m/>
    <m/>
    <m/>
    <m/>
    <m/>
    <m/>
    <m/>
    <m/>
    <m/>
    <m/>
    <m/>
    <m/>
    <m/>
    <m/>
    <m/>
    <m/>
    <m/>
    <m/>
    <m/>
    <m/>
    <s v="1. Sí"/>
    <s v="2. FRECUENTE"/>
    <s v="1. Sí"/>
    <s v="2. FRECUENTE"/>
    <s v="1. Sí"/>
    <s v="3. MUY FRECUENTE"/>
    <s v="1. Sí"/>
    <s v="3. MUY FRECUENTE"/>
    <s v="2. No"/>
    <m/>
    <s v="1. Sí"/>
    <s v="1. POCO FRECUENTE"/>
    <s v="1. Sí"/>
    <s v="2. FRECUENTE"/>
    <s v="1. Sí"/>
    <s v="3. MUY FRECUENTE"/>
    <s v="1. Sí"/>
    <s v="2. FRECUENTE"/>
    <s v="1. Sí"/>
    <s v="2. FRECUENTE"/>
    <s v="1. Sí"/>
    <s v="2. FRECUENTE"/>
    <s v="1. Sí"/>
    <s v="2. FRECUENTE"/>
    <s v="1. Sí"/>
    <s v="1. POCO FRECUENTE"/>
    <s v="1. Sí"/>
    <s v="3. MUY FRECUENTE"/>
    <s v="2. No"/>
    <m/>
    <s v="1. Sí"/>
    <s v="2. FRECUENTE"/>
    <s v="1. Sí"/>
    <s v="Animales sin correa"/>
    <s v="3. MUY FRECUENTE"/>
    <s v="1. Sí"/>
    <s v="3. MUY FRECUENTE"/>
    <s v="1. Sí"/>
    <m/>
    <s v="1. Sí"/>
    <s v="2. No"/>
    <m/>
    <s v="1. Sí"/>
    <s v="2. No"/>
    <m/>
    <s v="1. Sí"/>
    <s v="2. No"/>
    <m/>
    <s v="1. Sí"/>
    <s v="1. Sí"/>
    <s v="2. BUENO"/>
    <s v="1. Sí"/>
    <s v="2. No"/>
    <m/>
    <s v="2. No"/>
    <m/>
    <m/>
    <s v="1. Sí"/>
    <s v="1. Sí"/>
    <s v="2. BUENO"/>
    <s v="2. No"/>
    <m/>
    <m/>
    <s v="1. Sí"/>
    <s v="2. No"/>
    <m/>
    <s v="2. No"/>
    <m/>
    <m/>
    <m/>
    <s v="Desprotegida"/>
    <m/>
    <x v="0"/>
    <s v="1. Si"/>
    <s v="3. Malo"/>
    <s v="2. No "/>
    <s v="Solo controlan a los que tienen permiso"/>
    <s v="1. Si"/>
    <s v="Van a darles kioscos"/>
    <s v="1.Si"/>
    <s v="Confía en las instituciones"/>
    <s v="Bebidas/Confites/Comestibles industrializados/ Tabacos"/>
    <m/>
  </r>
  <r>
    <d v="2026-04-21T14:58:31"/>
    <d v="2026-04-21T15:07:12"/>
    <s v="IA"/>
    <n v="71"/>
    <n v="71"/>
    <b v="1"/>
    <d v="2026-04-19T00:00:00"/>
    <n v="2"/>
    <s v="MT"/>
    <s v="AA"/>
    <x v="59"/>
    <x v="60"/>
    <s v="1. Sí"/>
    <s v="1. EPMMOP"/>
    <n v="30"/>
    <x v="0"/>
    <n v="0"/>
    <n v="0"/>
    <n v="0"/>
    <n v="0"/>
    <n v="0"/>
    <s v="1. Hombre"/>
    <n v="52"/>
    <s v="1. Sí"/>
    <m/>
    <x v="0"/>
    <m/>
    <s v="4. Casada/o"/>
    <s v="3. Secundaria/ Bachillerato"/>
    <s v="1. Completa"/>
    <s v="2. de $471 a $919"/>
    <x v="1"/>
    <x v="21"/>
    <x v="1"/>
    <x v="2"/>
    <x v="2"/>
    <x v="1"/>
    <x v="1"/>
    <x v="1"/>
    <x v="1"/>
    <x v="2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1. Sí"/>
    <s v="2. BUENO"/>
    <s v="1. Sí"/>
    <s v="1. Sí"/>
    <s v="2. BUENO"/>
    <s v="2. No"/>
    <m/>
    <m/>
    <s v="2. No"/>
    <m/>
    <m/>
    <m/>
    <s v="Ns/Nc"/>
    <m/>
    <x v="0"/>
    <s v="1. Si"/>
    <s v="1. Muy bueno"/>
    <s v="2. No "/>
    <s v="Es un juego del gato y al ratón con los criminales"/>
    <s v="1. Si"/>
    <s v="Capacitaciones"/>
    <s v="1.Si"/>
    <s v="Son seguros"/>
    <s v="Alquiler de bicicletas"/>
    <m/>
  </r>
  <r>
    <d v="2026-04-21T15:07:12"/>
    <d v="2026-04-21T15:16:20"/>
    <s v="IA"/>
    <n v="72"/>
    <n v="72"/>
    <b v="1"/>
    <d v="2026-04-19T00:00:00"/>
    <n v="2"/>
    <s v="FN"/>
    <s v="AA"/>
    <x v="60"/>
    <x v="61"/>
    <s v="1. Sí"/>
    <s v="1. EPMMOP"/>
    <n v="18"/>
    <x v="0"/>
    <n v="0"/>
    <n v="0"/>
    <n v="0"/>
    <n v="0"/>
    <n v="0"/>
    <s v="2. Mujer"/>
    <n v="38"/>
    <s v="1. Sí"/>
    <m/>
    <x v="2"/>
    <m/>
    <s v="4. Casada/o"/>
    <s v="5. Universitari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2. Venta de drogas 4. Ventas ambulantes 8. ¿Cuál?1"/>
    <x v="1"/>
    <x v="2"/>
    <x v="0"/>
    <x v="2"/>
    <x v="0"/>
    <x v="0"/>
    <x v="0"/>
    <x v="1"/>
    <x v="0"/>
    <x v="0"/>
    <x v="9"/>
    <m/>
    <m/>
    <s v="3. INSEGURO"/>
    <s v="Mañana  (06:00 a 11:59) Tarde (12:00 a 17:59)"/>
    <n v="0"/>
    <n v="1"/>
    <n v="1"/>
    <n v="0"/>
    <n v="0"/>
    <s v="2. Esta igual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1. Sí"/>
    <s v="3. MUY FRECUENTE"/>
    <s v="1. Sí"/>
    <s v="2. FRECUENTE"/>
    <s v="2. No"/>
    <m/>
    <s v="1. Sí"/>
    <s v="3. MUY FRECUENTE"/>
    <s v="1. Sí"/>
    <s v="1. POCO FRECUENTE"/>
    <s v="1. Sí"/>
    <s v="1. POCO FRECUENTE"/>
    <s v="1. Sí"/>
    <s v="2. FRECUENTE"/>
    <s v="1. Sí"/>
    <s v="3. MUY FRECUENTE"/>
    <s v="1. Sí"/>
    <s v="2. FRECUENTE"/>
    <s v="2. No"/>
    <m/>
    <s v="1. Sí"/>
    <s v="3. MUY FRECUENTE"/>
    <s v="2. No"/>
    <m/>
    <s v="2. No"/>
    <m/>
    <s v="1. Sí"/>
    <s v="Ingreso de motos eléctricas y motos por pasos peatonales"/>
    <s v="2. FRECUENTE"/>
    <s v="1. Sí"/>
    <s v="3. MUY FRECUENTE"/>
    <s v="1. Sí"/>
    <m/>
    <s v="2. No"/>
    <m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1. Sí"/>
    <s v="2. BUENO"/>
    <s v="2. No"/>
    <m/>
    <m/>
    <m/>
    <s v="Alegría"/>
    <s v="Motivación"/>
    <x v="22"/>
    <s v="2. No"/>
    <m/>
    <m/>
    <m/>
    <m/>
    <m/>
    <m/>
    <m/>
    <s v="Comida preparada"/>
    <s v="SANCIÓN A QUIENES NO RECOGER DESECHOS"/>
  </r>
  <r>
    <d v="2026-04-21T15:16:20"/>
    <d v="2026-04-21T15:22:00"/>
    <s v="IA"/>
    <n v="73"/>
    <n v="73"/>
    <b v="1"/>
    <d v="2026-04-19T00:00:00"/>
    <n v="2"/>
    <s v="MT"/>
    <s v="AA"/>
    <x v="61"/>
    <x v="62"/>
    <s v="1. Sí"/>
    <s v="1. EPMMOP"/>
    <n v="20"/>
    <x v="0"/>
    <n v="0"/>
    <n v="0"/>
    <n v="0"/>
    <n v="0"/>
    <n v="0"/>
    <s v="1. Hombre"/>
    <n v="49"/>
    <s v="1. Sí"/>
    <m/>
    <x v="0"/>
    <m/>
    <s v="2. Divorci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10"/>
    <m/>
    <m/>
    <s v="3. INSEGURO"/>
    <s v="Tarde (12:00 a 17:59) Noche  (18:00 a 23:59)"/>
    <n v="0"/>
    <n v="0"/>
    <n v="1"/>
    <n v="1"/>
    <n v="0"/>
    <s v="2. Esta igual"/>
    <s v="2. No"/>
    <s v="2. No"/>
    <s v="2. No"/>
    <m/>
    <m/>
    <m/>
    <m/>
    <m/>
    <m/>
    <m/>
    <m/>
    <s v="1. Sí"/>
    <s v="VI.7 Agresiones"/>
    <n v="0"/>
    <n v="0"/>
    <n v="0"/>
    <n v="0"/>
    <n v="0"/>
    <n v="1"/>
    <n v="0"/>
    <n v="0"/>
    <n v="0"/>
    <m/>
    <m/>
    <m/>
    <m/>
    <m/>
    <m/>
    <m/>
    <s v="1. Sí"/>
    <m/>
    <m/>
    <m/>
    <s v="2. No"/>
    <m/>
    <s v="1. Sí"/>
    <s v="2. FRECUENTE"/>
    <s v="1. Sí"/>
    <s v="3. MUY FRECUENTE"/>
    <s v="1. Sí"/>
    <s v="3. MUY FRECUENTE"/>
    <s v="1. Sí"/>
    <s v="3. MUY FRECUENTE"/>
    <s v="1. Sí"/>
    <s v="2. FRECUENTE"/>
    <s v="1. Sí"/>
    <s v="3. MUY FRECUENTE"/>
    <s v="2. No"/>
    <m/>
    <s v="2. No"/>
    <m/>
    <s v="1. Sí"/>
    <s v="1. POCO FRECUENTE"/>
    <s v="2. No"/>
    <m/>
    <s v="2. No"/>
    <m/>
    <s v="2. No"/>
    <m/>
    <s v="1. Sí"/>
    <s v="3. MUY FRECUENTE"/>
    <s v="2. No"/>
    <m/>
    <s v="2. No"/>
    <m/>
    <s v="1. Sí"/>
    <s v="Gente que se pelea por los perros"/>
    <s v="2. FRECUENTE"/>
    <s v="1. Sí"/>
    <s v="2.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s v="Estrés"/>
    <m/>
    <x v="0"/>
    <s v="1. Si"/>
    <s v="2. Bueno"/>
    <s v="1. Si"/>
    <s v="Auyentan la venta informal"/>
    <s v="1. Si"/>
    <s v="Capacitaciones"/>
    <s v="1.Si"/>
    <s v="Son seguros"/>
    <s v="Juguetes y variedades"/>
    <m/>
  </r>
  <r>
    <d v="2026-04-21T15:22:00"/>
    <d v="2026-04-21T15:28:41"/>
    <s v="IA"/>
    <n v="74"/>
    <n v="74"/>
    <b v="1"/>
    <d v="2026-04-19T00:00:00"/>
    <n v="2"/>
    <s v="MT"/>
    <s v="AA"/>
    <x v="62"/>
    <x v="63"/>
    <s v="1. Sí"/>
    <s v="2. AMC"/>
    <n v="15"/>
    <x v="0"/>
    <n v="0"/>
    <n v="0"/>
    <n v="0"/>
    <n v="0"/>
    <n v="0"/>
    <s v="1. Hombre"/>
    <n v="32"/>
    <s v="1. Sí"/>
    <m/>
    <x v="2"/>
    <m/>
    <s v="4. Casada/o"/>
    <s v="5. Universitario"/>
    <s v="1. Completa"/>
    <s v="1. Menos de $470"/>
    <x v="1"/>
    <x v="22"/>
    <x v="2"/>
    <x v="2"/>
    <x v="2"/>
    <x v="1"/>
    <x v="1"/>
    <x v="1"/>
    <x v="1"/>
    <x v="2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 Noche  (18:00 a 23:59)"/>
    <n v="0"/>
    <n v="1"/>
    <n v="1"/>
    <n v="1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m/>
    <s v="1. Sí"/>
    <s v="2. No"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s v="Tranquilidad"/>
    <m/>
    <x v="0"/>
    <s v="1. Si"/>
    <s v="2. Bueno"/>
    <s v="2. No "/>
    <s v="Ns/Nc"/>
    <s v="1. Si"/>
    <s v="Capacitaciones"/>
    <s v="1.Si"/>
    <s v="Controlan para el bienestar"/>
    <s v="Juegos infantiles"/>
    <m/>
  </r>
  <r>
    <d v="2026-04-21T15:28:41"/>
    <d v="2026-04-21T15:44:47"/>
    <s v="IA"/>
    <n v="75"/>
    <n v="75"/>
    <b v="1"/>
    <d v="2026-04-19T00:00:00"/>
    <n v="2"/>
    <s v="MT"/>
    <s v="AA"/>
    <x v="63"/>
    <x v="64"/>
    <s v="1. Sí"/>
    <s v="1. EPMMOP"/>
    <n v="15"/>
    <x v="0"/>
    <n v="0"/>
    <n v="0"/>
    <n v="0"/>
    <n v="0"/>
    <n v="0"/>
    <s v="1. Hombre"/>
    <n v="50"/>
    <s v="1. Sí"/>
    <m/>
    <x v="2"/>
    <m/>
    <s v="4. Casada/o"/>
    <s v="5. Universitario"/>
    <s v="1. Completa"/>
    <s v="1. Menos de $470"/>
    <x v="1"/>
    <x v="23"/>
    <x v="2"/>
    <x v="2"/>
    <x v="2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2. No"/>
    <m/>
    <m/>
    <m/>
    <s v="1. Sí"/>
    <s v="2. No"/>
    <m/>
    <s v="1. Sí"/>
    <s v="2. No"/>
    <m/>
    <s v="2. No"/>
    <m/>
    <m/>
    <s v="2. No"/>
    <m/>
    <m/>
    <s v="2. No"/>
    <m/>
    <m/>
    <s v="2. No"/>
    <m/>
    <m/>
    <s v="1. Sí"/>
    <s v="2. No"/>
    <m/>
    <s v="1. Sí"/>
    <s v="2. No"/>
    <m/>
    <s v="2. No"/>
    <m/>
    <m/>
    <s v="2. No"/>
    <m/>
    <m/>
    <m/>
    <s v="Ns/Nc"/>
    <m/>
    <x v="0"/>
    <s v="1. Si"/>
    <s v="2. Bueno"/>
    <s v="99. Ns/Nc"/>
    <m/>
    <s v="1. Si"/>
    <s v="Capacitaciones"/>
    <s v="1.Si"/>
    <s v="Controlan"/>
    <s v="Bebidas/Confites/Comestibles industrializados/ Tabacos"/>
    <s v="MALA ADMINISTRACIÓN DEL PARQUE"/>
  </r>
  <r>
    <d v="2026-04-21T15:44:47"/>
    <d v="2026-04-21T15:51:27"/>
    <s v="IA"/>
    <n v="76"/>
    <n v="76"/>
    <b v="1"/>
    <d v="2026-04-19T00:00:00"/>
    <n v="2"/>
    <s v="FN"/>
    <s v="AA"/>
    <x v="64"/>
    <x v="65"/>
    <s v="1. Sí"/>
    <s v="1. EPMMOP"/>
    <n v="3"/>
    <x v="0"/>
    <n v="0"/>
    <n v="0"/>
    <n v="0"/>
    <n v="0"/>
    <n v="0"/>
    <s v="2. Mujer"/>
    <n v="26"/>
    <s v="1. Sí"/>
    <m/>
    <x v="0"/>
    <m/>
    <s v="5. Soltera/o"/>
    <s v="4. Tecnicatura/Tecnología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11"/>
    <m/>
    <m/>
    <s v="2. SEGURO"/>
    <s v="Mañana  (06:00 a 11:59)"/>
    <n v="0"/>
    <n v="1"/>
    <n v="0"/>
    <n v="0"/>
    <n v="0"/>
    <s v="2. Esta igual"/>
    <s v="2. No"/>
    <s v="1. Sí"/>
    <s v="1. Sí"/>
    <s v="2. Gas pimienta"/>
    <n v="0"/>
    <n v="1"/>
    <n v="0"/>
    <n v="0"/>
    <n v="0"/>
    <n v="0"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1. POCO FRECUENTE"/>
    <s v="1. Sí"/>
    <s v="2. FRECUENTE"/>
    <s v="1. Sí"/>
    <s v="2. FRECUENTE"/>
    <s v="1. Sí"/>
    <s v="3. MUY FRECUENTE"/>
    <s v="2. No"/>
    <m/>
    <s v="1. Sí"/>
    <s v="2. FRECUENTE"/>
    <s v="1. Sí"/>
    <s v="1. POCO FRECUENTE"/>
    <s v="2. No"/>
    <m/>
    <s v="2. No"/>
    <m/>
    <s v="1. Sí"/>
    <s v="1. POCO FRECUENTE"/>
    <s v="2. No"/>
    <m/>
    <s v="2. No"/>
    <m/>
    <s v="1. Sí"/>
    <s v="Abuso sexual"/>
    <s v="2. FRECUENTE"/>
    <s v="1. Sí"/>
    <s v="3. MUY FRECUENTE"/>
    <s v="1. Sí"/>
    <m/>
    <s v="2. No"/>
    <m/>
    <m/>
    <s v="1. Sí"/>
    <s v="2. No"/>
    <m/>
    <s v="2. No"/>
    <m/>
    <m/>
    <s v="1. Sí"/>
    <s v="1. Sí"/>
    <s v="2. BUENO"/>
    <s v="1. Sí"/>
    <s v="2. No"/>
    <m/>
    <s v="1. Sí"/>
    <s v="2. No"/>
    <m/>
    <s v="1. Sí"/>
    <s v="1. Sí"/>
    <s v="2. BUENO"/>
    <s v="2. No"/>
    <m/>
    <m/>
    <s v="1. Sí"/>
    <s v="1. Sí"/>
    <s v="2. BUENO"/>
    <s v="2. No"/>
    <m/>
    <m/>
    <m/>
    <s v="Paz"/>
    <s v="Tranquilidad"/>
    <x v="19"/>
    <s v="2. No"/>
    <m/>
    <m/>
    <m/>
    <m/>
    <m/>
    <m/>
    <m/>
    <s v="Juguetes y variedades"/>
    <s v="JUGUETES Y VARIEDADES"/>
  </r>
  <r>
    <d v="2026-04-21T15:51:27"/>
    <d v="2026-04-21T15:57:10"/>
    <s v="IA"/>
    <n v="77"/>
    <n v="77"/>
    <b v="1"/>
    <d v="2026-04-19T00:00:00"/>
    <n v="2"/>
    <s v="MT"/>
    <s v="AA"/>
    <x v="65"/>
    <x v="66"/>
    <s v="1. Sí"/>
    <s v="1. EPMMOP"/>
    <n v="40"/>
    <x v="0"/>
    <n v="0"/>
    <n v="0"/>
    <n v="0"/>
    <n v="0"/>
    <n v="0"/>
    <s v="1. Hombre"/>
    <n v="76"/>
    <s v="1. Sí"/>
    <m/>
    <x v="0"/>
    <m/>
    <s v="3. Viuda/o"/>
    <s v="3. Secundaria/ Bachillerato"/>
    <s v="2. Incompleta"/>
    <s v="1. Menos de $470"/>
    <x v="1"/>
    <x v="6"/>
    <x v="1"/>
    <x v="2"/>
    <x v="2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2. No"/>
    <s v="1. Sí"/>
    <s v="6. Otros"/>
    <n v="0"/>
    <n v="0"/>
    <n v="0"/>
    <n v="0"/>
    <n v="0"/>
    <n v="1"/>
    <s v="GUARDIAS PRIVADOS"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2. No"/>
    <m/>
    <s v="2. No"/>
    <m/>
    <s v="1. Sí"/>
    <s v="3. MUY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4. MUY MALO"/>
    <s v="1. Sí"/>
    <s v="1. Sí"/>
    <s v="4. MUY MALO"/>
    <s v="2. No"/>
    <m/>
    <m/>
    <s v="1. Sí"/>
    <s v="2. No"/>
    <m/>
    <s v="1. Sí"/>
    <s v="2. No"/>
    <m/>
    <s v="2. No"/>
    <m/>
    <m/>
    <s v="1. Sí"/>
    <s v="1. Sí"/>
    <s v="4. MUY MALO"/>
    <s v="1. Sí"/>
    <s v="1. Sí"/>
    <s v="2. BUENO"/>
    <s v="2. No"/>
    <m/>
    <m/>
    <s v="2. No"/>
    <m/>
    <m/>
    <m/>
    <s v="Preocupación"/>
    <m/>
    <x v="0"/>
    <s v="1. Si"/>
    <s v="4. Muy malo"/>
    <s v="2. No "/>
    <s v="No controlan"/>
    <s v="1. Si"/>
    <s v="Capacitaciones"/>
    <s v="2. No"/>
    <s v="No controlan"/>
    <s v="Bebidas/Confites/Comestibles industrializados/ Tabacos"/>
    <m/>
  </r>
  <r>
    <d v="2026-04-22T14:42:04"/>
    <d v="2026-04-22T14:46:31"/>
    <s v="VB"/>
    <n v="78"/>
    <n v="78"/>
    <b v="1"/>
    <d v="2026-04-19T00:00:00"/>
    <n v="2"/>
    <s v="FN"/>
    <s v="AA"/>
    <x v="66"/>
    <x v="67"/>
    <s v="1. Sí"/>
    <s v="1. EPMMOP"/>
    <n v="20"/>
    <x v="0"/>
    <n v="0"/>
    <n v="0"/>
    <n v="0"/>
    <n v="0"/>
    <n v="0"/>
    <s v="2. Mujer"/>
    <n v="40"/>
    <s v="1. Sí"/>
    <m/>
    <x v="0"/>
    <m/>
    <s v="5. Soltera/o"/>
    <s v="3. Secundaria/ Bachillerato"/>
    <s v="1. Completa"/>
    <s v="2. de $471 a $919"/>
    <x v="1"/>
    <x v="5"/>
    <x v="1"/>
    <x v="2"/>
    <x v="1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1. POCO FRECUENTE"/>
    <s v="2. No"/>
    <m/>
    <s v="2. No"/>
    <m/>
    <s v="1. Sí"/>
    <s v="2. FRECUENTE"/>
    <s v="2. No"/>
    <m/>
    <s v="2. No"/>
    <m/>
    <s v="2. No"/>
    <m/>
    <s v="2. No"/>
    <m/>
    <s v="1. Sí"/>
    <s v="1. POCO FRECUENTE"/>
    <s v="2. No"/>
    <m/>
    <s v="1. Sí"/>
    <s v="3. MUY FRECUENTE"/>
    <s v="2. No"/>
    <m/>
    <s v="1. Sí"/>
    <s v="2. FRECUENTE"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s v="Tranquilidad"/>
    <m/>
    <x v="0"/>
    <s v="2. No"/>
    <m/>
    <m/>
    <m/>
    <m/>
    <m/>
    <m/>
    <m/>
    <s v="Comida preparada"/>
    <m/>
  </r>
  <r>
    <d v="2026-04-22T14:46:31"/>
    <d v="2026-04-22T14:54:30"/>
    <s v="VB"/>
    <n v="79"/>
    <n v="79"/>
    <b v="1"/>
    <d v="2026-04-19T00:00:00"/>
    <n v="2"/>
    <s v="FN"/>
    <s v="AA"/>
    <x v="67"/>
    <x v="68"/>
    <s v="1. Sí"/>
    <s v="1. EPMMOP"/>
    <n v="40"/>
    <x v="0"/>
    <n v="0"/>
    <n v="0"/>
    <n v="0"/>
    <n v="0"/>
    <n v="0"/>
    <s v="1. Hombre"/>
    <n v="61"/>
    <s v="1. Sí"/>
    <m/>
    <x v="2"/>
    <m/>
    <s v="3. Viuda/o"/>
    <s v="2. Primaria"/>
    <s v="1. Completa"/>
    <s v="1. Menos de $470"/>
    <x v="1"/>
    <x v="24"/>
    <x v="1"/>
    <x v="2"/>
    <x v="2"/>
    <x v="1"/>
    <x v="1"/>
    <x v="2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2. No"/>
    <m/>
    <s v="2. No"/>
    <m/>
    <s v="2. No"/>
    <m/>
    <s v="2. No"/>
    <m/>
    <s v="1. Sí"/>
    <s v="3. MUY FRECUENTE"/>
    <s v="2. No"/>
    <m/>
    <s v="1. Sí"/>
    <s v="2. FRECUENTE"/>
    <s v="1. Sí"/>
    <s v="Falta de basureros, hay basureros muy pequeños"/>
    <s v="3. MUY FRECUENTE"/>
    <s v="1. Sí"/>
    <s v="3. MUY FRECUENTE"/>
    <s v="1. Sí"/>
    <m/>
    <s v="1. Sí"/>
    <s v="1. Sí"/>
    <s v="3. MALO"/>
    <s v="1. Sí"/>
    <s v="2. No"/>
    <m/>
    <s v="2. No"/>
    <m/>
    <m/>
    <s v="1. Sí"/>
    <s v="2. No"/>
    <m/>
    <s v="1. Sí"/>
    <s v="2. No"/>
    <m/>
    <s v="2. No"/>
    <m/>
    <m/>
    <s v="1. Sí"/>
    <s v="1. Sí"/>
    <s v="2. BUENO"/>
    <s v="1. Sí"/>
    <s v="1. Sí"/>
    <s v="2. BUENO"/>
    <s v="1. Sí"/>
    <s v="2. No"/>
    <m/>
    <s v="2. No"/>
    <m/>
    <m/>
    <m/>
    <s v="Bienestar"/>
    <s v="Feliz"/>
    <x v="28"/>
    <s v="1. Si"/>
    <s v="2. Bueno"/>
    <s v="1. Si"/>
    <s v="Ayuda un poco"/>
    <s v="1. Si"/>
    <s v="Cumpliendo con los acuerdos designados en el permiso"/>
    <s v="1.Si"/>
    <s v="Es complicado pero de ser necesario lo haría"/>
    <s v="Juguetes y variedades"/>
    <s v="Tachos de basura más grandes"/>
  </r>
  <r>
    <d v="2026-04-22T14:54:31"/>
    <d v="2026-04-22T15:02:26"/>
    <s v="VB"/>
    <n v="80"/>
    <n v="80"/>
    <b v="1"/>
    <d v="2026-04-19T00:00:00"/>
    <n v="2"/>
    <s v="MT"/>
    <s v="AA"/>
    <x v="68"/>
    <x v="69"/>
    <s v="1. Sí"/>
    <s v="1. EPMMOP"/>
    <n v="3"/>
    <x v="0"/>
    <n v="0"/>
    <n v="0"/>
    <n v="0"/>
    <n v="0"/>
    <n v="0"/>
    <s v="2. Mujer"/>
    <n v="43"/>
    <s v="1. Sí"/>
    <m/>
    <x v="2"/>
    <m/>
    <s v="2. Divorciada/o"/>
    <s v="2. Primaria"/>
    <s v="1. Completa"/>
    <s v="1. Menos de $470"/>
    <x v="1"/>
    <x v="11"/>
    <x v="1"/>
    <x v="2"/>
    <x v="1"/>
    <x v="1"/>
    <x v="1"/>
    <x v="1"/>
    <x v="1"/>
    <x v="1"/>
    <x v="1"/>
    <x v="1"/>
    <x v="1"/>
    <x v="1"/>
    <x v="6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1. Sí"/>
    <s v="1. Sí"/>
    <s v="6. Otros"/>
    <n v="0"/>
    <n v="0"/>
    <n v="0"/>
    <n v="0"/>
    <n v="0"/>
    <n v="1"/>
    <s v="Guardia privado"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1. POCO FRECUENTE"/>
    <s v="2. No"/>
    <m/>
    <s v="2. No"/>
    <m/>
    <s v="2. No"/>
    <m/>
    <s v="1. Sí"/>
    <s v="3. MUY FRECUENTE"/>
    <s v="2. No"/>
    <m/>
    <s v="2. No"/>
    <m/>
    <s v="2. No"/>
    <m/>
    <s v="2. No"/>
    <m/>
    <s v="1. Sí"/>
    <s v="2. FRECUENTE"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m/>
    <s v="Inseguridad"/>
    <s v="Esperanza"/>
    <x v="0"/>
    <s v="1. Si"/>
    <s v="3. Malo"/>
    <s v="2. No "/>
    <s v="Porque no hacen nada"/>
    <s v="1. Si"/>
    <s v="Capacitación"/>
    <s v="2. No"/>
    <s v="No confió en el trabajo"/>
    <s v="Comida preparada"/>
    <s v="Tiene guardias privados como asociación, AMC no controla, se paga el permiso en la EMMOP pero no nos dan mas que un certificado"/>
  </r>
  <r>
    <d v="2026-04-22T15:02:26"/>
    <d v="2026-04-22T15:10:22"/>
    <s v="VB"/>
    <n v="81"/>
    <n v="81"/>
    <b v="1"/>
    <d v="2026-04-19T00:00:00"/>
    <n v="2"/>
    <s v="MT"/>
    <s v="AA"/>
    <x v="69"/>
    <x v="70"/>
    <s v="1. Sí"/>
    <s v="1. EPMMOP"/>
    <n v="14"/>
    <x v="0"/>
    <n v="0"/>
    <n v="0"/>
    <n v="0"/>
    <n v="0"/>
    <n v="0"/>
    <s v="1. Hombre"/>
    <n v="60"/>
    <s v="2. No"/>
    <s v="Colombiana"/>
    <x v="0"/>
    <m/>
    <s v="4. Casada/o"/>
    <s v="4. Tecnicatura/Tecnología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6. Habitantes de calle (mendicidad) 7. Falta de alumbrado público"/>
    <x v="0"/>
    <x v="0"/>
    <x v="0"/>
    <x v="0"/>
    <x v="0"/>
    <x v="2"/>
    <x v="2"/>
    <x v="0"/>
    <x v="0"/>
    <x v="0"/>
    <x v="0"/>
    <m/>
    <m/>
    <s v="3. INSEGURO"/>
    <s v="Todos los horarios"/>
    <n v="0"/>
    <n v="0"/>
    <n v="0"/>
    <n v="0"/>
    <n v="1"/>
    <s v="1. Empeoró"/>
    <s v="1. Sí"/>
    <s v="1. Sí"/>
    <s v="2. No"/>
    <m/>
    <m/>
    <m/>
    <m/>
    <m/>
    <m/>
    <m/>
    <m/>
    <s v="1. Sí"/>
    <s v="VI.4 Extorsión"/>
    <n v="0"/>
    <n v="0"/>
    <n v="1"/>
    <n v="0"/>
    <n v="0"/>
    <n v="0"/>
    <n v="0"/>
    <n v="0"/>
    <n v="0"/>
    <m/>
    <m/>
    <m/>
    <m/>
    <s v="2. No"/>
    <m/>
    <m/>
    <m/>
    <m/>
    <m/>
    <m/>
    <s v="2. No"/>
    <m/>
    <s v="2. No"/>
    <m/>
    <s v="2. No"/>
    <m/>
    <s v="1. Sí"/>
    <s v="2. FRECUENTE"/>
    <s v="1. Sí"/>
    <s v="2. FRECUENTE"/>
    <s v="1. Sí"/>
    <s v="1. POCO FRECUENTE"/>
    <s v="1. Sí"/>
    <s v="3. MUY FRECUENTE"/>
    <s v="2. No"/>
    <m/>
    <s v="2. No"/>
    <m/>
    <s v="2. No"/>
    <m/>
    <s v="2. No"/>
    <m/>
    <s v="1. Sí"/>
    <s v="2. FRECUENTE"/>
    <s v="1. Sí"/>
    <s v="2. FRECUENTE"/>
    <s v="1. Sí"/>
    <s v="2. FRECUENTE"/>
    <s v="2. No"/>
    <m/>
    <s v="2. No"/>
    <m/>
    <s v="1. Sí"/>
    <s v="Daño a los arboles"/>
    <s v="2. FRECUENTE"/>
    <s v="1. Sí"/>
    <s v="3. MUY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m/>
    <s v="Preocupación"/>
    <s v="Incertidumbre"/>
    <x v="21"/>
    <s v="1. Si"/>
    <s v="1. Muy bueno"/>
    <s v="1. Si"/>
    <s v="Norman"/>
    <s v="1. Si"/>
    <s v="Capacitaciones"/>
    <s v="1.Si"/>
    <s v="Son de seguridad"/>
    <s v="Comida preparada"/>
    <s v="Los arboles están por caerse en este puesto"/>
  </r>
  <r>
    <d v="2026-04-22T15:10:22"/>
    <d v="2026-04-22T15:23:09"/>
    <s v="VB"/>
    <n v="82"/>
    <n v="82"/>
    <b v="1"/>
    <d v="2026-04-19T00:00:00"/>
    <n v="2"/>
    <s v="FN"/>
    <s v="AA"/>
    <x v="70"/>
    <x v="71"/>
    <s v="1. Sí"/>
    <s v="1. EPMMOP"/>
    <n v="15"/>
    <x v="0"/>
    <n v="0"/>
    <n v="0"/>
    <n v="0"/>
    <n v="0"/>
    <n v="0"/>
    <s v="2. Mujer"/>
    <n v="40"/>
    <s v="1. Sí"/>
    <m/>
    <x v="2"/>
    <m/>
    <s v="4. Cas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4. Ventas ambulantes"/>
    <x v="0"/>
    <x v="0"/>
    <x v="0"/>
    <x v="2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Chat de seguridad"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1. Sí"/>
    <s v="1. POCO FRECUENTE"/>
    <s v="2. No"/>
    <m/>
    <s v="1. Sí"/>
    <s v="3. MUY FRECUENTE"/>
    <s v="1. Sí"/>
    <s v="3. MUY FRECUENTE"/>
    <s v="1. Sí"/>
    <s v="2. FRECUENTE"/>
    <s v="2. No"/>
    <m/>
    <s v="1. Sí"/>
    <s v="1. POCO FRECUENTE"/>
    <s v="1. Sí"/>
    <s v="1. POCO FRECUENTE"/>
    <s v="2. No"/>
    <m/>
    <s v="1. Sí"/>
    <s v="2. FRECUENTE"/>
    <s v="1. Sí"/>
    <s v="2. FRECUENTE"/>
    <s v="2. No"/>
    <m/>
    <s v="2. No"/>
    <m/>
    <s v="1. Sí"/>
    <s v="1. POCO FRECUENTE"/>
    <s v="2. No"/>
    <m/>
    <s v="1. Sí"/>
    <s v="2. FRECUENTE"/>
    <s v="1. Sí"/>
    <s v="No hay divisiones de canchas cerca de las áreas verdes"/>
    <s v="2. FRECUENTE"/>
    <s v="1. Sí"/>
    <s v="2. FRECUENTE"/>
    <s v="2. No"/>
    <m/>
    <s v="1. Sí"/>
    <s v="1. Sí"/>
    <s v="2. BUENO"/>
    <s v="1. Sí"/>
    <s v="1. Sí"/>
    <s v="2. BUENO"/>
    <s v="2. No"/>
    <m/>
    <m/>
    <s v="1. Sí"/>
    <s v="1. Sí"/>
    <s v="2. BUENO"/>
    <s v="1. Sí"/>
    <s v="2. No"/>
    <m/>
    <s v="2. No"/>
    <m/>
    <m/>
    <s v="1. Sí"/>
    <s v="1. Sí"/>
    <s v="1. MUY BUENO"/>
    <s v="1. Sí"/>
    <s v="1. Sí"/>
    <s v="1. MUY BUENO"/>
    <s v="1. Sí"/>
    <s v="2. No"/>
    <m/>
    <s v="1. Sí"/>
    <s v="2. No"/>
    <m/>
    <m/>
    <s v="Privilegio"/>
    <s v="Felicidad"/>
    <x v="0"/>
    <s v="1. Si"/>
    <s v="2. Bueno"/>
    <s v="1. Si"/>
    <s v="Menos vendedores más orden"/>
    <s v="1. Si"/>
    <s v="Solo han informado pero han dado detalles"/>
    <s v="1.Si"/>
    <s v="Apoyar a la autoridad"/>
    <s v="Granizados"/>
    <s v="Más iluminación y más cámaras"/>
  </r>
  <r>
    <d v="2026-04-22T15:23:09"/>
    <d v="2026-04-22T15:30:21"/>
    <s v="VB"/>
    <n v="83"/>
    <n v="83"/>
    <b v="1"/>
    <d v="2026-04-19T00:00:00"/>
    <n v="2"/>
    <s v="MT"/>
    <s v="AA"/>
    <x v="71"/>
    <x v="72"/>
    <s v="1. Sí"/>
    <s v="1. EPMMOP"/>
    <n v="10"/>
    <x v="0"/>
    <n v="0"/>
    <n v="0"/>
    <n v="0"/>
    <n v="0"/>
    <n v="0"/>
    <s v="1. Hombre"/>
    <n v="23"/>
    <s v="1. Sí"/>
    <m/>
    <x v="0"/>
    <m/>
    <s v="5. Soltera/o"/>
    <s v="3. Secundaria/ Bachillerato"/>
    <s v="1. Completa"/>
    <s v="1. Menos de $470"/>
    <x v="1"/>
    <x v="24"/>
    <x v="1"/>
    <x v="2"/>
    <x v="2"/>
    <x v="1"/>
    <x v="1"/>
    <x v="2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3. MUY FRECUENTE"/>
    <s v="2. No"/>
    <m/>
    <s v="2. No"/>
    <m/>
    <s v="1. Sí"/>
    <s v="3. MUY FRECUENTE"/>
    <s v="2. No"/>
    <m/>
    <s v="1. Sí"/>
    <s v="2. FRECUENTE"/>
    <s v="1. Sí"/>
    <s v="3. MUY FRECUENTE"/>
    <s v="1. Sí"/>
    <s v="3. MUY FRECUENTE"/>
    <s v="2. No"/>
    <m/>
    <s v="1. Sí"/>
    <s v="3. MUY FRECUENTE"/>
    <s v="2. No"/>
    <m/>
    <m/>
    <s v="1. Sí"/>
    <s v="3. MUY FRECUENTE"/>
    <s v="2. No"/>
    <m/>
    <s v="1. Sí"/>
    <s v="2. No"/>
    <m/>
    <s v="1. Sí"/>
    <s v="1. Sí"/>
    <s v="2. BUENO"/>
    <s v="2. No"/>
    <m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m/>
    <s v="Seguridad"/>
    <m/>
    <x v="0"/>
    <s v="1. Si"/>
    <s v="2. Bueno"/>
    <s v="2. No "/>
    <s v="Solo es un rato"/>
    <s v="2. No "/>
    <m/>
    <s v="1.Si"/>
    <s v="Da seguridad"/>
    <s v="Juegos infantiles"/>
    <m/>
  </r>
  <r>
    <d v="2026-04-22T15:30:21"/>
    <d v="2026-04-22T15:40:35"/>
    <s v="VB"/>
    <n v="84"/>
    <n v="84"/>
    <b v="1"/>
    <d v="2026-04-19T00:00:00"/>
    <n v="2"/>
    <s v="MT"/>
    <s v="AA"/>
    <x v="72"/>
    <x v="73"/>
    <s v="1. Sí"/>
    <s v="1. EPMMOP"/>
    <n v="12"/>
    <x v="0"/>
    <n v="0"/>
    <n v="0"/>
    <n v="0"/>
    <n v="0"/>
    <n v="0"/>
    <s v="1. Hombre"/>
    <n v="32"/>
    <s v="1. Sí"/>
    <m/>
    <x v="2"/>
    <m/>
    <s v="4. Cas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6. Habitantes de calle (mendicidad) 8. ¿Cuál?1"/>
    <x v="0"/>
    <x v="0"/>
    <x v="0"/>
    <x v="0"/>
    <x v="0"/>
    <x v="2"/>
    <x v="0"/>
    <x v="1"/>
    <x v="0"/>
    <x v="0"/>
    <x v="12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3. MUY FRECUENTE"/>
    <s v="1. Sí"/>
    <s v="3. MUY FRECUENTE"/>
    <s v="2. No"/>
    <m/>
    <s v="1. Sí"/>
    <s v="2. FRECUENTE"/>
    <s v="1. Sí"/>
    <s v="3. MUY FRECUENTE"/>
    <s v="1. Sí"/>
    <s v="3. MUY FRECUENTE"/>
    <s v="1. Sí"/>
    <s v="1. POCO FRECUENTE"/>
    <s v="1. Sí"/>
    <s v="3. MUY FRECUENTE"/>
    <s v="2. No"/>
    <m/>
    <s v="1. Sí"/>
    <s v="1. POCO FRECUENTE"/>
    <s v="1. Sí"/>
    <s v="2. FRECUENTE"/>
    <s v="1. Sí"/>
    <s v="2. FRECUENTE"/>
    <s v="2. No"/>
    <m/>
    <s v="1. Sí"/>
    <s v="2. FRECUENTE"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2. No"/>
    <m/>
    <m/>
    <m/>
    <s v="Tranquilidad"/>
    <m/>
    <x v="0"/>
    <s v="1. Si"/>
    <s v="1. Muy bueno"/>
    <s v="1. Si"/>
    <s v="Ayuda a controlar la seguridad y las ventas informales"/>
    <s v="1. Si"/>
    <s v="Capacitaciones"/>
    <s v="1.Si"/>
    <s v="Dan seguridad"/>
    <s v="Frutas y Legumbres"/>
    <m/>
  </r>
  <r>
    <d v="2026-04-22T15:40:36"/>
    <d v="2026-04-22T15:46:39"/>
    <s v="VB"/>
    <n v="85"/>
    <n v="85"/>
    <b v="1"/>
    <d v="2026-04-19T00:00:00"/>
    <n v="2"/>
    <s v="FN"/>
    <s v="AA"/>
    <x v="73"/>
    <x v="74"/>
    <s v="1. Sí"/>
    <s v="1. EPMMOP"/>
    <n v="16"/>
    <x v="0"/>
    <n v="0"/>
    <n v="0"/>
    <n v="0"/>
    <n v="0"/>
    <n v="0"/>
    <s v="1. Hombre"/>
    <n v="40"/>
    <s v="1. Sí"/>
    <m/>
    <x v="0"/>
    <m/>
    <s v="1. Unión de Hecho/Libre"/>
    <s v="3. Secundaria/ Bachillerato"/>
    <s v="1. Completa"/>
    <s v="2. de $471 a $919"/>
    <x v="1"/>
    <x v="13"/>
    <x v="1"/>
    <x v="2"/>
    <x v="2"/>
    <x v="1"/>
    <x v="1"/>
    <x v="2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3. MUY FRECUENTE"/>
    <s v="99. NS/NC"/>
    <m/>
    <s v="2. No"/>
    <m/>
    <s v="1. Sí"/>
    <s v="2. FRECUENTE"/>
    <s v="2. No"/>
    <m/>
    <s v="2. No"/>
    <m/>
    <s v="2. No"/>
    <m/>
    <s v="2. No"/>
    <m/>
    <s v="2. No"/>
    <m/>
    <s v="1. Sí"/>
    <s v="2. FRECUENTE"/>
    <s v="1. Sí"/>
    <s v="1. POCO FRECUENTE"/>
    <s v="2. No"/>
    <m/>
    <s v="1. Sí"/>
    <s v="2. FRECUENTE"/>
    <s v="2. No"/>
    <m/>
    <m/>
    <s v="1. Sí"/>
    <s v="2. FRECUENTE"/>
    <s v="2. No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1. MUY BUENO"/>
    <s v="1. Sí"/>
    <s v="2. No"/>
    <m/>
    <s v="1. Sí"/>
    <s v="2. No"/>
    <m/>
    <s v="1. Sí"/>
    <s v="2. No"/>
    <m/>
    <m/>
    <s v="Alegría"/>
    <s v="Comunicación"/>
    <x v="5"/>
    <s v="1. Si"/>
    <s v="2. Bueno"/>
    <s v="1. Si"/>
    <s v="Se evidencia"/>
    <s v="2. No "/>
    <m/>
    <s v="1.Si"/>
    <s v="Capacitado"/>
    <s v="Aguas medicinales"/>
    <m/>
  </r>
  <r>
    <d v="2026-04-22T14:57:39"/>
    <d v="2026-04-22T15:02:24"/>
    <s v="AA"/>
    <n v="86"/>
    <n v="86"/>
    <b v="1"/>
    <d v="2026-04-19T00:00:00"/>
    <n v="1"/>
    <s v="FN"/>
    <s v="AA"/>
    <x v="74"/>
    <x v="75"/>
    <s v="1. Sí"/>
    <s v="1. EPMMOP"/>
    <n v="40"/>
    <x v="0"/>
    <n v="0"/>
    <n v="0"/>
    <n v="0"/>
    <n v="0"/>
    <n v="0"/>
    <s v="2. Mujer"/>
    <n v="47"/>
    <s v="1. Sí"/>
    <m/>
    <x v="0"/>
    <m/>
    <s v="4. Casada/o"/>
    <s v="3. Secundaria/ Bachillerato"/>
    <s v="1. Completa"/>
    <s v="1. Menos de $470"/>
    <x v="1"/>
    <x v="17"/>
    <x v="1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1. Sí"/>
    <s v="1. Sí"/>
    <s v="6. Otros"/>
    <n v="0"/>
    <n v="0"/>
    <n v="0"/>
    <n v="0"/>
    <n v="0"/>
    <n v="1"/>
    <s v="Palos"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3. MUY FRECUENTE"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1. Sí"/>
    <s v="2. No"/>
    <m/>
    <s v="2. No"/>
    <m/>
    <m/>
    <m/>
    <s v="Felicidad"/>
    <s v="Entretenida"/>
    <x v="0"/>
    <s v="2. No"/>
    <m/>
    <m/>
    <m/>
    <m/>
    <m/>
    <m/>
    <m/>
    <s v="Comida preparada"/>
    <m/>
  </r>
  <r>
    <d v="2026-04-22T15:02:24"/>
    <d v="2026-04-22T15:09:23"/>
    <s v="AA"/>
    <n v="87"/>
    <n v="87"/>
    <b v="1"/>
    <d v="2026-04-19T00:00:00"/>
    <n v="2"/>
    <s v="MT"/>
    <s v="AA"/>
    <x v="75"/>
    <x v="76"/>
    <s v="1. Sí"/>
    <s v="1. EPMMOP"/>
    <n v="25"/>
    <x v="0"/>
    <n v="0"/>
    <n v="0"/>
    <n v="0"/>
    <n v="0"/>
    <n v="0"/>
    <s v="1. Hombre"/>
    <n v="34"/>
    <s v="1. Sí"/>
    <m/>
    <x v="0"/>
    <m/>
    <s v="2. Divorci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3. Consumo de drogas 4. Ventas ambulantes 6. Habitantes de calle (mendicidad)"/>
    <x v="1"/>
    <x v="0"/>
    <x v="2"/>
    <x v="2"/>
    <x v="0"/>
    <x v="2"/>
    <x v="0"/>
    <x v="0"/>
    <x v="0"/>
    <x v="0"/>
    <x v="0"/>
    <m/>
    <m/>
    <s v="3. INSEGURO"/>
    <s v="Todos los horarios"/>
    <n v="0"/>
    <n v="0"/>
    <n v="0"/>
    <n v="0"/>
    <n v="1"/>
    <s v="1. Empeoró"/>
    <s v="2. No"/>
    <s v="1. Sí"/>
    <s v="1. Sí"/>
    <s v="1. Bate de béisbol 3. Palos 6. Otros"/>
    <n v="1"/>
    <n v="0"/>
    <n v="1"/>
    <n v="0"/>
    <n v="0"/>
    <n v="1"/>
    <s v="Chat de seguridad"/>
    <s v="2. No"/>
    <m/>
    <m/>
    <m/>
    <m/>
    <m/>
    <m/>
    <m/>
    <m/>
    <m/>
    <m/>
    <m/>
    <m/>
    <m/>
    <m/>
    <m/>
    <m/>
    <m/>
    <m/>
    <m/>
    <m/>
    <m/>
    <s v="1. Sí"/>
    <s v="1. POCO FRECUENTE"/>
    <s v="1. Sí"/>
    <s v="3. MUY FRECUENTE"/>
    <s v="1. Sí"/>
    <s v="3. MUY FRECUENTE"/>
    <s v="1. Sí"/>
    <s v="2. FRECUENTE"/>
    <s v="1. Sí"/>
    <s v="2. FRECUENTE"/>
    <s v="1. Sí"/>
    <s v="3. MUY FRECUENTE"/>
    <s v="1. Sí"/>
    <s v="2. FRECUENTE"/>
    <s v="2. No"/>
    <m/>
    <s v="1. Sí"/>
    <s v="3. MUY FRECUENTE"/>
    <s v="2. No"/>
    <m/>
    <s v="1. Sí"/>
    <s v="2. FRECUENTE"/>
    <s v="1. Sí"/>
    <s v="2. FRECUENTE"/>
    <s v="1. Sí"/>
    <s v="2. FRECUENTE"/>
    <s v="2. No"/>
    <m/>
    <s v="2. No"/>
    <m/>
    <s v="1. Sí"/>
    <s v="1. POCO FRECUENTE"/>
    <s v="1. Sí"/>
    <s v="Riñas entre vendedores con machete."/>
    <s v="3. MUY FRECUENTE"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1. Sí"/>
    <s v="1. Sí"/>
    <s v="2. BUENO"/>
    <s v="2. No"/>
    <m/>
    <m/>
    <m/>
    <s v="Estrés"/>
    <s v="Inseguridad"/>
    <x v="0"/>
    <s v="2. No"/>
    <m/>
    <m/>
    <m/>
    <m/>
    <m/>
    <m/>
    <m/>
    <s v="Frutas y Legumbres"/>
    <m/>
  </r>
  <r>
    <d v="2026-04-22T15:09:23"/>
    <d v="2026-04-22T15:15:18"/>
    <s v="AA"/>
    <n v="88"/>
    <n v="88"/>
    <b v="1"/>
    <d v="2026-04-19T00:00:00"/>
    <n v="3"/>
    <s v="LC"/>
    <s v="VB"/>
    <x v="76"/>
    <x v="77"/>
    <s v="1. Sí"/>
    <s v="1. EPMMOP"/>
    <n v="10"/>
    <x v="0"/>
    <n v="0"/>
    <n v="0"/>
    <n v="0"/>
    <n v="0"/>
    <n v="0"/>
    <s v="2. Mujer"/>
    <n v="23"/>
    <s v="1. Sí"/>
    <m/>
    <x v="0"/>
    <m/>
    <s v="5. Soltera/o"/>
    <s v="5. Universitario"/>
    <s v="2. Incompleta"/>
    <s v="99. NS/NC"/>
    <x v="1"/>
    <x v="25"/>
    <x v="2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99. NS/NC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Ninguno"/>
    <m/>
    <x v="0"/>
    <s v="1. Si"/>
    <s v="2. Bueno"/>
    <s v="2. No "/>
    <s v="Molestan a los que tenemos permiso."/>
    <s v="2. No "/>
    <m/>
    <s v="2. No"/>
    <s v="Son pantalla."/>
    <s v="Venta de helados"/>
    <m/>
  </r>
  <r>
    <d v="2026-04-22T15:15:18"/>
    <d v="2026-04-22T15:22:03"/>
    <s v="AA"/>
    <n v="89"/>
    <n v="89"/>
    <b v="1"/>
    <d v="2026-04-19T00:00:00"/>
    <n v="2"/>
    <s v="MT"/>
    <s v="AA"/>
    <x v="77"/>
    <x v="78"/>
    <s v="1. Sí"/>
    <s v="1. EPMMOP"/>
    <n v="14"/>
    <x v="0"/>
    <n v="0"/>
    <n v="0"/>
    <n v="0"/>
    <n v="0"/>
    <n v="0"/>
    <s v="1. Hombre"/>
    <n v="53"/>
    <s v="1. Sí"/>
    <m/>
    <x v="2"/>
    <m/>
    <s v="4. Casada/o"/>
    <s v="2. Primaria"/>
    <s v="1. Completa"/>
    <s v="1. Menos de $470"/>
    <x v="1"/>
    <x v="6"/>
    <x v="1"/>
    <x v="2"/>
    <x v="2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2.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2. No"/>
    <m/>
    <m/>
    <s v="2. No"/>
    <m/>
    <m/>
    <s v="1. Sí"/>
    <s v="2. No"/>
    <m/>
    <s v="2. No"/>
    <m/>
    <m/>
    <m/>
    <s v="Tranquilidad"/>
    <m/>
    <x v="0"/>
    <s v="1. Si"/>
    <s v="1. Muy bueno"/>
    <s v="1. Si"/>
    <s v="Hay control"/>
    <s v="1. Si"/>
    <s v="Capacitación"/>
    <s v="2. No"/>
    <s v="No es constante"/>
    <s v="Granizados"/>
    <s v="Que mejore la seguridad, que vengan los agentes de control para que controlen las ventas."/>
  </r>
  <r>
    <d v="2026-04-22T15:22:03"/>
    <d v="2026-04-22T15:27:49"/>
    <s v="AA"/>
    <n v="90"/>
    <n v="90"/>
    <b v="1"/>
    <d v="2026-04-19T00:00:00"/>
    <n v="2"/>
    <s v="FN"/>
    <s v="AA"/>
    <x v="78"/>
    <x v="79"/>
    <s v="1. Sí"/>
    <s v="3. AMCC"/>
    <n v="11"/>
    <x v="0"/>
    <n v="0"/>
    <n v="0"/>
    <n v="0"/>
    <n v="0"/>
    <n v="0"/>
    <s v="1. Hombre"/>
    <n v="22"/>
    <s v="1. Sí"/>
    <m/>
    <x v="0"/>
    <m/>
    <s v="4. Casada/o"/>
    <s v="3. Secundaria/ Bachillerato"/>
    <s v="1. Completa"/>
    <s v="2. de $471 a $919"/>
    <x v="3"/>
    <x v="26"/>
    <x v="2"/>
    <x v="2"/>
    <x v="1"/>
    <x v="1"/>
    <x v="1"/>
    <x v="1"/>
    <x v="1"/>
    <x v="2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2. No"/>
    <m/>
    <m/>
    <s v="1. Sí"/>
    <s v="2. FRECUENTE"/>
    <s v="2. No"/>
    <m/>
    <s v="1. Sí"/>
    <s v="2. No"/>
    <m/>
    <s v="2. No"/>
    <m/>
    <m/>
    <s v="1. Sí"/>
    <s v="1. Sí"/>
    <s v="2. BUENO"/>
    <s v="1. Sí"/>
    <s v="2. No"/>
    <m/>
    <s v="2. No"/>
    <m/>
    <m/>
    <s v="2. No"/>
    <m/>
    <m/>
    <s v="1. Sí"/>
    <s v="1. Sí"/>
    <s v="2. BUENO"/>
    <s v="1. Sí"/>
    <s v="2. No"/>
    <m/>
    <s v="1. Sí"/>
    <s v="1. Sí"/>
    <s v="1. MUY BUENO"/>
    <s v="2. No"/>
    <m/>
    <m/>
    <m/>
    <s v="Seguridad"/>
    <s v="Confianza"/>
    <x v="29"/>
    <s v="1. Si"/>
    <s v="3. Malo"/>
    <s v="2. No "/>
    <s v="Al quitarles la fuente de trabajo, obligan a robar."/>
    <s v="2. No "/>
    <m/>
    <s v="1.Si"/>
    <s v="Se mejora el actuar de los servidores públicos"/>
    <s v="Frutas y Legumbres"/>
    <s v="Más patrullajes."/>
  </r>
  <r>
    <d v="2026-04-21T11:54:40"/>
    <d v="2026-04-21T12:18:06"/>
    <s v="AA"/>
    <n v="91"/>
    <n v="91"/>
    <b v="1"/>
    <d v="2026-04-17T00:00:00"/>
    <n v="3"/>
    <s v="FN"/>
    <s v="VB"/>
    <x v="79"/>
    <x v="80"/>
    <s v="1. Sí"/>
    <s v="3. AMCC"/>
    <n v="36"/>
    <x v="0"/>
    <n v="0"/>
    <n v="0"/>
    <n v="0"/>
    <n v="0"/>
    <n v="0"/>
    <s v="1. Hombre"/>
    <n v="56"/>
    <s v="1. Sí"/>
    <m/>
    <x v="2"/>
    <m/>
    <s v="4. Casad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Mañana  (06:00 a 11:59)"/>
    <n v="0"/>
    <n v="1"/>
    <n v="0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2. FRECUENTE"/>
    <s v="99. NS/NC"/>
    <m/>
    <s v="1. Sí"/>
    <s v="1. POCO FRECUENTE"/>
    <s v="1. Sí"/>
    <s v="1. POCO FRECUENTE"/>
    <s v="1. Sí"/>
    <s v="2. FRECUENTE"/>
    <s v="2. No"/>
    <m/>
    <s v="1. Sí"/>
    <s v="2. FRECUENTE"/>
    <s v="1. Sí"/>
    <s v="2. FRECUENTE"/>
    <s v="2. No"/>
    <m/>
    <s v="2. No"/>
    <m/>
    <s v="1. Sí"/>
    <s v="1. POCO FRECUENTE"/>
    <s v="2. No"/>
    <m/>
    <s v="1. Sí"/>
    <s v="1. POCO FRECUENTE"/>
    <s v="1. Sí"/>
    <s v="Gente que alquila redes con precios altos"/>
    <s v="2. FRECUENTE"/>
    <s v="1. Sí"/>
    <s v="3. MUY FRECUENTE"/>
    <s v="2. No"/>
    <m/>
    <s v="1. Sí"/>
    <s v="2. No"/>
    <m/>
    <s v="1. Sí"/>
    <s v="1. Sí"/>
    <s v="2. BUENO"/>
    <s v="2. No"/>
    <m/>
    <m/>
    <s v="1. Sí"/>
    <s v="1. Sí"/>
    <s v="2. BUENO"/>
    <s v="2. No"/>
    <m/>
    <m/>
    <s v="1. Sí"/>
    <s v="2. No"/>
    <m/>
    <s v="1. Sí"/>
    <s v="1. Sí"/>
    <s v="2. BUENO"/>
    <s v="1. Sí"/>
    <s v="1. Sí"/>
    <s v="2. BUENO"/>
    <s v="1. Sí"/>
    <s v="2. No"/>
    <m/>
    <s v="1. Sí"/>
    <s v="1. Sí"/>
    <s v="2. BUENO"/>
    <m/>
    <s v="Alegría"/>
    <s v="Satisfacción"/>
    <x v="30"/>
    <s v="1. Si"/>
    <s v="2. Bueno"/>
    <s v="1. Si"/>
    <s v="Después del control vuelve a lo mismo."/>
    <s v="1. Si"/>
    <s v="Anotándose con las autoridades"/>
    <s v="1.Si"/>
    <s v="Si le ayudarían"/>
    <s v="Venta de helados"/>
    <m/>
  </r>
  <r>
    <d v="2026-04-21T12:18:06"/>
    <d v="2026-04-21T12:25:14"/>
    <s v="AA"/>
    <n v="92"/>
    <n v="92"/>
    <b v="1"/>
    <d v="2026-04-17T00:00:00"/>
    <n v="3"/>
    <s v="VM"/>
    <s v="VB"/>
    <x v="80"/>
    <x v="81"/>
    <s v="1. Sí"/>
    <s v="1. EPMMOP"/>
    <n v="15"/>
    <x v="0"/>
    <n v="0"/>
    <n v="0"/>
    <n v="0"/>
    <n v="0"/>
    <n v="0"/>
    <s v="2. Mujer"/>
    <n v="33"/>
    <s v="1. Sí"/>
    <m/>
    <x v="1"/>
    <s v="Shuar"/>
    <s v="1. Unión de Hecho/Libre"/>
    <s v="2. Primaria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"/>
    <n v="0"/>
    <n v="0"/>
    <n v="1"/>
    <n v="0"/>
    <n v="0"/>
    <s v="1. Empeoró"/>
    <s v="2. No"/>
    <s v="1. Sí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2. FRECUENTE"/>
    <s v="1. Sí"/>
    <s v="1. POCO FRECUENTE"/>
    <s v="1. Sí"/>
    <s v="1. POCO FRECUENTE"/>
    <s v="1. Sí"/>
    <s v="1. POCO FRECUENTE"/>
    <s v="2. No"/>
    <m/>
    <s v="1. Sí"/>
    <s v="2. FRECUENTE"/>
    <s v="1. Sí"/>
    <s v="2. FRECUENTE"/>
    <s v="1. Sí"/>
    <s v="3. MUY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m/>
    <s v="Ninguno"/>
    <m/>
    <x v="0"/>
    <s v="1. Si"/>
    <s v="1. Muy bueno"/>
    <s v="1. Si"/>
    <s v="Había más robos"/>
    <s v="2. No "/>
    <m/>
    <s v="1.Si"/>
    <s v="Ellos sacan a los ambulantes que  no dejan trabajar"/>
    <s v="Balones"/>
    <m/>
  </r>
  <r>
    <d v="2026-04-21T12:25:14"/>
    <d v="2026-04-21T12:38:22"/>
    <s v="AA"/>
    <n v="93"/>
    <n v="93"/>
    <b v="1"/>
    <d v="2026-04-17T00:00:00"/>
    <n v="2"/>
    <s v="VM"/>
    <s v="VB"/>
    <x v="81"/>
    <x v="82"/>
    <s v="1. Sí"/>
    <s v="1. EPMMOP"/>
    <n v="28"/>
    <x v="0"/>
    <n v="0"/>
    <n v="0"/>
    <n v="0"/>
    <n v="0"/>
    <n v="0"/>
    <s v="2. Mujer"/>
    <n v="63"/>
    <s v="1. Sí"/>
    <m/>
    <x v="4"/>
    <m/>
    <s v="4. Casad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 5. Consumo de alcohol en el espacio público"/>
    <x v="0"/>
    <x v="0"/>
    <x v="2"/>
    <x v="0"/>
    <x v="2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Puesto con rejas y alarmas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1. Sí"/>
    <s v="1. POCO FRECUENTE"/>
    <s v="1. Sí"/>
    <s v="3. MUY FRECUENTE"/>
    <s v="1. Sí"/>
    <s v="3. MUY FRECUENTE"/>
    <s v="1. Sí"/>
    <s v="1. POCO FRECUENTE"/>
    <s v="2. No"/>
    <m/>
    <s v="1. Sí"/>
    <s v="3. MUY FRECUENTE"/>
    <s v="1. Sí"/>
    <s v="3. MUY FRECUENTE"/>
    <s v="2. No"/>
    <m/>
    <s v="1. Sí"/>
    <s v="3. MUY FRECUENTE"/>
    <s v="1. Sí"/>
    <s v="2. FRECUENTE"/>
    <s v="2. No"/>
    <m/>
    <s v="2. No"/>
    <m/>
    <s v="1. Sí"/>
    <s v="3. MUY FRECUENTE"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m/>
    <s v="Ninguno"/>
    <m/>
    <x v="0"/>
    <s v="1. Si"/>
    <s v="2. Bueno"/>
    <s v="1. Si"/>
    <s v="Ayudan a controlar"/>
    <s v="2. No "/>
    <m/>
    <s v="1.Si"/>
    <s v="Más seguridad"/>
    <s v="Baños"/>
    <s v="Más seguridad en el parque y que regulen los desechos de las mascotas"/>
  </r>
  <r>
    <d v="2026-04-21T12:38:22"/>
    <d v="2026-04-21T12:57:45"/>
    <s v="AA"/>
    <n v="94"/>
    <n v="94"/>
    <b v="1"/>
    <d v="2026-04-17T00:00:00"/>
    <n v="3"/>
    <s v="VM"/>
    <s v="VB"/>
    <x v="82"/>
    <x v="83"/>
    <s v="1. Sí"/>
    <s v="1. EPMMOP"/>
    <n v="6"/>
    <x v="1"/>
    <n v="0"/>
    <n v="0"/>
    <n v="0"/>
    <n v="0"/>
    <n v="0"/>
    <s v="2. Mujer"/>
    <n v="20"/>
    <s v="1. Sí"/>
    <m/>
    <x v="0"/>
    <m/>
    <s v="5. Solter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Tarde (12:00 a 17:59)"/>
    <n v="0"/>
    <n v="0"/>
    <n v="1"/>
    <n v="0"/>
    <n v="0"/>
    <s v="3. Mejoró"/>
    <s v="1. Sí"/>
    <s v="1. Sí"/>
    <s v="1. Sí"/>
    <s v="6. Otros"/>
    <n v="0"/>
    <n v="0"/>
    <n v="0"/>
    <n v="0"/>
    <n v="0"/>
    <n v="1"/>
    <s v="Candados"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1. POCO FRECUENTE"/>
    <s v="1. Sí"/>
    <m/>
    <s v="1. Sí"/>
    <s v="2. No"/>
    <m/>
    <s v="1. Sí"/>
    <s v="2. No"/>
    <m/>
    <s v="2. No"/>
    <m/>
    <m/>
    <s v="2. No"/>
    <m/>
    <m/>
    <s v="2. No"/>
    <m/>
    <m/>
    <s v="2. No"/>
    <m/>
    <m/>
    <s v="1. Sí"/>
    <s v="1. Sí"/>
    <s v="1. MUY BUENO"/>
    <s v="1. Sí"/>
    <s v="2. No"/>
    <m/>
    <s v="1. Sí"/>
    <s v="2. No"/>
    <m/>
    <s v="2. No"/>
    <m/>
    <m/>
    <m/>
    <s v="Relajación"/>
    <s v="Inseguridad"/>
    <x v="0"/>
    <s v="2. No"/>
    <m/>
    <m/>
    <m/>
    <m/>
    <m/>
    <m/>
    <m/>
    <s v="Baños"/>
    <m/>
  </r>
  <r>
    <d v="2026-04-21T12:57:45"/>
    <d v="2026-04-21T13:06:49"/>
    <s v="AA"/>
    <n v="95"/>
    <n v="95"/>
    <b v="1"/>
    <d v="2026-04-17T00:00:00"/>
    <n v="3"/>
    <s v="FN"/>
    <s v="VB"/>
    <x v="83"/>
    <x v="84"/>
    <s v="1. Sí"/>
    <s v="1. EPMMOP"/>
    <n v="10"/>
    <x v="0"/>
    <n v="0"/>
    <n v="0"/>
    <n v="0"/>
    <n v="0"/>
    <n v="0"/>
    <s v="2. Mujer"/>
    <n v="29"/>
    <s v="1. Sí"/>
    <m/>
    <x v="0"/>
    <m/>
    <s v="5. Soltera/o"/>
    <s v="5. Universitario"/>
    <s v="1. Completa"/>
    <s v="3. de $920 a $133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2. No"/>
    <s v="1. Sí"/>
    <s v="6. Otros"/>
    <n v="0"/>
    <n v="0"/>
    <n v="0"/>
    <n v="0"/>
    <n v="0"/>
    <n v="1"/>
    <s v="Candados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2. FRECUENTE"/>
    <s v="1. Sí"/>
    <s v="3. MUY FRECUENTE"/>
    <s v="1. Sí"/>
    <s v="3. MUY FRECUENTE"/>
    <s v="2. No"/>
    <m/>
    <s v="1. Sí"/>
    <s v="3. MUY FRECUENTE"/>
    <s v="2. No"/>
    <m/>
    <s v="2. No"/>
    <m/>
    <s v="2. No"/>
    <m/>
    <s v="2. No"/>
    <m/>
    <s v="1. Sí"/>
    <s v="2. FRECUENTE"/>
    <s v="1. Sí"/>
    <s v="2. FRECUENTE"/>
    <s v="1. Sí"/>
    <s v="3. MUY FRECUENTE"/>
    <s v="2. No"/>
    <m/>
    <s v="1. Sí"/>
    <s v="3. MUY FRECUENTE"/>
    <s v="1. Sí"/>
    <s v="Tachos de basura, control de ventas sin permiso, niños extraviados"/>
    <s v="3. MUY FRECUENTE"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m/>
    <s v="Miedo"/>
    <s v="Inseguridad"/>
    <x v="26"/>
    <s v="1. Si"/>
    <s v="4. Muy malo"/>
    <s v="2. No "/>
    <s v="Sigue el desorden, hay pocos funcionarios para un control"/>
    <s v="2. No "/>
    <m/>
    <s v="1.Si"/>
    <s v="Confía en temas de seguridad, pero no en temas de control de comercio"/>
    <s v="Juguetes y variedades"/>
    <m/>
  </r>
  <r>
    <d v="2026-04-21T13:06:49"/>
    <d v="2026-04-21T13:14:59"/>
    <s v="AA"/>
    <n v="96"/>
    <n v="96"/>
    <b v="1"/>
    <d v="2026-04-17T00:00:00"/>
    <n v="2"/>
    <s v="FN"/>
    <s v="VB"/>
    <x v="84"/>
    <x v="85"/>
    <s v="1. Sí"/>
    <s v="1. EPMMOP"/>
    <n v="19"/>
    <x v="0"/>
    <n v="0"/>
    <n v="0"/>
    <n v="0"/>
    <n v="0"/>
    <n v="0"/>
    <s v="2. Mujer"/>
    <n v="56"/>
    <s v="1. Sí"/>
    <m/>
    <x v="0"/>
    <m/>
    <s v="5. Solter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 5. Consumo de alcohol en el espacio público"/>
    <x v="0"/>
    <x v="0"/>
    <x v="2"/>
    <x v="0"/>
    <x v="2"/>
    <x v="0"/>
    <x v="0"/>
    <x v="0"/>
    <x v="0"/>
    <x v="0"/>
    <x v="0"/>
    <m/>
    <m/>
    <s v="3. INSEGURO"/>
    <s v="Mañana  (06:00 a 11:59)"/>
    <n v="0"/>
    <n v="1"/>
    <n v="0"/>
    <n v="0"/>
    <n v="0"/>
    <s v="1. Empeoró"/>
    <s v="2. No"/>
    <s v="1. Sí"/>
    <s v="2. No"/>
    <m/>
    <m/>
    <m/>
    <m/>
    <m/>
    <m/>
    <m/>
    <m/>
    <s v="1. Sí"/>
    <s v="VI.3 Hurto (sin violencia) VI.10 Otros"/>
    <n v="0"/>
    <n v="1"/>
    <n v="0"/>
    <n v="0"/>
    <n v="0"/>
    <n v="0"/>
    <n v="0"/>
    <n v="0"/>
    <n v="1"/>
    <s v="Escopolamina"/>
    <s v="2. No"/>
    <m/>
    <s v="2. No"/>
    <m/>
    <m/>
    <m/>
    <m/>
    <m/>
    <m/>
    <m/>
    <s v="2. No"/>
    <m/>
    <s v="2. No"/>
    <m/>
    <s v="1. Sí"/>
    <s v="3. MUY FRECUENTE"/>
    <s v="1. Sí"/>
    <s v="3. MUY FRECUENTE"/>
    <s v="2. No"/>
    <m/>
    <s v="1. Sí"/>
    <s v="2. FRECUENTE"/>
    <s v="2. No"/>
    <m/>
    <s v="1. Sí"/>
    <s v="3. MUY FRECUENTE"/>
    <s v="1. Sí"/>
    <s v="3. MUY FRECUENTE"/>
    <s v="1. Sí"/>
    <s v="3. MUY FRECUENTE"/>
    <s v="1. Sí"/>
    <s v="3. MUY FRECUENTE"/>
    <s v="2. No"/>
    <m/>
    <s v="1. Sí"/>
    <s v="1. POCO FRECUENTE"/>
    <s v="1. Sí"/>
    <s v="3. MUY FRECUENTE"/>
    <s v="2. No"/>
    <m/>
    <s v="1. Sí"/>
    <s v="3. MUY FRECUENTE"/>
    <s v="2. No"/>
    <m/>
    <m/>
    <s v="1. Sí"/>
    <s v="3. MUY FRECUENTE"/>
    <s v="1. Sí"/>
    <m/>
    <s v="1. Sí"/>
    <s v="1. Sí"/>
    <s v="2. BUENO"/>
    <s v="1. Sí"/>
    <s v="2. No"/>
    <m/>
    <s v="2. No"/>
    <m/>
    <m/>
    <s v="1. Sí"/>
    <s v="1. Sí"/>
    <s v="1. MUY BUENO"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Tranquilidad"/>
    <s v="Temor"/>
    <x v="31"/>
    <s v="1. Si"/>
    <s v="1. Muy bueno"/>
    <s v="1. Si"/>
    <s v="Tratan de sacar a los informales"/>
    <s v="2. No "/>
    <m/>
    <s v="2. No"/>
    <s v="Hay corrupción"/>
    <s v="Jugos"/>
    <m/>
  </r>
  <r>
    <d v="2026-04-21T13:17:49"/>
    <d v="2026-04-21T13:22:08"/>
    <s v="AA"/>
    <n v="97"/>
    <n v="97"/>
    <b v="1"/>
    <d v="2026-04-17T00:00:00"/>
    <n v="3"/>
    <s v="LC"/>
    <s v="VB"/>
    <x v="85"/>
    <x v="86"/>
    <s v="1. Sí"/>
    <s v="1. EPMMOP"/>
    <n v="3"/>
    <x v="0"/>
    <n v="1"/>
    <n v="0"/>
    <n v="0"/>
    <n v="0"/>
    <n v="0"/>
    <s v="2. Mujer"/>
    <n v="40"/>
    <s v="1. Sí"/>
    <m/>
    <x v="0"/>
    <m/>
    <s v="4. Casada/o"/>
    <s v="3. Secundaria/ Bachillerato"/>
    <s v="2. Incompleta"/>
    <s v="99. NS/NC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2. No"/>
    <m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2. No"/>
    <m/>
    <m/>
    <s v="2. No"/>
    <m/>
    <m/>
    <m/>
    <s v="Trabajo"/>
    <m/>
    <x v="0"/>
    <s v="2. No"/>
    <m/>
    <m/>
    <m/>
    <m/>
    <m/>
    <m/>
    <m/>
    <s v="Comida preparada"/>
    <m/>
  </r>
  <r>
    <d v="2026-04-21T13:22:08"/>
    <d v="2026-04-21T13:27:10"/>
    <s v="AA"/>
    <n v="98"/>
    <n v="98"/>
    <b v="1"/>
    <d v="2026-04-17T00:00:00"/>
    <n v="2"/>
    <s v="LC"/>
    <s v="VB"/>
    <x v="86"/>
    <x v="87"/>
    <s v="1. Sí"/>
    <s v="2. AMC"/>
    <n v="17"/>
    <x v="0"/>
    <n v="0"/>
    <n v="0"/>
    <n v="0"/>
    <n v="0"/>
    <n v="0"/>
    <s v="1. Hombre"/>
    <n v="50"/>
    <s v="1. Sí"/>
    <m/>
    <x v="0"/>
    <m/>
    <s v="2. Divorciada/o"/>
    <s v="3. Secundaria/ Bachillerato"/>
    <s v="1. Completa"/>
    <s v="99. NS/NC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Trabajo"/>
    <m/>
    <x v="0"/>
    <s v="2. No"/>
    <m/>
    <m/>
    <m/>
    <m/>
    <m/>
    <m/>
    <m/>
    <s v="Comida preparada"/>
    <s v="Entrevistados no salen del restaurante"/>
  </r>
  <r>
    <d v="2026-04-21T13:27:10"/>
    <d v="2026-04-21T13:32:43"/>
    <s v="AA"/>
    <n v="99"/>
    <n v="99"/>
    <b v="1"/>
    <d v="2026-04-17T00:00:00"/>
    <n v="3"/>
    <s v="MT"/>
    <s v="VB"/>
    <x v="81"/>
    <x v="82"/>
    <s v="1. Sí"/>
    <s v="1. EPMMOP"/>
    <n v="9"/>
    <x v="0"/>
    <n v="0"/>
    <n v="0"/>
    <n v="0"/>
    <n v="0"/>
    <n v="0"/>
    <s v="1. Hombre"/>
    <n v="58"/>
    <s v="2. No"/>
    <s v="Colombiana"/>
    <x v="0"/>
    <m/>
    <s v="1. Unión de Hecho/Libre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2. Venta de drogas 3. Consumo de drogas 6. Habitantes de calle (mendicidad)"/>
    <x v="1"/>
    <x v="2"/>
    <x v="2"/>
    <x v="0"/>
    <x v="0"/>
    <x v="2"/>
    <x v="0"/>
    <x v="0"/>
    <x v="0"/>
    <x v="0"/>
    <x v="0"/>
    <m/>
    <m/>
    <s v="3. INSEGURO"/>
    <s v="Madrugada (00:00 a 05:59) Mañana  (06:00 a 11:59)"/>
    <n v="1"/>
    <n v="1"/>
    <n v="0"/>
    <n v="0"/>
    <n v="0"/>
    <s v="2. Esta igual"/>
    <s v="1. Sí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3. MUY FRECUENTE"/>
    <s v="2. No"/>
    <m/>
    <s v="1. Sí"/>
    <s v="3. MUY FRECUENTE"/>
    <s v="1. Sí"/>
    <s v="3. MUY FRECUENTE"/>
    <s v="2. No"/>
    <m/>
    <s v="1. Sí"/>
    <s v="3. MUY FRECUENTE"/>
    <s v="2. No"/>
    <m/>
    <s v="2. No"/>
    <m/>
    <s v="1. Sí"/>
    <s v="2. FRECUENTE"/>
    <s v="2. No"/>
    <m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1. Sí"/>
    <s v="3. MALO"/>
    <s v="1. Sí"/>
    <s v="1. Sí"/>
    <s v="1. MUY BUENO"/>
    <s v="1. Sí"/>
    <s v="2. No"/>
    <m/>
    <m/>
    <s v="Alegría"/>
    <m/>
    <x v="0"/>
    <s v="2. No"/>
    <m/>
    <m/>
    <m/>
    <m/>
    <m/>
    <m/>
    <m/>
    <s v="Comida preparada"/>
    <s v="Los guardias cobran vacuna, y son quienes venden droga en el parque."/>
  </r>
  <r>
    <d v="2026-04-21T13:32:43"/>
    <d v="2026-04-21T13:40:02"/>
    <s v="AA"/>
    <n v="100"/>
    <n v="100"/>
    <b v="1"/>
    <d v="2026-04-17T00:00:00"/>
    <n v="3"/>
    <s v="MT"/>
    <s v="VB"/>
    <x v="87"/>
    <x v="88"/>
    <s v="1. Sí"/>
    <s v="1. EPMMOP"/>
    <n v="17"/>
    <x v="0"/>
    <n v="0"/>
    <n v="0"/>
    <n v="0"/>
    <n v="0"/>
    <n v="0"/>
    <s v="2. Mujer"/>
    <n v="50"/>
    <s v="1. Sí"/>
    <m/>
    <x v="5"/>
    <m/>
    <s v="5. Soltera/o"/>
    <s v="2. Primaria"/>
    <s v="1. Completa"/>
    <s v="1. Menos de $470"/>
    <x v="1"/>
    <x v="24"/>
    <x v="1"/>
    <x v="2"/>
    <x v="2"/>
    <x v="1"/>
    <x v="1"/>
    <x v="2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1. Sí"/>
    <s v="3. Palos"/>
    <n v="0"/>
    <n v="0"/>
    <n v="1"/>
    <n v="0"/>
    <n v="0"/>
    <n v="0"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2. No"/>
    <m/>
    <s v="2. No"/>
    <m/>
    <s v="2. No"/>
    <m/>
    <s v="1. Sí"/>
    <s v="3. MUY FRECUENTE"/>
    <s v="2. No"/>
    <m/>
    <s v="2. No"/>
    <m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2. No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1. Sí"/>
    <s v="1. Sí"/>
    <s v="2. BUENO"/>
    <s v="1. Sí"/>
    <s v="2. No"/>
    <m/>
    <m/>
    <s v="Tranquilidad"/>
    <m/>
    <x v="0"/>
    <s v="1. Si"/>
    <s v="2. Bueno"/>
    <s v="1. Si"/>
    <s v="No hay mucha venta informal cuando controlan"/>
    <s v="1. Si"/>
    <s v="Capacitación"/>
    <s v="1.Si"/>
    <s v="Para mejorar la seguridad"/>
    <s v="Baños"/>
    <s v="Ha mejorado la presencia policial y de guardias."/>
  </r>
  <r>
    <d v="2026-04-21T13:40:02"/>
    <d v="2026-04-21T14:22:48"/>
    <s v="AMA"/>
    <n v="101"/>
    <n v="101"/>
    <b v="1"/>
    <d v="2026-04-19T00:00:00"/>
    <n v="3"/>
    <s v="LC"/>
    <s v="VB"/>
    <x v="88"/>
    <x v="89"/>
    <s v="1. Sí"/>
    <s v="1. EPMMOP"/>
    <n v="25"/>
    <x v="0"/>
    <n v="0"/>
    <n v="0"/>
    <n v="0"/>
    <n v="0"/>
    <n v="0"/>
    <s v="2. Mujer"/>
    <n v="39"/>
    <s v="1. Sí"/>
    <m/>
    <x v="0"/>
    <m/>
    <s v="5. Soltera/o"/>
    <s v="3. Secundaria/ Bachillerato"/>
    <s v="1. 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s v="Seguridad"/>
    <m/>
    <x v="0"/>
    <s v="2. No"/>
    <m/>
    <m/>
    <m/>
    <m/>
    <m/>
    <m/>
    <m/>
    <s v="Venta de helados"/>
    <m/>
  </r>
  <r>
    <d v="2026-04-21T14:22:48"/>
    <d v="2026-04-21T14:28:36"/>
    <s v="AA"/>
    <n v="102"/>
    <n v="102"/>
    <b v="1"/>
    <d v="2026-04-17T00:00:00"/>
    <n v="3"/>
    <s v="VM"/>
    <s v="VB"/>
    <x v="89"/>
    <x v="90"/>
    <s v="1. Sí"/>
    <s v="1. EPMMOP"/>
    <n v="9"/>
    <x v="0"/>
    <n v="0"/>
    <n v="0"/>
    <n v="0"/>
    <n v="0"/>
    <n v="0"/>
    <s v="2. Mujer"/>
    <n v="30"/>
    <s v="1. Sí"/>
    <m/>
    <x v="0"/>
    <m/>
    <s v="5. Solter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1. Sí"/>
    <s v="1. Sí"/>
    <s v="2. BUENO"/>
    <s v="1. Sí"/>
    <s v="2. No"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Inseguridad"/>
    <m/>
    <x v="0"/>
    <s v="1. Si"/>
    <s v="2. Bueno"/>
    <s v="1. Si"/>
    <s v="Controlan"/>
    <s v="2. No "/>
    <m/>
    <s v="1.Si"/>
    <s v="Pueden dar a conocer la problemática"/>
    <s v="Comida preparada"/>
    <s v="Cortan las carpas en las noches."/>
  </r>
  <r>
    <d v="2026-04-21T14:28:36"/>
    <d v="2026-04-21T14:35:41"/>
    <s v="AA"/>
    <n v="103"/>
    <n v="103"/>
    <b v="1"/>
    <d v="2026-04-17T00:00:00"/>
    <n v="3"/>
    <s v="FN"/>
    <s v="VB"/>
    <x v="90"/>
    <x v="91"/>
    <s v="1. Sí"/>
    <s v="3. AMCC"/>
    <n v="5"/>
    <x v="0"/>
    <n v="0"/>
    <n v="0"/>
    <n v="0"/>
    <n v="0"/>
    <n v="0"/>
    <s v="1. Hombre"/>
    <n v="43"/>
    <s v="1. Sí"/>
    <m/>
    <x v="0"/>
    <m/>
    <s v="5. Soltera/o"/>
    <s v="5. Universitario"/>
    <s v="2. In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1. POCO FRECUENTE"/>
    <s v="99. NS/NC"/>
    <m/>
    <s v="1. Sí"/>
    <s v="2. FRECUENTE"/>
    <s v="1. Sí"/>
    <s v="2.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1. Sí"/>
    <s v="2. FRECUENTE"/>
    <s v="1. Sí"/>
    <s v="Zonas descuidadas"/>
    <s v="2. FRECUENTE"/>
    <s v="1. Sí"/>
    <s v="2. FRECUENTE"/>
    <s v="1. Sí"/>
    <m/>
    <s v="1. Sí"/>
    <s v="2. No"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1. Sí"/>
    <s v="1. Sí"/>
    <s v="2. BUENO"/>
    <s v="1. Sí"/>
    <s v="2. No"/>
    <m/>
    <s v="2. No"/>
    <m/>
    <m/>
    <m/>
    <s v="Bienestar"/>
    <s v="Feliz"/>
    <x v="32"/>
    <s v="1. Si"/>
    <s v="3. Malo"/>
    <s v="1. Si"/>
    <s v="Ayudan a disminuir la inseguridad"/>
    <s v="2. No "/>
    <m/>
    <s v="1.Si"/>
    <s v="Participar para una buena accion"/>
    <s v="Bebidas/Confites/Comestibles industrializados/ Tabacos"/>
    <m/>
  </r>
  <r>
    <d v="2026-04-21T14:35:41"/>
    <d v="2026-04-21T15:52:49"/>
    <s v="AA"/>
    <n v="104"/>
    <n v="104"/>
    <b v="1"/>
    <d v="2026-04-17T00:00:00"/>
    <n v="3"/>
    <s v="VM"/>
    <s v="VB"/>
    <x v="91"/>
    <x v="92"/>
    <s v="1. Sí"/>
    <s v="1. EPMMOP"/>
    <n v="45"/>
    <x v="0"/>
    <n v="0"/>
    <n v="0"/>
    <n v="0"/>
    <n v="0"/>
    <n v="0"/>
    <s v="2. Mujer"/>
    <n v="48"/>
    <s v="1. Sí"/>
    <m/>
    <x v="0"/>
    <m/>
    <s v="5. Soltera/o"/>
    <s v="3. Secundaria/ Bachillerato"/>
    <s v="2. Incompleta"/>
    <s v="1. Menos de $470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"/>
    <n v="0"/>
    <n v="0"/>
    <n v="1"/>
    <n v="0"/>
    <n v="0"/>
    <s v="1. Empeoró"/>
    <s v="1. Sí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1. POCO FRECUENTE"/>
    <s v="2. No"/>
    <m/>
    <s v="1. Sí"/>
    <s v="2. FRECUENTE"/>
    <s v="1. Sí"/>
    <s v="3. MUY FRECUENTE"/>
    <s v="2. No"/>
    <m/>
    <s v="1. Sí"/>
    <s v="3. MUY FRECUENTE"/>
    <s v="1. Sí"/>
    <s v="3. MUY FRECUENTE"/>
    <s v="1. Sí"/>
    <s v="1. POCO FRECUENTE"/>
    <s v="1. Sí"/>
    <s v="3. MUY FRECUENTE"/>
    <s v="1. Sí"/>
    <s v="3. MUY FRECUENTE"/>
    <s v="2. No"/>
    <m/>
    <s v="2. No"/>
    <m/>
    <s v="2. No"/>
    <m/>
    <m/>
    <s v="1. Sí"/>
    <s v="3. MUY FRECUENTE"/>
    <s v="2. No"/>
    <m/>
    <s v="1. Sí"/>
    <s v="2. No"/>
    <m/>
    <s v="1. Sí"/>
    <s v="2. No"/>
    <m/>
    <s v="2. No"/>
    <m/>
    <m/>
    <s v="1. Sí"/>
    <s v="2. No"/>
    <m/>
    <s v="1. Sí"/>
    <s v="2. No"/>
    <m/>
    <s v="2. No"/>
    <m/>
    <m/>
    <s v="1. Sí"/>
    <s v="1. Sí"/>
    <s v="3. MALO"/>
    <s v="2. No"/>
    <m/>
    <m/>
    <s v="2. No"/>
    <m/>
    <m/>
    <s v="2. No"/>
    <m/>
    <m/>
    <m/>
    <s v="Ninguno"/>
    <m/>
    <x v="0"/>
    <s v="2. No"/>
    <m/>
    <m/>
    <m/>
    <m/>
    <m/>
    <m/>
    <m/>
    <s v="Comida preparada"/>
    <s v="EMASEO no se lleva la basura si no les brindan algo."/>
  </r>
  <r>
    <d v="2026-04-21T15:52:49"/>
    <d v="2026-04-21T15:58:16"/>
    <s v="AA"/>
    <n v="105"/>
    <n v="105"/>
    <b v="1"/>
    <d v="2026-04-17T00:00:00"/>
    <n v="3"/>
    <s v="LC"/>
    <s v="VB"/>
    <x v="92"/>
    <x v="93"/>
    <s v="1. Sí"/>
    <s v="1. EPMMOP"/>
    <n v="21"/>
    <x v="0"/>
    <n v="0"/>
    <n v="0"/>
    <n v="0"/>
    <n v="0"/>
    <n v="0"/>
    <s v="1. Hombre"/>
    <n v="49"/>
    <s v="1. Sí"/>
    <m/>
    <x v="0"/>
    <m/>
    <s v="4. Casada/o"/>
    <s v="2. Primaria"/>
    <s v="1. Completa"/>
    <s v="99. NS/NC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4. MUY INSEGURO"/>
    <s v="Tarde (12:00 a 17:59)"/>
    <n v="0"/>
    <n v="0"/>
    <n v="1"/>
    <n v="0"/>
    <n v="0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m/>
    <s v="Trabajo"/>
    <s v="Impotencia"/>
    <x v="0"/>
    <s v="1. Si"/>
    <s v="4. Muy malo"/>
    <s v="2. No "/>
    <s v="Ayuda momentánea"/>
    <s v="2. No "/>
    <m/>
    <s v="2. No"/>
    <s v="No se confía"/>
    <s v="Juegos infantiles"/>
    <m/>
  </r>
  <r>
    <d v="2026-04-21T15:58:16"/>
    <d v="2026-04-21T16:04:12"/>
    <s v="AMA"/>
    <n v="106"/>
    <n v="106"/>
    <b v="1"/>
    <d v="2026-04-17T00:00:00"/>
    <n v="3"/>
    <s v="LC"/>
    <s v="VB"/>
    <x v="93"/>
    <x v="94"/>
    <s v="1. Sí"/>
    <s v="1. EPMMOP"/>
    <n v="22"/>
    <x v="0"/>
    <n v="0"/>
    <n v="0"/>
    <n v="0"/>
    <n v="0"/>
    <n v="0"/>
    <s v="2. Mujer"/>
    <n v="48"/>
    <s v="1. Sí"/>
    <m/>
    <x v="0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"/>
    <n v="0"/>
    <n v="0"/>
    <n v="1"/>
    <n v="0"/>
    <n v="0"/>
    <s v="1. Empeoró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m/>
    <s v="Impotencia"/>
    <s v="Impunidad"/>
    <x v="0"/>
    <s v="1. Si"/>
    <s v="1. Muy bueno"/>
    <s v="2. No "/>
    <s v="Ayuda solo el momento"/>
    <s v="2. No "/>
    <m/>
    <s v="2. No"/>
    <s v="No son efectivos"/>
    <s v="Juguetes y variedades"/>
    <s v="Prohibir el uso de cualquier tipo de arma."/>
  </r>
  <r>
    <d v="2026-04-21T16:04:12"/>
    <d v="2026-04-21T16:09:51"/>
    <s v="AMA"/>
    <n v="107"/>
    <n v="107"/>
    <b v="1"/>
    <d v="2026-04-17T00:00:00"/>
    <n v="3"/>
    <s v="LC"/>
    <s v="VB"/>
    <x v="94"/>
    <x v="95"/>
    <s v="1. Sí"/>
    <s v="1. EPMMOP"/>
    <n v="30"/>
    <x v="0"/>
    <n v="0"/>
    <n v="0"/>
    <n v="0"/>
    <n v="0"/>
    <n v="0"/>
    <s v="2. Mujer"/>
    <n v="53"/>
    <s v="1. Sí"/>
    <m/>
    <x v="0"/>
    <m/>
    <s v="4. Casad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6. Habitantes de calle (mendicidad)"/>
    <x v="0"/>
    <x v="0"/>
    <x v="0"/>
    <x v="0"/>
    <x v="0"/>
    <x v="2"/>
    <x v="0"/>
    <x v="0"/>
    <x v="0"/>
    <x v="0"/>
    <x v="0"/>
    <m/>
    <m/>
    <s v="3. INSEGURO"/>
    <s v="Tarde (12:00 a 17:59)"/>
    <n v="0"/>
    <n v="0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1. Sí"/>
    <s v="2. FRECUENTE"/>
    <s v="1. Sí"/>
    <s v="3. MUY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1. Sí"/>
    <s v="2. No"/>
    <m/>
    <s v="2. No"/>
    <m/>
    <m/>
    <m/>
    <s v="Felicidad"/>
    <s v="Trabajadora"/>
    <x v="33"/>
    <s v="1. Si"/>
    <s v="2. Bueno"/>
    <s v="1. Si"/>
    <s v="Es por la seguridad"/>
    <s v="2. No "/>
    <m/>
    <s v="1.Si"/>
    <s v="Es su trabajo"/>
    <s v="Juguetes y variedades"/>
    <s v="Mayor control de seguridad."/>
  </r>
  <r>
    <d v="2026-04-21T16:09:51"/>
    <d v="2026-04-21T16:15:30"/>
    <s v="AMA"/>
    <n v="108"/>
    <n v="108"/>
    <b v="1"/>
    <d v="2026-04-17T00:00:00"/>
    <n v="3"/>
    <s v="VM"/>
    <s v="VB"/>
    <x v="95"/>
    <x v="96"/>
    <s v="1. Sí"/>
    <s v="2. AMC"/>
    <n v="20"/>
    <x v="0"/>
    <n v="0"/>
    <n v="0"/>
    <n v="0"/>
    <n v="0"/>
    <n v="0"/>
    <s v="1. Hombre"/>
    <n v="27"/>
    <s v="1. Sí"/>
    <m/>
    <x v="0"/>
    <m/>
    <s v="5. Soltera/o"/>
    <s v="3. Secundaria/ Bachillerato"/>
    <s v="1. Completa"/>
    <s v="1. Menos de $470"/>
    <x v="1"/>
    <x v="11"/>
    <x v="1"/>
    <x v="2"/>
    <x v="1"/>
    <x v="1"/>
    <x v="1"/>
    <x v="1"/>
    <x v="1"/>
    <x v="1"/>
    <x v="1"/>
    <x v="1"/>
    <x v="1"/>
    <x v="1"/>
    <x v="7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1. Sí"/>
    <s v="1. Sí"/>
    <s v="6. Otros"/>
    <n v="0"/>
    <n v="0"/>
    <n v="0"/>
    <n v="0"/>
    <n v="0"/>
    <n v="1"/>
    <s v="Chat comunitario."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2. FRECUENTE"/>
    <s v="2. No"/>
    <m/>
    <s v="1. Sí"/>
    <s v="1. Sí"/>
    <s v="2. BUENO"/>
    <s v="2. No"/>
    <m/>
    <m/>
    <s v="1. Sí"/>
    <s v="1. Sí"/>
    <s v="2. BUENO"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m/>
    <s v="Tranquilidad"/>
    <m/>
    <x v="0"/>
    <s v="1. Si"/>
    <s v="2. Bueno"/>
    <s v="1. Si"/>
    <s v="Controlan"/>
    <s v="2. No "/>
    <m/>
    <s v="1.Si"/>
    <s v="Es notorio"/>
    <s v="Tiro al blanco"/>
    <m/>
  </r>
  <r>
    <d v="2026-04-21T16:15:30"/>
    <d v="2026-04-21T16:20:00"/>
    <s v="AA"/>
    <n v="109"/>
    <n v="109"/>
    <b v="1"/>
    <d v="2026-04-17T00:00:00"/>
    <n v="2"/>
    <s v="LC"/>
    <s v="VB"/>
    <x v="96"/>
    <x v="97"/>
    <s v="1. Sí"/>
    <s v="1. EPMMOP"/>
    <n v="26"/>
    <x v="0"/>
    <n v="0"/>
    <n v="0"/>
    <n v="0"/>
    <n v="0"/>
    <n v="0"/>
    <s v="2. Mujer"/>
    <n v="59"/>
    <s v="1. Sí"/>
    <m/>
    <x v="0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Tarde (12:00 a 17:59)"/>
    <n v="0"/>
    <n v="0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1. Sí"/>
    <s v="1. POCO FRECUENTE"/>
    <s v="2. No"/>
    <m/>
    <s v="1. Sí"/>
    <s v="1. POCO FRECUENTE"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Desconfianza"/>
    <x v="0"/>
    <s v="1. Si"/>
    <s v="1. Muy bueno"/>
    <s v="1. Si"/>
    <s v="Nos conviene por seguridad."/>
    <s v="2. No "/>
    <m/>
    <s v="1.Si"/>
    <s v="Son autoridad."/>
    <s v="Comida preparada"/>
    <m/>
  </r>
  <r>
    <d v="2026-04-21T16:20:00"/>
    <d v="2026-04-21T16:25:30"/>
    <s v="AA"/>
    <n v="110"/>
    <n v="110"/>
    <b v="1"/>
    <d v="2026-04-17T00:00:00"/>
    <n v="3"/>
    <s v="FN"/>
    <s v="VB"/>
    <x v="97"/>
    <x v="98"/>
    <s v="1. Sí"/>
    <s v="3. AMCC"/>
    <n v="16"/>
    <x v="0"/>
    <n v="1"/>
    <n v="0"/>
    <n v="0"/>
    <n v="0"/>
    <n v="0"/>
    <s v="2. Mujer"/>
    <n v="42"/>
    <s v="1. Sí"/>
    <m/>
    <x v="0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1. Sí"/>
    <s v="2. FRECUENTE"/>
    <s v="1. Sí"/>
    <s v="2. FRECUENTE"/>
    <s v="1. Sí"/>
    <s v="3. MUY FRECUENTE"/>
    <s v="2. No"/>
    <m/>
    <s v="2. No"/>
    <m/>
    <s v="2. No"/>
    <m/>
    <s v="2. No"/>
    <m/>
    <s v="2. No"/>
    <m/>
    <s v="1. Sí"/>
    <s v="2. FRECUENTE"/>
    <s v="2. No"/>
    <m/>
    <s v="1. Sí"/>
    <s v="2. FRECUENTE"/>
    <s v="1. Sí"/>
    <s v="No hay control minucioso"/>
    <s v="3. MUY FRECUENTE"/>
    <s v="1. Sí"/>
    <s v="3. MUY FRECUENTE"/>
    <s v="2. No"/>
    <m/>
    <s v="1. Sí"/>
    <s v="1. Sí"/>
    <s v="3. MALO"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2. No"/>
    <m/>
    <m/>
    <m/>
    <s v="Distracción"/>
    <s v="Relajación"/>
    <x v="34"/>
    <s v="1. Si"/>
    <s v="3. Malo"/>
    <s v="1. Si"/>
    <s v="Falta control, deben hacer controles fin de semana"/>
    <s v="2. No "/>
    <m/>
    <s v="2. No"/>
    <s v="Miedo a represalias."/>
    <s v="Comida preparada"/>
    <m/>
  </r>
  <r>
    <d v="2026-04-22T13:38:34"/>
    <d v="2026-04-22T13:45:56"/>
    <s v="AA"/>
    <n v="111"/>
    <n v="111"/>
    <b v="1"/>
    <d v="2026-04-17T00:00:00"/>
    <n v="3"/>
    <s v="VM"/>
    <s v="VB"/>
    <x v="98"/>
    <x v="99"/>
    <s v="1. Sí"/>
    <s v="2. AMC"/>
    <n v="2"/>
    <x v="0"/>
    <n v="0"/>
    <n v="0"/>
    <n v="0"/>
    <n v="0"/>
    <n v="0"/>
    <s v="2. Mujer"/>
    <n v="59"/>
    <s v="1. Sí"/>
    <m/>
    <x v="0"/>
    <m/>
    <s v="2. Divorciad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13"/>
    <m/>
    <m/>
    <s v="2. SEGURO"/>
    <s v="Mañana  (06:00 a 11:59) Tarde (12:00 a 17:59)"/>
    <n v="0"/>
    <n v="1"/>
    <n v="1"/>
    <n v="0"/>
    <n v="0"/>
    <s v="1. Empeoró"/>
    <s v="2. No"/>
    <s v="2. No"/>
    <s v="2. No"/>
    <m/>
    <m/>
    <m/>
    <m/>
    <m/>
    <m/>
    <m/>
    <m/>
    <s v="1. Sí"/>
    <s v="VI.5 Estafa"/>
    <n v="0"/>
    <n v="0"/>
    <n v="0"/>
    <n v="1"/>
    <n v="0"/>
    <n v="0"/>
    <n v="0"/>
    <n v="0"/>
    <n v="0"/>
    <m/>
    <m/>
    <m/>
    <m/>
    <m/>
    <s v="2. No"/>
    <m/>
    <m/>
    <m/>
    <m/>
    <m/>
    <s v="2. No"/>
    <m/>
    <s v="2. No"/>
    <m/>
    <s v="1. Sí"/>
    <s v="2. FRECUENTE"/>
    <s v="1. Sí"/>
    <s v="1. POCO FRECUENTE"/>
    <s v="1. Sí"/>
    <s v="2. FRECUENTE"/>
    <s v="2. No"/>
    <m/>
    <s v="1. Sí"/>
    <s v="2. FRECUENTE"/>
    <s v="1. Sí"/>
    <s v="2. FRECUENTE"/>
    <s v="2. No"/>
    <m/>
    <s v="1. Sí"/>
    <s v="2. FRECUENTE"/>
    <s v="1. Sí"/>
    <s v="2. FRECUENTE"/>
    <s v="2. No"/>
    <m/>
    <s v="2. No"/>
    <m/>
    <s v="1. Sí"/>
    <s v="1. POCO FRECUENTE"/>
    <s v="2. No"/>
    <m/>
    <s v="2. No"/>
    <m/>
    <s v="2. No"/>
    <m/>
    <m/>
    <s v="1. Sí"/>
    <s v="2. FRECUENTE"/>
    <s v="2. No"/>
    <m/>
    <s v="1. Sí"/>
    <s v="2. No"/>
    <m/>
    <s v="1. Sí"/>
    <s v="2. No"/>
    <m/>
    <s v="1. Sí"/>
    <s v="2. No"/>
    <m/>
    <s v="1. Sí"/>
    <s v="1. Sí"/>
    <s v="2. BUENO"/>
    <s v="2. No"/>
    <m/>
    <m/>
    <s v="1. Sí"/>
    <s v="1. Sí"/>
    <s v="2. BUENO"/>
    <s v="2. No"/>
    <m/>
    <m/>
    <s v="1. Sí"/>
    <s v="1. Sí"/>
    <s v="2. BUENO"/>
    <s v="1. Sí"/>
    <s v="1. Sí"/>
    <s v="2. BUENO"/>
    <s v="2. No"/>
    <m/>
    <m/>
    <m/>
    <s v="Cómoda"/>
    <s v="Comodidad"/>
    <x v="0"/>
    <s v="1. Si"/>
    <s v="2. Bueno"/>
    <s v="1. Si"/>
    <s v="Controlan"/>
    <s v="2. No "/>
    <m/>
    <s v="1.Si"/>
    <s v="Ayudan a  la seguridad a todos"/>
    <s v="Venta de helados"/>
    <m/>
  </r>
  <r>
    <d v="2026-04-22T13:45:57"/>
    <d v="2026-04-22T13:52:25"/>
    <s v="AA"/>
    <n v="112"/>
    <n v="112"/>
    <b v="1"/>
    <d v="2026-04-17T00:00:00"/>
    <n v="3"/>
    <s v="VM"/>
    <s v="VB"/>
    <x v="99"/>
    <x v="100"/>
    <s v="1. Sí"/>
    <s v="1. EPMMOP"/>
    <n v="30"/>
    <x v="0"/>
    <n v="0"/>
    <n v="0"/>
    <n v="0"/>
    <n v="0"/>
    <n v="0"/>
    <s v="2. Mujer"/>
    <n v="58"/>
    <s v="1. Sí"/>
    <m/>
    <x v="0"/>
    <m/>
    <s v="2. Divorciada/o"/>
    <s v="3. Secundaria/ Bachillerato"/>
    <s v="1. Completa"/>
    <s v="2. de $471 a $919"/>
    <x v="1"/>
    <x v="27"/>
    <x v="1"/>
    <x v="2"/>
    <x v="1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2. No"/>
    <m/>
    <s v="1. Sí"/>
    <s v="1. POCO FRECUENTE"/>
    <s v="2. No"/>
    <m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m/>
    <s v="Alegría"/>
    <m/>
    <x v="0"/>
    <s v="1. Si"/>
    <s v="1. Muy bueno"/>
    <s v="1. Si"/>
    <s v="Hay más protección."/>
    <s v="2. No "/>
    <m/>
    <s v="1.Si"/>
    <s v="Están haciendo control."/>
    <s v="Juegos infantiles"/>
    <m/>
  </r>
  <r>
    <d v="2026-04-22T13:52:25"/>
    <d v="2026-04-22T14:01:34"/>
    <s v="AA"/>
    <n v="113"/>
    <n v="113"/>
    <b v="1"/>
    <d v="2026-04-17T00:00:00"/>
    <n v="1"/>
    <s v="PA"/>
    <s v="AA"/>
    <x v="100"/>
    <x v="101"/>
    <s v="1. Sí"/>
    <s v="1. EPMMOP"/>
    <n v="28"/>
    <x v="0"/>
    <n v="0"/>
    <n v="0"/>
    <n v="0"/>
    <n v="0"/>
    <n v="0"/>
    <s v="2. Mujer"/>
    <n v="70"/>
    <s v="1. Sí"/>
    <m/>
    <x v="0"/>
    <m/>
    <s v="5. Soltera/o"/>
    <s v="2. Primaria"/>
    <s v="2. In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3. Palos 6. Otros"/>
    <n v="0"/>
    <n v="0"/>
    <n v="1"/>
    <n v="0"/>
    <n v="0"/>
    <n v="1"/>
    <s v="Cámaras"/>
    <s v="1. Sí"/>
    <s v="VI.2 Robo  (con violencia)"/>
    <n v="1"/>
    <n v="0"/>
    <n v="0"/>
    <n v="0"/>
    <n v="0"/>
    <n v="0"/>
    <n v="0"/>
    <n v="0"/>
    <n v="0"/>
    <m/>
    <m/>
    <s v="2. No"/>
    <m/>
    <m/>
    <m/>
    <m/>
    <m/>
    <m/>
    <m/>
    <m/>
    <s v="2. No"/>
    <m/>
    <s v="1. Sí"/>
    <s v="1. POCO FRECUENTE"/>
    <s v="1. Sí"/>
    <s v="1. POCO FRECUENTE"/>
    <s v="1. Sí"/>
    <s v="1. POCO FRECUENTE"/>
    <s v="1. Sí"/>
    <s v="1. POCO FRECUENTE"/>
    <s v="2. No"/>
    <m/>
    <s v="2. No"/>
    <m/>
    <s v="2. No"/>
    <m/>
    <s v="2. No"/>
    <m/>
    <s v="1. Sí"/>
    <s v="2. FRECUENTE"/>
    <s v="1. Sí"/>
    <s v="2. FRECUENTE"/>
    <s v="1. Sí"/>
    <s v="2. FRECUENTE"/>
    <s v="1. Sí"/>
    <s v="1. POCO FRECUENTE"/>
    <s v="1. Sí"/>
    <s v="1. POCO FRECUENTE"/>
    <s v="2. No"/>
    <m/>
    <s v="1. Sí"/>
    <s v="1. POCO FRECUENTE"/>
    <s v="2. No"/>
    <m/>
    <m/>
    <s v="1. Sí"/>
    <s v="1. POCO FRECUENTE"/>
    <s v="1. Sí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m/>
    <s v="Felicidad"/>
    <s v="Amistad"/>
    <x v="7"/>
    <s v="1. Si"/>
    <s v="2. Bueno"/>
    <s v="2. No "/>
    <s v="Mejoran seguridad"/>
    <s v="1. Si"/>
    <s v="Comunicación contínua"/>
    <s v="1.Si"/>
    <s v="Por control"/>
    <s v="Bebidas/Confites/Comestibles industrializados/ Tabacos"/>
    <m/>
  </r>
  <r>
    <d v="2026-04-22T14:01:34"/>
    <d v="2026-04-22T14:08:16"/>
    <s v="AA"/>
    <n v="114"/>
    <n v="114"/>
    <b v="1"/>
    <d v="2026-04-17T00:00:00"/>
    <n v="2"/>
    <s v="MT"/>
    <s v="AA"/>
    <x v="101"/>
    <x v="102"/>
    <s v="1. Sí"/>
    <s v="1. EPMMOP"/>
    <n v="8"/>
    <x v="0"/>
    <n v="0"/>
    <n v="0"/>
    <n v="0"/>
    <n v="0"/>
    <n v="0"/>
    <s v="2. Mujer"/>
    <n v="26"/>
    <s v="1. Sí"/>
    <m/>
    <x v="0"/>
    <m/>
    <s v="5. Soltera/o"/>
    <s v="4. Tecnicatura/Tecnología"/>
    <s v="1. Completa"/>
    <s v="1. Menos de $470"/>
    <x v="1"/>
    <x v="27"/>
    <x v="1"/>
    <x v="2"/>
    <x v="1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1. Sí"/>
    <s v="2. No"/>
    <s v="1. Sí"/>
    <s v="1. Bate de béisbol 6. Otros"/>
    <n v="1"/>
    <n v="0"/>
    <n v="0"/>
    <n v="0"/>
    <n v="0"/>
    <n v="1"/>
    <s v="Cámaras"/>
    <s v="2. No"/>
    <m/>
    <m/>
    <m/>
    <m/>
    <m/>
    <m/>
    <m/>
    <m/>
    <m/>
    <m/>
    <m/>
    <m/>
    <m/>
    <m/>
    <m/>
    <m/>
    <m/>
    <m/>
    <m/>
    <m/>
    <m/>
    <s v="2. No"/>
    <m/>
    <s v="1. Sí"/>
    <s v="2. FRECUENTE"/>
    <s v="1. Sí"/>
    <s v="2. FRECUENTE"/>
    <s v="1. Sí"/>
    <s v="1. POCO FRECUENTE"/>
    <s v="2. No"/>
    <m/>
    <s v="1. Sí"/>
    <s v="2. FRECUENTE"/>
    <s v="1. Sí"/>
    <s v="1. POCO FRECUENTE"/>
    <s v="1. Sí"/>
    <s v="1. POCO FRECUENTE"/>
    <s v="2. No"/>
    <m/>
    <s v="1. Sí"/>
    <s v="1. POCO FRECUENTE"/>
    <s v="2. No"/>
    <m/>
    <s v="1. Sí"/>
    <s v="2. FRECUENTE"/>
    <s v="1. Sí"/>
    <s v="1. POCO FRECUENTE"/>
    <s v="1. Sí"/>
    <s v="1. POCO FRECUENTE"/>
    <s v="2. No"/>
    <m/>
    <s v="2. No"/>
    <m/>
    <s v="2. No"/>
    <m/>
    <m/>
    <s v="1. Sí"/>
    <s v="2. FRECUENTE"/>
    <s v="2. No"/>
    <m/>
    <s v="1. Sí"/>
    <s v="2. No"/>
    <m/>
    <s v="2. No"/>
    <m/>
    <m/>
    <s v="1. Sí"/>
    <s v="1. Sí"/>
    <s v="2. BUENO"/>
    <s v="2. No"/>
    <m/>
    <m/>
    <s v="2. No"/>
    <m/>
    <m/>
    <s v="2. No"/>
    <m/>
    <m/>
    <s v="1. Sí"/>
    <s v="1. Sí"/>
    <s v="2. BUENO"/>
    <s v="2. No"/>
    <m/>
    <m/>
    <s v="2. No"/>
    <m/>
    <m/>
    <s v="2. No"/>
    <m/>
    <m/>
    <m/>
    <s v="Inseguridad"/>
    <s v="Tranquilidad"/>
    <x v="0"/>
    <s v="2. No"/>
    <m/>
    <m/>
    <m/>
    <m/>
    <m/>
    <m/>
    <m/>
    <s v="Baños"/>
    <m/>
  </r>
  <r>
    <d v="2026-04-22T14:08:16"/>
    <d v="2026-04-22T14:14:11"/>
    <s v="AA"/>
    <n v="115"/>
    <n v="115"/>
    <b v="1"/>
    <d v="2026-04-17T00:00:00"/>
    <n v="1"/>
    <s v="FT"/>
    <s v="AA"/>
    <x v="102"/>
    <x v="103"/>
    <s v="1. Sí"/>
    <s v="1. EPMMOP"/>
    <n v="25"/>
    <x v="0"/>
    <n v="0"/>
    <n v="0"/>
    <n v="0"/>
    <n v="0"/>
    <n v="0"/>
    <s v="1. Hombre"/>
    <n v="27"/>
    <s v="1. Sí"/>
    <m/>
    <x v="0"/>
    <m/>
    <s v="5. Soltera/o"/>
    <s v="2. Primaria"/>
    <s v="1. Completa"/>
    <s v="99. NS/NC"/>
    <x v="1"/>
    <x v="25"/>
    <x v="2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1. Sí"/>
    <s v="1. POCO FRECUENTE"/>
    <s v="2. No"/>
    <m/>
    <s v="2. No"/>
    <m/>
    <s v="1. Sí"/>
    <s v="2. FRECUENTE"/>
    <s v="2. No"/>
    <m/>
    <s v="2. No"/>
    <m/>
    <s v="1. Sí"/>
    <s v="3. MUY FRECUENTE"/>
    <s v="1. Sí"/>
    <s v="2. FRECUENTE"/>
    <s v="1. Sí"/>
    <s v="1. POCO FRECUENTE"/>
    <s v="1. Sí"/>
    <s v="1. POCO FRECUENTE"/>
    <s v="2. No"/>
    <m/>
    <s v="2. No"/>
    <m/>
    <s v="2. No"/>
    <m/>
    <s v="2. No"/>
    <m/>
    <m/>
    <s v="1. Sí"/>
    <s v="2. FRECUENTE"/>
    <s v="1. Sí"/>
    <m/>
    <s v="1. Sí"/>
    <s v="2. No"/>
    <m/>
    <s v="2. No"/>
    <m/>
    <m/>
    <s v="2. No"/>
    <m/>
    <m/>
    <s v="1. Sí"/>
    <s v="1. Sí"/>
    <s v="2. BUENO"/>
    <s v="2. No"/>
    <m/>
    <m/>
    <s v="1. Sí"/>
    <s v="2. No"/>
    <m/>
    <s v="1. Sí"/>
    <s v="1. Sí"/>
    <s v="2. BUENO"/>
    <s v="1. Sí"/>
    <s v="1. Sí"/>
    <s v="2. BUENO"/>
    <s v="2. No"/>
    <m/>
    <m/>
    <s v="2. No"/>
    <m/>
    <m/>
    <m/>
    <s v="Tranquilidad"/>
    <m/>
    <x v="0"/>
    <s v="2. No"/>
    <m/>
    <m/>
    <m/>
    <m/>
    <m/>
    <m/>
    <m/>
    <s v="Comida preparada"/>
    <m/>
  </r>
  <r>
    <d v="2026-04-22T14:14:11"/>
    <d v="2026-04-22T14:28:58"/>
    <s v="AA"/>
    <n v="116"/>
    <n v="116"/>
    <b v="1"/>
    <d v="2026-04-17T00:00:00"/>
    <n v="2"/>
    <s v="MT"/>
    <s v="AA"/>
    <x v="103"/>
    <x v="104"/>
    <s v="1. Sí"/>
    <s v="1. EPMMOP"/>
    <n v="33"/>
    <x v="0"/>
    <n v="0"/>
    <n v="0"/>
    <n v="0"/>
    <n v="0"/>
    <n v="0"/>
    <s v="1. Hombre"/>
    <n v="73"/>
    <s v="1. Sí"/>
    <m/>
    <x v="0"/>
    <m/>
    <s v="3. Viu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7. Falta de alumbrado público"/>
    <x v="0"/>
    <x v="0"/>
    <x v="0"/>
    <x v="0"/>
    <x v="0"/>
    <x v="0"/>
    <x v="2"/>
    <x v="0"/>
    <x v="0"/>
    <x v="0"/>
    <x v="0"/>
    <m/>
    <m/>
    <s v="3. INSEGURO"/>
    <s v="Tarde (12:00 a 17:59)"/>
    <n v="0"/>
    <n v="0"/>
    <n v="1"/>
    <n v="0"/>
    <n v="0"/>
    <s v="1. Empeoró"/>
    <s v="2. No"/>
    <s v="1. Sí"/>
    <s v="1. Sí"/>
    <s v="1. Bate de béisbol 6. Otros"/>
    <n v="1"/>
    <n v="0"/>
    <n v="0"/>
    <n v="0"/>
    <n v="0"/>
    <n v="1"/>
    <s v="Machete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3. MUY FRECUENTE"/>
    <s v="2. No"/>
    <m/>
    <s v="1. Sí"/>
    <s v="2. FRECUENTE"/>
    <s v="1. Sí"/>
    <s v="2. FRECUENTE"/>
    <s v="2. No"/>
    <m/>
    <s v="2. No"/>
    <m/>
    <s v="2. No"/>
    <m/>
    <s v="1. Sí"/>
    <s v="3. MUY FRECUENTE"/>
    <s v="2. No"/>
    <m/>
    <s v="1. Sí"/>
    <s v="2. FRECUENTE"/>
    <s v="1. Sí"/>
    <s v="1. POCO FRECUENTE"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3. MALO"/>
    <s v="1. Sí"/>
    <s v="1. Sí"/>
    <s v="2. BUENO"/>
    <s v="2. No"/>
    <m/>
    <m/>
    <m/>
    <s v="Inseguridad"/>
    <m/>
    <x v="0"/>
    <s v="1. Si"/>
    <s v="3. Malo"/>
    <s v="2. No "/>
    <s v="Porque solo les controlan a los que tienen permiso."/>
    <s v="1. Si"/>
    <s v="Capacitación."/>
    <s v="2. No"/>
    <s v="No hacen nada, nos dejan solos, vienen contra nosotros"/>
    <s v="Comida preparada"/>
    <s v="No actualizan los permisos, no se sabe por qué."/>
  </r>
  <r>
    <d v="2026-04-22T14:28:59"/>
    <d v="2026-04-22T14:39:51"/>
    <s v="AA"/>
    <n v="117"/>
    <n v="117"/>
    <b v="1"/>
    <d v="2026-04-17T00:00:00"/>
    <n v="2"/>
    <s v="PA"/>
    <s v="AA"/>
    <x v="104"/>
    <x v="105"/>
    <s v="1. Sí"/>
    <s v="1. EPMMOP"/>
    <n v="30"/>
    <x v="0"/>
    <n v="0"/>
    <n v="0"/>
    <n v="0"/>
    <n v="0"/>
    <n v="1"/>
    <s v="2. Mujer"/>
    <n v="42"/>
    <s v="1. Sí"/>
    <m/>
    <x v="0"/>
    <m/>
    <s v="5. Soltera/o"/>
    <s v="5. Universitari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14"/>
    <m/>
    <m/>
    <s v="2. SEGURO"/>
    <s v="Mañana  (06:00 a 11:59) Tarde (12:00 a 17:59)"/>
    <n v="0"/>
    <n v="1"/>
    <n v="1"/>
    <n v="0"/>
    <n v="0"/>
    <s v="1. Empeoró"/>
    <s v="2. No"/>
    <s v="2. No"/>
    <s v="1. Sí"/>
    <s v="6. Otros"/>
    <n v="0"/>
    <n v="0"/>
    <n v="0"/>
    <n v="0"/>
    <n v="0"/>
    <n v="1"/>
    <s v="Cámaras"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1. Sí"/>
    <s v="3. MUY FRECUENTE"/>
    <s v="2. No"/>
    <m/>
    <s v="1. Sí"/>
    <s v="2. FRECUENTE"/>
    <s v="1. Sí"/>
    <s v="1. POCO FRECUENTE"/>
    <s v="1. Sí"/>
    <s v="1. POCO FRECUENTE"/>
    <s v="1. Sí"/>
    <s v="3. MUY FRECUENTE"/>
    <s v="1. Sí"/>
    <s v="3. MUY FRECUENTE"/>
    <s v="1. Sí"/>
    <s v="3. MUY FRECUENTE"/>
    <s v="2. No"/>
    <m/>
    <s v="1. Sí"/>
    <s v="2. FRECUENTE"/>
    <s v="1. Sí"/>
    <s v="2. FRECUENTE"/>
    <s v="1. Sí"/>
    <s v="3. MUY FRECUENTE"/>
    <s v="1. Sí"/>
    <s v="3. MUY FRECUENTE"/>
    <s v="1. Sí"/>
    <s v="2. FRECUENTE"/>
    <s v="2. No"/>
    <m/>
    <s v="1. Sí"/>
    <s v="2. FRECUENTE"/>
    <s v="2. No"/>
    <m/>
    <m/>
    <s v="1. Sí"/>
    <s v="3. MUY FRECUENTE"/>
    <s v="1. Sí"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1. Sí"/>
    <s v="1. Sí"/>
    <s v="2. BUENO"/>
    <s v="2. No"/>
    <m/>
    <m/>
    <s v="2. No"/>
    <m/>
    <m/>
    <m/>
    <s v="Tranquilidad"/>
    <s v="Felicidad"/>
    <x v="0"/>
    <s v="1. Si"/>
    <s v="4. Muy malo"/>
    <s v="2. No "/>
    <s v="No son constantes"/>
    <s v="2. No "/>
    <m/>
    <s v="2. No"/>
    <s v="No realizan control."/>
    <s v="Frutas y Legumbres"/>
    <m/>
  </r>
  <r>
    <d v="2026-04-22T14:39:51"/>
    <d v="2026-04-22T14:47:21"/>
    <s v="AA"/>
    <n v="118"/>
    <n v="118"/>
    <b v="1"/>
    <d v="2026-04-17T00:00:00"/>
    <n v="2"/>
    <s v="FT"/>
    <s v="AA"/>
    <x v="105"/>
    <x v="106"/>
    <s v="1. Sí"/>
    <s v="1. EPMMOP"/>
    <n v="15"/>
    <x v="0"/>
    <n v="0"/>
    <n v="0"/>
    <n v="0"/>
    <n v="0"/>
    <n v="0"/>
    <s v="2. Mujer"/>
    <n v="57"/>
    <s v="1. Sí"/>
    <m/>
    <x v="2"/>
    <m/>
    <s v="4. Casada/o"/>
    <s v="3. Secundaria/ Bachillerato"/>
    <s v="1. Completa"/>
    <s v="99. NS/NC"/>
    <x v="1"/>
    <x v="10"/>
    <x v="2"/>
    <x v="2"/>
    <x v="1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1. Empeoró"/>
    <s v="2. No"/>
    <s v="2. No"/>
    <s v="1. Sí"/>
    <s v="6. Otros"/>
    <n v="0"/>
    <n v="0"/>
    <n v="0"/>
    <n v="0"/>
    <n v="0"/>
    <n v="1"/>
    <s v="Cámara"/>
    <s v="1. Sí"/>
    <s v="VI.2 Robo  (con violencia) VI.10 Otros"/>
    <n v="1"/>
    <n v="0"/>
    <n v="0"/>
    <n v="0"/>
    <n v="0"/>
    <n v="0"/>
    <n v="0"/>
    <n v="0"/>
    <n v="1"/>
    <s v="Hombre armado"/>
    <s v="1. Sí"/>
    <s v="1. Sí"/>
    <m/>
    <m/>
    <m/>
    <m/>
    <m/>
    <m/>
    <m/>
    <m/>
    <s v="2. No"/>
    <m/>
    <s v="2. No"/>
    <m/>
    <s v="1. Sí"/>
    <s v="2. FRECUENTE"/>
    <s v="1. Sí"/>
    <s v="2. FRECUENTE"/>
    <s v="1. Sí"/>
    <s v="3. MUY FRECUENTE"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99. NS/NC"/>
    <m/>
    <s v="2. No"/>
    <m/>
    <m/>
    <s v="1. Sí"/>
    <s v="2. FRECUENTE"/>
    <s v="1. Sí"/>
    <m/>
    <s v="1. Sí"/>
    <s v="1. Sí"/>
    <s v="2. BUENO"/>
    <s v="1. Sí"/>
    <s v="1. Sí"/>
    <s v="2. BUENO"/>
    <s v="2. No"/>
    <m/>
    <m/>
    <s v="1. Sí"/>
    <s v="2. No"/>
    <m/>
    <s v="1. Sí"/>
    <s v="2. No"/>
    <m/>
    <s v="1. Sí"/>
    <s v="2. No"/>
    <m/>
    <s v="1. Sí"/>
    <s v="1. Sí"/>
    <s v="2. BUENO"/>
    <s v="1. Sí"/>
    <s v="2. No"/>
    <m/>
    <s v="1. Sí"/>
    <s v="2. No"/>
    <m/>
    <s v="2. No"/>
    <m/>
    <m/>
    <m/>
    <s v="Tranquilidad"/>
    <m/>
    <x v="0"/>
    <s v="2. No"/>
    <m/>
    <m/>
    <m/>
    <m/>
    <m/>
    <m/>
    <m/>
    <s v="Comida preparada"/>
    <s v="Deben patrullar donde hay más árboles, que es muy desolado y obscuro."/>
  </r>
  <r>
    <d v="2026-04-22T14:47:22"/>
    <d v="2026-04-22T14:52:19"/>
    <s v="AA"/>
    <n v="119"/>
    <n v="119"/>
    <b v="1"/>
    <d v="2026-04-17T00:00:00"/>
    <n v="1"/>
    <s v="MT"/>
    <s v="AA"/>
    <x v="106"/>
    <x v="107"/>
    <s v="1. Sí"/>
    <s v="1. EPMMOP"/>
    <n v="1"/>
    <x v="0"/>
    <n v="0"/>
    <n v="0"/>
    <n v="0"/>
    <n v="0"/>
    <n v="0"/>
    <s v="2. Mujer"/>
    <n v="24"/>
    <s v="1. Sí"/>
    <m/>
    <x v="0"/>
    <m/>
    <s v="5. Soltera/o"/>
    <s v="3. Secundaria/ Bachillerato"/>
    <s v="1. Completa"/>
    <s v="1. Menos de $470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3. INSEGURO"/>
    <s v="Tarde (12:00 a 17:59)"/>
    <n v="0"/>
    <n v="0"/>
    <n v="1"/>
    <n v="0"/>
    <n v="0"/>
    <s v="2. Esta igual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1. Sí"/>
    <s v="1. POCO FRECUENTE"/>
    <s v="2. No"/>
    <m/>
    <s v="1. Sí"/>
    <s v="1. POCO FRECUENTE"/>
    <s v="2. No"/>
    <m/>
    <s v="2. No"/>
    <m/>
    <s v="2. No"/>
    <m/>
    <m/>
    <s v="1. Sí"/>
    <s v="1. POCO FRECUENTE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s v="Paz"/>
    <s v="Tranquilidad"/>
    <x v="0"/>
    <s v="2. No"/>
    <m/>
    <m/>
    <m/>
    <m/>
    <m/>
    <m/>
    <m/>
    <s v="Baños"/>
    <m/>
  </r>
  <r>
    <d v="2026-04-22T14:52:19"/>
    <d v="2026-04-22T14:57:39"/>
    <s v="AA"/>
    <n v="120"/>
    <n v="120"/>
    <b v="1"/>
    <d v="2026-04-17T00:00:00"/>
    <n v="1"/>
    <s v="PA"/>
    <s v="AA"/>
    <x v="107"/>
    <x v="108"/>
    <s v="1. Sí"/>
    <s v="1. EPMMOP"/>
    <n v="39"/>
    <x v="0"/>
    <n v="0"/>
    <n v="0"/>
    <n v="0"/>
    <n v="0"/>
    <n v="0"/>
    <s v="1. Hombre"/>
    <n v="61"/>
    <s v="1. Sí"/>
    <m/>
    <x v="0"/>
    <m/>
    <s v="4. Casada/o"/>
    <s v="2. Primaria"/>
    <s v="2. In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1. Sí"/>
    <s v="4. Armas blancas 6. Otros"/>
    <n v="0"/>
    <n v="0"/>
    <n v="0"/>
    <n v="1"/>
    <n v="0"/>
    <n v="1"/>
    <s v="Picahielos"/>
    <s v="1. Sí"/>
    <s v="VI.6 Amenazas"/>
    <n v="0"/>
    <n v="0"/>
    <n v="0"/>
    <n v="0"/>
    <n v="1"/>
    <n v="0"/>
    <n v="0"/>
    <n v="0"/>
    <n v="0"/>
    <m/>
    <m/>
    <m/>
    <m/>
    <m/>
    <m/>
    <s v="1. Sí"/>
    <m/>
    <m/>
    <m/>
    <m/>
    <s v="2. No"/>
    <m/>
    <s v="2. No"/>
    <m/>
    <s v="1. Sí"/>
    <s v="1. POCO FRECUENTE"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m/>
    <s v="1. Sí"/>
    <s v="2. FRECUENTE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s v="2. No"/>
    <m/>
    <m/>
    <s v="2. No"/>
    <m/>
    <m/>
    <m/>
    <s v="Tranquilidad"/>
    <s v="Esperanza"/>
    <x v="6"/>
    <s v="1. Si"/>
    <s v="2. Bueno"/>
    <s v="1. Si"/>
    <s v="Es su trabajo"/>
    <s v="2. No "/>
    <m/>
    <s v="1.Si"/>
    <s v="Control seguro"/>
    <s v="Bebidas/Confites/Comestibles industrializados/ Tabacos"/>
    <m/>
  </r>
  <r>
    <d v="2026-04-22T12:16:47"/>
    <d v="2026-04-22T16:13:06"/>
    <s v="AFC"/>
    <n v="121"/>
    <n v="121"/>
    <b v="1"/>
    <d v="2026-04-17T00:00:00"/>
    <n v="2"/>
    <s v="FT"/>
    <s v="IA"/>
    <x v="108"/>
    <x v="109"/>
    <s v="1. Sí"/>
    <s v="1. EPMMOP"/>
    <n v="40"/>
    <x v="0"/>
    <n v="0"/>
    <n v="0"/>
    <n v="0"/>
    <n v="0"/>
    <n v="0"/>
    <s v="1. Hombre"/>
    <n v="62"/>
    <s v="1. Sí"/>
    <m/>
    <x v="0"/>
    <m/>
    <s v="5. Soltera/o"/>
    <s v="2. Primaria"/>
    <s v="1. Completa"/>
    <s v="99. NS/NC"/>
    <x v="1"/>
    <x v="2"/>
    <x v="2"/>
    <x v="2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1. POCO FRECUENTE"/>
    <s v="2. No"/>
    <m/>
    <s v="2. No"/>
    <m/>
    <s v="1. Sí"/>
    <s v="2. FRECUENTE"/>
    <s v="1. Sí"/>
    <s v="2. FRECUENTE"/>
    <s v="1. Sí"/>
    <s v="3. MUY FRECUENTE"/>
    <s v="2. No"/>
    <m/>
    <s v="1. Sí"/>
    <s v="1. POCO FRECUENTE"/>
    <s v="2. No"/>
    <m/>
    <s v="2. No"/>
    <m/>
    <s v="1. Sí"/>
    <s v="3. MUY FRECUENTE"/>
    <s v="2. No"/>
    <m/>
    <s v="2. No"/>
    <m/>
    <s v="2. No"/>
    <m/>
    <s v="2. No"/>
    <m/>
    <m/>
    <s v="1. Sí"/>
    <s v="2. FRECUENTE"/>
    <s v="1. Sí"/>
    <m/>
    <s v="1. Sí"/>
    <s v="2. No"/>
    <m/>
    <s v="2. No"/>
    <m/>
    <m/>
    <s v="1. Sí"/>
    <s v="2. No"/>
    <m/>
    <s v="1. Sí"/>
    <s v="1. Sí"/>
    <s v="2. BUENO"/>
    <s v="1. Sí"/>
    <s v="1. Sí"/>
    <s v="2. BUENO"/>
    <s v="1. Sí"/>
    <s v="2. No"/>
    <m/>
    <s v="1. Sí"/>
    <s v="1. Sí"/>
    <s v="2. BUENO"/>
    <s v="1. Sí"/>
    <s v="1. Sí"/>
    <s v="2. BUENO"/>
    <s v="1. Sí"/>
    <s v="2. No"/>
    <m/>
    <s v="2. No"/>
    <m/>
    <m/>
    <m/>
    <s v="Recelo"/>
    <m/>
    <x v="0"/>
    <s v="2. No"/>
    <m/>
    <m/>
    <m/>
    <m/>
    <m/>
    <m/>
    <m/>
    <s v="Comida preparada"/>
    <m/>
  </r>
  <r>
    <d v="2026-04-22T16:13:06"/>
    <d v="2026-04-22T16:18:28"/>
    <s v="AFC"/>
    <n v="122"/>
    <n v="122"/>
    <b v="1"/>
    <d v="2026-04-17T00:00:00"/>
    <n v="2"/>
    <s v="FT"/>
    <s v="IA"/>
    <x v="109"/>
    <x v="110"/>
    <s v="1. Sí"/>
    <s v="1. EPMMOP"/>
    <n v="39"/>
    <x v="0"/>
    <n v="0"/>
    <n v="0"/>
    <n v="0"/>
    <n v="0"/>
    <n v="0"/>
    <s v="1. Hombre"/>
    <n v="50"/>
    <s v="1. Sí"/>
    <m/>
    <x v="0"/>
    <m/>
    <s v="4. Casada/o"/>
    <s v="5. Universitario"/>
    <s v="1. Completa"/>
    <s v="99. NS/NC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Noche  (18:00 a 23:59)"/>
    <n v="0"/>
    <n v="0"/>
    <n v="0"/>
    <n v="1"/>
    <n v="0"/>
    <s v="3. Mejoró"/>
    <s v="2. No"/>
    <s v="1. Sí"/>
    <s v="1. Sí"/>
    <s v="6. Otros"/>
    <n v="0"/>
    <n v="0"/>
    <n v="0"/>
    <n v="0"/>
    <n v="0"/>
    <n v="1"/>
    <s v="Lanfor puerta"/>
    <s v="1. Sí"/>
    <s v="VI.10 Otros"/>
    <n v="0"/>
    <n v="0"/>
    <n v="0"/>
    <n v="0"/>
    <n v="0"/>
    <n v="0"/>
    <n v="0"/>
    <n v="0"/>
    <n v="1"/>
    <s v="Robo local"/>
    <s v="2. No"/>
    <m/>
    <m/>
    <m/>
    <m/>
    <m/>
    <m/>
    <m/>
    <m/>
    <m/>
    <s v="2. No"/>
    <m/>
    <s v="1. Sí"/>
    <s v="1. POCO FRECUENTE"/>
    <s v="1. Sí"/>
    <s v="3. MUY FRECUENTE"/>
    <s v="2. No"/>
    <m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1. MUY BUENO"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2. No"/>
    <m/>
    <s v="2. No"/>
    <m/>
    <m/>
    <m/>
    <s v="Seguridad"/>
    <s v="Tranquilidad"/>
    <x v="0"/>
    <s v="2. No"/>
    <m/>
    <m/>
    <m/>
    <m/>
    <m/>
    <m/>
    <m/>
    <s v="Bebidas/Confites/Comestibles industrializados/ Tabacos"/>
    <s v="Control ventas ambulantes"/>
  </r>
  <r>
    <d v="2026-04-23T07:49:23"/>
    <d v="2026-04-23T08:15:54"/>
    <s v="AFC"/>
    <n v="123"/>
    <n v="123"/>
    <b v="1"/>
    <d v="2026-04-17T00:00:00"/>
    <n v="2"/>
    <s v="MT"/>
    <s v="IA"/>
    <x v="110"/>
    <x v="111"/>
    <s v="1. Sí"/>
    <s v="1. EPMMOP"/>
    <n v="46"/>
    <x v="0"/>
    <n v="0"/>
    <n v="0"/>
    <n v="0"/>
    <n v="0"/>
    <n v="0"/>
    <s v="1. Hombre"/>
    <n v="60"/>
    <s v="1. Sí"/>
    <m/>
    <x v="0"/>
    <m/>
    <s v="4. Casada/o"/>
    <s v="3. Secundaria/ Bachillerato"/>
    <s v="2. Incompleta"/>
    <s v="2. de $471 a $919"/>
    <x v="1"/>
    <x v="28"/>
    <x v="1"/>
    <x v="2"/>
    <x v="2"/>
    <x v="1"/>
    <x v="1"/>
    <x v="1"/>
    <x v="1"/>
    <x v="1"/>
    <x v="2"/>
    <x v="1"/>
    <x v="1"/>
    <x v="1"/>
    <x v="8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 Noche  (18:00 a 23:59)"/>
    <n v="0"/>
    <n v="1"/>
    <n v="1"/>
    <n v="1"/>
    <n v="0"/>
    <s v="3. Mejoró"/>
    <s v="2. No"/>
    <s v="2. No"/>
    <s v="1. Sí"/>
    <s v="6. Otros"/>
    <n v="0"/>
    <n v="0"/>
    <n v="0"/>
    <n v="0"/>
    <n v="0"/>
    <n v="1"/>
    <s v="Cámara"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2. No"/>
    <m/>
    <s v="2. No"/>
    <m/>
    <s v="2. No"/>
    <m/>
    <s v="1. Sí"/>
    <s v="3. MUY FRECUENTE"/>
    <s v="2. No"/>
    <m/>
    <s v="2. No"/>
    <m/>
    <s v="2. No"/>
    <m/>
    <s v="2. No"/>
    <m/>
    <s v="2. No"/>
    <m/>
    <s v="1. Sí"/>
    <s v="1. POCO FRECUENTE"/>
    <s v="1. Sí"/>
    <s v="1. POCO FRECUENTE"/>
    <s v="2. No"/>
    <m/>
    <s v="2. No"/>
    <m/>
    <s v="2. No"/>
    <m/>
    <m/>
    <s v="1. Sí"/>
    <s v="1. POCO FRECUENTE"/>
    <s v="2. No"/>
    <m/>
    <s v="1. Sí"/>
    <s v="1. Sí"/>
    <s v="2. BUENO"/>
    <s v="1. Sí"/>
    <s v="2. No"/>
    <m/>
    <s v="1. Sí"/>
    <s v="1. Sí"/>
    <s v="2. BUENO"/>
    <s v="1. Sí"/>
    <s v="2. No"/>
    <m/>
    <s v="1. Sí"/>
    <s v="2. No"/>
    <m/>
    <s v="1. Sí"/>
    <s v="2. No"/>
    <m/>
    <s v="1. Sí"/>
    <s v="1. Sí"/>
    <s v="1. MUY BUENO"/>
    <s v="1. Sí"/>
    <s v="2. No"/>
    <m/>
    <s v="1. Sí"/>
    <s v="2. No"/>
    <m/>
    <s v="1. Sí"/>
    <s v="1. Sí"/>
    <s v="2. BUENO"/>
    <m/>
    <s v="Recuerdos"/>
    <s v="Nostalgia"/>
    <x v="0"/>
    <s v="1. Si"/>
    <s v="1. Muy bueno"/>
    <s v="1. Si"/>
    <s v="Han controlado mejor"/>
    <s v="1. Si"/>
    <s v="Capacitación"/>
    <s v="1.Si"/>
    <s v="Confía"/>
    <s v="Comida preparada"/>
    <m/>
  </r>
  <r>
    <d v="2026-04-23T08:15:54"/>
    <d v="2026-04-23T08:56:20"/>
    <s v="AFC"/>
    <n v="124"/>
    <n v="124"/>
    <b v="1"/>
    <d v="2026-04-17T00:00:00"/>
    <n v="2"/>
    <s v="PA"/>
    <s v="AA"/>
    <x v="109"/>
    <x v="110"/>
    <s v="1. Sí"/>
    <s v="1. EPMMOP"/>
    <n v="29"/>
    <x v="0"/>
    <n v="0"/>
    <n v="0"/>
    <n v="0"/>
    <n v="0"/>
    <n v="0"/>
    <s v="1. Hombre"/>
    <n v="65"/>
    <s v="1. Sí"/>
    <m/>
    <x v="0"/>
    <m/>
    <s v="4. Casada/o"/>
    <s v="3. Secundaria/ Bachillerato"/>
    <s v="1. Completa"/>
    <s v="3. de $920 a $1339"/>
    <x v="1"/>
    <x v="9"/>
    <x v="1"/>
    <x v="2"/>
    <x v="2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3. Mejoró"/>
    <s v="1. Sí"/>
    <s v="2. No"/>
    <s v="1. Sí"/>
    <s v="6. Otros"/>
    <n v="0"/>
    <n v="0"/>
    <n v="0"/>
    <n v="0"/>
    <n v="0"/>
    <n v="1"/>
    <s v="Alarmas y cámaras"/>
    <s v="2. No"/>
    <m/>
    <m/>
    <m/>
    <m/>
    <m/>
    <m/>
    <m/>
    <m/>
    <m/>
    <m/>
    <m/>
    <m/>
    <m/>
    <m/>
    <m/>
    <m/>
    <m/>
    <m/>
    <m/>
    <m/>
    <m/>
    <s v="1. Sí"/>
    <s v="2. FRECUENTE"/>
    <s v="1. Sí"/>
    <s v="3. MUY FRECUENTE"/>
    <s v="1. Sí"/>
    <s v="3. MUY FRECUENTE"/>
    <s v="1. Sí"/>
    <s v="1. POCO FRECUENTE"/>
    <s v="2. No"/>
    <m/>
    <s v="2. No"/>
    <m/>
    <s v="2. No"/>
    <m/>
    <s v="2. No"/>
    <m/>
    <s v="2. No"/>
    <m/>
    <s v="2. No"/>
    <m/>
    <s v="2. No"/>
    <m/>
    <s v="1. Sí"/>
    <s v="3. MUY FRECUENTE"/>
    <s v="2. No"/>
    <m/>
    <s v="1. Sí"/>
    <s v="1. POCO FRECUENTE"/>
    <s v="2. No"/>
    <m/>
    <s v="1. Sí"/>
    <s v="2. FRECUENTE"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2. No"/>
    <m/>
    <s v="1. Sí"/>
    <s v="2. No"/>
    <m/>
    <s v="2. No"/>
    <m/>
    <m/>
    <m/>
    <s v="Tranquilidad"/>
    <s v="Relajación"/>
    <x v="35"/>
    <s v="1. Si"/>
    <s v="2. Bueno"/>
    <s v="2. No "/>
    <s v="Es focal"/>
    <s v="2. No "/>
    <m/>
    <s v="1.Si"/>
    <s v="Es su trabajo"/>
    <s v="Frutas y Legumbres"/>
    <m/>
  </r>
  <r>
    <d v="2026-04-23T08:56:20"/>
    <d v="2026-04-23T09:10:01"/>
    <s v="AFC"/>
    <n v="125"/>
    <n v="125"/>
    <b v="1"/>
    <d v="2026-04-19T00:00:00"/>
    <n v="3"/>
    <s v="AMC"/>
    <s v="VB"/>
    <x v="111"/>
    <x v="112"/>
    <s v="1. Sí"/>
    <s v="1. EPMMOP"/>
    <n v="32"/>
    <x v="0"/>
    <n v="2"/>
    <n v="0"/>
    <n v="0"/>
    <n v="0"/>
    <n v="0"/>
    <s v="1. Hombre"/>
    <n v="49"/>
    <s v="1. Sí"/>
    <m/>
    <x v="0"/>
    <m/>
    <s v="4. Casad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2. Venta de drogas 3. Consumo de drogas"/>
    <x v="0"/>
    <x v="2"/>
    <x v="2"/>
    <x v="0"/>
    <x v="0"/>
    <x v="0"/>
    <x v="0"/>
    <x v="0"/>
    <x v="0"/>
    <x v="0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1. Sí"/>
    <s v="2. BUENO"/>
    <s v="1. Sí"/>
    <s v="2. No"/>
    <m/>
    <s v="2. No"/>
    <m/>
    <m/>
    <s v="1. Sí"/>
    <s v="1. Sí"/>
    <s v="2. BUENO"/>
    <s v="1. Sí"/>
    <s v="2. No"/>
    <m/>
    <s v="1. Sí"/>
    <s v="2. No"/>
    <m/>
    <s v="1. Sí"/>
    <s v="1. Sí"/>
    <s v="3. MALO"/>
    <s v="1. Sí"/>
    <s v="1. Sí"/>
    <s v="2. BUENO"/>
    <s v="1. Sí"/>
    <s v="2. No"/>
    <m/>
    <s v="2. No"/>
    <m/>
    <m/>
    <m/>
    <s v="Tranquilidad"/>
    <m/>
    <x v="0"/>
    <s v="2. No"/>
    <m/>
    <m/>
    <m/>
    <m/>
    <m/>
    <m/>
    <m/>
    <s v="Venta de helados"/>
    <m/>
  </r>
  <r>
    <d v="2026-04-23T09:10:01"/>
    <d v="2026-04-23T09:18:14"/>
    <s v="AFC"/>
    <n v="126"/>
    <n v="126"/>
    <b v="1"/>
    <d v="2026-04-19T00:00:00"/>
    <n v="3"/>
    <s v="LC"/>
    <s v="VB"/>
    <x v="112"/>
    <x v="113"/>
    <s v="1. Sí"/>
    <s v="1. EPMMOP"/>
    <n v="33"/>
    <x v="0"/>
    <n v="0"/>
    <n v="0"/>
    <n v="0"/>
    <n v="0"/>
    <n v="0"/>
    <s v="2. Mujer"/>
    <n v="70"/>
    <s v="1. Sí"/>
    <m/>
    <x v="0"/>
    <m/>
    <s v="5. Soltera/o"/>
    <s v="2. Primaria"/>
    <s v="1. Completa"/>
    <s v="99. NS/NC"/>
    <x v="1"/>
    <x v="25"/>
    <x v="2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1. Sí"/>
    <s v="2. FRECUENTE"/>
    <s v="1. Sí"/>
    <s v="1. POCO FRECUENTE"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2. No"/>
    <m/>
    <m/>
    <m/>
    <s v="Alegría"/>
    <m/>
    <x v="0"/>
    <s v="1. Si"/>
    <s v="2. Bueno"/>
    <s v="2. No "/>
    <s v="Es solo pantalla"/>
    <s v="2. No "/>
    <m/>
    <s v="1.Si"/>
    <s v="No queda a quien más"/>
    <s v="Comida preparada"/>
    <m/>
  </r>
  <r>
    <d v="2026-04-23T09:18:14"/>
    <d v="2026-04-23T09:23:52"/>
    <s v="AFC"/>
    <n v="127"/>
    <n v="127"/>
    <b v="1"/>
    <d v="2026-04-19T00:00:00"/>
    <n v="3"/>
    <s v="AMC"/>
    <s v="VB"/>
    <x v="113"/>
    <x v="114"/>
    <s v="1. Sí"/>
    <s v="1. EPMMOP"/>
    <n v="34"/>
    <x v="0"/>
    <n v="0"/>
    <n v="0"/>
    <n v="0"/>
    <n v="0"/>
    <n v="0"/>
    <s v="2. Mujer"/>
    <n v="26"/>
    <s v="1. Sí"/>
    <m/>
    <x v="0"/>
    <m/>
    <s v="3. Viuda/o"/>
    <s v="5. Universitario"/>
    <s v="2. Incompleta"/>
    <s v="2. de $471 a $919"/>
    <x v="1"/>
    <x v="29"/>
    <x v="1"/>
    <x v="2"/>
    <x v="2"/>
    <x v="2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1. Sí"/>
    <s v="2. FRECUENTE"/>
    <s v="2. No"/>
    <m/>
    <s v="1. Sí"/>
    <s v="1. POCO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1. Sí"/>
    <m/>
    <s v="1. Sí"/>
    <s v="1. Sí"/>
    <s v="2. BUENO"/>
    <s v="2. No"/>
    <m/>
    <m/>
    <s v="2. No"/>
    <m/>
    <m/>
    <s v="1. Sí"/>
    <s v="1. Sí"/>
    <s v="1. MUY BUENO"/>
    <s v="2. No"/>
    <m/>
    <m/>
    <s v="2. No"/>
    <m/>
    <m/>
    <s v="2. No"/>
    <m/>
    <m/>
    <s v="1. Sí"/>
    <s v="1. Sí"/>
    <s v="1. MUY BUENO"/>
    <s v="1. Sí"/>
    <s v="1. Sí"/>
    <s v="1. MUY BUENO"/>
    <s v="2. No"/>
    <m/>
    <m/>
    <m/>
    <s v="Tranquilidad"/>
    <s v="Segura"/>
    <x v="0"/>
    <s v="2. No"/>
    <m/>
    <m/>
    <m/>
    <m/>
    <m/>
    <m/>
    <m/>
    <s v="Frutas y Legumbres"/>
    <m/>
  </r>
  <r>
    <d v="2026-04-23T09:23:52"/>
    <d v="2026-04-23T09:32:24"/>
    <s v="AFC"/>
    <n v="128"/>
    <n v="128"/>
    <b v="1"/>
    <d v="2026-04-19T00:00:00"/>
    <n v="3"/>
    <s v="LC"/>
    <s v="VB"/>
    <x v="114"/>
    <x v="115"/>
    <s v="1. Sí"/>
    <s v="1. EPMMOP"/>
    <n v="30"/>
    <x v="0"/>
    <n v="0"/>
    <n v="0"/>
    <n v="0"/>
    <n v="0"/>
    <n v="0"/>
    <s v="2. Mujer"/>
    <n v="58"/>
    <s v="1. Sí"/>
    <m/>
    <x v="0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1. Sí"/>
    <s v="1. POCO FRECUENTE"/>
    <s v="1. Sí"/>
    <s v="2. FRECUENTE"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Trabajo"/>
    <s v="Iras"/>
    <x v="0"/>
    <s v="1. Si"/>
    <s v="3. Malo"/>
    <s v="2. No "/>
    <s v="Son solo para fotos"/>
    <s v="2. No "/>
    <m/>
    <s v="2. No"/>
    <s v="Son pantalla"/>
    <s v="Granizados"/>
    <m/>
  </r>
  <r>
    <d v="2026-04-23T09:32:24"/>
    <d v="2026-04-23T09:47:59"/>
    <s v="AFC"/>
    <n v="129"/>
    <n v="129"/>
    <b v="1"/>
    <d v="2026-04-19T00:00:00"/>
    <n v="3"/>
    <s v="VM"/>
    <s v="VB"/>
    <x v="115"/>
    <x v="116"/>
    <s v="1. Sí"/>
    <s v="1. EPMMOP"/>
    <n v="20"/>
    <x v="0"/>
    <n v="0"/>
    <n v="0"/>
    <n v="0"/>
    <n v="0"/>
    <n v="0"/>
    <s v="2. Mujer"/>
    <n v="18"/>
    <s v="1. Sí"/>
    <m/>
    <x v="0"/>
    <m/>
    <s v="5. Solter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"/>
    <n v="0"/>
    <n v="1"/>
    <n v="0"/>
    <n v="0"/>
    <n v="0"/>
    <s v="1. Empe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1. Sí"/>
    <s v="2. FRECUENTE"/>
    <s v="1. Sí"/>
    <s v="1. POCO FRECUENTE"/>
    <s v="1. Sí"/>
    <s v="2. FRECUENTE"/>
    <s v="1. Sí"/>
    <s v="2. FRECUENTE"/>
    <s v="2. No"/>
    <m/>
    <s v="1. Sí"/>
    <s v="2. FRECUENTE"/>
    <s v="2. No"/>
    <m/>
    <s v="1. Sí"/>
    <s v="2. FRECUENTE"/>
    <s v="1. Sí"/>
    <s v="2. FRECUENTE"/>
    <s v="1. Sí"/>
    <s v="2. FRECUENTE"/>
    <s v="2. No"/>
    <m/>
    <s v="2. No"/>
    <m/>
    <s v="1. Sí"/>
    <s v="Emaseo no lleva la basura y no limpia"/>
    <s v="2. FRECUENTE"/>
    <s v="1. Sí"/>
    <s v="2. FRECUENTE"/>
    <s v="1. Sí"/>
    <m/>
    <s v="1. Sí"/>
    <s v="2. No"/>
    <m/>
    <s v="1. Sí"/>
    <s v="2. No"/>
    <m/>
    <s v="2. No"/>
    <m/>
    <m/>
    <s v="1. Sí"/>
    <s v="1. Sí"/>
    <s v="2. BUENO"/>
    <s v="1. Sí"/>
    <s v="2. No"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m/>
    <s v="Miedo"/>
    <m/>
    <x v="0"/>
    <s v="1. Si"/>
    <s v="2. Bueno"/>
    <s v="2. No "/>
    <s v="Solo en un ratito y ya todo es igual"/>
    <s v="2. No "/>
    <m/>
    <s v="2. No"/>
    <s v="Mucha corrupción"/>
    <s v="Frutas y Legumbres"/>
    <s v="No vale la lámpara que está por los inflables y no tienen donde coger agua para los negocios"/>
  </r>
  <r>
    <d v="2026-04-23T09:47:59"/>
    <d v="2026-04-23T10:00:27"/>
    <s v="AFC"/>
    <n v="130"/>
    <n v="130"/>
    <b v="1"/>
    <d v="2026-04-19T00:00:00"/>
    <n v="3"/>
    <s v="AMC"/>
    <s v="VB"/>
    <x v="116"/>
    <x v="117"/>
    <s v="1. Sí"/>
    <s v="1. EPMMOP"/>
    <n v="30"/>
    <x v="0"/>
    <n v="0"/>
    <n v="0"/>
    <n v="0"/>
    <n v="0"/>
    <n v="0"/>
    <s v="2. Mujer"/>
    <n v="66"/>
    <s v="1. Sí"/>
    <m/>
    <x v="0"/>
    <m/>
    <s v="3. Viuda/o"/>
    <s v="2. Primaria"/>
    <s v="1. Completa"/>
    <s v="1. Menos de $470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99. NS/NC"/>
    <m/>
    <s v="2. No"/>
    <m/>
    <s v="2. No"/>
    <m/>
    <s v="2. No"/>
    <m/>
    <s v="2. No"/>
    <m/>
    <s v="99. NS/NC"/>
    <m/>
    <s v="99. NS/NC"/>
    <m/>
    <s v="2. No"/>
    <m/>
    <s v="2. No"/>
    <m/>
    <s v="2. No"/>
    <m/>
    <s v="99. NS/NC"/>
    <m/>
    <s v="2. No"/>
    <m/>
    <s v="2. No"/>
    <m/>
    <m/>
    <s v="1. Sí"/>
    <s v="3. MUY FRECUENTE"/>
    <s v="2. No"/>
    <m/>
    <s v="1. Sí"/>
    <s v="1. Sí"/>
    <s v="1. MUY BUENO"/>
    <s v="2. No"/>
    <m/>
    <m/>
    <s v="2. No"/>
    <m/>
    <m/>
    <s v="1. Sí"/>
    <s v="1. Sí"/>
    <s v="1. MUY BUENO"/>
    <s v="1. Sí"/>
    <s v="2. No"/>
    <m/>
    <s v="2. No"/>
    <m/>
    <m/>
    <s v="1. Sí"/>
    <s v="1. Sí"/>
    <s v="1. MUY BUENO"/>
    <s v="1. Sí"/>
    <s v="2. No"/>
    <m/>
    <s v="1. Sí"/>
    <s v="2. No"/>
    <m/>
    <s v="2. No"/>
    <m/>
    <m/>
    <m/>
    <s v="Tranquilidad"/>
    <s v="Desestrés"/>
    <x v="0"/>
    <s v="1. Si"/>
    <s v="2. Bueno"/>
    <s v="1. Si"/>
    <s v="Mandan a gente sospechosa"/>
    <s v="2. No "/>
    <m/>
    <s v="1.Si"/>
    <s v="Ayuda lo que se necesita"/>
    <s v="Juegos infantiles"/>
    <m/>
  </r>
  <r>
    <d v="2026-04-23T10:00:27"/>
    <d v="2026-04-23T10:07:06"/>
    <s v="AFC"/>
    <n v="131"/>
    <n v="131"/>
    <b v="1"/>
    <d v="2026-04-19T00:00:00"/>
    <n v="3"/>
    <s v="LC"/>
    <s v="VB"/>
    <x v="117"/>
    <x v="118"/>
    <s v="1. Sí"/>
    <s v="1. EPMMOP"/>
    <n v="15"/>
    <x v="0"/>
    <n v="0"/>
    <n v="0"/>
    <n v="0"/>
    <n v="0"/>
    <n v="0"/>
    <s v="1. Hombre"/>
    <n v="42"/>
    <s v="1. Sí"/>
    <m/>
    <x v="0"/>
    <m/>
    <s v="1. Unión de Hecho/Libre"/>
    <s v="6. Post grado"/>
    <s v="1. Completa"/>
    <s v="3. de $920 a $133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3. INSEGURO"/>
    <s v="Noche  (18:00 a 23:59)"/>
    <n v="0"/>
    <n v="0"/>
    <n v="0"/>
    <n v="1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3. MUY FRECUENTE"/>
    <s v="1. Sí"/>
    <s v="2. FRECUENTE"/>
    <s v="1. Sí"/>
    <s v="1. POCO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2. No"/>
    <m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Tranquilidad"/>
    <x v="0"/>
    <s v="1. Si"/>
    <s v="2. Bueno"/>
    <s v="1. Si"/>
    <s v="Por más seguridad"/>
    <s v="2. No "/>
    <m/>
    <s v="1.Si"/>
    <s v="Es su trabajo"/>
    <s v="Juegos infantiles"/>
    <m/>
  </r>
  <r>
    <d v="2026-04-23T10:07:06"/>
    <d v="2026-04-23T10:42:52"/>
    <s v="AFC"/>
    <n v="132"/>
    <n v="132"/>
    <b v="1"/>
    <d v="2026-04-19T00:00:00"/>
    <n v="3"/>
    <s v="VM"/>
    <s v="VB"/>
    <x v="118"/>
    <x v="119"/>
    <s v="1. Sí"/>
    <s v="1. EPMMOP"/>
    <n v="35"/>
    <x v="0"/>
    <n v="0"/>
    <n v="0"/>
    <n v="0"/>
    <n v="0"/>
    <n v="0"/>
    <s v="1. Hombre"/>
    <n v="47"/>
    <s v="1. Sí"/>
    <m/>
    <x v="0"/>
    <m/>
    <s v="5. Solter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1. Empeoró"/>
    <s v="2. No"/>
    <s v="1. Sí"/>
    <s v="1. Sí"/>
    <s v="6. Otros"/>
    <n v="0"/>
    <n v="0"/>
    <n v="0"/>
    <n v="0"/>
    <n v="0"/>
    <n v="1"/>
    <s v="Rejas"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3. MUY FRECUENTE"/>
    <s v="1. Sí"/>
    <s v="2. FRECUENTE"/>
    <s v="1. Sí"/>
    <s v="1. POCO FRECUENTE"/>
    <s v="2. No"/>
    <m/>
    <s v="1. Sí"/>
    <s v="2. FRECUENTE"/>
    <s v="1. Sí"/>
    <s v="1. POCO FRECUENTE"/>
    <s v="2. No"/>
    <m/>
    <s v="1. Sí"/>
    <s v="1. POCO FRECUENTE"/>
    <s v="2. No"/>
    <m/>
    <s v="1. Sí"/>
    <s v="2. FRECUENTE"/>
    <s v="2. No"/>
    <m/>
    <s v="2. No"/>
    <m/>
    <s v="2. No"/>
    <m/>
    <s v="2. No"/>
    <m/>
    <s v="2. No"/>
    <m/>
    <m/>
    <s v="1. Sí"/>
    <s v="2. FRECUENTE"/>
    <s v="2. No"/>
    <m/>
    <s v="1. Sí"/>
    <s v="1. Sí"/>
    <s v="2. BUENO"/>
    <s v="1. Sí"/>
    <s v="1. Sí"/>
    <s v="2. BUENO"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m/>
    <s v="Inseguridad"/>
    <m/>
    <x v="0"/>
    <s v="1. Si"/>
    <s v="2. Bueno"/>
    <s v="1. Si"/>
    <s v="Se controlan las ventas y la delincuencia"/>
    <s v="2. No "/>
    <m/>
    <s v="1.Si"/>
    <s v="Están pendientes pero les falta más organización"/>
    <s v="Juegos infantiles"/>
    <s v="Piden que la administración de l parque esté más pendiente de seguridad y coordinen con los puestos"/>
  </r>
  <r>
    <d v="2026-04-23T10:42:52"/>
    <d v="2026-04-23T10:46:35"/>
    <s v="AFC"/>
    <n v="133"/>
    <n v="133"/>
    <b v="1"/>
    <d v="2026-04-19T00:00:00"/>
    <n v="3"/>
    <s v="LC"/>
    <s v="VB"/>
    <x v="119"/>
    <x v="120"/>
    <s v="1. Sí"/>
    <s v="1. EPMMOP"/>
    <n v="30"/>
    <x v="0"/>
    <n v="0"/>
    <n v="0"/>
    <n v="0"/>
    <n v="0"/>
    <n v="0"/>
    <s v="1. Hombre"/>
    <n v="76"/>
    <s v="1. Sí"/>
    <m/>
    <x v="0"/>
    <m/>
    <s v="5. Solter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3. Consumo de drogas 4. Ventas ambulantes"/>
    <x v="1"/>
    <x v="0"/>
    <x v="2"/>
    <x v="2"/>
    <x v="0"/>
    <x v="0"/>
    <x v="0"/>
    <x v="0"/>
    <x v="0"/>
    <x v="0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1. POCO FRECUENTE"/>
    <s v="2. No"/>
    <m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Trabajo"/>
    <m/>
    <x v="0"/>
    <s v="2. No"/>
    <m/>
    <m/>
    <m/>
    <m/>
    <m/>
    <m/>
    <m/>
    <s v="Juegos infantiles"/>
    <m/>
  </r>
  <r>
    <d v="2026-04-23T10:46:36"/>
    <d v="2026-04-23T10:58:14"/>
    <s v="AFC"/>
    <n v="134"/>
    <n v="134"/>
    <b v="1"/>
    <d v="2026-04-19T00:00:00"/>
    <n v="3"/>
    <s v="AMC"/>
    <s v="VB"/>
    <x v="120"/>
    <x v="121"/>
    <s v="1. Sí"/>
    <s v="1. EPMMOP"/>
    <n v="30"/>
    <x v="0"/>
    <n v="0"/>
    <n v="0"/>
    <n v="0"/>
    <n v="0"/>
    <n v="0"/>
    <s v="1. Hombre"/>
    <n v="62"/>
    <s v="1. Sí"/>
    <m/>
    <x v="0"/>
    <m/>
    <s v="5. Soltera/o"/>
    <s v="3. Secundaria/ Bachillerato"/>
    <s v="2. In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Noche  (18:00 a 23:59)"/>
    <n v="0"/>
    <n v="0"/>
    <n v="0"/>
    <n v="1"/>
    <n v="0"/>
    <s v="1. Empeoró"/>
    <s v="2. No"/>
    <s v="1. Sí"/>
    <s v="1. Sí"/>
    <s v="6. Otros"/>
    <n v="0"/>
    <n v="0"/>
    <n v="0"/>
    <n v="0"/>
    <n v="0"/>
    <n v="1"/>
    <s v="Ir temprano a casa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2. FRECUENTE"/>
    <s v="1. Sí"/>
    <s v="2. FRECUENTE"/>
    <s v="2. No"/>
    <m/>
    <s v="2. No"/>
    <m/>
    <s v="99. NS/NC"/>
    <m/>
    <s v="2. No"/>
    <m/>
    <s v="2. No"/>
    <m/>
    <s v="1. Sí"/>
    <s v="2. FRECUENTE"/>
    <s v="1. Sí"/>
    <s v="2. FRECUENTE"/>
    <s v="2. No"/>
    <m/>
    <s v="1. Sí"/>
    <s v="1. POCO FRECUENTE"/>
    <s v="2. No"/>
    <m/>
    <s v="2. No"/>
    <m/>
    <s v="1. Sí"/>
    <s v="2. FRECUENTE"/>
    <s v="2. No"/>
    <m/>
    <m/>
    <s v="1. Sí"/>
    <s v="2.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Inseguridad"/>
    <s v="Intranquilidad"/>
    <x v="0"/>
    <s v="1. Si"/>
    <s v="4. Muy malo"/>
    <s v="2. No "/>
    <s v="No son continuos"/>
    <s v="2. No "/>
    <m/>
    <s v="99. Ns/Nc"/>
    <m/>
    <s v="Juegos infantiles"/>
    <m/>
  </r>
  <r>
    <d v="2026-04-23T10:58:15"/>
    <d v="2026-04-23T11:01:02"/>
    <s v="AFC"/>
    <n v="135"/>
    <n v="135"/>
    <b v="1"/>
    <d v="2026-04-19T00:00:00"/>
    <n v="3"/>
    <s v="LC"/>
    <s v="VB"/>
    <x v="121"/>
    <x v="122"/>
    <s v="1. Sí"/>
    <s v="1. EPMMOP"/>
    <n v="35"/>
    <x v="0"/>
    <n v="0"/>
    <n v="0"/>
    <n v="0"/>
    <n v="0"/>
    <n v="0"/>
    <s v="2. Mujer"/>
    <n v="67"/>
    <s v="1. Sí"/>
    <m/>
    <x v="0"/>
    <m/>
    <s v="4. Casada/o"/>
    <s v="2. Primaria"/>
    <s v="1. Completa"/>
    <s v="99. NS/NC"/>
    <x v="1"/>
    <x v="30"/>
    <x v="1"/>
    <x v="1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Alegría"/>
    <s v="Trabajo"/>
    <x v="0"/>
    <s v="2. No"/>
    <m/>
    <m/>
    <m/>
    <m/>
    <m/>
    <m/>
    <m/>
    <s v="Comida preparada"/>
    <m/>
  </r>
  <r>
    <d v="2026-04-21T15:05:03"/>
    <d v="2026-04-21T15:10:39"/>
    <s v="VB"/>
    <n v="136"/>
    <n v="136"/>
    <b v="1"/>
    <d v="2026-04-19T00:00:00"/>
    <n v="3"/>
    <s v="AMC"/>
    <s v="VB"/>
    <x v="122"/>
    <x v="118"/>
    <s v="1. Sí"/>
    <s v="1. EPMMOP"/>
    <n v="33"/>
    <x v="0"/>
    <n v="1"/>
    <n v="0"/>
    <n v="0"/>
    <n v="0"/>
    <n v="0"/>
    <s v="1. Hombre"/>
    <n v="69"/>
    <s v="1. Sí"/>
    <m/>
    <x v="0"/>
    <m/>
    <s v="4. Casada/o"/>
    <s v="5. Universitario"/>
    <s v="1. Completa"/>
    <s v="2. de $471 a $919"/>
    <x v="3"/>
    <x v="25"/>
    <x v="2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1. MUY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1. POCO FRECUENTE"/>
    <s v="99. NS/NC"/>
    <m/>
    <s v="2. No"/>
    <m/>
    <s v="2. No"/>
    <m/>
    <s v="2. No"/>
    <m/>
    <s v="2. No"/>
    <m/>
    <s v="1. Sí"/>
    <s v="1. POCO FRECUENTE"/>
    <s v="2. No"/>
    <m/>
    <s v="2. No"/>
    <m/>
    <s v="1. Sí"/>
    <s v="3. MUY FRECUENTE"/>
    <s v="2. No"/>
    <m/>
    <s v="2. No"/>
    <m/>
    <s v="1. Sí"/>
    <s v="1. POCO FRECUENTE"/>
    <s v="2. No"/>
    <m/>
    <m/>
    <s v="1. Sí"/>
    <s v="1. POCO FRECUENTE"/>
    <s v="2. No"/>
    <m/>
    <s v="1. Sí"/>
    <s v="2. No"/>
    <m/>
    <s v="2. No"/>
    <m/>
    <m/>
    <s v="2. No"/>
    <m/>
    <m/>
    <s v="1. Sí"/>
    <s v="1. Sí"/>
    <s v="1. MUY BUENO"/>
    <s v="1. Sí"/>
    <s v="2. No"/>
    <m/>
    <s v="2. No"/>
    <m/>
    <m/>
    <s v="1. Sí"/>
    <s v="1. Sí"/>
    <s v="1. MUY BUENO"/>
    <s v="1. Sí"/>
    <s v="1. Sí"/>
    <s v="1. MUY BUENO"/>
    <s v="1. Sí"/>
    <s v="2. No"/>
    <m/>
    <s v="2. No"/>
    <m/>
    <m/>
    <m/>
    <s v="Tranquilidad"/>
    <m/>
    <x v="0"/>
    <s v="1. Si"/>
    <s v="1. Muy bueno"/>
    <s v="1. Si"/>
    <s v="Revisión permisos"/>
    <s v="2. No "/>
    <m/>
    <s v="1.Si"/>
    <s v="Son autoridades"/>
    <s v="Juegos infantiles"/>
    <s v="Juegos mecánicos"/>
  </r>
  <r>
    <d v="2026-04-21T15:10:39"/>
    <d v="2026-04-21T15:21:18"/>
    <s v="VB"/>
    <n v="137"/>
    <n v="137"/>
    <b v="1"/>
    <d v="2026-04-17T00:00:00"/>
    <n v="3"/>
    <s v="VM"/>
    <s v="VB"/>
    <x v="123"/>
    <x v="117"/>
    <s v="1. Sí"/>
    <s v="1. EPMMOP"/>
    <n v="30"/>
    <x v="0"/>
    <n v="0"/>
    <n v="0"/>
    <n v="0"/>
    <n v="0"/>
    <n v="0"/>
    <s v="2. Mujer"/>
    <n v="21"/>
    <s v="1. Sí"/>
    <m/>
    <x v="2"/>
    <m/>
    <s v="5. Soltera/o"/>
    <s v="5. Universitario"/>
    <s v="2. In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 Noche  (18:00 a 23:59)"/>
    <n v="0"/>
    <n v="0"/>
    <n v="1"/>
    <n v="1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1. Sí"/>
    <s v="2. FRECUENTE"/>
    <s v="1. Sí"/>
    <s v="2. FRECUENTE"/>
    <s v="1. Sí"/>
    <s v="2. FRECUENTE"/>
    <s v="2. No"/>
    <m/>
    <s v="2. No"/>
    <m/>
    <s v="2. No"/>
    <m/>
    <s v="1. Sí"/>
    <s v="2. FRECUENTE"/>
    <s v="1. Sí"/>
    <s v="2. FRECUENTE"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2. No"/>
    <m/>
    <s v="2. No"/>
    <m/>
    <m/>
    <s v="1. Sí"/>
    <s v="2. No"/>
    <m/>
    <s v="1. Sí"/>
    <s v="2. No"/>
    <m/>
    <s v="1. Sí"/>
    <s v="1. Sí"/>
    <s v="2. BUENO"/>
    <s v="1. Sí"/>
    <s v="1. Sí"/>
    <s v="2. BUENO"/>
    <s v="2. No"/>
    <m/>
    <m/>
    <m/>
    <s v="Tranquilidad"/>
    <m/>
    <x v="0"/>
    <s v="2. No"/>
    <m/>
    <m/>
    <m/>
    <m/>
    <m/>
    <m/>
    <m/>
    <s v="Granizados"/>
    <s v="Hagan  operativos constantes, hay muchas ventas en el parque (informal)"/>
  </r>
  <r>
    <d v="2026-04-21T15:21:18"/>
    <d v="2026-04-21T15:34:56"/>
    <s v="VB"/>
    <n v="138"/>
    <n v="138"/>
    <b v="1"/>
    <d v="2026-04-19T00:00:00"/>
    <n v="3"/>
    <s v="LC"/>
    <s v="VB"/>
    <x v="124"/>
    <x v="123"/>
    <s v="1. Sí"/>
    <s v="1. EPMMOP"/>
    <n v="12"/>
    <x v="0"/>
    <n v="0"/>
    <n v="0"/>
    <n v="0"/>
    <n v="0"/>
    <n v="0"/>
    <s v="2. Mujer"/>
    <n v="40"/>
    <s v="1. Sí"/>
    <m/>
    <x v="0"/>
    <m/>
    <s v="5. Soltera/o"/>
    <s v="2. Primaria"/>
    <s v="1. Completa"/>
    <s v="99. NS/NC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4. Ventas ambulantes"/>
    <x v="0"/>
    <x v="0"/>
    <x v="0"/>
    <x v="2"/>
    <x v="0"/>
    <x v="0"/>
    <x v="0"/>
    <x v="0"/>
    <x v="0"/>
    <x v="0"/>
    <x v="0"/>
    <m/>
    <m/>
    <s v="3. INSEGURO"/>
    <s v="Todos los horarios"/>
    <n v="0"/>
    <n v="0"/>
    <n v="0"/>
    <n v="0"/>
    <n v="1"/>
    <s v="2. Esta igual"/>
    <s v="2. No"/>
    <s v="2. No"/>
    <s v="2. No"/>
    <m/>
    <m/>
    <m/>
    <m/>
    <m/>
    <m/>
    <m/>
    <m/>
    <s v="1. Sí"/>
    <s v="VI.2 Robo  (con violencia)"/>
    <n v="1"/>
    <n v="0"/>
    <n v="0"/>
    <n v="0"/>
    <n v="0"/>
    <n v="0"/>
    <n v="0"/>
    <n v="0"/>
    <n v="0"/>
    <m/>
    <m/>
    <s v="2. No"/>
    <m/>
    <m/>
    <m/>
    <m/>
    <m/>
    <m/>
    <m/>
    <m/>
    <s v="2. No"/>
    <m/>
    <s v="1. Sí"/>
    <s v="2. FRECUENTE"/>
    <s v="1. Sí"/>
    <s v="3. MUY FRECUENTE"/>
    <s v="1. Sí"/>
    <s v="2. FRECUENTE"/>
    <s v="2. No"/>
    <m/>
    <s v="1. Sí"/>
    <s v="2. FRECUENTE"/>
    <s v="1. Sí"/>
    <s v="1. POCO FRECUENTE"/>
    <s v="1. Sí"/>
    <s v="2. FRECUENTE"/>
    <s v="2. No"/>
    <m/>
    <s v="1. Sí"/>
    <s v="2. FRECUENTE"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1. Sí"/>
    <m/>
    <s v="2. No"/>
    <m/>
    <m/>
    <s v="2. No"/>
    <m/>
    <m/>
    <s v="2. No"/>
    <m/>
    <m/>
    <s v="2. No"/>
    <m/>
    <m/>
    <s v="2. No"/>
    <m/>
    <m/>
    <s v="2. No"/>
    <m/>
    <m/>
    <s v="1. Sí"/>
    <s v="2. No"/>
    <m/>
    <s v="2. No"/>
    <m/>
    <m/>
    <s v="2. No"/>
    <m/>
    <m/>
    <s v="2. No"/>
    <m/>
    <m/>
    <m/>
    <s v="Motivación"/>
    <s v="Desobligo"/>
    <x v="36"/>
    <s v="2. No"/>
    <m/>
    <m/>
    <m/>
    <m/>
    <m/>
    <m/>
    <m/>
    <s v="Frutas y Legumbres"/>
    <s v="Los mismos vendedores de pelotas orinan en el parque, falta de basureros"/>
  </r>
  <r>
    <d v="2026-04-21T15:34:57"/>
    <d v="2026-04-21T15:39:29"/>
    <s v="VB"/>
    <n v="139"/>
    <n v="139"/>
    <b v="1"/>
    <d v="2026-04-19T00:00:00"/>
    <n v="3"/>
    <s v="VM"/>
    <s v="VB"/>
    <x v="125"/>
    <x v="124"/>
    <s v="1. Sí"/>
    <s v="1. EPMMOP"/>
    <n v="30"/>
    <x v="0"/>
    <n v="0"/>
    <n v="0"/>
    <n v="0"/>
    <n v="0"/>
    <n v="0"/>
    <s v="1. Hombre"/>
    <n v="57"/>
    <s v="1. Sí"/>
    <m/>
    <x v="0"/>
    <m/>
    <s v="4. Casada/o"/>
    <s v="2. Primaria"/>
    <s v="1. Completa"/>
    <s v="2. de $471 a $919"/>
    <x v="1"/>
    <x v="24"/>
    <x v="1"/>
    <x v="2"/>
    <x v="2"/>
    <x v="1"/>
    <x v="1"/>
    <x v="2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2. FRECUENTE"/>
    <s v="2. No"/>
    <m/>
    <s v="2. No"/>
    <m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2. FRECUENTE"/>
    <s v="1. Sí"/>
    <m/>
    <s v="1. Sí"/>
    <s v="1. Sí"/>
    <s v="2. BUENO"/>
    <s v="2. No"/>
    <m/>
    <m/>
    <s v="2. No"/>
    <m/>
    <m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m/>
    <s v="Alegría"/>
    <s v="Entretenimiento"/>
    <x v="0"/>
    <s v="2. No"/>
    <m/>
    <m/>
    <m/>
    <m/>
    <m/>
    <m/>
    <m/>
    <s v="Jugos"/>
    <s v="No tiene luz"/>
  </r>
  <r>
    <d v="2026-04-21T15:39:29"/>
    <d v="2026-04-21T15:42:32"/>
    <s v="VB"/>
    <n v="140"/>
    <n v="140"/>
    <b v="1"/>
    <d v="2026-04-19T00:00:00"/>
    <n v="3"/>
    <s v="LC"/>
    <s v="VB"/>
    <x v="126"/>
    <x v="125"/>
    <s v="1. Sí"/>
    <s v="1. EPMMOP"/>
    <n v="10"/>
    <x v="0"/>
    <n v="0"/>
    <n v="0"/>
    <n v="0"/>
    <n v="0"/>
    <n v="0"/>
    <s v="1. Hombre"/>
    <n v="40"/>
    <s v="1. Sí"/>
    <m/>
    <x v="0"/>
    <m/>
    <s v="4. Casad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2. No"/>
    <m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m/>
    <s v="1. Sí"/>
    <s v="3. MUY FRECUENTE"/>
    <s v="2. No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Alegría"/>
    <s v="Trabajo"/>
    <x v="0"/>
    <s v="1. Si"/>
    <s v="2. Bueno"/>
    <s v="1. Si"/>
    <s v="Mejoran la seguridad"/>
    <s v="2. No "/>
    <m/>
    <s v="1.Si"/>
    <s v="Son preparados"/>
    <s v="Comida preparada"/>
    <m/>
  </r>
  <r>
    <d v="2026-04-21T15:42:32"/>
    <d v="2026-04-21T15:48:33"/>
    <s v="VB"/>
    <n v="141"/>
    <n v="141"/>
    <b v="1"/>
    <d v="2026-04-19T00:00:00"/>
    <n v="3"/>
    <s v="AMC"/>
    <s v="VB"/>
    <x v="127"/>
    <x v="126"/>
    <s v="1. Sí"/>
    <s v="1. EPMMOP"/>
    <n v="7"/>
    <x v="0"/>
    <n v="1"/>
    <n v="0"/>
    <n v="0"/>
    <n v="0"/>
    <n v="0"/>
    <s v="2. Mujer"/>
    <n v="19"/>
    <s v="1. Sí"/>
    <m/>
    <x v="0"/>
    <m/>
    <s v="5. Solter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7. Falta de alumbrado público"/>
    <x v="1"/>
    <x v="0"/>
    <x v="0"/>
    <x v="0"/>
    <x v="0"/>
    <x v="0"/>
    <x v="2"/>
    <x v="0"/>
    <x v="0"/>
    <x v="0"/>
    <x v="0"/>
    <m/>
    <m/>
    <s v="3. INSEGURO"/>
    <s v="Todos los horarios"/>
    <n v="0"/>
    <n v="0"/>
    <n v="0"/>
    <n v="0"/>
    <n v="1"/>
    <s v="1. Empeoró"/>
    <s v="1. Sí"/>
    <s v="1. Sí"/>
    <s v="1. Sí"/>
    <s v="6. Otros"/>
    <n v="0"/>
    <n v="0"/>
    <n v="0"/>
    <n v="0"/>
    <n v="0"/>
    <n v="1"/>
    <s v="Cerrar pronto"/>
    <s v="2. No"/>
    <m/>
    <m/>
    <m/>
    <m/>
    <m/>
    <m/>
    <m/>
    <m/>
    <m/>
    <m/>
    <m/>
    <m/>
    <m/>
    <m/>
    <m/>
    <m/>
    <m/>
    <m/>
    <m/>
    <m/>
    <m/>
    <s v="1. Sí"/>
    <s v="3. MUY FRECUENTE"/>
    <s v="2. No"/>
    <m/>
    <s v="1. Sí"/>
    <s v="2. FRECUENTE"/>
    <s v="1. Sí"/>
    <s v="2. FRECUENTE"/>
    <s v="1. Sí"/>
    <s v="3. MUY FRECUENTE"/>
    <s v="2. No"/>
    <m/>
    <s v="2. No"/>
    <m/>
    <s v="2. No"/>
    <m/>
    <s v="2. No"/>
    <m/>
    <s v="1. Sí"/>
    <s v="3. MUY FRECUENTE"/>
    <s v="2. No"/>
    <m/>
    <s v="2. No"/>
    <m/>
    <s v="1. Sí"/>
    <s v="1. POCO FRECUENTE"/>
    <s v="1. Sí"/>
    <s v="1. POCO FRECUENTE"/>
    <s v="2. No"/>
    <m/>
    <s v="1. Sí"/>
    <s v="2. FRECUENTE"/>
    <s v="2. No"/>
    <m/>
    <m/>
    <s v="1. Sí"/>
    <s v="2. FRECUENTE"/>
    <s v="1. Sí"/>
    <m/>
    <s v="1. Sí"/>
    <s v="1. Sí"/>
    <s v="1. MUY BUENO"/>
    <s v="2. No"/>
    <m/>
    <m/>
    <s v="2. No"/>
    <m/>
    <m/>
    <s v="1. Sí"/>
    <s v="1. Sí"/>
    <s v="2. BUENO"/>
    <s v="1. Sí"/>
    <s v="2. No"/>
    <m/>
    <s v="1. Sí"/>
    <s v="2. No"/>
    <m/>
    <s v="1. Sí"/>
    <s v="1. Sí"/>
    <s v="1. MUY BUENO"/>
    <s v="1. Sí"/>
    <s v="1. Sí"/>
    <s v="2. BUENO"/>
    <s v="1. Sí"/>
    <s v="1. Sí"/>
    <s v="2. BUENO"/>
    <s v="2. No"/>
    <m/>
    <m/>
    <m/>
    <s v="Bienestar"/>
    <m/>
    <x v="0"/>
    <s v="1. Si"/>
    <s v="3. Malo"/>
    <s v="2. No "/>
    <s v="No hace nada"/>
    <s v="2. No "/>
    <m/>
    <s v="2. No"/>
    <s v="No hace nada por los ciudadanos"/>
    <s v="Bebidas/Confites/Comestibles industrializados/ Tabacos"/>
    <m/>
  </r>
  <r>
    <d v="2026-04-21T15:48:33"/>
    <d v="2026-04-21T15:54:18"/>
    <s v="VB"/>
    <n v="142"/>
    <n v="142"/>
    <b v="1"/>
    <d v="2026-04-19T00:00:00"/>
    <n v="3"/>
    <s v="LC"/>
    <s v="VB"/>
    <x v="128"/>
    <x v="127"/>
    <s v="1. Sí"/>
    <s v="1. EPMMOP"/>
    <n v="37"/>
    <x v="0"/>
    <n v="0"/>
    <n v="0"/>
    <n v="0"/>
    <n v="0"/>
    <n v="0"/>
    <s v="1. Hombre"/>
    <n v="67"/>
    <s v="1. Sí"/>
    <m/>
    <x v="0"/>
    <m/>
    <s v="4. Casada/o"/>
    <s v="2. Primaria"/>
    <s v="1. Completa"/>
    <s v="99. NS/NC"/>
    <x v="1"/>
    <x v="31"/>
    <x v="1"/>
    <x v="2"/>
    <x v="2"/>
    <x v="1"/>
    <x v="1"/>
    <x v="2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2. No"/>
    <s v="2. No"/>
    <m/>
    <m/>
    <m/>
    <m/>
    <m/>
    <m/>
    <m/>
    <m/>
    <s v="1. Sí"/>
    <s v="VI.2 Robo  (con violencia)"/>
    <n v="1"/>
    <n v="0"/>
    <n v="0"/>
    <n v="0"/>
    <n v="0"/>
    <n v="0"/>
    <n v="0"/>
    <n v="0"/>
    <n v="0"/>
    <m/>
    <m/>
    <s v="1. Sí"/>
    <m/>
    <m/>
    <m/>
    <m/>
    <m/>
    <m/>
    <m/>
    <m/>
    <s v="1. Sí"/>
    <s v="2. FRECUENTE"/>
    <s v="1. Sí"/>
    <s v="2. FRECUENTE"/>
    <s v="2. No"/>
    <m/>
    <s v="1. Sí"/>
    <s v="2. FRECUENTE"/>
    <s v="1. Sí"/>
    <s v="1. POCO FRECUENTE"/>
    <s v="2. No"/>
    <m/>
    <s v="2. No"/>
    <m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Felicidad"/>
    <s v="Distracción"/>
    <x v="37"/>
    <s v="1. Si"/>
    <s v="2. Bueno"/>
    <s v="1. Si"/>
    <s v="Dan más presencia"/>
    <s v="2. No "/>
    <m/>
    <s v="1.Si"/>
    <s v="Por la seguridad"/>
    <s v="Comida preparada"/>
    <m/>
  </r>
  <r>
    <d v="2026-04-21T15:54:18"/>
    <d v="2026-04-21T16:03:01"/>
    <s v="VB"/>
    <n v="143"/>
    <n v="143"/>
    <b v="1"/>
    <d v="2026-04-17T00:00:00"/>
    <n v="3"/>
    <s v="VM"/>
    <s v="VB"/>
    <x v="129"/>
    <x v="128"/>
    <s v="1. Sí"/>
    <s v="1. EPMMOP"/>
    <n v="34"/>
    <x v="0"/>
    <n v="0"/>
    <n v="0"/>
    <n v="0"/>
    <n v="0"/>
    <n v="0"/>
    <s v="2. Mujer"/>
    <n v="65"/>
    <s v="1. Sí"/>
    <m/>
    <x v="0"/>
    <m/>
    <s v="4. Casad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Tarde (12:00 a 17:59) Noche  (18:00 a 23:59)"/>
    <n v="0"/>
    <n v="0"/>
    <n v="1"/>
    <n v="1"/>
    <n v="0"/>
    <s v="2. Esta igual"/>
    <s v="1. Sí"/>
    <s v="1. Sí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2. No"/>
    <m/>
    <s v="1. Sí"/>
    <s v="1. POCO FRECUENTE"/>
    <s v="2. No"/>
    <m/>
    <s v="1. Sí"/>
    <s v="1. POCO FRECUENTE"/>
    <s v="2. No"/>
    <m/>
    <s v="2. No"/>
    <m/>
    <s v="1. Sí"/>
    <s v="1. POCO FRECUENTE"/>
    <s v="2. No"/>
    <m/>
    <s v="2. No"/>
    <m/>
    <s v="2. No"/>
    <m/>
    <s v="1. Sí"/>
    <s v="No hay lámparas a la salida de la quebrada"/>
    <s v="3. MUY FRECUENTE"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2. No"/>
    <m/>
    <m/>
    <s v="1. Sí"/>
    <s v="2. No"/>
    <m/>
    <s v="1. Sí"/>
    <s v="2. No"/>
    <m/>
    <s v="2. No"/>
    <m/>
    <m/>
    <m/>
    <s v="Necesidad"/>
    <m/>
    <x v="0"/>
    <s v="2. No"/>
    <m/>
    <m/>
    <m/>
    <m/>
    <m/>
    <m/>
    <m/>
    <s v="Comida preparada"/>
    <s v="Muchas necesidades tachos de basura, luz y baños"/>
  </r>
  <r>
    <d v="2026-04-21T16:03:01"/>
    <d v="2026-04-21T16:08:53"/>
    <s v="VB"/>
    <n v="144"/>
    <n v="144"/>
    <b v="1"/>
    <d v="2026-04-19T00:00:00"/>
    <n v="3"/>
    <s v="AMC"/>
    <s v="VB"/>
    <x v="130"/>
    <x v="129"/>
    <s v="1. Sí"/>
    <s v="1. EPMMOP"/>
    <n v="12"/>
    <x v="0"/>
    <n v="0"/>
    <n v="0"/>
    <n v="0"/>
    <n v="0"/>
    <n v="0"/>
    <s v="1. Hombre"/>
    <n v="39"/>
    <s v="1. Sí"/>
    <m/>
    <x v="0"/>
    <m/>
    <s v="4. Cas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Noche  (18:00 a 23:59)"/>
    <n v="0"/>
    <n v="0"/>
    <n v="0"/>
    <n v="1"/>
    <n v="0"/>
    <s v="1. Empeoró"/>
    <s v="1. Sí"/>
    <s v="1. Sí"/>
    <s v="1. Sí"/>
    <s v="6. Otros"/>
    <n v="0"/>
    <n v="0"/>
    <n v="0"/>
    <n v="0"/>
    <n v="0"/>
    <n v="1"/>
    <s v="Cierra pronto"/>
    <s v="2. No"/>
    <m/>
    <m/>
    <m/>
    <m/>
    <m/>
    <m/>
    <m/>
    <m/>
    <m/>
    <m/>
    <m/>
    <m/>
    <m/>
    <m/>
    <m/>
    <m/>
    <m/>
    <m/>
    <m/>
    <m/>
    <m/>
    <s v="2. No"/>
    <m/>
    <s v="2. No"/>
    <m/>
    <s v="2. No"/>
    <m/>
    <s v="1. Sí"/>
    <s v="2. FRECUENTE"/>
    <s v="1. Sí"/>
    <s v="1. POCO FRECUENTE"/>
    <s v="1. Sí"/>
    <s v="1. POCO FRECUENTE"/>
    <s v="1. Sí"/>
    <s v="2. FRECUENTE"/>
    <s v="2. No"/>
    <m/>
    <s v="2. No"/>
    <m/>
    <s v="2. No"/>
    <m/>
    <s v="99. NS/NC"/>
    <m/>
    <s v="2. No"/>
    <m/>
    <s v="1. Sí"/>
    <s v="3. MUY FRECUENTE"/>
    <s v="2. No"/>
    <m/>
    <s v="99. NS/NC"/>
    <m/>
    <s v="1. Sí"/>
    <s v="1. POCO FRECUENTE"/>
    <s v="2. No"/>
    <m/>
    <m/>
    <s v="1. Sí"/>
    <s v="2. FRECUENTE"/>
    <s v="1. Sí"/>
    <m/>
    <s v="2. No"/>
    <m/>
    <m/>
    <s v="2. No"/>
    <m/>
    <m/>
    <s v="2. No"/>
    <m/>
    <m/>
    <s v="2. No"/>
    <m/>
    <m/>
    <s v="1. Sí"/>
    <s v="2. No"/>
    <m/>
    <s v="2. No"/>
    <m/>
    <m/>
    <s v="1. Sí"/>
    <s v="1. Sí"/>
    <s v="1. MUY BUENO"/>
    <s v="1. Sí"/>
    <s v="2. No"/>
    <m/>
    <s v="1. Sí"/>
    <s v="2. No"/>
    <m/>
    <s v="2. No"/>
    <m/>
    <m/>
    <m/>
    <s v="Gusto"/>
    <s v="Alerta"/>
    <x v="38"/>
    <s v="1. Si"/>
    <s v="2. Bueno"/>
    <s v="2. No "/>
    <s v="No ayudan con la delincuencia"/>
    <s v="2. No "/>
    <m/>
    <s v="2. No"/>
    <s v="No le da confianza"/>
    <s v="Juguetes y variedades"/>
    <m/>
  </r>
  <r>
    <d v="2026-04-21T16:08:53"/>
    <d v="2026-04-22T12:28:01"/>
    <s v="VB"/>
    <n v="145"/>
    <n v="145"/>
    <b v="1"/>
    <d v="2026-04-19T00:00:00"/>
    <n v="3"/>
    <s v="LC"/>
    <s v="VB"/>
    <x v="131"/>
    <x v="130"/>
    <s v="1. Sí"/>
    <s v="1. EPMMOP"/>
    <n v="8"/>
    <x v="0"/>
    <n v="0"/>
    <n v="0"/>
    <n v="0"/>
    <n v="0"/>
    <n v="0"/>
    <s v="2. Mujer"/>
    <n v="29"/>
    <s v="1. Sí"/>
    <m/>
    <x v="0"/>
    <m/>
    <s v="1. Unión de Hecho/Libre"/>
    <s v="5. Universitario"/>
    <s v="2. In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4. Ventas ambulantes"/>
    <x v="0"/>
    <x v="0"/>
    <x v="0"/>
    <x v="2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1. POCO FRECUENTE"/>
    <s v="2. No"/>
    <m/>
    <s v="1. Sí"/>
    <s v="1. POCO FRECUENTE"/>
    <s v="1. Sí"/>
    <s v="1. POCO FRECUENTE"/>
    <s v="1. Sí"/>
    <s v="2. FRECUENTE"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Motivación"/>
    <s v="Alerta"/>
    <x v="0"/>
    <s v="2. No"/>
    <m/>
    <m/>
    <m/>
    <m/>
    <m/>
    <m/>
    <m/>
    <s v="Frutas y Legumbres"/>
    <m/>
  </r>
  <r>
    <d v="2026-04-22T12:28:01"/>
    <d v="2026-04-22T12:35:51"/>
    <s v="VB"/>
    <n v="146"/>
    <n v="146"/>
    <b v="1"/>
    <d v="2026-04-19T00:00:00"/>
    <n v="3"/>
    <s v="VM"/>
    <s v="VB"/>
    <x v="132"/>
    <x v="131"/>
    <s v="1. Sí"/>
    <s v="1. EPMMOP"/>
    <n v="43"/>
    <x v="0"/>
    <n v="0"/>
    <n v="0"/>
    <n v="0"/>
    <n v="0"/>
    <n v="0"/>
    <s v="2. Mujer"/>
    <n v="50"/>
    <s v="1. Sí"/>
    <m/>
    <x v="0"/>
    <m/>
    <s v="2. Divorciada/o"/>
    <s v="2. Primaria"/>
    <s v="1. Completa"/>
    <s v="99. NS/NC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 Noche  (18:00 a 23:59)"/>
    <n v="0"/>
    <n v="0"/>
    <n v="1"/>
    <n v="1"/>
    <n v="0"/>
    <s v="2. Esta igual"/>
    <s v="2. No"/>
    <s v="1. Sí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2. No"/>
    <m/>
    <s v="1. Sí"/>
    <s v="3. MUY FRECUENTE"/>
    <s v="1. Sí"/>
    <s v="2. FRECUENTE"/>
    <s v="1. Sí"/>
    <s v="1. POCO FRECUENTE"/>
    <s v="2. No"/>
    <m/>
    <s v="1. Sí"/>
    <s v="2. FRECUENTE"/>
    <s v="1. Sí"/>
    <s v="2. FRECUENTE"/>
    <s v="2. No"/>
    <m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Tranquilidad"/>
    <m/>
    <x v="0"/>
    <s v="1. Si"/>
    <s v="3. Malo"/>
    <s v="2. No "/>
    <s v="AMC no ayuda en nada no saca comercio informal"/>
    <s v="2. No "/>
    <m/>
    <s v="2. No"/>
    <s v="No hacen nada"/>
    <s v="Frutas y Legumbres"/>
    <s v="Necesitamos que bajen el comercio informal"/>
  </r>
  <r>
    <d v="2026-04-22T12:35:51"/>
    <d v="2026-04-22T14:04:13"/>
    <s v="VB"/>
    <n v="147"/>
    <n v="147"/>
    <b v="1"/>
    <d v="2026-04-19T00:00:00"/>
    <n v="3"/>
    <s v="AMC"/>
    <s v="VB"/>
    <x v="133"/>
    <x v="132"/>
    <s v="1. Sí"/>
    <s v="1. EPMMOP"/>
    <n v="15"/>
    <x v="0"/>
    <n v="0"/>
    <n v="0"/>
    <n v="0"/>
    <n v="0"/>
    <n v="0"/>
    <s v="2. Mujer"/>
    <n v="46"/>
    <s v="1. Sí"/>
    <m/>
    <x v="0"/>
    <m/>
    <s v="4. Casada/o"/>
    <s v="2. Primaria"/>
    <s v="1. Completa"/>
    <s v="1. Menos de $470"/>
    <x v="1"/>
    <x v="32"/>
    <x v="1"/>
    <x v="1"/>
    <x v="2"/>
    <x v="1"/>
    <x v="1"/>
    <x v="1"/>
    <x v="1"/>
    <x v="1"/>
    <x v="1"/>
    <x v="1"/>
    <x v="1"/>
    <x v="1"/>
    <x v="9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1. Sí"/>
    <s v="2. FRECUENTE"/>
    <s v="2. No"/>
    <m/>
    <s v="2. No"/>
    <m/>
    <s v="2. No"/>
    <m/>
    <s v="2. No"/>
    <m/>
    <s v="1. Sí"/>
    <s v="1. POCO FRECUENTE"/>
    <s v="1. Sí"/>
    <s v="1. POCO FRECUENTE"/>
    <s v="99. NS/NC"/>
    <m/>
    <s v="99. NS/NC"/>
    <m/>
    <s v="2. No"/>
    <m/>
    <s v="2. No"/>
    <m/>
    <s v="1. Sí"/>
    <s v="2. FRECUENTE"/>
    <s v="2. No"/>
    <m/>
    <s v="1. Sí"/>
    <s v="1. POCO FRECUENTE"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1. Sí"/>
    <s v="1. MUY BUENO"/>
    <s v="1. Sí"/>
    <s v="2. No"/>
    <m/>
    <s v="2. No"/>
    <m/>
    <m/>
    <s v="1. Sí"/>
    <s v="1. Sí"/>
    <s v="1. MUY BUENO"/>
    <s v="1. Sí"/>
    <s v="2. No"/>
    <m/>
    <s v="1. Sí"/>
    <s v="2. No"/>
    <m/>
    <s v="1. Sí"/>
    <s v="2. No"/>
    <m/>
    <m/>
    <s v="Tranquilidad"/>
    <m/>
    <x v="0"/>
    <s v="1. Si"/>
    <s v="2. Bueno"/>
    <s v="1. Si"/>
    <s v="Revisa permisos"/>
    <s v="2. No "/>
    <m/>
    <s v="1.Si"/>
    <s v="Ellos tienen autoridad para ayudar"/>
    <s v="Comida preparada"/>
    <m/>
  </r>
  <r>
    <d v="2026-04-22T14:04:13"/>
    <d v="2026-04-22T14:09:53"/>
    <s v="VB"/>
    <n v="148"/>
    <n v="148"/>
    <b v="1"/>
    <d v="2026-04-19T00:00:00"/>
    <n v="3"/>
    <s v="LC"/>
    <s v="VB"/>
    <x v="134"/>
    <x v="133"/>
    <s v="1. Sí"/>
    <s v="1. EPMMOP"/>
    <n v="8"/>
    <x v="0"/>
    <n v="0"/>
    <n v="0"/>
    <n v="0"/>
    <n v="0"/>
    <n v="0"/>
    <s v="1. Hombre"/>
    <n v="65"/>
    <s v="1. Sí"/>
    <m/>
    <x v="0"/>
    <m/>
    <s v="4. Cas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4. Ventas ambulantes"/>
    <x v="0"/>
    <x v="0"/>
    <x v="0"/>
    <x v="2"/>
    <x v="0"/>
    <x v="0"/>
    <x v="0"/>
    <x v="0"/>
    <x v="0"/>
    <x v="0"/>
    <x v="0"/>
    <m/>
    <m/>
    <s v="3. IN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1. Sí"/>
    <s v="3. MUY FRECUENTE"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Desestrés"/>
    <x v="37"/>
    <s v="2. No"/>
    <m/>
    <m/>
    <m/>
    <m/>
    <m/>
    <m/>
    <m/>
    <s v="Alquiler de bicicletas"/>
    <m/>
  </r>
  <r>
    <d v="2026-04-22T14:09:53"/>
    <d v="2026-04-22T14:13:49"/>
    <s v="VB"/>
    <n v="149"/>
    <n v="149"/>
    <b v="1"/>
    <d v="2026-04-19T00:00:00"/>
    <n v="3"/>
    <s v="AMC"/>
    <s v="VB"/>
    <x v="135"/>
    <x v="134"/>
    <s v="1. Sí"/>
    <s v="1. EPMMOP"/>
    <n v="30"/>
    <x v="0"/>
    <n v="0"/>
    <n v="0"/>
    <n v="0"/>
    <n v="0"/>
    <n v="0"/>
    <s v="1. Hombre"/>
    <n v="29"/>
    <s v="1. Sí"/>
    <m/>
    <x v="0"/>
    <m/>
    <s v="5. Soltera/o"/>
    <s v="5. Universitario"/>
    <s v="1. Completa"/>
    <s v="2. de $471 a $919"/>
    <x v="1"/>
    <x v="17"/>
    <x v="1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1. Sí"/>
    <s v="VI.5 Estafa"/>
    <n v="0"/>
    <n v="0"/>
    <n v="0"/>
    <n v="1"/>
    <n v="0"/>
    <n v="0"/>
    <n v="0"/>
    <n v="0"/>
    <n v="0"/>
    <m/>
    <m/>
    <m/>
    <m/>
    <m/>
    <s v="2. No"/>
    <m/>
    <m/>
    <m/>
    <m/>
    <m/>
    <s v="2. No"/>
    <m/>
    <s v="2. No"/>
    <m/>
    <s v="1. Sí"/>
    <s v="1. POCO FRECUENTE"/>
    <s v="2. No"/>
    <m/>
    <s v="2. No"/>
    <m/>
    <s v="2. No"/>
    <m/>
    <s v="1. Sí"/>
    <s v="1. POCO FRECUENTE"/>
    <s v="2. No"/>
    <m/>
    <s v="2. No"/>
    <m/>
    <s v="99. NS/NC"/>
    <m/>
    <s v="99. NS/NC"/>
    <m/>
    <s v="2. No"/>
    <m/>
    <s v="2. No"/>
    <m/>
    <s v="2. No"/>
    <m/>
    <s v="99. NS/NC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1. MUY BUENO"/>
    <s v="1. Sí"/>
    <s v="1. Sí"/>
    <s v="2. BUENO"/>
    <s v="1. Sí"/>
    <s v="1. Sí"/>
    <s v="2. BUENO"/>
    <s v="2. No"/>
    <m/>
    <m/>
    <m/>
    <s v="Tranquilidad"/>
    <s v="Contenta"/>
    <x v="0"/>
    <s v="1. Si"/>
    <s v="3. Malo"/>
    <s v="2. No "/>
    <s v="No les hacen caso"/>
    <s v="2. No "/>
    <m/>
    <s v="1.Si"/>
    <s v="Hay un chat al cual reporta"/>
    <s v="Comida preparada"/>
    <m/>
  </r>
  <r>
    <d v="2026-04-22T14:13:50"/>
    <d v="2026-04-22T14:19:21"/>
    <s v="VB"/>
    <n v="150"/>
    <n v="150"/>
    <b v="1"/>
    <d v="2026-04-19T00:00:00"/>
    <n v="3"/>
    <s v="VM"/>
    <s v="VB"/>
    <x v="136"/>
    <x v="135"/>
    <s v="1. Sí"/>
    <s v="1. EPMMOP"/>
    <n v="22"/>
    <x v="0"/>
    <n v="0"/>
    <n v="0"/>
    <n v="0"/>
    <n v="0"/>
    <n v="0"/>
    <s v="2. Mujer"/>
    <n v="30"/>
    <s v="1. Sí"/>
    <m/>
    <x v="0"/>
    <m/>
    <s v="5. Soltera/o"/>
    <s v="5. Universitario"/>
    <s v="1. Completa"/>
    <s v="1. Menos de $470"/>
    <x v="1"/>
    <x v="18"/>
    <x v="1"/>
    <x v="2"/>
    <x v="2"/>
    <x v="1"/>
    <x v="1"/>
    <x v="1"/>
    <x v="1"/>
    <x v="1"/>
    <x v="1"/>
    <x v="1"/>
    <x v="1"/>
    <x v="1"/>
    <x v="5"/>
    <x v="0"/>
    <m/>
    <m/>
    <x v="2"/>
    <x v="1"/>
    <x v="1"/>
    <x v="1"/>
    <x v="1"/>
    <x v="1"/>
    <x v="1"/>
    <x v="2"/>
    <x v="1"/>
    <x v="1"/>
    <x v="0"/>
    <m/>
    <m/>
    <s v="2. SEGURO"/>
    <s v="Mañana  (06:00 a 11:59)"/>
    <n v="0"/>
    <n v="1"/>
    <n v="0"/>
    <n v="0"/>
    <n v="0"/>
    <s v="1. Empeoró"/>
    <s v="1. Sí"/>
    <s v="1. Sí"/>
    <s v="1. Sí"/>
    <s v="3. Palos"/>
    <n v="0"/>
    <n v="0"/>
    <n v="1"/>
    <n v="0"/>
    <n v="0"/>
    <n v="0"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1. Sí"/>
    <s v="3. MUY FRECUENTE"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2. No"/>
    <m/>
    <s v="1. Sí"/>
    <s v="Camaretas ruidosas en los campamentos"/>
    <s v="2. FRECUENTE"/>
    <s v="1. Sí"/>
    <s v="3. MUY FRECUENTE"/>
    <s v="1. Sí"/>
    <m/>
    <s v="1. Sí"/>
    <s v="2. No"/>
    <m/>
    <s v="2. No"/>
    <m/>
    <m/>
    <s v="2. No"/>
    <m/>
    <m/>
    <s v="1. Sí"/>
    <s v="1. Sí"/>
    <s v="2. BUENO"/>
    <s v="1. Sí"/>
    <s v="1. Sí"/>
    <s v="2. BUENO"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Tranquilidad"/>
    <m/>
    <x v="0"/>
    <s v="1. Si"/>
    <s v="2. Bueno"/>
    <s v="1. Si"/>
    <s v="Ayudan a controlar"/>
    <s v="2. No "/>
    <m/>
    <s v="1.Si"/>
    <s v="Son autorizados"/>
    <s v="Comida preparada"/>
    <s v="Ayuda con la disminución de las ventas ambulantes"/>
  </r>
  <r>
    <d v="2026-04-22T14:19:22"/>
    <d v="2026-04-22T14:42:04"/>
    <s v="VB"/>
    <n v="151"/>
    <n v="151"/>
    <b v="1"/>
    <d v="2026-04-19T00:00:00"/>
    <n v="3"/>
    <s v="LC"/>
    <s v="VB"/>
    <x v="137"/>
    <x v="136"/>
    <s v="1. Sí"/>
    <s v="1. EPMMOP"/>
    <n v="22"/>
    <x v="0"/>
    <n v="0"/>
    <n v="0"/>
    <n v="0"/>
    <n v="0"/>
    <n v="0"/>
    <s v="1. Hombre"/>
    <n v="63"/>
    <s v="1. Sí"/>
    <m/>
    <x v="0"/>
    <m/>
    <s v="5. Solter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3. MUY FRECUENTE"/>
    <s v="1. Sí"/>
    <s v="2. FRECUENTE"/>
    <s v="2. No"/>
    <m/>
    <s v="1. Sí"/>
    <s v="2. FRECUENTE"/>
    <s v="1. Sí"/>
    <s v="1. POCO FRECUENTE"/>
    <s v="1. Sí"/>
    <s v="2. FRECUENTE"/>
    <s v="2. No"/>
    <m/>
    <s v="1. Sí"/>
    <s v="3. MUY FRECUENTE"/>
    <s v="2. No"/>
    <m/>
    <s v="1. Sí"/>
    <s v="1. POCO FRECUENTE"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Trabajo"/>
    <s v="Positivismo"/>
    <x v="0"/>
    <s v="1. Si"/>
    <s v="3. Malo"/>
    <s v="2. No "/>
    <s v="Es solo pantalla"/>
    <s v="2. No "/>
    <m/>
    <s v="2. No"/>
    <s v="Falta de profesionalismo"/>
    <s v="Balones"/>
    <m/>
  </r>
  <r>
    <d v="2026-04-21T16:08:22"/>
    <d v="2026-04-22T08:55:07"/>
    <s v="AFC"/>
    <n v="152"/>
    <n v="152"/>
    <b v="1"/>
    <d v="2026-04-19T00:00:00"/>
    <n v="3"/>
    <s v="VC"/>
    <s v="VB"/>
    <x v="138"/>
    <x v="137"/>
    <s v="1. Sí"/>
    <s v="1. EPMMOP"/>
    <n v="30"/>
    <x v="0"/>
    <n v="0"/>
    <n v="0"/>
    <n v="0"/>
    <n v="0"/>
    <n v="0"/>
    <s v="1. Hombre"/>
    <n v="69"/>
    <s v="1. Sí"/>
    <m/>
    <x v="0"/>
    <m/>
    <s v="4. Cas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"/>
    <n v="0"/>
    <n v="1"/>
    <n v="0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1. Sí"/>
    <s v="2. FRECUENTE"/>
    <s v="2. No"/>
    <m/>
    <s v="1. Sí"/>
    <s v="2. FRECUENTE"/>
    <s v="1. Sí"/>
    <s v="2. FRECUENTE"/>
    <s v="2. No"/>
    <m/>
    <s v="1. Sí"/>
    <s v="2. FRECUENTE"/>
    <s v="2. No"/>
    <m/>
    <s v="1. Sí"/>
    <s v="2. FRECUENTE"/>
    <s v="2. No"/>
    <m/>
    <s v="2. No"/>
    <m/>
    <s v="2. No"/>
    <m/>
    <s v="2. No"/>
    <m/>
    <s v="2. No"/>
    <m/>
    <s v="1. Sí"/>
    <s v="2. FRECUENTE"/>
    <s v="2. No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Desestrés"/>
    <x v="0"/>
    <s v="2. No"/>
    <m/>
    <m/>
    <m/>
    <m/>
    <m/>
    <m/>
    <m/>
    <s v="Comida preparada"/>
    <m/>
  </r>
  <r>
    <d v="2026-04-22T08:55:07"/>
    <d v="2026-04-22T09:13:21"/>
    <s v="AFC"/>
    <n v="153"/>
    <n v="153"/>
    <b v="1"/>
    <d v="2026-04-19T00:00:00"/>
    <n v="3"/>
    <s v="VM"/>
    <s v="VB"/>
    <x v="139"/>
    <x v="138"/>
    <s v="1. Sí"/>
    <s v="1. EPMMOP"/>
    <n v="11"/>
    <x v="0"/>
    <n v="0"/>
    <n v="0"/>
    <n v="0"/>
    <n v="0"/>
    <n v="0"/>
    <s v="2. Mujer"/>
    <n v="55"/>
    <s v="1. Sí"/>
    <m/>
    <x v="2"/>
    <m/>
    <s v="4. Casada/o"/>
    <s v="2. Primaria"/>
    <s v="1. Completa"/>
    <s v="1. Menos de $470"/>
    <x v="1"/>
    <x v="27"/>
    <x v="1"/>
    <x v="2"/>
    <x v="1"/>
    <x v="1"/>
    <x v="1"/>
    <x v="1"/>
    <x v="1"/>
    <x v="1"/>
    <x v="2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3. Mej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1. Sí"/>
    <s v="2. FRECUENTE"/>
    <s v="2. No"/>
    <m/>
    <s v="1. Sí"/>
    <s v="1. POCO FRECUENTE"/>
    <s v="2. No"/>
    <m/>
    <s v="1. Sí"/>
    <s v="1. POCO FRECUENTE"/>
    <s v="2. No"/>
    <m/>
    <s v="2. No"/>
    <m/>
    <s v="2. No"/>
    <m/>
    <s v="2. No"/>
    <m/>
    <s v="2. No"/>
    <m/>
    <s v="2. No"/>
    <m/>
    <s v="1. Sí"/>
    <s v="1. POCO FRECUENTE"/>
    <s v="2. No"/>
    <m/>
    <s v="2. No"/>
    <m/>
    <s v="1. Sí"/>
    <s v="No hay basureros"/>
    <s v="3. MUY FRECUENTE"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Tranquilidad"/>
    <m/>
    <x v="0"/>
    <s v="1. Si"/>
    <s v="2. Bueno"/>
    <s v="1. Si"/>
    <s v="Pero poco las ventas vuelven"/>
    <s v="2. No "/>
    <m/>
    <s v="1.Si"/>
    <s v="Saben del tema"/>
    <s v="Vestimenta y accesorios"/>
    <s v="Que hagan bodegas seguras"/>
  </r>
  <r>
    <d v="2026-04-22T09:13:21"/>
    <d v="2026-04-22T09:19:15"/>
    <s v="AFC"/>
    <n v="154"/>
    <n v="154"/>
    <b v="1"/>
    <d v="2026-04-19T00:00:00"/>
    <n v="3"/>
    <s v="AMC"/>
    <s v="VB"/>
    <x v="140"/>
    <x v="23"/>
    <s v="1. Sí"/>
    <s v="1. EPMMOP"/>
    <n v="28"/>
    <x v="0"/>
    <n v="0"/>
    <n v="0"/>
    <n v="0"/>
    <n v="0"/>
    <n v="0"/>
    <s v="2. Mujer"/>
    <n v="33"/>
    <s v="1. Sí"/>
    <m/>
    <x v="0"/>
    <m/>
    <s v="5. Soltera/o"/>
    <s v="5. Universitario"/>
    <s v="1. Completa"/>
    <s v="2. de $471 a $919"/>
    <x v="1"/>
    <x v="29"/>
    <x v="1"/>
    <x v="2"/>
    <x v="2"/>
    <x v="2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1. POCO FRECUENTE"/>
    <s v="2. No"/>
    <m/>
    <s v="2. No"/>
    <m/>
    <s v="2. No"/>
    <m/>
    <s v="2. No"/>
    <m/>
    <s v="1. Sí"/>
    <s v="1. POCO FRECUENTE"/>
    <s v="2. No"/>
    <m/>
    <s v="2. No"/>
    <m/>
    <s v="2. No"/>
    <m/>
    <s v="99. NS/NC"/>
    <m/>
    <s v="2. No"/>
    <m/>
    <s v="2. No"/>
    <m/>
    <s v="2. No"/>
    <m/>
    <s v="2. No"/>
    <m/>
    <s v="99. NS/NC"/>
    <m/>
    <s v="2. No"/>
    <m/>
    <s v="2. No"/>
    <m/>
    <m/>
    <s v="1. Sí"/>
    <s v="3. MUY FRECUENTE"/>
    <s v="2. No"/>
    <m/>
    <s v="1. Sí"/>
    <s v="2. No"/>
    <m/>
    <s v="2. No"/>
    <m/>
    <m/>
    <s v="2. No"/>
    <m/>
    <m/>
    <s v="1. Sí"/>
    <s v="1. Sí"/>
    <s v="2. BUENO"/>
    <s v="2. No"/>
    <m/>
    <m/>
    <s v="2. No"/>
    <m/>
    <m/>
    <s v="1. Sí"/>
    <s v="1. Sí"/>
    <s v="1. MUY BUENO"/>
    <s v="1. Sí"/>
    <s v="1. Sí"/>
    <s v="1. MUY BUENO"/>
    <s v="1. Sí"/>
    <s v="1. Sí"/>
    <s v="1. MUY BUENO"/>
    <s v="2. No"/>
    <m/>
    <m/>
    <m/>
    <s v="Impotencia"/>
    <s v="Intranquilidad"/>
    <x v="0"/>
    <s v="2. No"/>
    <m/>
    <m/>
    <m/>
    <m/>
    <m/>
    <m/>
    <m/>
    <s v="Tiro al blanco"/>
    <m/>
  </r>
  <r>
    <d v="2026-04-22T09:19:15"/>
    <d v="2026-04-22T09:40:28"/>
    <s v="AFC"/>
    <n v="155"/>
    <n v="155"/>
    <b v="1"/>
    <d v="2026-04-19T00:00:00"/>
    <n v="3"/>
    <s v="LC"/>
    <s v="VB"/>
    <x v="141"/>
    <x v="139"/>
    <s v="1. Sí"/>
    <s v="1. EPMMOP"/>
    <n v="35"/>
    <x v="0"/>
    <n v="0"/>
    <n v="0"/>
    <n v="0"/>
    <n v="0"/>
    <n v="0"/>
    <s v="1. Hombre"/>
    <n v="44"/>
    <s v="1. Sí"/>
    <m/>
    <x v="0"/>
    <m/>
    <s v="5. Soltera/o"/>
    <s v="2. Primaria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1. Sí"/>
    <s v="1. POCO FRECUENTE"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Distracción"/>
    <x v="0"/>
    <s v="2. No"/>
    <m/>
    <m/>
    <m/>
    <m/>
    <m/>
    <m/>
    <m/>
    <s v="Bebidas/Confites/Comestibles industrializados/ Tabacos"/>
    <m/>
  </r>
  <r>
    <d v="2026-04-22T09:40:28"/>
    <d v="2026-04-22T09:50:49"/>
    <s v="AFC"/>
    <n v="156"/>
    <n v="156"/>
    <b v="1"/>
    <d v="2026-04-19T00:00:00"/>
    <n v="2"/>
    <s v="AMC"/>
    <s v="VB"/>
    <x v="142"/>
    <x v="140"/>
    <s v="1. Sí"/>
    <s v="1. EPMMOP"/>
    <n v="16"/>
    <x v="0"/>
    <n v="0"/>
    <n v="0"/>
    <n v="0"/>
    <n v="0"/>
    <n v="0"/>
    <s v="2. Mujer"/>
    <n v="36"/>
    <s v="1. Sí"/>
    <m/>
    <x v="0"/>
    <m/>
    <s v="4. Casada/o"/>
    <s v="3. Secundaria/ Bachillerato"/>
    <s v="1. Completa"/>
    <s v="1. Menos de $470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3. Mej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1. POCO FRECUENTE"/>
    <s v="1. Sí"/>
    <s v="3. MUY FRECUENTE"/>
    <s v="1. Sí"/>
    <s v="1. POCO FRECUENTE"/>
    <s v="1. Sí"/>
    <s v="1. POCO FRECUENTE"/>
    <s v="2. No"/>
    <m/>
    <s v="2. No"/>
    <m/>
    <s v="2. No"/>
    <m/>
    <s v="2. No"/>
    <m/>
    <s v="2. No"/>
    <m/>
    <s v="2. No"/>
    <m/>
    <s v="1. Sí"/>
    <s v="3. MUY FRECUENTE"/>
    <s v="2. No"/>
    <m/>
    <s v="2. No"/>
    <m/>
    <s v="2. No"/>
    <m/>
    <m/>
    <s v="1. Sí"/>
    <s v="3. MUY FRECUENTE"/>
    <s v="1. Sí"/>
    <m/>
    <s v="1. Sí"/>
    <s v="1. Sí"/>
    <s v="3. MALO"/>
    <s v="2. No"/>
    <m/>
    <m/>
    <s v="2. No"/>
    <m/>
    <m/>
    <s v="2. No"/>
    <m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Indignación"/>
    <m/>
    <x v="0"/>
    <s v="1. Si"/>
    <s v="1. Muy bueno"/>
    <s v="1. Si"/>
    <s v="Revisan y mantienen el orden"/>
    <s v="2. No "/>
    <m/>
    <s v="2. No"/>
    <s v="Nadie hace nada"/>
    <s v="Frutas y Legumbres"/>
    <m/>
  </r>
  <r>
    <d v="2026-04-22T09:50:49"/>
    <d v="2026-04-22T10:44:17"/>
    <s v="AFC"/>
    <n v="157"/>
    <n v="157"/>
    <b v="1"/>
    <d v="2026-04-19T00:00:00"/>
    <n v="3"/>
    <s v="VM"/>
    <s v="VB"/>
    <x v="143"/>
    <x v="141"/>
    <s v="1. Sí"/>
    <s v="1. EPMMOP"/>
    <n v="33"/>
    <x v="0"/>
    <n v="0"/>
    <n v="0"/>
    <n v="0"/>
    <n v="0"/>
    <n v="0"/>
    <s v="2. Mujer"/>
    <n v="54"/>
    <s v="1. Sí"/>
    <m/>
    <x v="0"/>
    <m/>
    <s v="4. Casada/o"/>
    <s v="3. Secundaria/ Bachillerato"/>
    <s v="1. Completa"/>
    <s v="2. de $471 a $919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 Noche  (18:00 a 23:59)"/>
    <n v="0"/>
    <n v="0"/>
    <n v="1"/>
    <n v="1"/>
    <n v="0"/>
    <s v="1. Empeoró"/>
    <s v="2. No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1. POCO FRECUENTE"/>
    <s v="1. Sí"/>
    <s v="2. FRECUENTE"/>
    <s v="1. Sí"/>
    <s v="3. MUY FRECUENTE"/>
    <s v="2. No"/>
    <m/>
    <s v="2. No"/>
    <m/>
    <s v="1. Sí"/>
    <s v="2. FRECUENTE"/>
    <s v="2. No"/>
    <m/>
    <s v="1. Sí"/>
    <s v="2. FRECUENTE"/>
    <s v="1. Sí"/>
    <s v="2. FRECUENTE"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Gratitud"/>
    <s v="Alegría"/>
    <x v="39"/>
    <s v="1. Si"/>
    <s v="3. Malo"/>
    <s v="2. No "/>
    <s v="Solo pasan un ratito y todo sigue igual"/>
    <s v="2. No "/>
    <m/>
    <s v="2. No"/>
    <s v="No bajan las ventas ambulantes"/>
    <s v="Comida preparada"/>
    <m/>
  </r>
  <r>
    <d v="2026-04-22T10:44:17"/>
    <d v="2026-04-22T10:53:01"/>
    <s v="AFC"/>
    <n v="158"/>
    <n v="158"/>
    <b v="1"/>
    <d v="2026-04-19T00:00:00"/>
    <n v="2"/>
    <s v="LC"/>
    <s v="VB"/>
    <x v="144"/>
    <x v="142"/>
    <s v="1. Sí"/>
    <s v="1. EPMMOP"/>
    <n v="8"/>
    <x v="0"/>
    <n v="0"/>
    <n v="0"/>
    <n v="0"/>
    <n v="0"/>
    <n v="0"/>
    <s v="2. Mujer"/>
    <n v="51"/>
    <s v="1. Sí"/>
    <m/>
    <x v="0"/>
    <m/>
    <s v="2. Divorciada/o"/>
    <s v="2. Primaria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3. INSEGURO"/>
    <s v="Tarde (12:00 a 17:59)"/>
    <n v="0"/>
    <n v="0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3. MUY FRECUENTE"/>
    <s v="1. Sí"/>
    <s v="3. MUY FRECUENTE"/>
    <s v="2. No"/>
    <m/>
    <s v="1. Sí"/>
    <s v="3. MUY FRECUENTE"/>
    <s v="1. Sí"/>
    <s v="2. FRECUENTE"/>
    <s v="1. Sí"/>
    <s v="3. MUY FRECUENTE"/>
    <s v="1. Sí"/>
    <s v="3. MUY FRECUENTE"/>
    <s v="1. Sí"/>
    <s v="3. MUY FRECUENTE"/>
    <s v="1. Sí"/>
    <s v="3. MUY FRECUENTE"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Incertidumbre"/>
    <m/>
    <x v="0"/>
    <s v="2. No"/>
    <m/>
    <m/>
    <m/>
    <m/>
    <m/>
    <m/>
    <m/>
    <s v="Comida preparada"/>
    <s v="Venta de alcohol por los mismo vendedores de coco"/>
  </r>
  <r>
    <d v="2026-04-22T10:53:01"/>
    <d v="2026-04-22T11:05:37"/>
    <s v="AFC"/>
    <n v="159"/>
    <n v="159"/>
    <b v="1"/>
    <d v="2026-04-19T00:00:00"/>
    <n v="3"/>
    <s v="VM"/>
    <s v="VB"/>
    <x v="145"/>
    <x v="143"/>
    <s v="1. Sí"/>
    <s v="1. EPMMOP"/>
    <n v="15"/>
    <x v="0"/>
    <n v="1"/>
    <n v="0"/>
    <n v="0"/>
    <n v="0"/>
    <n v="0"/>
    <s v="1. Hombre"/>
    <n v="21"/>
    <s v="1. Sí"/>
    <m/>
    <x v="0"/>
    <m/>
    <s v="5. Soltera/o"/>
    <s v="5. Universitario"/>
    <s v="2. Incompleta"/>
    <s v="99. NS/NC"/>
    <x v="1"/>
    <x v="31"/>
    <x v="1"/>
    <x v="2"/>
    <x v="2"/>
    <x v="1"/>
    <x v="1"/>
    <x v="2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1. Sí"/>
    <s v="2. FRECUENTE"/>
    <s v="2. No"/>
    <m/>
    <s v="2. No"/>
    <m/>
    <s v="2. No"/>
    <m/>
    <s v="2. No"/>
    <m/>
    <s v="2. No"/>
    <m/>
    <s v="2. No"/>
    <m/>
    <s v="2. No"/>
    <m/>
    <s v="2. No"/>
    <m/>
    <s v="1. Sí"/>
    <s v="2. FRECUENTE"/>
    <s v="1. Sí"/>
    <s v="2. FRECUENTE"/>
    <s v="2. No"/>
    <m/>
    <s v="2. No"/>
    <m/>
    <s v="2. No"/>
    <m/>
    <s v="2. No"/>
    <m/>
    <s v="2. No"/>
    <m/>
    <s v="2. No"/>
    <m/>
    <m/>
    <s v="1. Sí"/>
    <s v="2. FRECUENTE"/>
    <s v="1. Sí"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2. No"/>
    <m/>
    <m/>
    <m/>
    <s v="Tranquilidad"/>
    <s v="Alegría"/>
    <x v="0"/>
    <s v="1. Si"/>
    <s v="2. Bueno"/>
    <s v="1. Si"/>
    <s v="Ayuda a disuadir las ventas ambulantes"/>
    <s v="2. No "/>
    <m/>
    <s v="1.Si"/>
    <s v="Es su trabajo"/>
    <s v="Granola"/>
    <m/>
  </r>
  <r>
    <d v="2026-04-22T11:05:37"/>
    <d v="2026-04-22T11:12:06"/>
    <s v="AFC"/>
    <n v="160"/>
    <n v="160"/>
    <b v="1"/>
    <d v="2026-04-19T00:00:00"/>
    <n v="3"/>
    <s v="LC"/>
    <s v="VB"/>
    <x v="146"/>
    <x v="144"/>
    <s v="1. Sí"/>
    <s v="1. EPMMOP"/>
    <n v="28"/>
    <x v="0"/>
    <n v="0"/>
    <n v="0"/>
    <n v="0"/>
    <n v="0"/>
    <n v="0"/>
    <s v="2. Mujer"/>
    <n v="56"/>
    <s v="1. Sí"/>
    <m/>
    <x v="0"/>
    <m/>
    <s v="2. Divorciad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"/>
    <x v="0"/>
    <x v="0"/>
    <x v="0"/>
    <x v="0"/>
    <x v="0"/>
    <x v="0"/>
    <x v="0"/>
    <x v="0"/>
    <x v="0"/>
    <x v="0"/>
    <x v="0"/>
    <m/>
    <m/>
    <s v="3. INSEGURO"/>
    <s v="Tarde (12:00 a 17:59)"/>
    <n v="0"/>
    <n v="0"/>
    <n v="1"/>
    <n v="0"/>
    <n v="0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2. No"/>
    <m/>
    <s v="1. Sí"/>
    <s v="2. FRECUENTE"/>
    <s v="1. Sí"/>
    <s v="2. FRECUENTE"/>
    <s v="1. Sí"/>
    <s v="2. FRECUENTE"/>
    <s v="2. No"/>
    <m/>
    <s v="1. Sí"/>
    <s v="2.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1. Sí"/>
    <s v="2. No"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Alegría"/>
    <s v="Trabajo"/>
    <x v="0"/>
    <s v="1. Si"/>
    <s v="2. Bueno"/>
    <s v="1. Si"/>
    <s v="Más seguridad"/>
    <s v="2. No "/>
    <m/>
    <s v="1.Si"/>
    <s v="Es su trabajo"/>
    <s v="Comida preparada"/>
    <m/>
  </r>
  <r>
    <d v="2026-04-22T11:12:06"/>
    <d v="2026-04-22T11:29:30"/>
    <s v="AFC"/>
    <n v="161"/>
    <n v="161"/>
    <b v="1"/>
    <d v="2026-04-19T00:00:00"/>
    <n v="3"/>
    <s v="VM"/>
    <s v="VB"/>
    <x v="147"/>
    <x v="145"/>
    <s v="1. Sí"/>
    <s v="1. EPMMOP"/>
    <n v="6"/>
    <x v="0"/>
    <n v="0"/>
    <n v="0"/>
    <n v="0"/>
    <n v="0"/>
    <n v="0"/>
    <s v="1. Hombre"/>
    <n v="28"/>
    <s v="1. Sí"/>
    <m/>
    <x v="2"/>
    <m/>
    <s v="4. Casada/o"/>
    <s v="3. Secundaria/ Bachillerato"/>
    <s v="1. Completa"/>
    <s v="1. Menos de $470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5. Consumo de alcohol en el espacio público"/>
    <x v="0"/>
    <x v="0"/>
    <x v="0"/>
    <x v="0"/>
    <x v="2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1. Sí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2. No"/>
    <m/>
    <s v="1. Sí"/>
    <s v="2. FRECUENTE"/>
    <s v="1. Sí"/>
    <s v="1. POCO FRECUENTE"/>
    <s v="2. No"/>
    <m/>
    <s v="2. No"/>
    <m/>
    <s v="2. No"/>
    <m/>
    <s v="1. Sí"/>
    <s v="2. FRECUENTE"/>
    <s v="2. No"/>
    <m/>
    <s v="2. No"/>
    <m/>
    <s v="2. No"/>
    <m/>
    <s v="2. No"/>
    <m/>
    <s v="2. No"/>
    <m/>
    <s v="2. No"/>
    <m/>
    <s v="1. Sí"/>
    <s v="No hay iluminación"/>
    <s v="2. FRECUENTE"/>
    <s v="1. Sí"/>
    <s v="2. FRECUENTE"/>
    <s v="2. No"/>
    <m/>
    <s v="1. Sí"/>
    <s v="1. Sí"/>
    <s v="2. BUENO"/>
    <s v="2. No"/>
    <m/>
    <m/>
    <s v="2. No"/>
    <m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2. No"/>
    <m/>
    <m/>
    <m/>
    <s v="Respeto"/>
    <s v="Cariño"/>
    <x v="9"/>
    <s v="1. Si"/>
    <s v="2. Bueno"/>
    <s v="1. Si"/>
    <s v="Venden alimentos en mal estado informales"/>
    <s v="2. No "/>
    <m/>
    <s v="1.Si"/>
    <s v="Regular para dar tranquilidad"/>
    <s v="Juegos infantiles"/>
    <m/>
  </r>
  <r>
    <d v="2026-04-22T11:29:30"/>
    <d v="2026-04-22T11:42:13"/>
    <s v="AFC"/>
    <n v="162"/>
    <n v="162"/>
    <b v="1"/>
    <d v="2026-04-19T00:00:00"/>
    <n v="3"/>
    <s v="AMC"/>
    <s v="VB"/>
    <x v="148"/>
    <x v="146"/>
    <s v="1. Sí"/>
    <s v="1. EPMMOP"/>
    <n v="17"/>
    <x v="0"/>
    <n v="0"/>
    <n v="0"/>
    <n v="0"/>
    <n v="0"/>
    <n v="0"/>
    <s v="2. Mujer"/>
    <n v="34"/>
    <s v="1. Sí"/>
    <m/>
    <x v="0"/>
    <m/>
    <s v="5. Soltera/o"/>
    <s v="3. Secundaria/ Bachillerato"/>
    <s v="2. Incompleta"/>
    <s v="1. Menos de $470"/>
    <x v="2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8. ¿Cuál?1"/>
    <x v="0"/>
    <x v="0"/>
    <x v="0"/>
    <x v="0"/>
    <x v="0"/>
    <x v="0"/>
    <x v="0"/>
    <x v="1"/>
    <x v="0"/>
    <x v="0"/>
    <x v="15"/>
    <m/>
    <m/>
    <s v="4. MUY INSEGURO"/>
    <s v="Mañana  (06:00 a 11:59) Tarde (12:00 a 17:59) Noche  (18:00 a 23:59)"/>
    <n v="0"/>
    <n v="1"/>
    <n v="1"/>
    <n v="1"/>
    <n v="0"/>
    <s v="1. Empeoró"/>
    <s v="1. Sí"/>
    <s v="1. Sí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3. MUY FRECUENTE"/>
    <s v="1. Sí"/>
    <s v="1. POCO FRECUENTE"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3. MUY FRECUENTE"/>
    <s v="1. Sí"/>
    <s v="3. MUY FRECUENTE"/>
    <s v="2. No"/>
    <m/>
    <s v="1. Sí"/>
    <s v="1. POCO FRECUENTE"/>
    <s v="2. No"/>
    <m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2. No"/>
    <m/>
    <m/>
    <s v="2. No"/>
    <m/>
    <m/>
    <s v="2. No"/>
    <m/>
    <m/>
    <s v="1. Sí"/>
    <s v="1. Sí"/>
    <s v="2. BUENO"/>
    <s v="2. No"/>
    <m/>
    <m/>
    <s v="1. Sí"/>
    <s v="2. No"/>
    <m/>
    <s v="2. No"/>
    <m/>
    <m/>
    <m/>
    <s v="Nervios"/>
    <s v="Intranquilidad"/>
    <x v="0"/>
    <s v="1. Si"/>
    <s v="4. Muy malo"/>
    <s v="2. No "/>
    <s v="Conoce los horarios de control y se van las ventas"/>
    <s v="2. No "/>
    <m/>
    <s v="2. No"/>
    <s v="No hacen nada son impávidos"/>
    <s v="Artesanías"/>
    <m/>
  </r>
  <r>
    <d v="2026-04-22T11:42:13"/>
    <d v="2026-04-22T11:53:49"/>
    <s v="AFC"/>
    <n v="163"/>
    <n v="163"/>
    <b v="1"/>
    <d v="2026-04-19T00:00:00"/>
    <n v="3"/>
    <s v="VM"/>
    <s v="VB"/>
    <x v="149"/>
    <x v="147"/>
    <s v="1. Sí"/>
    <s v="1. EPMMOP"/>
    <n v="30"/>
    <x v="0"/>
    <n v="0"/>
    <n v="0"/>
    <n v="0"/>
    <n v="0"/>
    <n v="0"/>
    <s v="1. Hombre"/>
    <n v="55"/>
    <s v="1. Sí"/>
    <m/>
    <x v="6"/>
    <m/>
    <s v="5. Soltera/o"/>
    <s v="2. Primaria"/>
    <s v="1. Completa"/>
    <s v="2. de $471 a $919"/>
    <x v="1"/>
    <x v="3"/>
    <x v="1"/>
    <x v="1"/>
    <x v="1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99. NS/NC"/>
    <m/>
    <s v="1. Sí"/>
    <s v="1. POCO FRECUENTE"/>
    <s v="1. Sí"/>
    <s v="1. POCO FRECUENTE"/>
    <s v="1. Sí"/>
    <s v="2. FRECUENTE"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2. FRECUENTE"/>
    <s v="2. No"/>
    <m/>
    <s v="1. Sí"/>
    <s v="1. Sí"/>
    <s v="2. BUENO"/>
    <s v="2. No"/>
    <m/>
    <m/>
    <s v="2. No"/>
    <m/>
    <m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1. Sí"/>
    <s v="1. Sí"/>
    <s v="2. BUENO"/>
    <s v="2. No"/>
    <m/>
    <m/>
    <m/>
    <s v="Tranquilidad"/>
    <m/>
    <x v="0"/>
    <s v="1. Si"/>
    <s v="2. Bueno"/>
    <s v="1. Si"/>
    <s v="Ayuda a controlar"/>
    <s v="2. No "/>
    <m/>
    <s v="1.Si"/>
    <s v="Poco falta más organización"/>
    <s v="Balones"/>
    <m/>
  </r>
  <r>
    <d v="2026-04-22T11:53:49"/>
    <d v="2026-04-22T12:02:02"/>
    <s v="AFC"/>
    <n v="164"/>
    <n v="164"/>
    <b v="1"/>
    <d v="2026-04-19T00:00:00"/>
    <n v="3"/>
    <s v="LC"/>
    <s v="VB"/>
    <x v="150"/>
    <x v="148"/>
    <s v="1. Sí"/>
    <s v="1. EPMMOP"/>
    <n v="17"/>
    <x v="0"/>
    <n v="0"/>
    <n v="0"/>
    <n v="0"/>
    <n v="0"/>
    <n v="0"/>
    <s v="2. Mujer"/>
    <n v="46"/>
    <s v="1. Sí"/>
    <m/>
    <x v="0"/>
    <m/>
    <s v="2. Divorciada/o"/>
    <s v="3. Secundaria/ Bachillerato"/>
    <s v="1. Completa"/>
    <s v="99. NS/NC"/>
    <x v="0"/>
    <x v="0"/>
    <x v="0"/>
    <x v="0"/>
    <x v="0"/>
    <x v="0"/>
    <x v="0"/>
    <x v="0"/>
    <x v="0"/>
    <x v="0"/>
    <x v="0"/>
    <x v="0"/>
    <x v="0"/>
    <x v="0"/>
    <x v="0"/>
    <x v="0"/>
    <m/>
    <s v="1. Delincuencia (robos, extorsiones, cualquier tipo de delito) 3. Consumo de drogas"/>
    <x v="0"/>
    <x v="0"/>
    <x v="2"/>
    <x v="0"/>
    <x v="0"/>
    <x v="0"/>
    <x v="0"/>
    <x v="0"/>
    <x v="0"/>
    <x v="0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1. Sí"/>
    <s v="1. POCO FRECUENTE"/>
    <s v="1. Sí"/>
    <s v="2. FRECUENTE"/>
    <s v="1. Sí"/>
    <s v="2. FRECUENTE"/>
    <s v="1. Sí"/>
    <s v="2. FRECUENTE"/>
    <s v="1. Sí"/>
    <s v="2. FRECUENTE"/>
    <s v="1. Sí"/>
    <s v="2. FRECUENTE"/>
    <s v="1. Sí"/>
    <s v="2. FRECUENTE"/>
    <s v="2. No"/>
    <m/>
    <s v="1. Sí"/>
    <s v="2. FRECUENTE"/>
    <s v="2. No"/>
    <m/>
    <s v="1. Sí"/>
    <s v="1. POCO FRECUENTE"/>
    <s v="2. No"/>
    <m/>
    <s v="2. No"/>
    <m/>
    <s v="2. No"/>
    <m/>
    <s v="1. Sí"/>
    <s v="1. POCO FRECUENTE"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1. Sí"/>
    <s v="2. No"/>
    <m/>
    <s v="2. No"/>
    <m/>
    <m/>
    <s v="1. Sí"/>
    <s v="2. No"/>
    <m/>
    <s v="1. Sí"/>
    <s v="2. No"/>
    <m/>
    <s v="1. Sí"/>
    <s v="2. No"/>
    <m/>
    <s v="2. No"/>
    <m/>
    <m/>
    <m/>
    <s v="Alegría"/>
    <s v="Trabajo"/>
    <x v="0"/>
    <s v="1. Si"/>
    <s v="1. Muy bueno"/>
    <s v="1. Si"/>
    <s v="Más control"/>
    <s v="2. No "/>
    <m/>
    <s v="1.Si"/>
    <s v="Es su trabajo"/>
    <s v="Comida preparada"/>
    <m/>
  </r>
  <r>
    <d v="2026-04-22T12:02:02"/>
    <d v="2026-04-22T12:12:31"/>
    <s v="AFC"/>
    <n v="165"/>
    <n v="165"/>
    <b v="1"/>
    <d v="2026-04-19T00:00:00"/>
    <n v="3"/>
    <s v="LC"/>
    <s v="VB"/>
    <x v="151"/>
    <x v="149"/>
    <s v="1. Sí"/>
    <s v="1. EPMMOP"/>
    <n v="8"/>
    <x v="0"/>
    <n v="0"/>
    <n v="0"/>
    <n v="0"/>
    <n v="0"/>
    <n v="0"/>
    <s v="2. Mujer"/>
    <n v="34"/>
    <s v="1. Sí"/>
    <m/>
    <x v="0"/>
    <m/>
    <s v="5. Soltera/o"/>
    <s v="3. Secundaria/ Bachillerato"/>
    <s v="1. Completa"/>
    <s v="99. NS/NC"/>
    <x v="1"/>
    <x v="25"/>
    <x v="2"/>
    <x v="2"/>
    <x v="2"/>
    <x v="1"/>
    <x v="1"/>
    <x v="1"/>
    <x v="1"/>
    <x v="1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Mañana  (06:00 a 11:59) Tarde (12:00 a 17:59)"/>
    <n v="0"/>
    <n v="1"/>
    <n v="1"/>
    <n v="0"/>
    <n v="0"/>
    <s v="2. Esta igual"/>
    <s v="2. No"/>
    <s v="2. No"/>
    <s v="2. No"/>
    <m/>
    <m/>
    <m/>
    <m/>
    <m/>
    <m/>
    <m/>
    <m/>
    <s v="1. Sí"/>
    <s v="VI.3 Hurto (sin violencia)"/>
    <n v="0"/>
    <n v="1"/>
    <n v="0"/>
    <n v="0"/>
    <n v="0"/>
    <n v="0"/>
    <n v="0"/>
    <n v="0"/>
    <n v="0"/>
    <m/>
    <m/>
    <m/>
    <s v="2. No"/>
    <m/>
    <m/>
    <m/>
    <m/>
    <m/>
    <m/>
    <m/>
    <s v="2. No"/>
    <m/>
    <s v="1. Sí"/>
    <s v="2. FRECUENTE"/>
    <s v="1. Sí"/>
    <s v="2. FRECUENTE"/>
    <s v="1. Sí"/>
    <s v="2. FRECUENTE"/>
    <s v="1. Sí"/>
    <s v="1. POCO FRECUENTE"/>
    <s v="2. No"/>
    <m/>
    <s v="1. Sí"/>
    <s v="2. FRECUENTE"/>
    <s v="2. No"/>
    <m/>
    <s v="2. No"/>
    <m/>
    <s v="1. Sí"/>
    <s v="2. FRECUENTE"/>
    <s v="2. No"/>
    <m/>
    <s v="2. No"/>
    <m/>
    <s v="2. No"/>
    <m/>
    <s v="1. Sí"/>
    <s v="1. POCO FRECUENTE"/>
    <s v="2. No"/>
    <m/>
    <s v="2. No"/>
    <m/>
    <s v="2. No"/>
    <m/>
    <m/>
    <s v="1. Sí"/>
    <s v="3. MUY FRECUENTE"/>
    <s v="1. Sí"/>
    <m/>
    <s v="1. Sí"/>
    <s v="2. No"/>
    <m/>
    <s v="2. No"/>
    <m/>
    <m/>
    <s v="2. No"/>
    <m/>
    <m/>
    <s v="1. Sí"/>
    <s v="2. No"/>
    <m/>
    <s v="2. No"/>
    <m/>
    <m/>
    <s v="2. No"/>
    <m/>
    <m/>
    <s v="1. Sí"/>
    <s v="2. No"/>
    <m/>
    <s v="1. Sí"/>
    <s v="2. No"/>
    <m/>
    <s v="1. Sí"/>
    <s v="2. No"/>
    <m/>
    <s v="2. No"/>
    <m/>
    <m/>
    <m/>
    <s v="Seguridad"/>
    <s v="Felicidad"/>
    <x v="0"/>
    <s v="2. No"/>
    <m/>
    <m/>
    <m/>
    <m/>
    <m/>
    <m/>
    <m/>
    <s v="Juguetes y variedades"/>
    <s v="A la 1 am ya quitan la iluminación"/>
  </r>
  <r>
    <d v="2026-04-22T12:12:31"/>
    <d v="2026-04-22T12:16:47"/>
    <s v="AFC"/>
    <n v="166"/>
    <n v="166"/>
    <b v="1"/>
    <d v="2026-04-19T00:00:00"/>
    <n v="3"/>
    <s v="VM"/>
    <s v="VB"/>
    <x v="152"/>
    <x v="150"/>
    <s v="1. Sí"/>
    <s v="1. EPMMOP"/>
    <n v="15"/>
    <x v="0"/>
    <n v="0"/>
    <n v="0"/>
    <n v="0"/>
    <n v="0"/>
    <n v="0"/>
    <s v="1. Hombre"/>
    <n v="48"/>
    <s v="1. Sí"/>
    <m/>
    <x v="0"/>
    <m/>
    <s v="4. Casada/o"/>
    <s v="3. Secundaria/ Bachillerato"/>
    <s v="1. Completa"/>
    <s v="99. NS/NC"/>
    <x v="1"/>
    <x v="5"/>
    <x v="1"/>
    <x v="2"/>
    <x v="1"/>
    <x v="1"/>
    <x v="1"/>
    <x v="1"/>
    <x v="1"/>
    <x v="2"/>
    <x v="1"/>
    <x v="2"/>
    <x v="1"/>
    <x v="1"/>
    <x v="0"/>
    <x v="0"/>
    <m/>
    <m/>
    <x v="2"/>
    <x v="1"/>
    <x v="1"/>
    <x v="1"/>
    <x v="1"/>
    <x v="1"/>
    <x v="1"/>
    <x v="2"/>
    <x v="1"/>
    <x v="1"/>
    <x v="0"/>
    <m/>
    <m/>
    <s v="2. SEGURO"/>
    <s v="Todos los horarios"/>
    <n v="0"/>
    <n v="0"/>
    <n v="0"/>
    <n v="0"/>
    <n v="1"/>
    <s v="1. Empeoró"/>
    <s v="2. No"/>
    <s v="2. No"/>
    <s v="2. No"/>
    <m/>
    <m/>
    <m/>
    <m/>
    <m/>
    <m/>
    <m/>
    <m/>
    <s v="2. No"/>
    <m/>
    <m/>
    <m/>
    <m/>
    <m/>
    <m/>
    <m/>
    <m/>
    <m/>
    <m/>
    <m/>
    <m/>
    <m/>
    <m/>
    <m/>
    <m/>
    <m/>
    <m/>
    <m/>
    <m/>
    <m/>
    <s v="2. No"/>
    <m/>
    <s v="2. No"/>
    <m/>
    <s v="1. Sí"/>
    <s v="2. FRECUENTE"/>
    <s v="1. Sí"/>
    <s v="2. FRECUENTE"/>
    <s v="1. Sí"/>
    <s v="2. FRECUENTE"/>
    <s v="2. No"/>
    <m/>
    <s v="1. Sí"/>
    <s v="2. FRECUENTE"/>
    <s v="1. Sí"/>
    <s v="2. FRECUENTE"/>
    <s v="2. No"/>
    <m/>
    <s v="1. Sí"/>
    <s v="1. POCO FRECUENTE"/>
    <s v="2. No"/>
    <m/>
    <s v="2. No"/>
    <m/>
    <s v="2. No"/>
    <m/>
    <s v="2. No"/>
    <m/>
    <s v="2. No"/>
    <m/>
    <s v="2. No"/>
    <m/>
    <s v="2. No"/>
    <m/>
    <m/>
    <s v="1. Sí"/>
    <s v="3. MUY FRECUENTE"/>
    <s v="1. Sí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2. No"/>
    <m/>
    <s v="1. Sí"/>
    <s v="1. Sí"/>
    <s v="2. BUENO"/>
    <s v="1. Sí"/>
    <s v="1. Sí"/>
    <s v="2. BUENO"/>
    <s v="1. Sí"/>
    <s v="1. Sí"/>
    <s v="2. BUENO"/>
    <s v="2. No"/>
    <m/>
    <m/>
    <m/>
    <s v="Alegría"/>
    <s v="Energía"/>
    <x v="25"/>
    <s v="2. No"/>
    <m/>
    <m/>
    <m/>
    <m/>
    <m/>
    <m/>
    <m/>
    <s v="Juegos infantiles"/>
    <s v="Mucho consumen droga más operativ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" firstHeaderRow="1" firstDataRow="1" firstDataCol="1"/>
  <pivotFields count="186"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>
      <items count="154">
        <item x="94"/>
        <item x="9"/>
        <item x="79"/>
        <item x="90"/>
        <item x="150"/>
        <item x="149"/>
        <item x="146"/>
        <item x="148"/>
        <item x="151"/>
        <item x="147"/>
        <item x="88"/>
        <item x="89"/>
        <item x="112"/>
        <item x="93"/>
        <item x="113"/>
        <item x="91"/>
        <item x="144"/>
        <item x="92"/>
        <item x="152"/>
        <item x="114"/>
        <item x="115"/>
        <item x="117"/>
        <item x="118"/>
        <item x="116"/>
        <item x="120"/>
        <item x="80"/>
        <item x="97"/>
        <item x="111"/>
        <item x="119"/>
        <item x="81"/>
        <item x="123"/>
        <item x="95"/>
        <item x="85"/>
        <item x="145"/>
        <item x="143"/>
        <item x="86"/>
        <item x="96"/>
        <item x="82"/>
        <item x="83"/>
        <item x="142"/>
        <item x="126"/>
        <item x="121"/>
        <item x="98"/>
        <item x="122"/>
        <item x="141"/>
        <item x="87"/>
        <item x="137"/>
        <item x="125"/>
        <item x="124"/>
        <item x="127"/>
        <item x="139"/>
        <item x="140"/>
        <item x="138"/>
        <item x="84"/>
        <item x="135"/>
        <item x="129"/>
        <item x="136"/>
        <item x="134"/>
        <item x="133"/>
        <item x="132"/>
        <item x="128"/>
        <item x="99"/>
        <item x="131"/>
        <item x="75"/>
        <item x="130"/>
        <item x="77"/>
        <item x="55"/>
        <item x="54"/>
        <item x="57"/>
        <item x="76"/>
        <item x="58"/>
        <item x="59"/>
        <item x="109"/>
        <item x="73"/>
        <item x="74"/>
        <item x="108"/>
        <item x="78"/>
        <item x="107"/>
        <item x="72"/>
        <item x="110"/>
        <item x="71"/>
        <item x="105"/>
        <item x="70"/>
        <item x="101"/>
        <item x="62"/>
        <item x="60"/>
        <item x="63"/>
        <item x="69"/>
        <item x="61"/>
        <item x="64"/>
        <item x="106"/>
        <item x="67"/>
        <item x="66"/>
        <item x="65"/>
        <item x="68"/>
        <item x="104"/>
        <item x="2"/>
        <item x="103"/>
        <item x="102"/>
        <item x="32"/>
        <item x="30"/>
        <item x="1"/>
        <item x="50"/>
        <item x="10"/>
        <item x="100"/>
        <item x="0"/>
        <item x="8"/>
        <item x="11"/>
        <item x="3"/>
        <item x="7"/>
        <item x="4"/>
        <item x="5"/>
        <item x="6"/>
        <item x="29"/>
        <item x="28"/>
        <item x="49"/>
        <item x="48"/>
        <item x="45"/>
        <item x="51"/>
        <item x="47"/>
        <item x="44"/>
        <item x="46"/>
        <item x="38"/>
        <item x="43"/>
        <item x="42"/>
        <item x="27"/>
        <item x="40"/>
        <item x="41"/>
        <item x="25"/>
        <item x="12"/>
        <item x="26"/>
        <item x="14"/>
        <item x="52"/>
        <item x="37"/>
        <item x="22"/>
        <item x="20"/>
        <item x="36"/>
        <item x="23"/>
        <item x="21"/>
        <item x="39"/>
        <item x="53"/>
        <item x="13"/>
        <item x="24"/>
        <item x="19"/>
        <item x="35"/>
        <item x="34"/>
        <item x="17"/>
        <item x="31"/>
        <item x="56"/>
        <item x="33"/>
        <item x="18"/>
        <item x="15"/>
        <item x="16"/>
        <item t="default"/>
      </items>
    </pivotField>
    <pivotField showAll="0">
      <items count="152">
        <item x="93"/>
        <item x="122"/>
        <item x="147"/>
        <item x="144"/>
        <item x="146"/>
        <item x="96"/>
        <item x="145"/>
        <item x="85"/>
        <item x="139"/>
        <item x="142"/>
        <item x="26"/>
        <item x="83"/>
        <item x="141"/>
        <item x="128"/>
        <item x="102"/>
        <item x="140"/>
        <item x="135"/>
        <item x="136"/>
        <item x="134"/>
        <item x="148"/>
        <item x="77"/>
        <item x="58"/>
        <item x="60"/>
        <item x="59"/>
        <item x="57"/>
        <item x="132"/>
        <item x="149"/>
        <item x="90"/>
        <item x="82"/>
        <item x="112"/>
        <item x="129"/>
        <item x="137"/>
        <item x="113"/>
        <item x="92"/>
        <item x="114"/>
        <item x="130"/>
        <item x="133"/>
        <item x="115"/>
        <item x="143"/>
        <item x="94"/>
        <item x="131"/>
        <item x="100"/>
        <item x="125"/>
        <item x="81"/>
        <item x="38"/>
        <item x="78"/>
        <item x="95"/>
        <item x="98"/>
        <item x="55"/>
        <item x="91"/>
        <item x="36"/>
        <item x="61"/>
        <item x="64"/>
        <item x="20"/>
        <item x="79"/>
        <item x="63"/>
        <item x="80"/>
        <item x="124"/>
        <item x="56"/>
        <item x="126"/>
        <item x="99"/>
        <item x="22"/>
        <item x="138"/>
        <item x="21"/>
        <item x="88"/>
        <item x="23"/>
        <item x="89"/>
        <item x="37"/>
        <item x="25"/>
        <item x="127"/>
        <item x="19"/>
        <item x="150"/>
        <item x="18"/>
        <item x="24"/>
        <item x="84"/>
        <item x="35"/>
        <item x="76"/>
        <item x="62"/>
        <item x="40"/>
        <item x="116"/>
        <item x="117"/>
        <item x="97"/>
        <item x="121"/>
        <item x="120"/>
        <item x="118"/>
        <item x="39"/>
        <item x="86"/>
        <item x="119"/>
        <item x="123"/>
        <item x="65"/>
        <item x="87"/>
        <item x="6"/>
        <item x="8"/>
        <item x="1"/>
        <item x="0"/>
        <item x="7"/>
        <item x="3"/>
        <item x="9"/>
        <item x="41"/>
        <item x="10"/>
        <item x="5"/>
        <item x="11"/>
        <item x="42"/>
        <item x="28"/>
        <item x="27"/>
        <item x="43"/>
        <item x="68"/>
        <item x="67"/>
        <item x="66"/>
        <item x="2"/>
        <item x="34"/>
        <item x="105"/>
        <item x="104"/>
        <item x="69"/>
        <item x="15"/>
        <item x="103"/>
        <item x="101"/>
        <item x="31"/>
        <item x="49"/>
        <item x="47"/>
        <item x="48"/>
        <item x="50"/>
        <item x="44"/>
        <item x="46"/>
        <item x="45"/>
        <item x="29"/>
        <item x="30"/>
        <item x="71"/>
        <item x="106"/>
        <item x="73"/>
        <item x="70"/>
        <item x="72"/>
        <item x="110"/>
        <item x="52"/>
        <item x="51"/>
        <item x="107"/>
        <item x="53"/>
        <item x="111"/>
        <item x="32"/>
        <item x="33"/>
        <item x="17"/>
        <item x="108"/>
        <item x="16"/>
        <item x="54"/>
        <item x="12"/>
        <item x="14"/>
        <item x="75"/>
        <item x="109"/>
        <item x="74"/>
        <item x="1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2"/>
        <item x="3"/>
        <item x="5"/>
        <item x="6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34">
        <item x="2"/>
        <item x="4"/>
        <item x="16"/>
        <item x="25"/>
        <item x="15"/>
        <item x="23"/>
        <item x="22"/>
        <item x="26"/>
        <item x="10"/>
        <item x="11"/>
        <item x="3"/>
        <item x="1"/>
        <item x="30"/>
        <item x="32"/>
        <item x="20"/>
        <item x="7"/>
        <item x="19"/>
        <item x="17"/>
        <item x="18"/>
        <item x="12"/>
        <item x="29"/>
        <item x="31"/>
        <item x="13"/>
        <item x="24"/>
        <item x="6"/>
        <item x="21"/>
        <item x="9"/>
        <item x="28"/>
        <item x="14"/>
        <item x="8"/>
        <item x="5"/>
        <item x="27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11">
        <item x="2"/>
        <item x="6"/>
        <item x="8"/>
        <item x="1"/>
        <item x="4"/>
        <item x="9"/>
        <item x="7"/>
        <item x="5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7">
        <item x="11"/>
        <item x="4"/>
        <item x="13"/>
        <item x="8"/>
        <item x="15"/>
        <item x="5"/>
        <item x="6"/>
        <item x="10"/>
        <item x="7"/>
        <item x="2"/>
        <item x="3"/>
        <item x="14"/>
        <item x="1"/>
        <item x="12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7">
        <item x="27"/>
        <item m="1" x="43"/>
        <item x="7"/>
        <item x="3"/>
        <item x="11"/>
        <item m="1" x="45"/>
        <item x="33"/>
        <item x="39"/>
        <item x="36"/>
        <item x="30"/>
        <item x="19"/>
        <item x="16"/>
        <item x="28"/>
        <item x="35"/>
        <item x="24"/>
        <item x="31"/>
        <item x="10"/>
        <item x="12"/>
        <item x="1"/>
        <item x="21"/>
        <item m="1" x="44"/>
        <item x="13"/>
        <item m="1" x="42"/>
        <item x="2"/>
        <item m="1" x="46"/>
        <item x="4"/>
        <item m="1" x="41"/>
        <item x="6"/>
        <item x="32"/>
        <item x="18"/>
        <item x="8"/>
        <item x="26"/>
        <item x="15"/>
        <item x="17"/>
        <item x="29"/>
        <item x="5"/>
        <item x="20"/>
        <item m="1" x="40"/>
        <item x="37"/>
        <item x="9"/>
        <item x="14"/>
        <item x="25"/>
        <item h="1" x="0"/>
        <item h="1" x="23"/>
        <item h="1" x="22"/>
        <item h="1" x="38"/>
        <item h="1" x="34"/>
      </items>
    </pivotField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DD. 1 Sexo Enc. Por observación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3" sqref="A3"/>
    </sheetView>
  </sheetViews>
  <sheetFormatPr baseColWidth="10" defaultRowHeight="15" x14ac:dyDescent="0.25"/>
  <cols>
    <col min="1" max="1" width="38.28515625" customWidth="1"/>
    <col min="2" max="2" width="39" customWidth="1"/>
    <col min="3" max="3" width="12.5703125" customWidth="1"/>
    <col min="4" max="4" width="9.42578125" customWidth="1"/>
    <col min="5" max="5" width="12.5703125" bestFit="1" customWidth="1"/>
  </cols>
  <sheetData>
    <row r="3" spans="1:2" x14ac:dyDescent="0.25">
      <c r="A3" s="7" t="s">
        <v>1081</v>
      </c>
      <c r="B3" t="s">
        <v>1075</v>
      </c>
    </row>
    <row r="4" spans="1:2" x14ac:dyDescent="0.25">
      <c r="A4" s="4" t="s">
        <v>270</v>
      </c>
      <c r="B4" s="10">
        <v>30</v>
      </c>
    </row>
    <row r="5" spans="1:2" x14ac:dyDescent="0.25">
      <c r="A5" s="4" t="s">
        <v>207</v>
      </c>
      <c r="B5" s="10">
        <v>1</v>
      </c>
    </row>
    <row r="6" spans="1:2" x14ac:dyDescent="0.25">
      <c r="A6" s="4" t="s">
        <v>526</v>
      </c>
      <c r="B6" s="10">
        <v>1</v>
      </c>
    </row>
    <row r="7" spans="1:2" x14ac:dyDescent="0.25">
      <c r="A7" s="4" t="s">
        <v>809</v>
      </c>
      <c r="B7" s="10">
        <v>1</v>
      </c>
    </row>
    <row r="8" spans="1:2" x14ac:dyDescent="0.25">
      <c r="A8" s="4" t="s">
        <v>185</v>
      </c>
      <c r="B8" s="10">
        <v>130</v>
      </c>
    </row>
    <row r="9" spans="1:2" x14ac:dyDescent="0.25">
      <c r="A9" s="4" t="s">
        <v>479</v>
      </c>
      <c r="B9" s="10">
        <v>1</v>
      </c>
    </row>
    <row r="10" spans="1:2" x14ac:dyDescent="0.25">
      <c r="A10" s="4" t="s">
        <v>264</v>
      </c>
      <c r="B10" s="10">
        <v>2</v>
      </c>
    </row>
    <row r="11" spans="1:2" x14ac:dyDescent="0.25">
      <c r="A11" s="4" t="s">
        <v>1082</v>
      </c>
      <c r="B11" s="10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1"/>
  <sheetViews>
    <sheetView workbookViewId="0">
      <selection activeCell="F16" sqref="F16"/>
    </sheetView>
  </sheetViews>
  <sheetFormatPr baseColWidth="10" defaultRowHeight="15" x14ac:dyDescent="0.25"/>
  <cols>
    <col min="2" max="2" width="53.140625" bestFit="1" customWidth="1"/>
    <col min="3" max="3" width="15.28515625" customWidth="1"/>
    <col min="4" max="4" width="11.28515625" customWidth="1"/>
  </cols>
  <sheetData>
    <row r="3" spans="2:10" x14ac:dyDescent="0.25">
      <c r="B3" s="9" t="s">
        <v>1214</v>
      </c>
      <c r="C3" s="9" t="s">
        <v>1079</v>
      </c>
      <c r="D3" s="9" t="s">
        <v>1080</v>
      </c>
      <c r="E3" s="9" t="s">
        <v>1079</v>
      </c>
      <c r="F3" s="9" t="s">
        <v>1080</v>
      </c>
      <c r="H3" s="9" t="s">
        <v>1079</v>
      </c>
      <c r="I3" s="9" t="s">
        <v>1080</v>
      </c>
    </row>
    <row r="4" spans="2:10" x14ac:dyDescent="0.25">
      <c r="B4" s="4" t="s">
        <v>1215</v>
      </c>
      <c r="C4" s="10">
        <v>1</v>
      </c>
      <c r="D4" s="10">
        <v>3</v>
      </c>
      <c r="E4" s="8">
        <f>C4/$C$8</f>
        <v>6.024096385542169E-3</v>
      </c>
      <c r="F4" s="8">
        <f>D4/$D$8</f>
        <v>1.8072289156626505E-2</v>
      </c>
      <c r="G4" t="s">
        <v>363</v>
      </c>
      <c r="H4" s="5">
        <f>E4+E5</f>
        <v>0.5</v>
      </c>
      <c r="I4" s="5">
        <f>F4+F5</f>
        <v>0.50602409638554213</v>
      </c>
      <c r="J4">
        <f>D4+D5</f>
        <v>84</v>
      </c>
    </row>
    <row r="5" spans="2:10" x14ac:dyDescent="0.25">
      <c r="B5" s="4" t="s">
        <v>391</v>
      </c>
      <c r="C5" s="10">
        <v>82</v>
      </c>
      <c r="D5" s="10">
        <v>81</v>
      </c>
      <c r="E5" s="8">
        <f t="shared" ref="E5:E7" si="0">C5/$C$8</f>
        <v>0.49397590361445781</v>
      </c>
      <c r="F5" s="8">
        <f>D5/$D$8</f>
        <v>0.48795180722891568</v>
      </c>
      <c r="G5" t="s">
        <v>278</v>
      </c>
      <c r="H5" s="5">
        <f>E6+E7</f>
        <v>0.5</v>
      </c>
      <c r="I5" s="5">
        <f>F6+F7</f>
        <v>0.49397590361445787</v>
      </c>
      <c r="J5">
        <f>D6+D7</f>
        <v>82</v>
      </c>
    </row>
    <row r="6" spans="2:10" x14ac:dyDescent="0.25">
      <c r="B6" s="4" t="s">
        <v>1016</v>
      </c>
      <c r="C6" s="10">
        <v>71</v>
      </c>
      <c r="D6" s="10">
        <v>72</v>
      </c>
      <c r="E6" s="8">
        <f t="shared" si="0"/>
        <v>0.42771084337349397</v>
      </c>
      <c r="F6" s="8">
        <f>D6/$D$8</f>
        <v>0.43373493975903615</v>
      </c>
    </row>
    <row r="7" spans="2:10" x14ac:dyDescent="0.25">
      <c r="B7" s="4" t="s">
        <v>1216</v>
      </c>
      <c r="C7" s="10">
        <v>12</v>
      </c>
      <c r="D7" s="10">
        <v>10</v>
      </c>
      <c r="E7" s="8">
        <f t="shared" si="0"/>
        <v>7.2289156626506021E-2</v>
      </c>
      <c r="F7" s="8">
        <f>D7/$D$8</f>
        <v>6.0240963855421686E-2</v>
      </c>
    </row>
    <row r="8" spans="2:10" x14ac:dyDescent="0.25">
      <c r="C8">
        <f>SUM(C4:C7)</f>
        <v>166</v>
      </c>
      <c r="D8">
        <f>SUM(D4:D7)</f>
        <v>166</v>
      </c>
    </row>
    <row r="10" spans="2:10" x14ac:dyDescent="0.25">
      <c r="B10" s="4" t="s">
        <v>1225</v>
      </c>
      <c r="C10" s="4"/>
      <c r="D10" t="s">
        <v>1147</v>
      </c>
      <c r="E10" t="s">
        <v>1234</v>
      </c>
    </row>
    <row r="11" spans="2:10" x14ac:dyDescent="0.25">
      <c r="B11" t="s">
        <v>1219</v>
      </c>
      <c r="D11">
        <v>38</v>
      </c>
      <c r="E11" s="8">
        <f t="shared" ref="E11:E20" si="1">D11/$J$4</f>
        <v>0.45238095238095238</v>
      </c>
    </row>
    <row r="12" spans="2:10" x14ac:dyDescent="0.25">
      <c r="B12" t="s">
        <v>1217</v>
      </c>
      <c r="D12">
        <v>25</v>
      </c>
      <c r="E12" s="8">
        <f t="shared" si="1"/>
        <v>0.29761904761904762</v>
      </c>
    </row>
    <row r="13" spans="2:10" x14ac:dyDescent="0.25">
      <c r="B13" t="s">
        <v>1218</v>
      </c>
      <c r="D13">
        <v>22</v>
      </c>
      <c r="E13" s="8">
        <f t="shared" si="1"/>
        <v>0.26190476190476192</v>
      </c>
    </row>
    <row r="14" spans="2:10" x14ac:dyDescent="0.25">
      <c r="B14" t="s">
        <v>1224</v>
      </c>
      <c r="D14">
        <v>21</v>
      </c>
      <c r="E14" s="8">
        <f t="shared" si="1"/>
        <v>0.25</v>
      </c>
    </row>
    <row r="15" spans="2:10" x14ac:dyDescent="0.25">
      <c r="B15" t="s">
        <v>1223</v>
      </c>
      <c r="D15">
        <v>13</v>
      </c>
      <c r="E15" s="8">
        <f t="shared" si="1"/>
        <v>0.15476190476190477</v>
      </c>
    </row>
    <row r="16" spans="2:10" x14ac:dyDescent="0.25">
      <c r="B16" t="s">
        <v>1096</v>
      </c>
      <c r="D16">
        <v>13</v>
      </c>
      <c r="E16" s="8">
        <f t="shared" si="1"/>
        <v>0.15476190476190477</v>
      </c>
    </row>
    <row r="17" spans="2:5" x14ac:dyDescent="0.25">
      <c r="B17" t="s">
        <v>1222</v>
      </c>
      <c r="D17">
        <v>12</v>
      </c>
      <c r="E17" s="8">
        <f t="shared" si="1"/>
        <v>0.14285714285714285</v>
      </c>
    </row>
    <row r="18" spans="2:5" x14ac:dyDescent="0.25">
      <c r="B18" t="s">
        <v>1220</v>
      </c>
      <c r="D18">
        <v>2</v>
      </c>
      <c r="E18" s="8">
        <f t="shared" si="1"/>
        <v>2.3809523809523808E-2</v>
      </c>
    </row>
    <row r="19" spans="2:5" x14ac:dyDescent="0.25">
      <c r="B19" t="s">
        <v>1233</v>
      </c>
      <c r="D19">
        <v>1</v>
      </c>
      <c r="E19" s="8">
        <f t="shared" si="1"/>
        <v>1.1904761904761904E-2</v>
      </c>
    </row>
    <row r="20" spans="2:5" x14ac:dyDescent="0.25">
      <c r="B20" t="s">
        <v>1221</v>
      </c>
      <c r="D20">
        <v>0</v>
      </c>
      <c r="E20" s="8">
        <f t="shared" si="1"/>
        <v>0</v>
      </c>
    </row>
    <row r="23" spans="2:5" x14ac:dyDescent="0.25">
      <c r="B23" s="4" t="s">
        <v>1226</v>
      </c>
      <c r="C23" s="4"/>
      <c r="D23" t="s">
        <v>1147</v>
      </c>
      <c r="E23" t="s">
        <v>1234</v>
      </c>
    </row>
    <row r="24" spans="2:5" x14ac:dyDescent="0.25">
      <c r="B24" t="s">
        <v>1227</v>
      </c>
      <c r="D24">
        <v>72</v>
      </c>
      <c r="E24" s="8">
        <f t="shared" ref="E24:E31" si="2">D24/$J$5</f>
        <v>0.87804878048780488</v>
      </c>
    </row>
    <row r="25" spans="2:5" x14ac:dyDescent="0.25">
      <c r="B25" t="s">
        <v>1112</v>
      </c>
      <c r="D25">
        <v>19</v>
      </c>
      <c r="E25" s="8">
        <f t="shared" si="2"/>
        <v>0.23170731707317074</v>
      </c>
    </row>
    <row r="26" spans="2:5" x14ac:dyDescent="0.25">
      <c r="B26" t="s">
        <v>1096</v>
      </c>
      <c r="D26">
        <v>15</v>
      </c>
      <c r="E26" s="8">
        <f t="shared" si="2"/>
        <v>0.18292682926829268</v>
      </c>
    </row>
    <row r="27" spans="2:5" x14ac:dyDescent="0.25">
      <c r="B27" t="s">
        <v>1229</v>
      </c>
      <c r="D27">
        <v>11</v>
      </c>
      <c r="E27" s="8">
        <f t="shared" si="2"/>
        <v>0.13414634146341464</v>
      </c>
    </row>
    <row r="28" spans="2:5" x14ac:dyDescent="0.25">
      <c r="B28" t="s">
        <v>1231</v>
      </c>
      <c r="D28">
        <v>9</v>
      </c>
      <c r="E28" s="8">
        <f t="shared" si="2"/>
        <v>0.10975609756097561</v>
      </c>
    </row>
    <row r="29" spans="2:5" x14ac:dyDescent="0.25">
      <c r="B29" t="s">
        <v>1228</v>
      </c>
      <c r="D29">
        <v>8</v>
      </c>
      <c r="E29" s="8">
        <f t="shared" si="2"/>
        <v>9.7560975609756101E-2</v>
      </c>
    </row>
    <row r="30" spans="2:5" x14ac:dyDescent="0.25">
      <c r="B30" t="s">
        <v>1232</v>
      </c>
      <c r="D30">
        <v>7</v>
      </c>
      <c r="E30" s="8">
        <f t="shared" si="2"/>
        <v>8.5365853658536592E-2</v>
      </c>
    </row>
    <row r="31" spans="2:5" x14ac:dyDescent="0.25">
      <c r="B31" t="s">
        <v>1230</v>
      </c>
      <c r="D31">
        <v>3</v>
      </c>
      <c r="E31" s="8">
        <f t="shared" si="2"/>
        <v>3.6585365853658534E-2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D16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62" sqref="C62"/>
    </sheetView>
  </sheetViews>
  <sheetFormatPr baseColWidth="10" defaultColWidth="9.140625" defaultRowHeight="15" x14ac:dyDescent="0.25"/>
  <cols>
    <col min="5" max="5" width="9.140625" customWidth="1"/>
    <col min="6" max="6" width="11.85546875" customWidth="1"/>
    <col min="7" max="7" width="10.42578125" customWidth="1"/>
    <col min="8" max="10" width="9.140625" customWidth="1"/>
    <col min="11" max="11" width="10.28515625" customWidth="1"/>
    <col min="12" max="12" width="11.28515625" customWidth="1"/>
    <col min="13" max="13" width="14" customWidth="1"/>
    <col min="14" max="14" width="27.140625" customWidth="1"/>
    <col min="15" max="21" width="9.140625" customWidth="1"/>
    <col min="26" max="26" width="15.42578125" customWidth="1"/>
    <col min="29" max="29" width="10.28515625" customWidth="1"/>
    <col min="32" max="32" width="13" customWidth="1"/>
    <col min="33" max="33" width="17.85546875" customWidth="1"/>
    <col min="63" max="63" width="16.7109375" customWidth="1"/>
    <col min="64" max="65" width="10.42578125" customWidth="1"/>
    <col min="66" max="66" width="9.42578125" customWidth="1"/>
    <col min="70" max="70" width="11.7109375" customWidth="1"/>
    <col min="83" max="83" width="39.7109375" customWidth="1"/>
    <col min="174" max="174" width="33" customWidth="1"/>
    <col min="175" max="175" width="28.5703125" bestFit="1" customWidth="1"/>
    <col min="176" max="176" width="40.28515625" bestFit="1" customWidth="1"/>
    <col min="184" max="184" width="24.28515625" customWidth="1"/>
    <col min="185" max="185" width="69" bestFit="1" customWidth="1"/>
    <col min="186" max="186" width="31.7109375" customWidth="1"/>
  </cols>
  <sheetData>
    <row r="1" spans="1:186" x14ac:dyDescent="0.25">
      <c r="A1" t="s">
        <v>0</v>
      </c>
      <c r="B1" t="s">
        <v>1</v>
      </c>
      <c r="C1" t="s">
        <v>2</v>
      </c>
      <c r="D1" t="s">
        <v>3</v>
      </c>
      <c r="E1" t="s">
        <v>1030</v>
      </c>
      <c r="F1" t="s">
        <v>1031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1064</v>
      </c>
      <c r="BN1" t="s">
        <v>226</v>
      </c>
      <c r="BO1" t="s">
        <v>362</v>
      </c>
      <c r="BP1" t="s">
        <v>258</v>
      </c>
      <c r="BQ1" t="s">
        <v>389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144</v>
      </c>
      <c r="EW1" t="s">
        <v>145</v>
      </c>
      <c r="EX1" t="s">
        <v>146</v>
      </c>
      <c r="EY1" t="s">
        <v>147</v>
      </c>
      <c r="EZ1" t="s">
        <v>148</v>
      </c>
      <c r="FA1" t="s">
        <v>149</v>
      </c>
      <c r="FB1" t="s">
        <v>150</v>
      </c>
      <c r="FC1" t="s">
        <v>151</v>
      </c>
      <c r="FD1" t="s">
        <v>152</v>
      </c>
      <c r="FE1" t="s">
        <v>153</v>
      </c>
      <c r="FF1" t="s">
        <v>154</v>
      </c>
      <c r="FG1" t="s">
        <v>155</v>
      </c>
      <c r="FH1" t="s">
        <v>156</v>
      </c>
      <c r="FI1" t="s">
        <v>157</v>
      </c>
      <c r="FJ1" t="s">
        <v>158</v>
      </c>
      <c r="FK1" t="s">
        <v>159</v>
      </c>
      <c r="FL1" t="s">
        <v>160</v>
      </c>
      <c r="FM1" t="s">
        <v>161</v>
      </c>
      <c r="FN1" t="s">
        <v>162</v>
      </c>
      <c r="FO1" t="s">
        <v>163</v>
      </c>
      <c r="FP1" t="s">
        <v>164</v>
      </c>
      <c r="FQ1" t="s">
        <v>165</v>
      </c>
      <c r="FR1" t="s">
        <v>1155</v>
      </c>
      <c r="FS1" t="s">
        <v>1156</v>
      </c>
      <c r="FT1" t="s">
        <v>1157</v>
      </c>
      <c r="FU1" t="s">
        <v>166</v>
      </c>
      <c r="FV1" t="s">
        <v>167</v>
      </c>
      <c r="FW1" t="s">
        <v>168</v>
      </c>
      <c r="FX1" t="s">
        <v>169</v>
      </c>
      <c r="FY1" t="s">
        <v>170</v>
      </c>
      <c r="FZ1" t="s">
        <v>171</v>
      </c>
      <c r="GA1" t="s">
        <v>172</v>
      </c>
      <c r="GB1" t="s">
        <v>173</v>
      </c>
      <c r="GC1" t="s">
        <v>174</v>
      </c>
      <c r="GD1" t="s">
        <v>175</v>
      </c>
    </row>
    <row r="2" spans="1:186" hidden="1" x14ac:dyDescent="0.25">
      <c r="A2" s="1">
        <v>46132.427287789353</v>
      </c>
      <c r="B2" s="1">
        <v>46132.432707187501</v>
      </c>
      <c r="C2" t="s">
        <v>176</v>
      </c>
      <c r="D2">
        <v>1</v>
      </c>
      <c r="E2">
        <v>1</v>
      </c>
      <c r="F2" t="b">
        <f>E2=D2</f>
        <v>1</v>
      </c>
      <c r="G2" s="1">
        <v>46131</v>
      </c>
      <c r="H2">
        <v>1</v>
      </c>
      <c r="I2" t="s">
        <v>177</v>
      </c>
      <c r="J2" t="s">
        <v>178</v>
      </c>
      <c r="K2" t="s">
        <v>179</v>
      </c>
      <c r="L2" t="s">
        <v>180</v>
      </c>
      <c r="M2" t="s">
        <v>181</v>
      </c>
      <c r="N2" t="s">
        <v>182</v>
      </c>
      <c r="O2">
        <v>17</v>
      </c>
      <c r="P2" t="s">
        <v>183</v>
      </c>
      <c r="Q2">
        <v>0</v>
      </c>
      <c r="R2">
        <v>0</v>
      </c>
      <c r="S2">
        <v>0</v>
      </c>
      <c r="T2">
        <v>0</v>
      </c>
      <c r="U2">
        <v>0</v>
      </c>
      <c r="V2" t="s">
        <v>184</v>
      </c>
      <c r="W2">
        <v>58</v>
      </c>
      <c r="X2" t="s">
        <v>181</v>
      </c>
      <c r="Z2" t="s">
        <v>185</v>
      </c>
      <c r="AB2" t="s">
        <v>186</v>
      </c>
      <c r="AC2" t="s">
        <v>187</v>
      </c>
      <c r="AD2" t="s">
        <v>188</v>
      </c>
      <c r="AE2" t="s">
        <v>189</v>
      </c>
      <c r="AF2" t="s">
        <v>190</v>
      </c>
      <c r="AW2" t="s">
        <v>191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K2" t="s">
        <v>190</v>
      </c>
      <c r="BL2" t="s">
        <v>192</v>
      </c>
      <c r="BM2">
        <v>0</v>
      </c>
      <c r="BN2">
        <v>1</v>
      </c>
      <c r="BO2">
        <v>1</v>
      </c>
      <c r="BP2">
        <v>0</v>
      </c>
      <c r="BQ2">
        <v>0</v>
      </c>
      <c r="BR2" t="s">
        <v>193</v>
      </c>
      <c r="BS2" t="s">
        <v>194</v>
      </c>
      <c r="BT2" t="s">
        <v>181</v>
      </c>
      <c r="BU2" t="s">
        <v>181</v>
      </c>
      <c r="BV2" t="s">
        <v>195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 t="s">
        <v>196</v>
      </c>
      <c r="CD2" t="s">
        <v>194</v>
      </c>
      <c r="CZ2" t="s">
        <v>194</v>
      </c>
      <c r="DB2" t="s">
        <v>194</v>
      </c>
      <c r="DD2" t="s">
        <v>194</v>
      </c>
      <c r="DF2" t="s">
        <v>181</v>
      </c>
      <c r="DG2" t="s">
        <v>197</v>
      </c>
      <c r="DH2" t="s">
        <v>198</v>
      </c>
      <c r="DJ2" t="s">
        <v>194</v>
      </c>
      <c r="DL2" t="s">
        <v>194</v>
      </c>
      <c r="DN2" t="s">
        <v>194</v>
      </c>
      <c r="DP2" t="s">
        <v>181</v>
      </c>
      <c r="DQ2" t="s">
        <v>197</v>
      </c>
      <c r="DR2" t="s">
        <v>198</v>
      </c>
      <c r="DT2" t="s">
        <v>198</v>
      </c>
      <c r="DV2" t="s">
        <v>194</v>
      </c>
      <c r="DX2" t="s">
        <v>194</v>
      </c>
      <c r="DZ2" t="s">
        <v>181</v>
      </c>
      <c r="EA2" t="s">
        <v>197</v>
      </c>
      <c r="EB2" t="s">
        <v>194</v>
      </c>
      <c r="ED2" t="s">
        <v>181</v>
      </c>
      <c r="EE2" t="s">
        <v>199</v>
      </c>
      <c r="EF2" t="s">
        <v>194</v>
      </c>
      <c r="EI2" t="s">
        <v>181</v>
      </c>
      <c r="EJ2" t="s">
        <v>199</v>
      </c>
      <c r="EK2" t="s">
        <v>194</v>
      </c>
      <c r="EM2" t="s">
        <v>194</v>
      </c>
      <c r="EP2" t="s">
        <v>194</v>
      </c>
      <c r="ES2" t="s">
        <v>194</v>
      </c>
      <c r="EV2" t="s">
        <v>181</v>
      </c>
      <c r="EW2" t="s">
        <v>194</v>
      </c>
      <c r="EY2" t="s">
        <v>194</v>
      </c>
      <c r="FB2" t="s">
        <v>181</v>
      </c>
      <c r="FC2" t="s">
        <v>194</v>
      </c>
      <c r="FE2" t="s">
        <v>194</v>
      </c>
      <c r="FH2" t="s">
        <v>181</v>
      </c>
      <c r="FI2" t="s">
        <v>194</v>
      </c>
      <c r="FK2" t="s">
        <v>194</v>
      </c>
      <c r="FN2" t="s">
        <v>194</v>
      </c>
      <c r="FR2" t="s">
        <v>278</v>
      </c>
      <c r="FS2" t="s">
        <v>201</v>
      </c>
      <c r="FU2" t="s">
        <v>194</v>
      </c>
      <c r="GC2" t="s">
        <v>202</v>
      </c>
      <c r="GD2" t="s">
        <v>203</v>
      </c>
    </row>
    <row r="3" spans="1:186" hidden="1" x14ac:dyDescent="0.25">
      <c r="A3" s="1">
        <v>46133.328510902778</v>
      </c>
      <c r="B3" s="1">
        <v>46133.332407708331</v>
      </c>
      <c r="C3" t="s">
        <v>261</v>
      </c>
      <c r="D3">
        <v>2</v>
      </c>
      <c r="E3">
        <v>2</v>
      </c>
      <c r="F3" t="b">
        <f t="shared" ref="F3:F66" si="0">E3=D3</f>
        <v>1</v>
      </c>
      <c r="G3" s="1">
        <v>46131</v>
      </c>
      <c r="H3">
        <v>1</v>
      </c>
      <c r="I3" t="s">
        <v>204</v>
      </c>
      <c r="J3" t="s">
        <v>178</v>
      </c>
      <c r="K3" t="s">
        <v>262</v>
      </c>
      <c r="L3" t="s">
        <v>263</v>
      </c>
      <c r="M3" t="s">
        <v>181</v>
      </c>
      <c r="N3" t="s">
        <v>182</v>
      </c>
      <c r="O3">
        <v>8</v>
      </c>
      <c r="P3" t="s">
        <v>183</v>
      </c>
      <c r="Q3">
        <v>0</v>
      </c>
      <c r="R3">
        <v>0</v>
      </c>
      <c r="S3">
        <v>0</v>
      </c>
      <c r="T3">
        <v>0</v>
      </c>
      <c r="U3">
        <v>0</v>
      </c>
      <c r="V3" t="s">
        <v>222</v>
      </c>
      <c r="W3">
        <v>62</v>
      </c>
      <c r="X3" t="s">
        <v>181</v>
      </c>
      <c r="Z3" t="s">
        <v>264</v>
      </c>
      <c r="AA3" t="s">
        <v>1032</v>
      </c>
      <c r="AB3" t="s">
        <v>186</v>
      </c>
      <c r="AC3" t="s">
        <v>257</v>
      </c>
      <c r="AD3" t="s">
        <v>188</v>
      </c>
      <c r="AE3" t="s">
        <v>265</v>
      </c>
      <c r="AF3" t="s">
        <v>190</v>
      </c>
      <c r="AW3" t="s">
        <v>266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 t="s">
        <v>1057</v>
      </c>
      <c r="BK3" t="s">
        <v>190</v>
      </c>
      <c r="BL3" t="s">
        <v>226</v>
      </c>
      <c r="BM3">
        <v>0</v>
      </c>
      <c r="BN3">
        <v>1</v>
      </c>
      <c r="BO3">
        <v>0</v>
      </c>
      <c r="BP3">
        <v>0</v>
      </c>
      <c r="BQ3">
        <v>0</v>
      </c>
      <c r="BR3" t="s">
        <v>212</v>
      </c>
      <c r="BS3" t="s">
        <v>194</v>
      </c>
      <c r="BT3" t="s">
        <v>194</v>
      </c>
      <c r="BU3" t="s">
        <v>194</v>
      </c>
      <c r="CD3" t="s">
        <v>194</v>
      </c>
      <c r="CZ3" t="s">
        <v>194</v>
      </c>
      <c r="DB3" t="s">
        <v>194</v>
      </c>
      <c r="DD3" t="s">
        <v>181</v>
      </c>
      <c r="DE3" t="s">
        <v>199</v>
      </c>
      <c r="DF3" t="s">
        <v>181</v>
      </c>
      <c r="DG3" t="s">
        <v>199</v>
      </c>
      <c r="DH3" t="s">
        <v>194</v>
      </c>
      <c r="DJ3" t="s">
        <v>194</v>
      </c>
      <c r="DL3" t="s">
        <v>194</v>
      </c>
      <c r="DN3" t="s">
        <v>194</v>
      </c>
      <c r="DP3" t="s">
        <v>194</v>
      </c>
      <c r="DR3" t="s">
        <v>194</v>
      </c>
      <c r="DT3" t="s">
        <v>194</v>
      </c>
      <c r="DV3" t="s">
        <v>194</v>
      </c>
      <c r="DX3" t="s">
        <v>194</v>
      </c>
      <c r="DZ3" t="s">
        <v>181</v>
      </c>
      <c r="EA3" t="s">
        <v>199</v>
      </c>
      <c r="EB3" t="s">
        <v>194</v>
      </c>
      <c r="ED3" t="s">
        <v>194</v>
      </c>
      <c r="EF3" t="s">
        <v>194</v>
      </c>
      <c r="EI3" t="s">
        <v>194</v>
      </c>
      <c r="EM3" t="s">
        <v>181</v>
      </c>
      <c r="EN3" t="s">
        <v>194</v>
      </c>
      <c r="EP3" t="s">
        <v>194</v>
      </c>
      <c r="ES3" t="s">
        <v>194</v>
      </c>
      <c r="EV3" t="s">
        <v>181</v>
      </c>
      <c r="EW3" t="s">
        <v>194</v>
      </c>
      <c r="EY3" t="s">
        <v>194</v>
      </c>
      <c r="FB3" t="s">
        <v>181</v>
      </c>
      <c r="FC3" t="s">
        <v>194</v>
      </c>
      <c r="FE3" t="s">
        <v>181</v>
      </c>
      <c r="FF3" t="s">
        <v>181</v>
      </c>
      <c r="FG3" t="s">
        <v>250</v>
      </c>
      <c r="FH3" t="s">
        <v>181</v>
      </c>
      <c r="FI3" t="s">
        <v>194</v>
      </c>
      <c r="FK3" t="s">
        <v>194</v>
      </c>
      <c r="FN3" t="s">
        <v>194</v>
      </c>
      <c r="FR3" t="s">
        <v>218</v>
      </c>
      <c r="FU3" t="s">
        <v>194</v>
      </c>
      <c r="GC3" t="s">
        <v>202</v>
      </c>
    </row>
    <row r="4" spans="1:186" x14ac:dyDescent="0.25">
      <c r="A4" s="1">
        <v>46133.335197280103</v>
      </c>
      <c r="B4" s="1">
        <v>46133.338396979168</v>
      </c>
      <c r="C4" t="s">
        <v>261</v>
      </c>
      <c r="D4">
        <v>3</v>
      </c>
      <c r="E4">
        <v>3</v>
      </c>
      <c r="F4" t="b">
        <f t="shared" si="0"/>
        <v>1</v>
      </c>
      <c r="G4" s="1">
        <v>46131</v>
      </c>
      <c r="H4">
        <v>1</v>
      </c>
      <c r="I4" t="s">
        <v>267</v>
      </c>
      <c r="J4" t="s">
        <v>178</v>
      </c>
      <c r="K4" t="s">
        <v>268</v>
      </c>
      <c r="L4" t="s">
        <v>269</v>
      </c>
      <c r="M4" t="s">
        <v>181</v>
      </c>
      <c r="N4" t="s">
        <v>182</v>
      </c>
      <c r="O4">
        <v>15</v>
      </c>
      <c r="P4" t="s">
        <v>183</v>
      </c>
      <c r="Q4">
        <v>0</v>
      </c>
      <c r="R4">
        <v>0</v>
      </c>
      <c r="S4">
        <v>0</v>
      </c>
      <c r="T4">
        <v>0</v>
      </c>
      <c r="U4">
        <v>0</v>
      </c>
      <c r="V4" t="s">
        <v>222</v>
      </c>
      <c r="W4">
        <v>54</v>
      </c>
      <c r="X4" t="s">
        <v>181</v>
      </c>
      <c r="Z4" t="s">
        <v>270</v>
      </c>
      <c r="AB4" t="s">
        <v>186</v>
      </c>
      <c r="AC4" t="s">
        <v>209</v>
      </c>
      <c r="AD4" t="s">
        <v>188</v>
      </c>
      <c r="AE4" t="s">
        <v>189</v>
      </c>
      <c r="AF4" t="s">
        <v>224</v>
      </c>
      <c r="AG4" t="s">
        <v>271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 t="s">
        <v>272</v>
      </c>
      <c r="BK4" t="s">
        <v>224</v>
      </c>
      <c r="BL4" t="s">
        <v>226</v>
      </c>
      <c r="BM4">
        <v>0</v>
      </c>
      <c r="BN4">
        <v>1</v>
      </c>
      <c r="BO4">
        <v>0</v>
      </c>
      <c r="BP4">
        <v>0</v>
      </c>
      <c r="BQ4">
        <v>0</v>
      </c>
      <c r="BR4" t="s">
        <v>227</v>
      </c>
      <c r="BS4" t="s">
        <v>194</v>
      </c>
      <c r="BT4" t="s">
        <v>194</v>
      </c>
      <c r="BU4" t="s">
        <v>194</v>
      </c>
      <c r="CD4" t="s">
        <v>194</v>
      </c>
      <c r="CZ4" t="s">
        <v>194</v>
      </c>
      <c r="DB4" t="s">
        <v>194</v>
      </c>
      <c r="DD4" t="s">
        <v>194</v>
      </c>
      <c r="DF4" t="s">
        <v>194</v>
      </c>
      <c r="DH4" t="s">
        <v>181</v>
      </c>
      <c r="DI4" t="s">
        <v>197</v>
      </c>
      <c r="DJ4" t="s">
        <v>194</v>
      </c>
      <c r="DL4" t="s">
        <v>194</v>
      </c>
      <c r="DN4" t="s">
        <v>194</v>
      </c>
      <c r="DP4" t="s">
        <v>194</v>
      </c>
      <c r="DR4" t="s">
        <v>194</v>
      </c>
      <c r="DT4" t="s">
        <v>194</v>
      </c>
      <c r="DV4" t="s">
        <v>194</v>
      </c>
      <c r="DX4" t="s">
        <v>194</v>
      </c>
      <c r="DZ4" t="s">
        <v>194</v>
      </c>
      <c r="EB4" t="s">
        <v>194</v>
      </c>
      <c r="ED4" t="s">
        <v>194</v>
      </c>
      <c r="EF4" t="s">
        <v>194</v>
      </c>
      <c r="EI4" t="s">
        <v>181</v>
      </c>
      <c r="EJ4" t="s">
        <v>215</v>
      </c>
      <c r="EK4" t="s">
        <v>194</v>
      </c>
      <c r="EM4" t="s">
        <v>181</v>
      </c>
      <c r="EN4" t="s">
        <v>194</v>
      </c>
      <c r="EP4" t="s">
        <v>194</v>
      </c>
      <c r="ES4" t="s">
        <v>194</v>
      </c>
      <c r="EV4" t="s">
        <v>181</v>
      </c>
      <c r="EW4" t="s">
        <v>194</v>
      </c>
      <c r="EY4" t="s">
        <v>194</v>
      </c>
      <c r="FB4" t="s">
        <v>194</v>
      </c>
      <c r="FE4" t="s">
        <v>181</v>
      </c>
      <c r="FF4" t="s">
        <v>181</v>
      </c>
      <c r="FG4" t="s">
        <v>250</v>
      </c>
      <c r="FH4" t="s">
        <v>181</v>
      </c>
      <c r="FI4" t="s">
        <v>194</v>
      </c>
      <c r="FK4" t="s">
        <v>181</v>
      </c>
      <c r="FL4" t="s">
        <v>194</v>
      </c>
      <c r="FN4" t="s">
        <v>194</v>
      </c>
      <c r="FR4" t="s">
        <v>218</v>
      </c>
      <c r="FS4" t="s">
        <v>273</v>
      </c>
      <c r="FT4" t="s">
        <v>274</v>
      </c>
      <c r="FU4" t="s">
        <v>194</v>
      </c>
      <c r="GC4" t="s">
        <v>202</v>
      </c>
    </row>
    <row r="5" spans="1:186" hidden="1" x14ac:dyDescent="0.25">
      <c r="A5" s="1">
        <v>46133.338397766202</v>
      </c>
      <c r="B5" s="1">
        <v>46133.350738356479</v>
      </c>
      <c r="C5" t="s">
        <v>261</v>
      </c>
      <c r="D5">
        <v>4</v>
      </c>
      <c r="E5">
        <v>4</v>
      </c>
      <c r="F5" t="b">
        <f t="shared" si="0"/>
        <v>1</v>
      </c>
      <c r="G5" s="1">
        <v>46131</v>
      </c>
      <c r="H5">
        <v>1</v>
      </c>
      <c r="I5" t="s">
        <v>204</v>
      </c>
      <c r="J5" t="s">
        <v>178</v>
      </c>
      <c r="K5" t="s">
        <v>275</v>
      </c>
      <c r="L5" t="s">
        <v>276</v>
      </c>
      <c r="M5" t="s">
        <v>181</v>
      </c>
      <c r="N5" t="s">
        <v>182</v>
      </c>
      <c r="O5">
        <v>17</v>
      </c>
      <c r="P5" t="s">
        <v>183</v>
      </c>
      <c r="Q5">
        <v>0</v>
      </c>
      <c r="R5">
        <v>0</v>
      </c>
      <c r="S5">
        <v>0</v>
      </c>
      <c r="T5">
        <v>0</v>
      </c>
      <c r="U5">
        <v>0</v>
      </c>
      <c r="V5" t="s">
        <v>184</v>
      </c>
      <c r="W5">
        <v>61</v>
      </c>
      <c r="X5" t="s">
        <v>181</v>
      </c>
      <c r="Z5" t="s">
        <v>270</v>
      </c>
      <c r="AB5" t="s">
        <v>186</v>
      </c>
      <c r="AC5" t="s">
        <v>209</v>
      </c>
      <c r="AD5" t="s">
        <v>188</v>
      </c>
      <c r="AE5" t="s">
        <v>198</v>
      </c>
      <c r="AF5" t="s">
        <v>190</v>
      </c>
      <c r="AW5" t="s">
        <v>191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K5" t="s">
        <v>190</v>
      </c>
      <c r="BL5" t="s">
        <v>226</v>
      </c>
      <c r="BM5">
        <v>0</v>
      </c>
      <c r="BN5">
        <v>1</v>
      </c>
      <c r="BO5">
        <v>0</v>
      </c>
      <c r="BP5">
        <v>0</v>
      </c>
      <c r="BQ5">
        <v>0</v>
      </c>
      <c r="BR5" t="s">
        <v>193</v>
      </c>
      <c r="BS5" t="s">
        <v>194</v>
      </c>
      <c r="BT5" t="s">
        <v>181</v>
      </c>
      <c r="BU5" t="s">
        <v>194</v>
      </c>
      <c r="CD5" t="s">
        <v>181</v>
      </c>
      <c r="CE5" t="s">
        <v>277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Q5" t="s">
        <v>194</v>
      </c>
      <c r="CZ5" t="s">
        <v>194</v>
      </c>
      <c r="DB5" t="s">
        <v>194</v>
      </c>
      <c r="DD5" t="s">
        <v>194</v>
      </c>
      <c r="DF5" t="s">
        <v>181</v>
      </c>
      <c r="DG5" t="s">
        <v>199</v>
      </c>
      <c r="DH5" t="s">
        <v>194</v>
      </c>
      <c r="DJ5" t="s">
        <v>181</v>
      </c>
      <c r="DK5" t="s">
        <v>197</v>
      </c>
      <c r="DL5" t="s">
        <v>181</v>
      </c>
      <c r="DM5" t="s">
        <v>197</v>
      </c>
      <c r="DN5" t="s">
        <v>194</v>
      </c>
      <c r="DP5" t="s">
        <v>194</v>
      </c>
      <c r="DR5" t="s">
        <v>194</v>
      </c>
      <c r="DT5" t="s">
        <v>194</v>
      </c>
      <c r="DV5" t="s">
        <v>194</v>
      </c>
      <c r="DX5" t="s">
        <v>194</v>
      </c>
      <c r="DZ5" t="s">
        <v>194</v>
      </c>
      <c r="EB5" t="s">
        <v>194</v>
      </c>
      <c r="ED5" t="s">
        <v>194</v>
      </c>
      <c r="EF5" t="s">
        <v>194</v>
      </c>
      <c r="EI5" t="s">
        <v>181</v>
      </c>
      <c r="EJ5" t="s">
        <v>199</v>
      </c>
      <c r="EK5" t="s">
        <v>194</v>
      </c>
      <c r="EM5" t="s">
        <v>194</v>
      </c>
      <c r="EP5" t="s">
        <v>194</v>
      </c>
      <c r="ES5" t="s">
        <v>194</v>
      </c>
      <c r="EV5" t="s">
        <v>181</v>
      </c>
      <c r="EW5" t="s">
        <v>194</v>
      </c>
      <c r="EY5" t="s">
        <v>194</v>
      </c>
      <c r="FB5" t="s">
        <v>194</v>
      </c>
      <c r="FE5" t="s">
        <v>194</v>
      </c>
      <c r="FH5" t="s">
        <v>194</v>
      </c>
      <c r="FK5" t="s">
        <v>194</v>
      </c>
      <c r="FN5" t="s">
        <v>194</v>
      </c>
      <c r="FR5" t="s">
        <v>237</v>
      </c>
      <c r="FS5" t="s">
        <v>278</v>
      </c>
      <c r="FU5" t="s">
        <v>279</v>
      </c>
      <c r="GC5" t="s">
        <v>202</v>
      </c>
    </row>
    <row r="6" spans="1:186" hidden="1" x14ac:dyDescent="0.25">
      <c r="A6" s="1">
        <v>46133.350739120368</v>
      </c>
      <c r="B6" s="1">
        <v>46133.354047129629</v>
      </c>
      <c r="C6" t="s">
        <v>261</v>
      </c>
      <c r="D6">
        <v>5</v>
      </c>
      <c r="E6">
        <v>5</v>
      </c>
      <c r="F6" t="b">
        <f t="shared" si="0"/>
        <v>1</v>
      </c>
      <c r="G6" s="1">
        <v>46131</v>
      </c>
      <c r="H6">
        <v>1</v>
      </c>
      <c r="I6" t="s">
        <v>177</v>
      </c>
      <c r="J6" t="s">
        <v>178</v>
      </c>
      <c r="K6" t="s">
        <v>280</v>
      </c>
      <c r="L6" t="s">
        <v>281</v>
      </c>
      <c r="M6" t="s">
        <v>181</v>
      </c>
      <c r="N6" t="s">
        <v>182</v>
      </c>
      <c r="O6">
        <v>15</v>
      </c>
      <c r="P6" t="s">
        <v>183</v>
      </c>
      <c r="Q6">
        <v>0</v>
      </c>
      <c r="R6">
        <v>0</v>
      </c>
      <c r="S6">
        <v>0</v>
      </c>
      <c r="T6">
        <v>0</v>
      </c>
      <c r="U6">
        <v>0</v>
      </c>
      <c r="V6" t="s">
        <v>222</v>
      </c>
      <c r="W6">
        <v>35</v>
      </c>
      <c r="X6" t="s">
        <v>181</v>
      </c>
      <c r="Z6" t="s">
        <v>270</v>
      </c>
      <c r="AB6" t="s">
        <v>223</v>
      </c>
      <c r="AC6" t="s">
        <v>257</v>
      </c>
      <c r="AD6" t="s">
        <v>188</v>
      </c>
      <c r="AE6" t="s">
        <v>189</v>
      </c>
      <c r="AF6" t="s">
        <v>224</v>
      </c>
      <c r="AG6" t="s">
        <v>225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BK6" t="s">
        <v>224</v>
      </c>
      <c r="BL6" t="s">
        <v>226</v>
      </c>
      <c r="BM6">
        <v>0</v>
      </c>
      <c r="BN6">
        <v>1</v>
      </c>
      <c r="BO6">
        <v>0</v>
      </c>
      <c r="BP6">
        <v>0</v>
      </c>
      <c r="BQ6">
        <v>0</v>
      </c>
      <c r="BR6" t="s">
        <v>227</v>
      </c>
      <c r="BS6" t="s">
        <v>194</v>
      </c>
      <c r="BT6" t="s">
        <v>194</v>
      </c>
      <c r="BU6" t="s">
        <v>181</v>
      </c>
      <c r="BV6" t="s">
        <v>195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 t="s">
        <v>282</v>
      </c>
      <c r="CD6" t="s">
        <v>181</v>
      </c>
      <c r="CE6" t="s">
        <v>283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T6" t="s">
        <v>194</v>
      </c>
      <c r="CZ6" t="s">
        <v>194</v>
      </c>
      <c r="DB6" t="s">
        <v>194</v>
      </c>
      <c r="DD6" t="s">
        <v>194</v>
      </c>
      <c r="DF6" t="s">
        <v>181</v>
      </c>
      <c r="DG6" t="s">
        <v>197</v>
      </c>
      <c r="DH6" t="s">
        <v>194</v>
      </c>
      <c r="DJ6" t="s">
        <v>194</v>
      </c>
      <c r="DL6" t="s">
        <v>181</v>
      </c>
      <c r="DM6" t="s">
        <v>215</v>
      </c>
      <c r="DN6" t="s">
        <v>194</v>
      </c>
      <c r="DP6" t="s">
        <v>194</v>
      </c>
      <c r="DR6" t="s">
        <v>181</v>
      </c>
      <c r="DS6" t="s">
        <v>199</v>
      </c>
      <c r="DT6" t="s">
        <v>194</v>
      </c>
      <c r="DV6" t="s">
        <v>194</v>
      </c>
      <c r="DX6" t="s">
        <v>194</v>
      </c>
      <c r="DZ6" t="s">
        <v>181</v>
      </c>
      <c r="EA6" t="s">
        <v>197</v>
      </c>
      <c r="EB6" t="s">
        <v>194</v>
      </c>
      <c r="ED6" t="s">
        <v>181</v>
      </c>
      <c r="EE6" t="s">
        <v>199</v>
      </c>
      <c r="EF6" t="s">
        <v>194</v>
      </c>
      <c r="EI6" t="s">
        <v>181</v>
      </c>
      <c r="EJ6" t="s">
        <v>215</v>
      </c>
      <c r="EK6" t="s">
        <v>194</v>
      </c>
      <c r="EM6" t="s">
        <v>181</v>
      </c>
      <c r="EN6" t="s">
        <v>194</v>
      </c>
      <c r="EP6" t="s">
        <v>194</v>
      </c>
      <c r="ES6" t="s">
        <v>181</v>
      </c>
      <c r="ET6" t="s">
        <v>181</v>
      </c>
      <c r="EU6" t="s">
        <v>250</v>
      </c>
      <c r="EV6" t="s">
        <v>194</v>
      </c>
      <c r="EY6" t="s">
        <v>194</v>
      </c>
      <c r="FB6" t="s">
        <v>194</v>
      </c>
      <c r="FE6" t="s">
        <v>181</v>
      </c>
      <c r="FF6" t="s">
        <v>194</v>
      </c>
      <c r="FH6" t="s">
        <v>194</v>
      </c>
      <c r="FK6" t="s">
        <v>194</v>
      </c>
      <c r="FN6" t="s">
        <v>194</v>
      </c>
      <c r="FR6" t="s">
        <v>284</v>
      </c>
      <c r="FS6" t="s">
        <v>285</v>
      </c>
      <c r="FU6" t="s">
        <v>194</v>
      </c>
      <c r="GC6" t="s">
        <v>202</v>
      </c>
    </row>
    <row r="7" spans="1:186" hidden="1" x14ac:dyDescent="0.25">
      <c r="A7" s="1">
        <v>46133.354047986111</v>
      </c>
      <c r="B7" s="1">
        <v>46133.389969722222</v>
      </c>
      <c r="C7" t="s">
        <v>261</v>
      </c>
      <c r="D7">
        <v>6</v>
      </c>
      <c r="E7">
        <v>6</v>
      </c>
      <c r="F7" t="b">
        <f t="shared" si="0"/>
        <v>1</v>
      </c>
      <c r="G7" s="1">
        <v>46131</v>
      </c>
      <c r="H7">
        <v>1</v>
      </c>
      <c r="I7" t="s">
        <v>267</v>
      </c>
      <c r="J7" t="s">
        <v>178</v>
      </c>
      <c r="K7" t="s">
        <v>286</v>
      </c>
      <c r="L7" t="s">
        <v>276</v>
      </c>
      <c r="M7" t="s">
        <v>181</v>
      </c>
      <c r="N7" t="s">
        <v>182</v>
      </c>
      <c r="O7">
        <v>18</v>
      </c>
      <c r="P7" t="s">
        <v>183</v>
      </c>
      <c r="Q7">
        <v>0</v>
      </c>
      <c r="R7">
        <v>0</v>
      </c>
      <c r="S7">
        <v>0</v>
      </c>
      <c r="T7">
        <v>0</v>
      </c>
      <c r="U7">
        <v>0</v>
      </c>
      <c r="V7" t="s">
        <v>184</v>
      </c>
      <c r="W7">
        <v>47</v>
      </c>
      <c r="X7" t="s">
        <v>181</v>
      </c>
      <c r="Z7" t="s">
        <v>270</v>
      </c>
      <c r="AB7" t="s">
        <v>186</v>
      </c>
      <c r="AC7" t="s">
        <v>257</v>
      </c>
      <c r="AD7" t="s">
        <v>188</v>
      </c>
      <c r="AE7" t="s">
        <v>189</v>
      </c>
      <c r="AF7" t="s">
        <v>190</v>
      </c>
      <c r="AW7" t="s">
        <v>191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K7" t="s">
        <v>248</v>
      </c>
      <c r="BL7" t="s">
        <v>226</v>
      </c>
      <c r="BM7">
        <v>0</v>
      </c>
      <c r="BN7">
        <v>1</v>
      </c>
      <c r="BO7">
        <v>0</v>
      </c>
      <c r="BP7">
        <v>0</v>
      </c>
      <c r="BQ7">
        <v>0</v>
      </c>
      <c r="BR7" t="s">
        <v>212</v>
      </c>
      <c r="BS7" t="s">
        <v>194</v>
      </c>
      <c r="BT7" t="s">
        <v>194</v>
      </c>
      <c r="BU7" t="s">
        <v>194</v>
      </c>
      <c r="CD7" t="s">
        <v>194</v>
      </c>
      <c r="CZ7" t="s">
        <v>194</v>
      </c>
      <c r="DB7" t="s">
        <v>194</v>
      </c>
      <c r="DD7" t="s">
        <v>181</v>
      </c>
      <c r="DE7" t="s">
        <v>197</v>
      </c>
      <c r="DF7" t="s">
        <v>181</v>
      </c>
      <c r="DG7" t="s">
        <v>215</v>
      </c>
      <c r="DH7" t="s">
        <v>194</v>
      </c>
      <c r="DJ7" t="s">
        <v>194</v>
      </c>
      <c r="DL7" t="s">
        <v>181</v>
      </c>
      <c r="DM7" t="s">
        <v>197</v>
      </c>
      <c r="DN7" t="s">
        <v>194</v>
      </c>
      <c r="DP7" t="s">
        <v>194</v>
      </c>
      <c r="DR7" t="s">
        <v>194</v>
      </c>
      <c r="DT7" t="s">
        <v>194</v>
      </c>
      <c r="DV7" t="s">
        <v>194</v>
      </c>
      <c r="DX7" t="s">
        <v>194</v>
      </c>
      <c r="DZ7" t="s">
        <v>181</v>
      </c>
      <c r="EA7" t="s">
        <v>197</v>
      </c>
      <c r="EB7" t="s">
        <v>194</v>
      </c>
      <c r="ED7" t="s">
        <v>194</v>
      </c>
      <c r="EF7" t="s">
        <v>194</v>
      </c>
      <c r="EI7" t="s">
        <v>181</v>
      </c>
      <c r="EJ7" t="s">
        <v>215</v>
      </c>
      <c r="EK7" t="s">
        <v>181</v>
      </c>
      <c r="EM7" t="s">
        <v>181</v>
      </c>
      <c r="EN7" t="s">
        <v>194</v>
      </c>
      <c r="EP7" t="s">
        <v>194</v>
      </c>
      <c r="ES7" t="s">
        <v>181</v>
      </c>
      <c r="ET7" t="s">
        <v>181</v>
      </c>
      <c r="EU7" t="s">
        <v>250</v>
      </c>
      <c r="EV7" t="s">
        <v>181</v>
      </c>
      <c r="EW7" t="s">
        <v>181</v>
      </c>
      <c r="EX7" t="s">
        <v>250</v>
      </c>
      <c r="EY7" t="s">
        <v>194</v>
      </c>
      <c r="FB7" t="s">
        <v>194</v>
      </c>
      <c r="FE7" t="s">
        <v>181</v>
      </c>
      <c r="FF7" t="s">
        <v>181</v>
      </c>
      <c r="FG7" t="s">
        <v>250</v>
      </c>
      <c r="FH7" t="s">
        <v>181</v>
      </c>
      <c r="FI7" t="s">
        <v>194</v>
      </c>
      <c r="FK7" t="s">
        <v>194</v>
      </c>
      <c r="FN7" t="s">
        <v>194</v>
      </c>
      <c r="FR7" t="s">
        <v>287</v>
      </c>
      <c r="FS7" t="s">
        <v>288</v>
      </c>
      <c r="FU7" t="s">
        <v>194</v>
      </c>
      <c r="GC7" t="s">
        <v>202</v>
      </c>
    </row>
    <row r="8" spans="1:186" hidden="1" x14ac:dyDescent="0.25">
      <c r="A8" s="1">
        <v>46133.389970520831</v>
      </c>
      <c r="B8" s="1">
        <v>46133.395531064823</v>
      </c>
      <c r="C8" t="s">
        <v>261</v>
      </c>
      <c r="D8">
        <v>7</v>
      </c>
      <c r="E8">
        <v>7</v>
      </c>
      <c r="F8" t="b">
        <f t="shared" si="0"/>
        <v>1</v>
      </c>
      <c r="G8" s="1">
        <v>46131</v>
      </c>
      <c r="H8">
        <v>1</v>
      </c>
      <c r="I8" t="s">
        <v>177</v>
      </c>
      <c r="J8" t="s">
        <v>178</v>
      </c>
      <c r="K8" t="s">
        <v>280</v>
      </c>
      <c r="L8" t="s">
        <v>180</v>
      </c>
      <c r="M8" t="s">
        <v>181</v>
      </c>
      <c r="N8" t="s">
        <v>182</v>
      </c>
      <c r="O8">
        <v>18</v>
      </c>
      <c r="P8" t="s">
        <v>183</v>
      </c>
      <c r="Q8">
        <v>0</v>
      </c>
      <c r="R8">
        <v>0</v>
      </c>
      <c r="S8">
        <v>0</v>
      </c>
      <c r="T8">
        <v>0</v>
      </c>
      <c r="U8">
        <v>0</v>
      </c>
      <c r="V8" t="s">
        <v>184</v>
      </c>
      <c r="W8">
        <v>73</v>
      </c>
      <c r="X8" t="s">
        <v>181</v>
      </c>
      <c r="Z8" t="s">
        <v>185</v>
      </c>
      <c r="AB8" t="s">
        <v>208</v>
      </c>
      <c r="AC8" t="s">
        <v>257</v>
      </c>
      <c r="AD8" t="s">
        <v>188</v>
      </c>
      <c r="AE8" t="s">
        <v>265</v>
      </c>
      <c r="AF8" t="s">
        <v>190</v>
      </c>
      <c r="AW8" t="s">
        <v>191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K8" t="s">
        <v>224</v>
      </c>
      <c r="BL8" t="s">
        <v>192</v>
      </c>
      <c r="BM8">
        <v>0</v>
      </c>
      <c r="BN8">
        <v>1</v>
      </c>
      <c r="BO8">
        <v>1</v>
      </c>
      <c r="BP8">
        <v>0</v>
      </c>
      <c r="BQ8">
        <v>0</v>
      </c>
      <c r="BR8" t="s">
        <v>193</v>
      </c>
      <c r="BS8" t="s">
        <v>181</v>
      </c>
      <c r="BT8" t="s">
        <v>194</v>
      </c>
      <c r="BU8" t="s">
        <v>194</v>
      </c>
      <c r="CD8" t="s">
        <v>194</v>
      </c>
      <c r="CZ8" t="s">
        <v>194</v>
      </c>
      <c r="DB8" t="s">
        <v>194</v>
      </c>
      <c r="DD8" t="s">
        <v>181</v>
      </c>
      <c r="DE8" t="s">
        <v>197</v>
      </c>
      <c r="DF8" t="s">
        <v>181</v>
      </c>
      <c r="DG8" t="s">
        <v>197</v>
      </c>
      <c r="DH8" t="s">
        <v>194</v>
      </c>
      <c r="DJ8" t="s">
        <v>194</v>
      </c>
      <c r="DL8" t="s">
        <v>181</v>
      </c>
      <c r="DM8" t="s">
        <v>197</v>
      </c>
      <c r="DN8" t="s">
        <v>181</v>
      </c>
      <c r="DO8" t="s">
        <v>197</v>
      </c>
      <c r="DP8" t="s">
        <v>194</v>
      </c>
      <c r="DR8" t="s">
        <v>181</v>
      </c>
      <c r="DS8" t="s">
        <v>197</v>
      </c>
      <c r="DT8" t="s">
        <v>194</v>
      </c>
      <c r="DV8" t="s">
        <v>194</v>
      </c>
      <c r="DX8" t="s">
        <v>181</v>
      </c>
      <c r="DY8" t="s">
        <v>199</v>
      </c>
      <c r="DZ8" t="s">
        <v>181</v>
      </c>
      <c r="EA8" t="s">
        <v>197</v>
      </c>
      <c r="EB8" t="s">
        <v>194</v>
      </c>
      <c r="ED8" t="s">
        <v>194</v>
      </c>
      <c r="EF8" t="s">
        <v>194</v>
      </c>
      <c r="EI8" t="s">
        <v>181</v>
      </c>
      <c r="EJ8" t="s">
        <v>215</v>
      </c>
      <c r="EK8" t="s">
        <v>194</v>
      </c>
      <c r="EM8" t="s">
        <v>181</v>
      </c>
      <c r="EN8" t="s">
        <v>181</v>
      </c>
      <c r="EO8" t="s">
        <v>250</v>
      </c>
      <c r="EP8" t="s">
        <v>194</v>
      </c>
      <c r="ES8" t="s">
        <v>194</v>
      </c>
      <c r="EV8" t="s">
        <v>181</v>
      </c>
      <c r="EW8" t="s">
        <v>181</v>
      </c>
      <c r="EX8" t="s">
        <v>250</v>
      </c>
      <c r="EY8" t="s">
        <v>194</v>
      </c>
      <c r="FB8" t="s">
        <v>181</v>
      </c>
      <c r="FC8" t="s">
        <v>181</v>
      </c>
      <c r="FD8" t="s">
        <v>250</v>
      </c>
      <c r="FE8" t="s">
        <v>181</v>
      </c>
      <c r="FF8" t="s">
        <v>181</v>
      </c>
      <c r="FG8" t="s">
        <v>250</v>
      </c>
      <c r="FH8" t="s">
        <v>181</v>
      </c>
      <c r="FI8" t="s">
        <v>194</v>
      </c>
      <c r="FK8" t="s">
        <v>194</v>
      </c>
      <c r="FN8" t="s">
        <v>194</v>
      </c>
      <c r="FR8" t="s">
        <v>237</v>
      </c>
      <c r="FS8" t="s">
        <v>289</v>
      </c>
      <c r="FU8" t="s">
        <v>238</v>
      </c>
      <c r="FV8" t="s">
        <v>239</v>
      </c>
      <c r="FW8" t="s">
        <v>238</v>
      </c>
      <c r="FX8" t="s">
        <v>290</v>
      </c>
      <c r="FY8" t="s">
        <v>241</v>
      </c>
      <c r="GA8" t="s">
        <v>242</v>
      </c>
      <c r="GB8" t="s">
        <v>291</v>
      </c>
      <c r="GC8" t="s">
        <v>202</v>
      </c>
      <c r="GD8" t="s">
        <v>292</v>
      </c>
    </row>
    <row r="9" spans="1:186" hidden="1" x14ac:dyDescent="0.25">
      <c r="A9" s="1">
        <v>46133.395531782407</v>
      </c>
      <c r="B9" s="1">
        <v>46133.406070972233</v>
      </c>
      <c r="C9" t="s">
        <v>261</v>
      </c>
      <c r="D9">
        <v>8</v>
      </c>
      <c r="E9">
        <v>8</v>
      </c>
      <c r="F9" t="b">
        <f t="shared" si="0"/>
        <v>1</v>
      </c>
      <c r="G9" s="1">
        <v>46131</v>
      </c>
      <c r="H9">
        <v>1</v>
      </c>
      <c r="I9" t="s">
        <v>204</v>
      </c>
      <c r="J9" t="s">
        <v>178</v>
      </c>
      <c r="K9" t="s">
        <v>313</v>
      </c>
      <c r="L9" t="s">
        <v>314</v>
      </c>
      <c r="M9" t="s">
        <v>181</v>
      </c>
      <c r="N9" t="s">
        <v>182</v>
      </c>
      <c r="O9">
        <v>15</v>
      </c>
      <c r="P9" t="s">
        <v>183</v>
      </c>
      <c r="Q9">
        <v>0</v>
      </c>
      <c r="R9">
        <v>0</v>
      </c>
      <c r="S9">
        <v>0</v>
      </c>
      <c r="T9">
        <v>0</v>
      </c>
      <c r="U9">
        <v>0</v>
      </c>
      <c r="V9" t="s">
        <v>222</v>
      </c>
      <c r="W9">
        <v>75</v>
      </c>
      <c r="X9" t="s">
        <v>181</v>
      </c>
      <c r="Z9" t="s">
        <v>185</v>
      </c>
      <c r="AB9" t="s">
        <v>315</v>
      </c>
      <c r="AC9" t="s">
        <v>257</v>
      </c>
      <c r="AD9" t="s">
        <v>188</v>
      </c>
      <c r="AE9" t="s">
        <v>198</v>
      </c>
      <c r="AF9" t="s">
        <v>224</v>
      </c>
      <c r="AG9" t="s">
        <v>295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BK9" t="s">
        <v>224</v>
      </c>
      <c r="BL9" t="s">
        <v>226</v>
      </c>
      <c r="BM9">
        <v>0</v>
      </c>
      <c r="BN9">
        <v>1</v>
      </c>
      <c r="BO9">
        <v>0</v>
      </c>
      <c r="BP9">
        <v>0</v>
      </c>
      <c r="BQ9">
        <v>0</v>
      </c>
      <c r="BR9" t="s">
        <v>212</v>
      </c>
      <c r="BS9" t="s">
        <v>194</v>
      </c>
      <c r="BT9" t="s">
        <v>194</v>
      </c>
      <c r="BU9" t="s">
        <v>194</v>
      </c>
      <c r="CD9" t="s">
        <v>194</v>
      </c>
      <c r="CZ9" t="s">
        <v>194</v>
      </c>
      <c r="DB9" t="s">
        <v>194</v>
      </c>
      <c r="DD9" t="s">
        <v>194</v>
      </c>
      <c r="DF9" t="s">
        <v>181</v>
      </c>
      <c r="DG9" t="s">
        <v>197</v>
      </c>
      <c r="DH9" t="s">
        <v>194</v>
      </c>
      <c r="DJ9" t="s">
        <v>194</v>
      </c>
      <c r="DL9" t="s">
        <v>194</v>
      </c>
      <c r="DN9" t="s">
        <v>194</v>
      </c>
      <c r="DP9" t="s">
        <v>194</v>
      </c>
      <c r="DR9" t="s">
        <v>194</v>
      </c>
      <c r="DT9" t="s">
        <v>194</v>
      </c>
      <c r="DV9" t="s">
        <v>194</v>
      </c>
      <c r="DX9" t="s">
        <v>194</v>
      </c>
      <c r="DZ9" t="s">
        <v>194</v>
      </c>
      <c r="EB9" t="s">
        <v>194</v>
      </c>
      <c r="ED9" t="s">
        <v>194</v>
      </c>
      <c r="EF9" t="s">
        <v>194</v>
      </c>
      <c r="EI9" t="s">
        <v>194</v>
      </c>
      <c r="EM9" t="s">
        <v>194</v>
      </c>
      <c r="EP9" t="s">
        <v>194</v>
      </c>
      <c r="ES9" t="s">
        <v>194</v>
      </c>
      <c r="EV9" t="s">
        <v>194</v>
      </c>
      <c r="EY9" t="s">
        <v>194</v>
      </c>
      <c r="FB9" t="s">
        <v>194</v>
      </c>
      <c r="FE9" t="s">
        <v>194</v>
      </c>
      <c r="FH9" t="s">
        <v>194</v>
      </c>
      <c r="FK9" t="s">
        <v>194</v>
      </c>
      <c r="FN9" t="s">
        <v>194</v>
      </c>
      <c r="FR9" t="s">
        <v>218</v>
      </c>
      <c r="FU9" t="s">
        <v>279</v>
      </c>
      <c r="GC9" t="s">
        <v>312</v>
      </c>
    </row>
    <row r="10" spans="1:186" x14ac:dyDescent="0.25">
      <c r="A10" s="1">
        <v>46133.406071840283</v>
      </c>
      <c r="B10" s="1">
        <v>46133.409578495368</v>
      </c>
      <c r="C10" t="s">
        <v>261</v>
      </c>
      <c r="D10">
        <v>9</v>
      </c>
      <c r="E10">
        <v>9</v>
      </c>
      <c r="F10" t="b">
        <f t="shared" si="0"/>
        <v>1</v>
      </c>
      <c r="G10" s="1">
        <v>46131</v>
      </c>
      <c r="H10">
        <v>1</v>
      </c>
      <c r="I10" t="s">
        <v>267</v>
      </c>
      <c r="J10" t="s">
        <v>178</v>
      </c>
      <c r="K10" t="s">
        <v>325</v>
      </c>
      <c r="L10" t="s">
        <v>326</v>
      </c>
      <c r="M10" t="s">
        <v>181</v>
      </c>
      <c r="N10" t="s">
        <v>182</v>
      </c>
      <c r="O10">
        <v>3</v>
      </c>
      <c r="P10" t="s">
        <v>183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184</v>
      </c>
      <c r="W10">
        <v>31</v>
      </c>
      <c r="X10" t="s">
        <v>181</v>
      </c>
      <c r="Z10" t="s">
        <v>185</v>
      </c>
      <c r="AB10" t="s">
        <v>223</v>
      </c>
      <c r="AC10" t="s">
        <v>187</v>
      </c>
      <c r="AD10" t="s">
        <v>188</v>
      </c>
      <c r="AE10" t="s">
        <v>235</v>
      </c>
      <c r="AF10" t="s">
        <v>224</v>
      </c>
      <c r="AG10" t="s">
        <v>327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 t="s">
        <v>328</v>
      </c>
      <c r="BK10" t="s">
        <v>248</v>
      </c>
      <c r="BL10" t="s">
        <v>192</v>
      </c>
      <c r="BM10">
        <v>0</v>
      </c>
      <c r="BN10">
        <v>1</v>
      </c>
      <c r="BO10">
        <v>1</v>
      </c>
      <c r="BP10">
        <v>0</v>
      </c>
      <c r="BQ10">
        <v>0</v>
      </c>
      <c r="BR10" t="s">
        <v>227</v>
      </c>
      <c r="BS10" t="s">
        <v>194</v>
      </c>
      <c r="BT10" t="s">
        <v>194</v>
      </c>
      <c r="BU10" t="s">
        <v>194</v>
      </c>
      <c r="CD10" t="s">
        <v>194</v>
      </c>
      <c r="CZ10" t="s">
        <v>181</v>
      </c>
      <c r="DA10" t="s">
        <v>197</v>
      </c>
      <c r="DB10" t="s">
        <v>194</v>
      </c>
      <c r="DD10" t="s">
        <v>194</v>
      </c>
      <c r="DF10" t="s">
        <v>181</v>
      </c>
      <c r="DG10" t="s">
        <v>197</v>
      </c>
      <c r="DH10" t="s">
        <v>181</v>
      </c>
      <c r="DI10" t="s">
        <v>199</v>
      </c>
      <c r="DJ10" t="s">
        <v>194</v>
      </c>
      <c r="DL10" t="s">
        <v>181</v>
      </c>
      <c r="DM10" t="s">
        <v>197</v>
      </c>
      <c r="DN10" t="s">
        <v>194</v>
      </c>
      <c r="DP10" t="s">
        <v>181</v>
      </c>
      <c r="DQ10" t="s">
        <v>197</v>
      </c>
      <c r="DR10" t="s">
        <v>194</v>
      </c>
      <c r="DT10" t="s">
        <v>194</v>
      </c>
      <c r="DV10" t="s">
        <v>194</v>
      </c>
      <c r="DX10" t="s">
        <v>181</v>
      </c>
      <c r="DY10" t="s">
        <v>197</v>
      </c>
      <c r="DZ10" t="s">
        <v>181</v>
      </c>
      <c r="EA10" t="s">
        <v>199</v>
      </c>
      <c r="EB10" t="s">
        <v>194</v>
      </c>
      <c r="ED10" t="s">
        <v>181</v>
      </c>
      <c r="EE10" t="s">
        <v>197</v>
      </c>
      <c r="EF10" t="s">
        <v>194</v>
      </c>
      <c r="EI10" t="s">
        <v>181</v>
      </c>
      <c r="EJ10" t="s">
        <v>215</v>
      </c>
      <c r="EK10" t="s">
        <v>194</v>
      </c>
      <c r="EM10" t="s">
        <v>181</v>
      </c>
      <c r="EN10" t="s">
        <v>194</v>
      </c>
      <c r="EP10" t="s">
        <v>194</v>
      </c>
      <c r="ES10" t="s">
        <v>194</v>
      </c>
      <c r="EV10" t="s">
        <v>194</v>
      </c>
      <c r="EY10" t="s">
        <v>194</v>
      </c>
      <c r="FB10" t="s">
        <v>181</v>
      </c>
      <c r="FC10" t="s">
        <v>194</v>
      </c>
      <c r="FE10" t="s">
        <v>181</v>
      </c>
      <c r="FF10" t="s">
        <v>194</v>
      </c>
      <c r="FH10" t="s">
        <v>181</v>
      </c>
      <c r="FI10" t="s">
        <v>194</v>
      </c>
      <c r="FK10" t="s">
        <v>181</v>
      </c>
      <c r="FL10" t="s">
        <v>194</v>
      </c>
      <c r="FN10" t="s">
        <v>194</v>
      </c>
      <c r="FR10" t="s">
        <v>329</v>
      </c>
      <c r="FS10" t="s">
        <v>330</v>
      </c>
      <c r="FT10" t="s">
        <v>331</v>
      </c>
      <c r="FU10" t="s">
        <v>194</v>
      </c>
      <c r="GC10" t="s">
        <v>312</v>
      </c>
    </row>
    <row r="11" spans="1:186" s="3" customFormat="1" x14ac:dyDescent="0.25">
      <c r="A11" s="2">
        <v>46133.409579178238</v>
      </c>
      <c r="B11" s="2">
        <v>46133.429433090278</v>
      </c>
      <c r="C11" s="3" t="s">
        <v>261</v>
      </c>
      <c r="D11" s="3">
        <v>10</v>
      </c>
      <c r="E11" s="3">
        <v>10</v>
      </c>
      <c r="F11" s="3" t="b">
        <f t="shared" si="0"/>
        <v>1</v>
      </c>
      <c r="G11" s="2">
        <v>46131</v>
      </c>
      <c r="H11" s="3">
        <v>1</v>
      </c>
      <c r="I11" s="3" t="s">
        <v>204</v>
      </c>
      <c r="J11" s="3" t="s">
        <v>178</v>
      </c>
      <c r="K11" s="3" t="s">
        <v>339</v>
      </c>
      <c r="L11" s="3" t="s">
        <v>340</v>
      </c>
      <c r="M11" s="3" t="s">
        <v>181</v>
      </c>
      <c r="N11" s="3" t="s">
        <v>182</v>
      </c>
      <c r="O11" s="3">
        <v>1</v>
      </c>
      <c r="P11" s="3" t="s">
        <v>183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 t="s">
        <v>184</v>
      </c>
      <c r="W11" s="3">
        <v>36</v>
      </c>
      <c r="X11" s="3" t="s">
        <v>181</v>
      </c>
      <c r="Z11" s="3" t="s">
        <v>185</v>
      </c>
      <c r="AB11" s="3" t="s">
        <v>186</v>
      </c>
      <c r="AC11" s="3" t="s">
        <v>187</v>
      </c>
      <c r="AD11" s="3" t="s">
        <v>210</v>
      </c>
      <c r="AE11" s="3" t="s">
        <v>189</v>
      </c>
      <c r="AF11" s="3" t="s">
        <v>190</v>
      </c>
      <c r="AW11" s="3" t="s">
        <v>341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1</v>
      </c>
      <c r="BE11" s="3">
        <v>0</v>
      </c>
      <c r="BF11" s="3">
        <v>0</v>
      </c>
      <c r="BG11" s="3">
        <v>0</v>
      </c>
      <c r="BK11" s="3" t="s">
        <v>224</v>
      </c>
      <c r="BL11" s="3" t="s">
        <v>226</v>
      </c>
      <c r="BM11" s="3">
        <v>0</v>
      </c>
      <c r="BN11" s="3">
        <v>1</v>
      </c>
      <c r="BO11" s="3">
        <v>0</v>
      </c>
      <c r="BP11" s="3">
        <v>0</v>
      </c>
      <c r="BQ11" s="3">
        <v>0</v>
      </c>
      <c r="BR11" s="3" t="s">
        <v>193</v>
      </c>
      <c r="BS11" s="3" t="s">
        <v>194</v>
      </c>
      <c r="BT11" s="3" t="s">
        <v>194</v>
      </c>
      <c r="BU11" s="3" t="s">
        <v>194</v>
      </c>
      <c r="CD11" s="3" t="s">
        <v>194</v>
      </c>
      <c r="CZ11" s="3" t="s">
        <v>181</v>
      </c>
      <c r="DA11" s="3" t="s">
        <v>199</v>
      </c>
      <c r="DB11" s="3" t="s">
        <v>194</v>
      </c>
      <c r="DD11" s="3" t="s">
        <v>194</v>
      </c>
      <c r="DF11" s="3" t="s">
        <v>181</v>
      </c>
      <c r="DG11" s="3" t="s">
        <v>215</v>
      </c>
      <c r="DH11" s="3" t="s">
        <v>181</v>
      </c>
      <c r="DI11" s="3" t="s">
        <v>199</v>
      </c>
      <c r="DJ11" s="3" t="s">
        <v>194</v>
      </c>
      <c r="DL11" s="3" t="s">
        <v>181</v>
      </c>
      <c r="DM11" s="3" t="s">
        <v>215</v>
      </c>
      <c r="DN11" s="3" t="s">
        <v>194</v>
      </c>
      <c r="DP11" s="3" t="s">
        <v>194</v>
      </c>
      <c r="DR11" s="3" t="s">
        <v>181</v>
      </c>
      <c r="DS11" s="3" t="s">
        <v>199</v>
      </c>
      <c r="DT11" s="3" t="s">
        <v>194</v>
      </c>
      <c r="DV11" s="3" t="s">
        <v>181</v>
      </c>
      <c r="DW11" s="3" t="s">
        <v>197</v>
      </c>
      <c r="DX11" s="3" t="s">
        <v>194</v>
      </c>
      <c r="DZ11" s="3" t="s">
        <v>181</v>
      </c>
      <c r="EA11" s="3" t="s">
        <v>215</v>
      </c>
      <c r="EB11" s="3" t="s">
        <v>194</v>
      </c>
      <c r="ED11" s="3" t="s">
        <v>181</v>
      </c>
      <c r="EE11" s="3" t="s">
        <v>199</v>
      </c>
      <c r="EF11" s="3" t="s">
        <v>194</v>
      </c>
      <c r="EI11" s="3" t="s">
        <v>181</v>
      </c>
      <c r="EJ11" s="3" t="s">
        <v>199</v>
      </c>
      <c r="EK11" s="3" t="s">
        <v>181</v>
      </c>
      <c r="EM11" s="3" t="s">
        <v>194</v>
      </c>
      <c r="EP11" s="3" t="s">
        <v>194</v>
      </c>
      <c r="ES11" s="3" t="s">
        <v>194</v>
      </c>
      <c r="EV11" s="3" t="s">
        <v>181</v>
      </c>
      <c r="EW11" s="3" t="s">
        <v>194</v>
      </c>
      <c r="EY11" s="3" t="s">
        <v>194</v>
      </c>
      <c r="FB11" s="3" t="s">
        <v>194</v>
      </c>
      <c r="FE11" s="3" t="s">
        <v>194</v>
      </c>
      <c r="FH11" s="3" t="s">
        <v>194</v>
      </c>
      <c r="FK11" s="3" t="s">
        <v>194</v>
      </c>
      <c r="FN11" s="3" t="s">
        <v>194</v>
      </c>
      <c r="FR11" t="s">
        <v>218</v>
      </c>
      <c r="FS11" s="3" t="s">
        <v>284</v>
      </c>
      <c r="FT11" s="3" t="s">
        <v>342</v>
      </c>
      <c r="FU11" s="3" t="s">
        <v>194</v>
      </c>
      <c r="GC11" s="3" t="s">
        <v>343</v>
      </c>
    </row>
    <row r="12" spans="1:186" x14ac:dyDescent="0.25">
      <c r="A12" s="1">
        <v>46133.42943369213</v>
      </c>
      <c r="B12" s="1">
        <v>46133.457573599539</v>
      </c>
      <c r="C12" t="s">
        <v>261</v>
      </c>
      <c r="D12">
        <v>11</v>
      </c>
      <c r="E12">
        <v>11</v>
      </c>
      <c r="F12" t="b">
        <f t="shared" si="0"/>
        <v>1</v>
      </c>
      <c r="G12" s="1">
        <v>46131</v>
      </c>
      <c r="H12">
        <v>1</v>
      </c>
      <c r="I12" t="s">
        <v>267</v>
      </c>
      <c r="J12" t="s">
        <v>178</v>
      </c>
      <c r="K12" t="s">
        <v>374</v>
      </c>
      <c r="L12" t="s">
        <v>375</v>
      </c>
      <c r="M12" t="s">
        <v>181</v>
      </c>
      <c r="N12" t="s">
        <v>182</v>
      </c>
      <c r="O12">
        <v>1</v>
      </c>
      <c r="P12" t="s">
        <v>183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184</v>
      </c>
      <c r="W12">
        <v>42</v>
      </c>
      <c r="X12" t="s">
        <v>181</v>
      </c>
      <c r="Z12" t="s">
        <v>185</v>
      </c>
      <c r="AB12" t="s">
        <v>208</v>
      </c>
      <c r="AC12" t="s">
        <v>257</v>
      </c>
      <c r="AD12" t="s">
        <v>188</v>
      </c>
      <c r="AE12" t="s">
        <v>189</v>
      </c>
      <c r="AF12" t="s">
        <v>190</v>
      </c>
      <c r="AW12" t="s">
        <v>191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K12" t="s">
        <v>224</v>
      </c>
      <c r="BL12" t="s">
        <v>226</v>
      </c>
      <c r="BM12">
        <v>0</v>
      </c>
      <c r="BN12">
        <v>1</v>
      </c>
      <c r="BO12">
        <v>0</v>
      </c>
      <c r="BP12">
        <v>0</v>
      </c>
      <c r="BQ12">
        <v>0</v>
      </c>
      <c r="BR12" t="s">
        <v>227</v>
      </c>
      <c r="BS12" t="s">
        <v>194</v>
      </c>
      <c r="BT12" t="s">
        <v>194</v>
      </c>
      <c r="BU12" t="s">
        <v>194</v>
      </c>
      <c r="CD12" t="s">
        <v>194</v>
      </c>
      <c r="CZ12" t="s">
        <v>194</v>
      </c>
      <c r="DB12" t="s">
        <v>181</v>
      </c>
      <c r="DC12" t="s">
        <v>197</v>
      </c>
      <c r="DD12" t="s">
        <v>194</v>
      </c>
      <c r="DF12" t="s">
        <v>194</v>
      </c>
      <c r="DH12" t="s">
        <v>194</v>
      </c>
      <c r="DJ12" t="s">
        <v>194</v>
      </c>
      <c r="DL12" t="s">
        <v>181</v>
      </c>
      <c r="DM12" t="s">
        <v>197</v>
      </c>
      <c r="DN12" t="s">
        <v>194</v>
      </c>
      <c r="DP12" t="s">
        <v>194</v>
      </c>
      <c r="DR12" t="s">
        <v>198</v>
      </c>
      <c r="DT12" t="s">
        <v>194</v>
      </c>
      <c r="DV12" t="s">
        <v>194</v>
      </c>
      <c r="DX12" t="s">
        <v>194</v>
      </c>
      <c r="DZ12" t="s">
        <v>181</v>
      </c>
      <c r="EA12" t="s">
        <v>197</v>
      </c>
      <c r="EB12" t="s">
        <v>194</v>
      </c>
      <c r="ED12" t="s">
        <v>194</v>
      </c>
      <c r="EF12" t="s">
        <v>194</v>
      </c>
      <c r="EI12" t="s">
        <v>181</v>
      </c>
      <c r="EJ12" t="s">
        <v>215</v>
      </c>
      <c r="EK12" t="s">
        <v>194</v>
      </c>
      <c r="EM12" t="s">
        <v>194</v>
      </c>
      <c r="EP12" t="s">
        <v>194</v>
      </c>
      <c r="ES12" t="s">
        <v>194</v>
      </c>
      <c r="EV12" t="s">
        <v>194</v>
      </c>
      <c r="EY12" t="s">
        <v>194</v>
      </c>
      <c r="FB12" t="s">
        <v>194</v>
      </c>
      <c r="FE12" t="s">
        <v>194</v>
      </c>
      <c r="FH12" t="s">
        <v>181</v>
      </c>
      <c r="FI12" t="s">
        <v>194</v>
      </c>
      <c r="FK12" t="s">
        <v>194</v>
      </c>
      <c r="FN12" t="s">
        <v>194</v>
      </c>
      <c r="FR12" t="s">
        <v>376</v>
      </c>
      <c r="FS12" t="s">
        <v>377</v>
      </c>
      <c r="FT12" t="s">
        <v>342</v>
      </c>
      <c r="FU12" t="s">
        <v>194</v>
      </c>
      <c r="GC12" t="s">
        <v>378</v>
      </c>
    </row>
    <row r="13" spans="1:186" x14ac:dyDescent="0.25">
      <c r="A13" s="1">
        <v>46133.457574328713</v>
      </c>
      <c r="B13" s="1">
        <v>46133.473807187504</v>
      </c>
      <c r="C13" t="s">
        <v>261</v>
      </c>
      <c r="D13">
        <v>12</v>
      </c>
      <c r="E13">
        <v>12</v>
      </c>
      <c r="F13" t="b">
        <f t="shared" si="0"/>
        <v>1</v>
      </c>
      <c r="G13" s="1">
        <v>46131</v>
      </c>
      <c r="H13">
        <v>1</v>
      </c>
      <c r="I13" t="s">
        <v>177</v>
      </c>
      <c r="J13" t="s">
        <v>178</v>
      </c>
      <c r="K13" t="s">
        <v>262</v>
      </c>
      <c r="L13" t="s">
        <v>392</v>
      </c>
      <c r="M13" t="s">
        <v>181</v>
      </c>
      <c r="N13" t="s">
        <v>182</v>
      </c>
      <c r="O13">
        <v>15</v>
      </c>
      <c r="P13" t="s">
        <v>183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222</v>
      </c>
      <c r="W13">
        <v>60</v>
      </c>
      <c r="X13" t="s">
        <v>181</v>
      </c>
      <c r="Z13" t="s">
        <v>185</v>
      </c>
      <c r="AB13" t="s">
        <v>223</v>
      </c>
      <c r="AC13" t="s">
        <v>187</v>
      </c>
      <c r="AD13" t="s">
        <v>188</v>
      </c>
      <c r="AE13" t="s">
        <v>189</v>
      </c>
      <c r="AF13" t="s">
        <v>224</v>
      </c>
      <c r="AG13" t="s">
        <v>393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BK13" t="s">
        <v>224</v>
      </c>
      <c r="BL13" t="s">
        <v>192</v>
      </c>
      <c r="BM13">
        <v>0</v>
      </c>
      <c r="BN13">
        <v>1</v>
      </c>
      <c r="BO13">
        <v>1</v>
      </c>
      <c r="BP13">
        <v>0</v>
      </c>
      <c r="BQ13">
        <v>0</v>
      </c>
      <c r="BR13" t="s">
        <v>227</v>
      </c>
      <c r="BS13" t="s">
        <v>194</v>
      </c>
      <c r="BT13" t="s">
        <v>194</v>
      </c>
      <c r="BU13" t="s">
        <v>194</v>
      </c>
      <c r="CD13" t="s">
        <v>194</v>
      </c>
      <c r="CZ13" t="s">
        <v>194</v>
      </c>
      <c r="DB13" t="s">
        <v>194</v>
      </c>
      <c r="DD13" t="s">
        <v>194</v>
      </c>
      <c r="DF13" t="s">
        <v>194</v>
      </c>
      <c r="DH13" t="s">
        <v>194</v>
      </c>
      <c r="DJ13" t="s">
        <v>181</v>
      </c>
      <c r="DK13" t="s">
        <v>197</v>
      </c>
      <c r="DL13" t="s">
        <v>194</v>
      </c>
      <c r="DN13" t="s">
        <v>194</v>
      </c>
      <c r="DP13" t="s">
        <v>194</v>
      </c>
      <c r="DR13" t="s">
        <v>194</v>
      </c>
      <c r="DT13" t="s">
        <v>194</v>
      </c>
      <c r="DV13" t="s">
        <v>194</v>
      </c>
      <c r="DX13" t="s">
        <v>194</v>
      </c>
      <c r="DZ13" t="s">
        <v>194</v>
      </c>
      <c r="EB13" t="s">
        <v>194</v>
      </c>
      <c r="ED13" t="s">
        <v>194</v>
      </c>
      <c r="EF13" t="s">
        <v>194</v>
      </c>
      <c r="EI13" t="s">
        <v>181</v>
      </c>
      <c r="EJ13" t="s">
        <v>199</v>
      </c>
      <c r="EK13" t="s">
        <v>194</v>
      </c>
      <c r="EM13" t="s">
        <v>194</v>
      </c>
      <c r="EP13" t="s">
        <v>194</v>
      </c>
      <c r="ES13" t="s">
        <v>194</v>
      </c>
      <c r="EV13" t="s">
        <v>181</v>
      </c>
      <c r="EW13" t="s">
        <v>194</v>
      </c>
      <c r="EY13" t="s">
        <v>181</v>
      </c>
      <c r="EZ13" t="s">
        <v>194</v>
      </c>
      <c r="FB13" t="s">
        <v>194</v>
      </c>
      <c r="FE13" t="s">
        <v>181</v>
      </c>
      <c r="FF13" t="s">
        <v>194</v>
      </c>
      <c r="FH13" t="s">
        <v>181</v>
      </c>
      <c r="FI13" t="s">
        <v>194</v>
      </c>
      <c r="FK13" t="s">
        <v>181</v>
      </c>
      <c r="FL13" t="s">
        <v>194</v>
      </c>
      <c r="FN13" t="s">
        <v>194</v>
      </c>
      <c r="FR13" t="s">
        <v>287</v>
      </c>
      <c r="FS13" t="s">
        <v>338</v>
      </c>
      <c r="FT13" t="s">
        <v>394</v>
      </c>
      <c r="FU13" t="s">
        <v>238</v>
      </c>
      <c r="FV13" t="s">
        <v>239</v>
      </c>
      <c r="FW13" t="s">
        <v>238</v>
      </c>
      <c r="FX13" t="s">
        <v>395</v>
      </c>
      <c r="FY13" t="s">
        <v>241</v>
      </c>
      <c r="GA13" t="s">
        <v>279</v>
      </c>
      <c r="GC13" t="s">
        <v>232</v>
      </c>
    </row>
    <row r="14" spans="1:186" x14ac:dyDescent="0.25">
      <c r="A14" s="1">
        <v>46133.473807824077</v>
      </c>
      <c r="B14" s="1">
        <v>46133.47907523148</v>
      </c>
      <c r="C14" t="s">
        <v>261</v>
      </c>
      <c r="D14">
        <v>13</v>
      </c>
      <c r="E14">
        <v>13</v>
      </c>
      <c r="F14" t="b">
        <f t="shared" si="0"/>
        <v>1</v>
      </c>
      <c r="G14" s="1">
        <v>46131</v>
      </c>
      <c r="H14">
        <v>1</v>
      </c>
      <c r="I14" t="s">
        <v>267</v>
      </c>
      <c r="J14" t="s">
        <v>178</v>
      </c>
      <c r="K14" t="s">
        <v>400</v>
      </c>
      <c r="L14" t="s">
        <v>401</v>
      </c>
      <c r="M14" t="s">
        <v>181</v>
      </c>
      <c r="N14" t="s">
        <v>182</v>
      </c>
      <c r="O14">
        <v>7</v>
      </c>
      <c r="P14" t="s">
        <v>183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184</v>
      </c>
      <c r="W14">
        <v>40</v>
      </c>
      <c r="X14" t="s">
        <v>181</v>
      </c>
      <c r="Z14" t="s">
        <v>185</v>
      </c>
      <c r="AB14" t="s">
        <v>223</v>
      </c>
      <c r="AC14" t="s">
        <v>187</v>
      </c>
      <c r="AD14" t="s">
        <v>188</v>
      </c>
      <c r="AE14" t="s">
        <v>189</v>
      </c>
      <c r="AF14" t="s">
        <v>224</v>
      </c>
      <c r="AG14" t="s">
        <v>295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BK14" t="s">
        <v>224</v>
      </c>
      <c r="BL14" t="s">
        <v>389</v>
      </c>
      <c r="BM14">
        <v>0</v>
      </c>
      <c r="BN14">
        <v>0</v>
      </c>
      <c r="BO14">
        <v>0</v>
      </c>
      <c r="BP14">
        <v>0</v>
      </c>
      <c r="BQ14">
        <v>1</v>
      </c>
      <c r="BR14" t="s">
        <v>212</v>
      </c>
      <c r="BS14" t="s">
        <v>194</v>
      </c>
      <c r="BT14" t="s">
        <v>194</v>
      </c>
      <c r="BU14" t="s">
        <v>194</v>
      </c>
      <c r="CD14" t="s">
        <v>194</v>
      </c>
      <c r="CZ14" t="s">
        <v>194</v>
      </c>
      <c r="DB14" t="s">
        <v>194</v>
      </c>
      <c r="DD14" t="s">
        <v>194</v>
      </c>
      <c r="DF14" t="s">
        <v>194</v>
      </c>
      <c r="DH14" t="s">
        <v>194</v>
      </c>
      <c r="DJ14" t="s">
        <v>194</v>
      </c>
      <c r="DL14" t="s">
        <v>194</v>
      </c>
      <c r="DN14" t="s">
        <v>194</v>
      </c>
      <c r="DP14" t="s">
        <v>194</v>
      </c>
      <c r="DR14" t="s">
        <v>194</v>
      </c>
      <c r="DT14" t="s">
        <v>194</v>
      </c>
      <c r="DV14" t="s">
        <v>194</v>
      </c>
      <c r="DX14" t="s">
        <v>194</v>
      </c>
      <c r="DZ14" t="s">
        <v>181</v>
      </c>
      <c r="EA14" t="s">
        <v>197</v>
      </c>
      <c r="EB14" t="s">
        <v>194</v>
      </c>
      <c r="ED14" t="s">
        <v>194</v>
      </c>
      <c r="EF14" t="s">
        <v>194</v>
      </c>
      <c r="EI14" t="s">
        <v>181</v>
      </c>
      <c r="EJ14" t="s">
        <v>215</v>
      </c>
      <c r="EK14" t="s">
        <v>194</v>
      </c>
      <c r="EM14" t="s">
        <v>194</v>
      </c>
      <c r="EP14" t="s">
        <v>194</v>
      </c>
      <c r="ES14" t="s">
        <v>194</v>
      </c>
      <c r="EV14" t="s">
        <v>194</v>
      </c>
      <c r="EY14" t="s">
        <v>194</v>
      </c>
      <c r="FB14" t="s">
        <v>194</v>
      </c>
      <c r="FE14" t="s">
        <v>181</v>
      </c>
      <c r="FF14" t="s">
        <v>194</v>
      </c>
      <c r="FH14" t="s">
        <v>194</v>
      </c>
      <c r="FK14" t="s">
        <v>194</v>
      </c>
      <c r="FN14" t="s">
        <v>194</v>
      </c>
      <c r="FR14" t="s">
        <v>330</v>
      </c>
      <c r="FS14" t="s">
        <v>287</v>
      </c>
      <c r="FT14" t="s">
        <v>363</v>
      </c>
      <c r="FU14" t="s">
        <v>194</v>
      </c>
      <c r="GC14" t="s">
        <v>402</v>
      </c>
    </row>
    <row r="15" spans="1:186" x14ac:dyDescent="0.25">
      <c r="A15" s="1">
        <v>46133.479075891213</v>
      </c>
      <c r="B15" s="1">
        <v>46133.484026724538</v>
      </c>
      <c r="C15" t="s">
        <v>261</v>
      </c>
      <c r="D15">
        <v>14</v>
      </c>
      <c r="E15">
        <v>14</v>
      </c>
      <c r="F15" t="b">
        <f t="shared" si="0"/>
        <v>1</v>
      </c>
      <c r="G15" s="1">
        <v>46131</v>
      </c>
      <c r="H15">
        <v>1</v>
      </c>
      <c r="I15" t="s">
        <v>177</v>
      </c>
      <c r="J15" t="s">
        <v>178</v>
      </c>
      <c r="K15" t="s">
        <v>339</v>
      </c>
      <c r="L15" t="s">
        <v>397</v>
      </c>
      <c r="M15" t="s">
        <v>181</v>
      </c>
      <c r="N15" t="s">
        <v>182</v>
      </c>
      <c r="O15">
        <v>20</v>
      </c>
      <c r="P15" t="s">
        <v>183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184</v>
      </c>
      <c r="W15">
        <v>49</v>
      </c>
      <c r="X15" t="s">
        <v>181</v>
      </c>
      <c r="Z15" t="s">
        <v>185</v>
      </c>
      <c r="AB15" t="s">
        <v>223</v>
      </c>
      <c r="AC15" t="s">
        <v>257</v>
      </c>
      <c r="AD15" t="s">
        <v>210</v>
      </c>
      <c r="AE15" t="s">
        <v>265</v>
      </c>
      <c r="AF15" t="s">
        <v>190</v>
      </c>
      <c r="AW15" t="s">
        <v>191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K15" t="s">
        <v>190</v>
      </c>
      <c r="BL15" t="s">
        <v>192</v>
      </c>
      <c r="BM15">
        <v>0</v>
      </c>
      <c r="BN15">
        <v>1</v>
      </c>
      <c r="BO15">
        <v>1</v>
      </c>
      <c r="BP15">
        <v>0</v>
      </c>
      <c r="BQ15">
        <v>0</v>
      </c>
      <c r="BR15" t="s">
        <v>227</v>
      </c>
      <c r="BS15" t="s">
        <v>194</v>
      </c>
      <c r="BT15" t="s">
        <v>194</v>
      </c>
      <c r="BU15" t="s">
        <v>194</v>
      </c>
      <c r="CD15" t="s">
        <v>181</v>
      </c>
      <c r="CE15" t="s">
        <v>214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R15" t="s">
        <v>194</v>
      </c>
      <c r="CZ15" t="s">
        <v>194</v>
      </c>
      <c r="DB15" t="s">
        <v>194</v>
      </c>
      <c r="DD15" t="s">
        <v>194</v>
      </c>
      <c r="DF15" t="s">
        <v>194</v>
      </c>
      <c r="DH15" t="s">
        <v>194</v>
      </c>
      <c r="DJ15" t="s">
        <v>194</v>
      </c>
      <c r="DL15" t="s">
        <v>194</v>
      </c>
      <c r="DN15" t="s">
        <v>194</v>
      </c>
      <c r="DP15" t="s">
        <v>194</v>
      </c>
      <c r="DR15" t="s">
        <v>194</v>
      </c>
      <c r="DT15" t="s">
        <v>194</v>
      </c>
      <c r="DV15" t="s">
        <v>194</v>
      </c>
      <c r="DX15" t="s">
        <v>194</v>
      </c>
      <c r="DZ15" t="s">
        <v>194</v>
      </c>
      <c r="EB15" t="s">
        <v>194</v>
      </c>
      <c r="ED15" t="s">
        <v>181</v>
      </c>
      <c r="EE15" t="s">
        <v>215</v>
      </c>
      <c r="EF15" t="s">
        <v>194</v>
      </c>
      <c r="EI15" t="s">
        <v>181</v>
      </c>
      <c r="EJ15" t="s">
        <v>197</v>
      </c>
      <c r="EK15" t="s">
        <v>194</v>
      </c>
      <c r="EM15" t="s">
        <v>194</v>
      </c>
      <c r="EP15" t="s">
        <v>194</v>
      </c>
      <c r="ES15" t="s">
        <v>194</v>
      </c>
      <c r="EV15" t="s">
        <v>194</v>
      </c>
      <c r="EY15" t="s">
        <v>194</v>
      </c>
      <c r="FB15" t="s">
        <v>194</v>
      </c>
      <c r="FE15" t="s">
        <v>181</v>
      </c>
      <c r="FF15" t="s">
        <v>181</v>
      </c>
      <c r="FG15" t="s">
        <v>250</v>
      </c>
      <c r="FH15" t="s">
        <v>194</v>
      </c>
      <c r="FK15" t="s">
        <v>194</v>
      </c>
      <c r="FN15" t="s">
        <v>194</v>
      </c>
      <c r="FR15" t="s">
        <v>237</v>
      </c>
      <c r="FS15" t="s">
        <v>218</v>
      </c>
      <c r="FT15" t="s">
        <v>410</v>
      </c>
      <c r="FU15" t="s">
        <v>194</v>
      </c>
      <c r="GC15" t="s">
        <v>232</v>
      </c>
    </row>
    <row r="16" spans="1:186" hidden="1" x14ac:dyDescent="0.25">
      <c r="A16" s="1">
        <v>46133.484027534723</v>
      </c>
      <c r="B16" s="1">
        <v>46133.49511340278</v>
      </c>
      <c r="C16" t="s">
        <v>261</v>
      </c>
      <c r="D16">
        <v>15</v>
      </c>
      <c r="E16">
        <v>15</v>
      </c>
      <c r="F16" t="b">
        <f t="shared" si="0"/>
        <v>1</v>
      </c>
      <c r="G16" s="1">
        <v>46131</v>
      </c>
      <c r="H16">
        <v>1</v>
      </c>
      <c r="I16" t="s">
        <v>204</v>
      </c>
      <c r="J16" t="s">
        <v>178</v>
      </c>
      <c r="K16" t="s">
        <v>415</v>
      </c>
      <c r="L16" t="s">
        <v>314</v>
      </c>
      <c r="M16" t="s">
        <v>181</v>
      </c>
      <c r="N16" t="s">
        <v>182</v>
      </c>
      <c r="O16">
        <v>15</v>
      </c>
      <c r="P16" t="s">
        <v>183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222</v>
      </c>
      <c r="W16">
        <v>73</v>
      </c>
      <c r="X16" t="s">
        <v>181</v>
      </c>
      <c r="Z16" t="s">
        <v>185</v>
      </c>
      <c r="AB16" t="s">
        <v>186</v>
      </c>
      <c r="AC16" t="s">
        <v>187</v>
      </c>
      <c r="AD16" t="s">
        <v>188</v>
      </c>
      <c r="AE16" t="s">
        <v>318</v>
      </c>
      <c r="AF16" t="s">
        <v>224</v>
      </c>
      <c r="AG16" t="s">
        <v>295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BK16" t="s">
        <v>224</v>
      </c>
      <c r="BL16" t="s">
        <v>192</v>
      </c>
      <c r="BM16">
        <v>0</v>
      </c>
      <c r="BN16">
        <v>1</v>
      </c>
      <c r="BO16">
        <v>1</v>
      </c>
      <c r="BP16">
        <v>0</v>
      </c>
      <c r="BQ16">
        <v>0</v>
      </c>
      <c r="BR16" t="s">
        <v>227</v>
      </c>
      <c r="BS16" t="s">
        <v>194</v>
      </c>
      <c r="BT16" t="s">
        <v>194</v>
      </c>
      <c r="BU16" t="s">
        <v>194</v>
      </c>
      <c r="CD16" t="s">
        <v>181</v>
      </c>
      <c r="CE16" t="s">
        <v>416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 t="s">
        <v>417</v>
      </c>
      <c r="CP16" t="s">
        <v>194</v>
      </c>
      <c r="CR16" t="s">
        <v>194</v>
      </c>
      <c r="CZ16" t="s">
        <v>194</v>
      </c>
      <c r="DB16" t="s">
        <v>194</v>
      </c>
      <c r="DD16" t="s">
        <v>194</v>
      </c>
      <c r="DF16" t="s">
        <v>194</v>
      </c>
      <c r="DH16" t="s">
        <v>194</v>
      </c>
      <c r="DJ16" t="s">
        <v>194</v>
      </c>
      <c r="DL16" t="s">
        <v>181</v>
      </c>
      <c r="DM16" t="s">
        <v>199</v>
      </c>
      <c r="DN16" t="s">
        <v>194</v>
      </c>
      <c r="DP16" t="s">
        <v>194</v>
      </c>
      <c r="DR16" t="s">
        <v>194</v>
      </c>
      <c r="DT16" t="s">
        <v>194</v>
      </c>
      <c r="DV16" t="s">
        <v>194</v>
      </c>
      <c r="DX16" t="s">
        <v>194</v>
      </c>
      <c r="DZ16" t="s">
        <v>194</v>
      </c>
      <c r="EB16" t="s">
        <v>194</v>
      </c>
      <c r="ED16" t="s">
        <v>194</v>
      </c>
      <c r="EF16" t="s">
        <v>194</v>
      </c>
      <c r="EI16" t="s">
        <v>194</v>
      </c>
      <c r="EM16" t="s">
        <v>181</v>
      </c>
      <c r="EN16" t="s">
        <v>194</v>
      </c>
      <c r="EP16" t="s">
        <v>194</v>
      </c>
      <c r="ES16" t="s">
        <v>194</v>
      </c>
      <c r="EV16" t="s">
        <v>181</v>
      </c>
      <c r="EW16" t="s">
        <v>181</v>
      </c>
      <c r="EX16" t="s">
        <v>250</v>
      </c>
      <c r="EY16" t="s">
        <v>181</v>
      </c>
      <c r="EZ16" t="s">
        <v>194</v>
      </c>
      <c r="FB16" t="s">
        <v>194</v>
      </c>
      <c r="FE16" t="s">
        <v>181</v>
      </c>
      <c r="FF16" t="s">
        <v>181</v>
      </c>
      <c r="FG16" t="s">
        <v>250</v>
      </c>
      <c r="FH16" t="s">
        <v>181</v>
      </c>
      <c r="FI16" t="s">
        <v>194</v>
      </c>
      <c r="FK16" t="s">
        <v>194</v>
      </c>
      <c r="FN16" t="s">
        <v>194</v>
      </c>
      <c r="FR16" t="s">
        <v>418</v>
      </c>
      <c r="FS16" t="s">
        <v>419</v>
      </c>
      <c r="FU16" t="s">
        <v>194</v>
      </c>
      <c r="GC16" t="s">
        <v>312</v>
      </c>
    </row>
    <row r="17" spans="1:186" x14ac:dyDescent="0.25">
      <c r="A17" s="1">
        <v>46133.495114351848</v>
      </c>
      <c r="B17" s="1">
        <v>46133.501154594909</v>
      </c>
      <c r="C17" t="s">
        <v>261</v>
      </c>
      <c r="D17">
        <v>16</v>
      </c>
      <c r="E17">
        <v>16</v>
      </c>
      <c r="F17" t="b">
        <f t="shared" si="0"/>
        <v>1</v>
      </c>
      <c r="G17" s="1">
        <v>46131</v>
      </c>
      <c r="H17">
        <v>1</v>
      </c>
      <c r="I17" t="s">
        <v>267</v>
      </c>
      <c r="J17" t="s">
        <v>178</v>
      </c>
      <c r="K17" t="s">
        <v>423</v>
      </c>
      <c r="L17" t="s">
        <v>424</v>
      </c>
      <c r="M17" t="s">
        <v>181</v>
      </c>
      <c r="N17" t="s">
        <v>182</v>
      </c>
      <c r="O17">
        <v>50</v>
      </c>
      <c r="P17" t="s">
        <v>183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184</v>
      </c>
      <c r="W17">
        <v>72</v>
      </c>
      <c r="X17" t="s">
        <v>181</v>
      </c>
      <c r="Z17" t="s">
        <v>270</v>
      </c>
      <c r="AB17" t="s">
        <v>223</v>
      </c>
      <c r="AC17" t="s">
        <v>209</v>
      </c>
      <c r="AD17" t="s">
        <v>210</v>
      </c>
      <c r="AE17" t="s">
        <v>189</v>
      </c>
      <c r="AF17" t="s">
        <v>224</v>
      </c>
      <c r="AG17" t="s">
        <v>425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BK17" t="s">
        <v>224</v>
      </c>
      <c r="BL17" t="s">
        <v>389</v>
      </c>
      <c r="BM17">
        <v>0</v>
      </c>
      <c r="BN17">
        <v>0</v>
      </c>
      <c r="BO17">
        <v>0</v>
      </c>
      <c r="BP17">
        <v>0</v>
      </c>
      <c r="BQ17">
        <v>1</v>
      </c>
      <c r="BR17" t="s">
        <v>227</v>
      </c>
      <c r="BS17" t="s">
        <v>194</v>
      </c>
      <c r="BT17" t="s">
        <v>194</v>
      </c>
      <c r="BU17" t="s">
        <v>194</v>
      </c>
      <c r="CD17" t="s">
        <v>194</v>
      </c>
      <c r="CZ17" t="s">
        <v>194</v>
      </c>
      <c r="DB17" t="s">
        <v>194</v>
      </c>
      <c r="DD17" t="s">
        <v>181</v>
      </c>
      <c r="DE17" t="s">
        <v>199</v>
      </c>
      <c r="DF17" t="s">
        <v>181</v>
      </c>
      <c r="DG17" t="s">
        <v>197</v>
      </c>
      <c r="DH17" t="s">
        <v>194</v>
      </c>
      <c r="DJ17" t="s">
        <v>194</v>
      </c>
      <c r="DL17" t="s">
        <v>194</v>
      </c>
      <c r="DN17" t="s">
        <v>181</v>
      </c>
      <c r="DO17" t="s">
        <v>199</v>
      </c>
      <c r="DP17" t="s">
        <v>181</v>
      </c>
      <c r="DQ17" t="s">
        <v>199</v>
      </c>
      <c r="DR17" t="s">
        <v>181</v>
      </c>
      <c r="DS17" t="s">
        <v>197</v>
      </c>
      <c r="DT17" t="s">
        <v>181</v>
      </c>
      <c r="DU17" t="s">
        <v>197</v>
      </c>
      <c r="DV17" t="s">
        <v>194</v>
      </c>
      <c r="DX17" t="s">
        <v>181</v>
      </c>
      <c r="DY17" t="s">
        <v>197</v>
      </c>
      <c r="DZ17" t="s">
        <v>181</v>
      </c>
      <c r="EA17" t="s">
        <v>199</v>
      </c>
      <c r="EB17" t="s">
        <v>194</v>
      </c>
      <c r="ED17" t="s">
        <v>181</v>
      </c>
      <c r="EE17" t="s">
        <v>215</v>
      </c>
      <c r="EF17" t="s">
        <v>194</v>
      </c>
      <c r="EI17" t="s">
        <v>181</v>
      </c>
      <c r="EJ17" t="s">
        <v>215</v>
      </c>
      <c r="EK17" t="s">
        <v>181</v>
      </c>
      <c r="EM17" t="s">
        <v>181</v>
      </c>
      <c r="EN17" t="s">
        <v>194</v>
      </c>
      <c r="EP17" t="s">
        <v>194</v>
      </c>
      <c r="ES17" t="s">
        <v>194</v>
      </c>
      <c r="EV17" t="s">
        <v>181</v>
      </c>
      <c r="EW17" t="s">
        <v>194</v>
      </c>
      <c r="EY17" t="s">
        <v>181</v>
      </c>
      <c r="EZ17" t="s">
        <v>194</v>
      </c>
      <c r="FB17" t="s">
        <v>181</v>
      </c>
      <c r="FC17" t="s">
        <v>194</v>
      </c>
      <c r="FE17" t="s">
        <v>181</v>
      </c>
      <c r="FF17" t="s">
        <v>181</v>
      </c>
      <c r="FG17" t="s">
        <v>250</v>
      </c>
      <c r="FH17" t="s">
        <v>181</v>
      </c>
      <c r="FI17" t="s">
        <v>194</v>
      </c>
      <c r="FK17" t="s">
        <v>181</v>
      </c>
      <c r="FL17" t="s">
        <v>194</v>
      </c>
      <c r="FN17" t="s">
        <v>194</v>
      </c>
      <c r="FR17" t="s">
        <v>338</v>
      </c>
      <c r="FS17" t="s">
        <v>218</v>
      </c>
      <c r="FT17" t="s">
        <v>287</v>
      </c>
      <c r="FU17" t="s">
        <v>194</v>
      </c>
      <c r="GC17" t="s">
        <v>312</v>
      </c>
    </row>
    <row r="18" spans="1:186" hidden="1" x14ac:dyDescent="0.25">
      <c r="A18" s="1">
        <v>46133.50115517361</v>
      </c>
      <c r="B18" s="1">
        <v>46133.510461863429</v>
      </c>
      <c r="C18" t="s">
        <v>261</v>
      </c>
      <c r="D18">
        <v>17</v>
      </c>
      <c r="E18">
        <v>17</v>
      </c>
      <c r="F18" t="b">
        <f t="shared" si="0"/>
        <v>1</v>
      </c>
      <c r="G18" s="1">
        <v>46131</v>
      </c>
      <c r="H18">
        <v>1</v>
      </c>
      <c r="I18" t="s">
        <v>204</v>
      </c>
      <c r="J18" t="s">
        <v>178</v>
      </c>
      <c r="K18" t="s">
        <v>446</v>
      </c>
      <c r="L18" t="s">
        <v>447</v>
      </c>
      <c r="M18" t="s">
        <v>181</v>
      </c>
      <c r="N18" t="s">
        <v>182</v>
      </c>
      <c r="O18">
        <v>12</v>
      </c>
      <c r="P18" t="s">
        <v>183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184</v>
      </c>
      <c r="W18">
        <v>41</v>
      </c>
      <c r="X18" t="s">
        <v>181</v>
      </c>
      <c r="Z18" t="s">
        <v>185</v>
      </c>
      <c r="AB18" t="s">
        <v>186</v>
      </c>
      <c r="AC18" t="s">
        <v>448</v>
      </c>
      <c r="AD18" t="s">
        <v>188</v>
      </c>
      <c r="AE18" t="s">
        <v>265</v>
      </c>
      <c r="AF18" t="s">
        <v>190</v>
      </c>
      <c r="AW18" t="s">
        <v>307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K18" t="s">
        <v>190</v>
      </c>
      <c r="BL18" t="s">
        <v>192</v>
      </c>
      <c r="BM18">
        <v>0</v>
      </c>
      <c r="BN18">
        <v>1</v>
      </c>
      <c r="BO18">
        <v>1</v>
      </c>
      <c r="BP18">
        <v>0</v>
      </c>
      <c r="BQ18">
        <v>0</v>
      </c>
      <c r="BR18" t="s">
        <v>227</v>
      </c>
      <c r="BS18" t="s">
        <v>181</v>
      </c>
      <c r="BT18" t="s">
        <v>181</v>
      </c>
      <c r="BU18" t="s">
        <v>181</v>
      </c>
      <c r="BV18" t="s">
        <v>449</v>
      </c>
      <c r="BW18">
        <v>0</v>
      </c>
      <c r="BX18">
        <v>1</v>
      </c>
      <c r="BY18">
        <v>1</v>
      </c>
      <c r="BZ18">
        <v>0</v>
      </c>
      <c r="CA18">
        <v>0</v>
      </c>
      <c r="CB18">
        <v>0</v>
      </c>
      <c r="CD18" t="s">
        <v>181</v>
      </c>
      <c r="CE18" t="s">
        <v>277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Q18" t="s">
        <v>181</v>
      </c>
      <c r="CZ18" t="s">
        <v>181</v>
      </c>
      <c r="DA18" t="s">
        <v>197</v>
      </c>
      <c r="DB18" t="s">
        <v>194</v>
      </c>
      <c r="DD18" t="s">
        <v>181</v>
      </c>
      <c r="DE18" t="s">
        <v>215</v>
      </c>
      <c r="DF18" t="s">
        <v>181</v>
      </c>
      <c r="DG18" t="s">
        <v>215</v>
      </c>
      <c r="DH18" t="s">
        <v>181</v>
      </c>
      <c r="DI18" t="s">
        <v>199</v>
      </c>
      <c r="DJ18" t="s">
        <v>181</v>
      </c>
      <c r="DK18" t="s">
        <v>199</v>
      </c>
      <c r="DL18" t="s">
        <v>181</v>
      </c>
      <c r="DM18" t="s">
        <v>197</v>
      </c>
      <c r="DN18" t="s">
        <v>181</v>
      </c>
      <c r="DO18" t="s">
        <v>197</v>
      </c>
      <c r="DP18" t="s">
        <v>181</v>
      </c>
      <c r="DQ18" t="s">
        <v>197</v>
      </c>
      <c r="DR18" t="s">
        <v>181</v>
      </c>
      <c r="DS18" t="s">
        <v>199</v>
      </c>
      <c r="DT18" t="s">
        <v>181</v>
      </c>
      <c r="DU18" t="s">
        <v>199</v>
      </c>
      <c r="DV18" t="s">
        <v>181</v>
      </c>
      <c r="DW18" t="s">
        <v>197</v>
      </c>
      <c r="DX18" t="s">
        <v>181</v>
      </c>
      <c r="DY18" t="s">
        <v>199</v>
      </c>
      <c r="DZ18" t="s">
        <v>181</v>
      </c>
      <c r="EA18" t="s">
        <v>199</v>
      </c>
      <c r="EB18" t="s">
        <v>194</v>
      </c>
      <c r="ED18" t="s">
        <v>181</v>
      </c>
      <c r="EE18" t="s">
        <v>199</v>
      </c>
      <c r="EF18" t="s">
        <v>194</v>
      </c>
      <c r="EI18" t="s">
        <v>181</v>
      </c>
      <c r="EJ18" t="s">
        <v>215</v>
      </c>
      <c r="EK18" t="s">
        <v>181</v>
      </c>
      <c r="EM18" t="s">
        <v>181</v>
      </c>
      <c r="EN18" t="s">
        <v>181</v>
      </c>
      <c r="EO18" t="s">
        <v>217</v>
      </c>
      <c r="EP18" t="s">
        <v>181</v>
      </c>
      <c r="EQ18" t="s">
        <v>181</v>
      </c>
      <c r="ER18" t="s">
        <v>216</v>
      </c>
      <c r="ES18" t="s">
        <v>181</v>
      </c>
      <c r="ET18" t="s">
        <v>194</v>
      </c>
      <c r="EV18" t="s">
        <v>181</v>
      </c>
      <c r="EW18" t="s">
        <v>194</v>
      </c>
      <c r="EY18" t="s">
        <v>194</v>
      </c>
      <c r="FB18" t="s">
        <v>194</v>
      </c>
      <c r="FE18" t="s">
        <v>181</v>
      </c>
      <c r="FF18" t="s">
        <v>181</v>
      </c>
      <c r="FG18" t="s">
        <v>229</v>
      </c>
      <c r="FH18" t="s">
        <v>194</v>
      </c>
      <c r="FK18" t="s">
        <v>181</v>
      </c>
      <c r="FL18" t="s">
        <v>194</v>
      </c>
      <c r="FN18" t="s">
        <v>194</v>
      </c>
      <c r="FR18" t="s">
        <v>289</v>
      </c>
      <c r="FS18" t="s">
        <v>342</v>
      </c>
      <c r="FU18" t="s">
        <v>238</v>
      </c>
      <c r="FV18" t="s">
        <v>279</v>
      </c>
      <c r="FW18" t="s">
        <v>238</v>
      </c>
      <c r="FX18" t="s">
        <v>450</v>
      </c>
      <c r="FY18" t="s">
        <v>241</v>
      </c>
      <c r="GA18" t="s">
        <v>194</v>
      </c>
      <c r="GB18" t="s">
        <v>1069</v>
      </c>
      <c r="GC18" t="s">
        <v>373</v>
      </c>
    </row>
    <row r="19" spans="1:186" hidden="1" x14ac:dyDescent="0.25">
      <c r="A19" s="1">
        <v>46133.510462453713</v>
      </c>
      <c r="B19" s="1">
        <v>46133.521155300929</v>
      </c>
      <c r="C19" t="s">
        <v>261</v>
      </c>
      <c r="D19">
        <v>18</v>
      </c>
      <c r="E19">
        <v>18</v>
      </c>
      <c r="F19" t="b">
        <f t="shared" si="0"/>
        <v>1</v>
      </c>
      <c r="G19" s="1">
        <v>46131</v>
      </c>
      <c r="H19">
        <v>1</v>
      </c>
      <c r="I19" t="s">
        <v>177</v>
      </c>
      <c r="J19" t="s">
        <v>178</v>
      </c>
      <c r="K19" t="s">
        <v>473</v>
      </c>
      <c r="L19" t="s">
        <v>474</v>
      </c>
      <c r="M19" t="s">
        <v>181</v>
      </c>
      <c r="N19" t="s">
        <v>182</v>
      </c>
      <c r="O19">
        <v>25</v>
      </c>
      <c r="P19" t="s">
        <v>183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222</v>
      </c>
      <c r="W19">
        <v>60</v>
      </c>
      <c r="X19" t="s">
        <v>181</v>
      </c>
      <c r="Z19" t="s">
        <v>185</v>
      </c>
      <c r="AB19" t="s">
        <v>186</v>
      </c>
      <c r="AC19" t="s">
        <v>334</v>
      </c>
      <c r="AE19" t="s">
        <v>265</v>
      </c>
      <c r="AF19" t="s">
        <v>224</v>
      </c>
      <c r="AG19" t="s">
        <v>393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BK19" t="s">
        <v>224</v>
      </c>
      <c r="BL19" t="s">
        <v>192</v>
      </c>
      <c r="BM19">
        <v>0</v>
      </c>
      <c r="BN19">
        <v>1</v>
      </c>
      <c r="BO19">
        <v>1</v>
      </c>
      <c r="BP19">
        <v>0</v>
      </c>
      <c r="BQ19">
        <v>0</v>
      </c>
      <c r="BR19" t="s">
        <v>227</v>
      </c>
      <c r="BS19" t="s">
        <v>194</v>
      </c>
      <c r="BT19" t="s">
        <v>194</v>
      </c>
      <c r="BU19" t="s">
        <v>194</v>
      </c>
      <c r="CD19" t="s">
        <v>194</v>
      </c>
      <c r="CZ19" t="s">
        <v>181</v>
      </c>
      <c r="DA19" t="s">
        <v>215</v>
      </c>
      <c r="DB19" t="s">
        <v>194</v>
      </c>
      <c r="DD19" t="s">
        <v>181</v>
      </c>
      <c r="DE19" t="s">
        <v>197</v>
      </c>
      <c r="DF19" t="s">
        <v>194</v>
      </c>
      <c r="DH19" t="s">
        <v>194</v>
      </c>
      <c r="DJ19" t="s">
        <v>194</v>
      </c>
      <c r="DL19" t="s">
        <v>194</v>
      </c>
      <c r="DN19" t="s">
        <v>181</v>
      </c>
      <c r="DO19" t="s">
        <v>197</v>
      </c>
      <c r="DP19" t="s">
        <v>194</v>
      </c>
      <c r="DR19" t="s">
        <v>181</v>
      </c>
      <c r="DS19" t="s">
        <v>199</v>
      </c>
      <c r="DT19" t="s">
        <v>194</v>
      </c>
      <c r="DV19" t="s">
        <v>194</v>
      </c>
      <c r="DX19" t="s">
        <v>194</v>
      </c>
      <c r="DZ19" t="s">
        <v>181</v>
      </c>
      <c r="EA19" t="s">
        <v>199</v>
      </c>
      <c r="EB19" t="s">
        <v>194</v>
      </c>
      <c r="ED19" t="s">
        <v>194</v>
      </c>
      <c r="EF19" t="s">
        <v>194</v>
      </c>
      <c r="EI19" t="s">
        <v>181</v>
      </c>
      <c r="EJ19" t="s">
        <v>215</v>
      </c>
      <c r="EK19" t="s">
        <v>181</v>
      </c>
      <c r="EM19" t="s">
        <v>181</v>
      </c>
      <c r="EN19" t="s">
        <v>181</v>
      </c>
      <c r="EO19" t="s">
        <v>217</v>
      </c>
      <c r="EP19" t="s">
        <v>194</v>
      </c>
      <c r="ES19" t="s">
        <v>194</v>
      </c>
      <c r="EV19" t="s">
        <v>181</v>
      </c>
      <c r="EW19" t="s">
        <v>181</v>
      </c>
      <c r="EX19" t="s">
        <v>250</v>
      </c>
      <c r="EY19" t="s">
        <v>194</v>
      </c>
      <c r="FB19" t="s">
        <v>194</v>
      </c>
      <c r="FE19" t="s">
        <v>181</v>
      </c>
      <c r="FF19" t="s">
        <v>181</v>
      </c>
      <c r="FG19" t="s">
        <v>250</v>
      </c>
      <c r="FH19" t="s">
        <v>181</v>
      </c>
      <c r="FI19" t="s">
        <v>181</v>
      </c>
      <c r="FJ19" t="s">
        <v>250</v>
      </c>
      <c r="FK19" t="s">
        <v>181</v>
      </c>
      <c r="FL19" t="s">
        <v>194</v>
      </c>
      <c r="FN19" t="s">
        <v>194</v>
      </c>
      <c r="FR19" t="s">
        <v>218</v>
      </c>
      <c r="FU19" t="s">
        <v>238</v>
      </c>
      <c r="FV19" t="s">
        <v>239</v>
      </c>
      <c r="FW19" t="s">
        <v>238</v>
      </c>
      <c r="FX19" t="s">
        <v>475</v>
      </c>
      <c r="FY19" t="s">
        <v>241</v>
      </c>
      <c r="GA19" t="s">
        <v>242</v>
      </c>
      <c r="GB19" t="s">
        <v>476</v>
      </c>
      <c r="GC19" t="s">
        <v>1072</v>
      </c>
    </row>
    <row r="20" spans="1:186" hidden="1" x14ac:dyDescent="0.25">
      <c r="A20" s="1">
        <v>46133.521156076393</v>
      </c>
      <c r="B20" s="1">
        <v>46133.57064229167</v>
      </c>
      <c r="C20" t="s">
        <v>261</v>
      </c>
      <c r="D20">
        <v>19</v>
      </c>
      <c r="E20">
        <v>19</v>
      </c>
      <c r="F20" t="b">
        <f t="shared" si="0"/>
        <v>1</v>
      </c>
      <c r="G20" s="1">
        <v>46129</v>
      </c>
      <c r="H20">
        <v>1</v>
      </c>
      <c r="I20" t="s">
        <v>204</v>
      </c>
      <c r="J20" t="s">
        <v>178</v>
      </c>
      <c r="K20" t="s">
        <v>532</v>
      </c>
      <c r="L20" t="s">
        <v>533</v>
      </c>
      <c r="M20" t="s">
        <v>181</v>
      </c>
      <c r="N20" t="s">
        <v>182</v>
      </c>
      <c r="O20">
        <v>17</v>
      </c>
      <c r="P20" t="s">
        <v>183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184</v>
      </c>
      <c r="W20">
        <v>41</v>
      </c>
      <c r="X20" t="s">
        <v>181</v>
      </c>
      <c r="Z20" t="s">
        <v>185</v>
      </c>
      <c r="AB20" t="s">
        <v>208</v>
      </c>
      <c r="AC20" t="s">
        <v>257</v>
      </c>
      <c r="AD20" t="s">
        <v>188</v>
      </c>
      <c r="AE20" t="s">
        <v>265</v>
      </c>
      <c r="AF20" t="s">
        <v>224</v>
      </c>
      <c r="AG20" t="s">
        <v>295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BK20" t="s">
        <v>224</v>
      </c>
      <c r="BL20" t="s">
        <v>226</v>
      </c>
      <c r="BM20">
        <v>0</v>
      </c>
      <c r="BN20">
        <v>1</v>
      </c>
      <c r="BO20">
        <v>0</v>
      </c>
      <c r="BP20">
        <v>0</v>
      </c>
      <c r="BQ20">
        <v>0</v>
      </c>
      <c r="BR20" t="s">
        <v>193</v>
      </c>
      <c r="BS20" t="s">
        <v>181</v>
      </c>
      <c r="BT20" t="s">
        <v>194</v>
      </c>
      <c r="BU20" t="s">
        <v>194</v>
      </c>
      <c r="CD20" t="s">
        <v>194</v>
      </c>
      <c r="CZ20" t="s">
        <v>181</v>
      </c>
      <c r="DA20" t="s">
        <v>197</v>
      </c>
      <c r="DB20" t="s">
        <v>194</v>
      </c>
      <c r="DD20" t="s">
        <v>181</v>
      </c>
      <c r="DE20" t="s">
        <v>199</v>
      </c>
      <c r="DF20" t="s">
        <v>181</v>
      </c>
      <c r="DG20" t="s">
        <v>215</v>
      </c>
      <c r="DH20" t="s">
        <v>181</v>
      </c>
      <c r="DI20" t="s">
        <v>197</v>
      </c>
      <c r="DJ20" t="s">
        <v>194</v>
      </c>
      <c r="DL20" t="s">
        <v>181</v>
      </c>
      <c r="DM20" t="s">
        <v>199</v>
      </c>
      <c r="DN20" t="s">
        <v>194</v>
      </c>
      <c r="DP20" t="s">
        <v>194</v>
      </c>
      <c r="DR20" t="s">
        <v>181</v>
      </c>
      <c r="DS20" t="s">
        <v>215</v>
      </c>
      <c r="DT20" t="s">
        <v>181</v>
      </c>
      <c r="DU20" t="s">
        <v>197</v>
      </c>
      <c r="DV20" t="s">
        <v>194</v>
      </c>
      <c r="DX20" t="s">
        <v>181</v>
      </c>
      <c r="DY20" t="s">
        <v>197</v>
      </c>
      <c r="DZ20" t="s">
        <v>181</v>
      </c>
      <c r="EA20" t="s">
        <v>197</v>
      </c>
      <c r="EB20" t="s">
        <v>194</v>
      </c>
      <c r="ED20" t="s">
        <v>194</v>
      </c>
      <c r="EF20" t="s">
        <v>194</v>
      </c>
      <c r="EI20" t="s">
        <v>181</v>
      </c>
      <c r="EJ20" t="s">
        <v>215</v>
      </c>
      <c r="EK20" t="s">
        <v>194</v>
      </c>
      <c r="EM20" t="s">
        <v>181</v>
      </c>
      <c r="EN20" t="s">
        <v>194</v>
      </c>
      <c r="EP20" t="s">
        <v>181</v>
      </c>
      <c r="EQ20" t="s">
        <v>194</v>
      </c>
      <c r="ES20" t="s">
        <v>181</v>
      </c>
      <c r="ET20" t="s">
        <v>181</v>
      </c>
      <c r="EU20" t="s">
        <v>250</v>
      </c>
      <c r="EV20" t="s">
        <v>181</v>
      </c>
      <c r="EW20" t="s">
        <v>194</v>
      </c>
      <c r="EY20" t="s">
        <v>181</v>
      </c>
      <c r="EZ20" t="s">
        <v>194</v>
      </c>
      <c r="FB20" t="s">
        <v>181</v>
      </c>
      <c r="FC20" t="s">
        <v>194</v>
      </c>
      <c r="FE20" t="s">
        <v>181</v>
      </c>
      <c r="FF20" t="s">
        <v>181</v>
      </c>
      <c r="FG20" t="s">
        <v>229</v>
      </c>
      <c r="FH20" t="s">
        <v>181</v>
      </c>
      <c r="FI20" t="s">
        <v>181</v>
      </c>
      <c r="FJ20" t="s">
        <v>250</v>
      </c>
      <c r="FK20" t="s">
        <v>181</v>
      </c>
      <c r="FL20" t="s">
        <v>181</v>
      </c>
      <c r="FM20" t="s">
        <v>250</v>
      </c>
      <c r="FN20" t="s">
        <v>194</v>
      </c>
      <c r="FR20" t="s">
        <v>218</v>
      </c>
      <c r="FU20" t="s">
        <v>194</v>
      </c>
      <c r="GC20" t="s">
        <v>312</v>
      </c>
    </row>
    <row r="21" spans="1:186" hidden="1" x14ac:dyDescent="0.25">
      <c r="A21" s="1">
        <v>46133.570642905092</v>
      </c>
      <c r="B21" s="1">
        <v>46133.574659756952</v>
      </c>
      <c r="C21" t="s">
        <v>261</v>
      </c>
      <c r="D21">
        <v>20</v>
      </c>
      <c r="E21">
        <v>20</v>
      </c>
      <c r="F21" t="b">
        <f t="shared" si="0"/>
        <v>1</v>
      </c>
      <c r="G21" s="1">
        <v>46129</v>
      </c>
      <c r="H21">
        <v>1</v>
      </c>
      <c r="I21" t="s">
        <v>219</v>
      </c>
      <c r="J21" t="s">
        <v>178</v>
      </c>
      <c r="K21" t="s">
        <v>534</v>
      </c>
      <c r="L21" t="s">
        <v>535</v>
      </c>
      <c r="M21" t="s">
        <v>181</v>
      </c>
      <c r="N21" t="s">
        <v>246</v>
      </c>
      <c r="O21">
        <v>1</v>
      </c>
      <c r="P21" t="s">
        <v>183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184</v>
      </c>
      <c r="W21">
        <v>40</v>
      </c>
      <c r="X21" t="s">
        <v>181</v>
      </c>
      <c r="Z21" t="s">
        <v>270</v>
      </c>
      <c r="AB21" t="s">
        <v>223</v>
      </c>
      <c r="AC21" t="s">
        <v>209</v>
      </c>
      <c r="AD21" t="s">
        <v>188</v>
      </c>
      <c r="AE21" t="s">
        <v>265</v>
      </c>
      <c r="AF21" t="s">
        <v>224</v>
      </c>
      <c r="AG21" t="s">
        <v>295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BK21" t="s">
        <v>224</v>
      </c>
      <c r="BL21" t="s">
        <v>192</v>
      </c>
      <c r="BM21">
        <v>0</v>
      </c>
      <c r="BN21">
        <v>1</v>
      </c>
      <c r="BO21">
        <v>1</v>
      </c>
      <c r="BP21">
        <v>0</v>
      </c>
      <c r="BQ21">
        <v>0</v>
      </c>
      <c r="BR21" t="s">
        <v>227</v>
      </c>
      <c r="BS21" t="s">
        <v>194</v>
      </c>
      <c r="BT21" t="s">
        <v>194</v>
      </c>
      <c r="BU21" t="s">
        <v>194</v>
      </c>
      <c r="CD21" t="s">
        <v>194</v>
      </c>
      <c r="CZ21" t="s">
        <v>194</v>
      </c>
      <c r="DB21" t="s">
        <v>194</v>
      </c>
      <c r="DD21" t="s">
        <v>194</v>
      </c>
      <c r="DF21" t="s">
        <v>181</v>
      </c>
      <c r="DG21" t="s">
        <v>197</v>
      </c>
      <c r="DH21" t="s">
        <v>194</v>
      </c>
      <c r="DJ21" t="s">
        <v>194</v>
      </c>
      <c r="DL21" t="s">
        <v>181</v>
      </c>
      <c r="DM21" t="s">
        <v>197</v>
      </c>
      <c r="DN21" t="s">
        <v>194</v>
      </c>
      <c r="DP21" t="s">
        <v>194</v>
      </c>
      <c r="DR21" t="s">
        <v>194</v>
      </c>
      <c r="DT21" t="s">
        <v>194</v>
      </c>
      <c r="DV21" t="s">
        <v>194</v>
      </c>
      <c r="DX21" t="s">
        <v>194</v>
      </c>
      <c r="DZ21" t="s">
        <v>194</v>
      </c>
      <c r="EB21" t="s">
        <v>194</v>
      </c>
      <c r="ED21" t="s">
        <v>194</v>
      </c>
      <c r="EF21" t="s">
        <v>194</v>
      </c>
      <c r="EI21" t="s">
        <v>181</v>
      </c>
      <c r="EJ21" t="s">
        <v>199</v>
      </c>
      <c r="EK21" t="s">
        <v>194</v>
      </c>
      <c r="EM21" t="s">
        <v>181</v>
      </c>
      <c r="EN21" t="s">
        <v>181</v>
      </c>
      <c r="EO21" t="s">
        <v>217</v>
      </c>
      <c r="EP21" t="s">
        <v>181</v>
      </c>
      <c r="EQ21" t="s">
        <v>181</v>
      </c>
      <c r="ER21" t="s">
        <v>217</v>
      </c>
      <c r="ES21" t="s">
        <v>181</v>
      </c>
      <c r="ET21" t="s">
        <v>181</v>
      </c>
      <c r="EU21" t="s">
        <v>250</v>
      </c>
      <c r="EV21" t="s">
        <v>181</v>
      </c>
      <c r="EW21" t="s">
        <v>194</v>
      </c>
      <c r="EY21" t="s">
        <v>181</v>
      </c>
      <c r="EZ21" t="s">
        <v>181</v>
      </c>
      <c r="FA21" t="s">
        <v>250</v>
      </c>
      <c r="FB21" t="s">
        <v>181</v>
      </c>
      <c r="FC21" t="s">
        <v>194</v>
      </c>
      <c r="FE21" t="s">
        <v>194</v>
      </c>
      <c r="FH21" t="s">
        <v>181</v>
      </c>
      <c r="FI21" t="s">
        <v>194</v>
      </c>
      <c r="FK21" t="s">
        <v>194</v>
      </c>
      <c r="FN21" t="s">
        <v>194</v>
      </c>
      <c r="FR21" t="s">
        <v>218</v>
      </c>
      <c r="FU21" t="s">
        <v>194</v>
      </c>
      <c r="GC21" t="s">
        <v>202</v>
      </c>
    </row>
    <row r="22" spans="1:186" hidden="1" x14ac:dyDescent="0.25">
      <c r="A22" s="1">
        <v>46133.574660509257</v>
      </c>
      <c r="B22" s="1">
        <v>46133.57968505787</v>
      </c>
      <c r="C22" t="s">
        <v>261</v>
      </c>
      <c r="D22">
        <v>21</v>
      </c>
      <c r="E22">
        <v>21</v>
      </c>
      <c r="F22" t="b">
        <f t="shared" si="0"/>
        <v>1</v>
      </c>
      <c r="G22" s="1">
        <v>46129</v>
      </c>
      <c r="H22">
        <v>1</v>
      </c>
      <c r="I22" t="s">
        <v>177</v>
      </c>
      <c r="J22" t="s">
        <v>178</v>
      </c>
      <c r="K22" t="s">
        <v>536</v>
      </c>
      <c r="L22" t="s">
        <v>537</v>
      </c>
      <c r="M22" t="s">
        <v>181</v>
      </c>
      <c r="N22" t="s">
        <v>182</v>
      </c>
      <c r="O22">
        <v>17</v>
      </c>
      <c r="P22" t="s">
        <v>183</v>
      </c>
      <c r="Q22">
        <v>0</v>
      </c>
      <c r="R22">
        <v>0</v>
      </c>
      <c r="S22">
        <v>0</v>
      </c>
      <c r="T22">
        <v>0</v>
      </c>
      <c r="U22">
        <v>1</v>
      </c>
      <c r="V22" t="s">
        <v>184</v>
      </c>
      <c r="W22">
        <v>62</v>
      </c>
      <c r="X22" t="s">
        <v>181</v>
      </c>
      <c r="Z22" t="s">
        <v>185</v>
      </c>
      <c r="AB22" t="s">
        <v>315</v>
      </c>
      <c r="AC22" t="s">
        <v>209</v>
      </c>
      <c r="AD22" t="s">
        <v>188</v>
      </c>
      <c r="AE22" t="s">
        <v>265</v>
      </c>
      <c r="AF22" t="s">
        <v>211</v>
      </c>
      <c r="AW22" t="s">
        <v>398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K22" t="s">
        <v>211</v>
      </c>
      <c r="BL22" t="s">
        <v>538</v>
      </c>
      <c r="BM22">
        <v>1</v>
      </c>
      <c r="BN22">
        <v>0</v>
      </c>
      <c r="BO22">
        <v>1</v>
      </c>
      <c r="BP22">
        <v>0</v>
      </c>
      <c r="BQ22">
        <v>0</v>
      </c>
      <c r="BR22" t="s">
        <v>227</v>
      </c>
      <c r="BS22" t="s">
        <v>194</v>
      </c>
      <c r="BT22" t="s">
        <v>194</v>
      </c>
      <c r="BU22" t="s">
        <v>181</v>
      </c>
      <c r="BV22" t="s">
        <v>195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 t="s">
        <v>539</v>
      </c>
      <c r="CD22" t="s">
        <v>181</v>
      </c>
      <c r="CE22" t="s">
        <v>540</v>
      </c>
      <c r="CF22">
        <v>0</v>
      </c>
      <c r="CG22">
        <v>1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R22" t="s">
        <v>194</v>
      </c>
      <c r="CU22" t="s">
        <v>194</v>
      </c>
      <c r="CZ22" t="s">
        <v>194</v>
      </c>
      <c r="DB22" t="s">
        <v>194</v>
      </c>
      <c r="DD22" t="s">
        <v>181</v>
      </c>
      <c r="DE22" t="s">
        <v>197</v>
      </c>
      <c r="DF22" t="s">
        <v>181</v>
      </c>
      <c r="DG22" t="s">
        <v>197</v>
      </c>
      <c r="DH22" t="s">
        <v>181</v>
      </c>
      <c r="DI22" t="s">
        <v>215</v>
      </c>
      <c r="DJ22" t="s">
        <v>194</v>
      </c>
      <c r="DL22" t="s">
        <v>181</v>
      </c>
      <c r="DM22" t="s">
        <v>215</v>
      </c>
      <c r="DN22" t="s">
        <v>181</v>
      </c>
      <c r="DO22" t="s">
        <v>197</v>
      </c>
      <c r="DP22" t="s">
        <v>194</v>
      </c>
      <c r="DR22" t="s">
        <v>181</v>
      </c>
      <c r="DS22" t="s">
        <v>197</v>
      </c>
      <c r="DT22" t="s">
        <v>194</v>
      </c>
      <c r="DV22" t="s">
        <v>181</v>
      </c>
      <c r="DW22" t="s">
        <v>215</v>
      </c>
      <c r="DX22" t="s">
        <v>194</v>
      </c>
      <c r="DZ22" t="s">
        <v>181</v>
      </c>
      <c r="EA22" t="s">
        <v>197</v>
      </c>
      <c r="EB22" t="s">
        <v>194</v>
      </c>
      <c r="ED22" t="s">
        <v>181</v>
      </c>
      <c r="EE22" t="s">
        <v>199</v>
      </c>
      <c r="EF22" t="s">
        <v>194</v>
      </c>
      <c r="EI22" t="s">
        <v>181</v>
      </c>
      <c r="EJ22" t="s">
        <v>215</v>
      </c>
      <c r="EK22" t="s">
        <v>194</v>
      </c>
      <c r="EM22" t="s">
        <v>181</v>
      </c>
      <c r="EN22" t="s">
        <v>194</v>
      </c>
      <c r="EP22" t="s">
        <v>194</v>
      </c>
      <c r="ES22" t="s">
        <v>194</v>
      </c>
      <c r="EV22" t="s">
        <v>181</v>
      </c>
      <c r="EW22" t="s">
        <v>194</v>
      </c>
      <c r="EY22" t="s">
        <v>194</v>
      </c>
      <c r="FB22" t="s">
        <v>181</v>
      </c>
      <c r="FC22" t="s">
        <v>194</v>
      </c>
      <c r="FE22" t="s">
        <v>181</v>
      </c>
      <c r="FF22" t="s">
        <v>194</v>
      </c>
      <c r="FH22" t="s">
        <v>181</v>
      </c>
      <c r="FI22" t="s">
        <v>194</v>
      </c>
      <c r="FK22" t="s">
        <v>194</v>
      </c>
      <c r="FN22" t="s">
        <v>194</v>
      </c>
      <c r="FR22" t="s">
        <v>237</v>
      </c>
      <c r="FS22" t="s">
        <v>288</v>
      </c>
      <c r="FU22" t="s">
        <v>238</v>
      </c>
      <c r="FV22" t="s">
        <v>239</v>
      </c>
      <c r="FW22" t="s">
        <v>238</v>
      </c>
      <c r="FX22" t="s">
        <v>541</v>
      </c>
      <c r="FY22" t="s">
        <v>241</v>
      </c>
      <c r="GA22" t="s">
        <v>242</v>
      </c>
      <c r="GB22" t="s">
        <v>542</v>
      </c>
      <c r="GC22" t="s">
        <v>312</v>
      </c>
    </row>
    <row r="23" spans="1:186" x14ac:dyDescent="0.25">
      <c r="A23" s="1">
        <v>46133.579685914352</v>
      </c>
      <c r="B23" s="1">
        <v>46133.586260949072</v>
      </c>
      <c r="C23" t="s">
        <v>261</v>
      </c>
      <c r="D23">
        <v>22</v>
      </c>
      <c r="E23">
        <v>22</v>
      </c>
      <c r="F23" t="b">
        <f t="shared" si="0"/>
        <v>1</v>
      </c>
      <c r="G23" s="1">
        <v>46129</v>
      </c>
      <c r="H23">
        <v>1</v>
      </c>
      <c r="I23" t="s">
        <v>219</v>
      </c>
      <c r="J23" t="s">
        <v>178</v>
      </c>
      <c r="K23" t="s">
        <v>546</v>
      </c>
      <c r="L23" t="s">
        <v>547</v>
      </c>
      <c r="M23" t="s">
        <v>181</v>
      </c>
      <c r="N23" t="s">
        <v>246</v>
      </c>
      <c r="O23">
        <v>36</v>
      </c>
      <c r="P23" t="s">
        <v>183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222</v>
      </c>
      <c r="W23">
        <v>71</v>
      </c>
      <c r="X23" t="s">
        <v>181</v>
      </c>
      <c r="Z23" t="s">
        <v>185</v>
      </c>
      <c r="AB23" t="s">
        <v>208</v>
      </c>
      <c r="AC23" t="s">
        <v>209</v>
      </c>
      <c r="AD23" t="s">
        <v>188</v>
      </c>
      <c r="AE23" t="s">
        <v>189</v>
      </c>
      <c r="AF23" t="s">
        <v>248</v>
      </c>
      <c r="AG23" t="s">
        <v>548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BK23" t="s">
        <v>248</v>
      </c>
      <c r="BL23" t="s">
        <v>226</v>
      </c>
      <c r="BM23">
        <v>0</v>
      </c>
      <c r="BN23">
        <v>1</v>
      </c>
      <c r="BO23">
        <v>0</v>
      </c>
      <c r="BP23">
        <v>0</v>
      </c>
      <c r="BQ23">
        <v>0</v>
      </c>
      <c r="BR23" t="s">
        <v>227</v>
      </c>
      <c r="BS23" t="s">
        <v>194</v>
      </c>
      <c r="BT23" t="s">
        <v>194</v>
      </c>
      <c r="BU23" t="s">
        <v>194</v>
      </c>
      <c r="CD23" t="s">
        <v>194</v>
      </c>
      <c r="CZ23" t="s">
        <v>194</v>
      </c>
      <c r="DB23" t="s">
        <v>194</v>
      </c>
      <c r="DD23" t="s">
        <v>181</v>
      </c>
      <c r="DE23" t="s">
        <v>215</v>
      </c>
      <c r="DF23" t="s">
        <v>181</v>
      </c>
      <c r="DG23" t="s">
        <v>215</v>
      </c>
      <c r="DH23" t="s">
        <v>181</v>
      </c>
      <c r="DI23" t="s">
        <v>215</v>
      </c>
      <c r="DJ23" t="s">
        <v>181</v>
      </c>
      <c r="DK23" t="s">
        <v>197</v>
      </c>
      <c r="DL23" t="s">
        <v>181</v>
      </c>
      <c r="DM23" t="s">
        <v>215</v>
      </c>
      <c r="DN23" t="s">
        <v>194</v>
      </c>
      <c r="DP23" t="s">
        <v>194</v>
      </c>
      <c r="DR23" t="s">
        <v>181</v>
      </c>
      <c r="DS23" t="s">
        <v>197</v>
      </c>
      <c r="DT23" t="s">
        <v>181</v>
      </c>
      <c r="DU23" t="s">
        <v>215</v>
      </c>
      <c r="DV23" t="s">
        <v>194</v>
      </c>
      <c r="DX23" t="s">
        <v>181</v>
      </c>
      <c r="DY23" t="s">
        <v>197</v>
      </c>
      <c r="DZ23" t="s">
        <v>194</v>
      </c>
      <c r="EB23" t="s">
        <v>194</v>
      </c>
      <c r="ED23" t="s">
        <v>194</v>
      </c>
      <c r="EF23" t="s">
        <v>194</v>
      </c>
      <c r="EI23" t="s">
        <v>181</v>
      </c>
      <c r="EJ23" t="s">
        <v>215</v>
      </c>
      <c r="EK23" t="s">
        <v>194</v>
      </c>
      <c r="EM23" t="s">
        <v>181</v>
      </c>
      <c r="EN23" t="s">
        <v>194</v>
      </c>
      <c r="EP23" t="s">
        <v>194</v>
      </c>
      <c r="ES23" t="s">
        <v>181</v>
      </c>
      <c r="ET23" t="s">
        <v>181</v>
      </c>
      <c r="EU23" t="s">
        <v>229</v>
      </c>
      <c r="EV23" t="s">
        <v>181</v>
      </c>
      <c r="EW23" t="s">
        <v>194</v>
      </c>
      <c r="EY23" t="s">
        <v>181</v>
      </c>
      <c r="EZ23" t="s">
        <v>194</v>
      </c>
      <c r="FB23" t="s">
        <v>181</v>
      </c>
      <c r="FC23" t="s">
        <v>194</v>
      </c>
      <c r="FE23" t="s">
        <v>181</v>
      </c>
      <c r="FF23" t="s">
        <v>181</v>
      </c>
      <c r="FG23" t="s">
        <v>229</v>
      </c>
      <c r="FH23" t="s">
        <v>181</v>
      </c>
      <c r="FI23" t="s">
        <v>181</v>
      </c>
      <c r="FJ23" t="s">
        <v>229</v>
      </c>
      <c r="FK23" t="s">
        <v>181</v>
      </c>
      <c r="FL23" t="s">
        <v>181</v>
      </c>
      <c r="FM23" t="s">
        <v>229</v>
      </c>
      <c r="FN23" t="s">
        <v>194</v>
      </c>
      <c r="FR23" t="s">
        <v>309</v>
      </c>
      <c r="FS23" t="s">
        <v>549</v>
      </c>
      <c r="FT23" t="s">
        <v>550</v>
      </c>
      <c r="FU23" t="s">
        <v>238</v>
      </c>
      <c r="FV23" t="s">
        <v>300</v>
      </c>
      <c r="FW23" t="s">
        <v>238</v>
      </c>
      <c r="FX23" t="s">
        <v>551</v>
      </c>
      <c r="FY23" t="s">
        <v>238</v>
      </c>
      <c r="FZ23" t="s">
        <v>552</v>
      </c>
      <c r="GA23" t="s">
        <v>242</v>
      </c>
      <c r="GB23" t="s">
        <v>553</v>
      </c>
      <c r="GC23" t="s">
        <v>232</v>
      </c>
    </row>
    <row r="24" spans="1:186" hidden="1" x14ac:dyDescent="0.25">
      <c r="A24" s="1">
        <v>46133.58626152778</v>
      </c>
      <c r="B24" s="1">
        <v>46133.596394872693</v>
      </c>
      <c r="C24" t="s">
        <v>261</v>
      </c>
      <c r="D24">
        <v>23</v>
      </c>
      <c r="E24">
        <v>23</v>
      </c>
      <c r="F24" t="b">
        <f t="shared" si="0"/>
        <v>1</v>
      </c>
      <c r="G24" s="1">
        <v>46129</v>
      </c>
      <c r="H24">
        <v>1</v>
      </c>
      <c r="I24" t="s">
        <v>204</v>
      </c>
      <c r="J24" t="s">
        <v>178</v>
      </c>
      <c r="K24" t="s">
        <v>561</v>
      </c>
      <c r="L24" t="s">
        <v>562</v>
      </c>
      <c r="M24" t="s">
        <v>181</v>
      </c>
      <c r="N24" t="s">
        <v>182</v>
      </c>
      <c r="O24">
        <v>25</v>
      </c>
      <c r="P24" t="s">
        <v>183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222</v>
      </c>
      <c r="W24">
        <v>60</v>
      </c>
      <c r="X24" t="s">
        <v>181</v>
      </c>
      <c r="Z24" t="s">
        <v>270</v>
      </c>
      <c r="AB24" t="s">
        <v>186</v>
      </c>
      <c r="AC24" t="s">
        <v>209</v>
      </c>
      <c r="AD24" t="s">
        <v>188</v>
      </c>
      <c r="AE24" t="s">
        <v>198</v>
      </c>
      <c r="AF24" t="s">
        <v>224</v>
      </c>
      <c r="AG24" t="s">
        <v>295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BK24" t="s">
        <v>224</v>
      </c>
      <c r="BL24" t="s">
        <v>192</v>
      </c>
      <c r="BM24">
        <v>0</v>
      </c>
      <c r="BN24">
        <v>1</v>
      </c>
      <c r="BO24">
        <v>1</v>
      </c>
      <c r="BP24">
        <v>0</v>
      </c>
      <c r="BQ24">
        <v>0</v>
      </c>
      <c r="BR24" t="s">
        <v>212</v>
      </c>
      <c r="BS24" t="s">
        <v>194</v>
      </c>
      <c r="BT24" t="s">
        <v>194</v>
      </c>
      <c r="BU24" t="s">
        <v>194</v>
      </c>
      <c r="CD24" t="s">
        <v>194</v>
      </c>
      <c r="CZ24" t="s">
        <v>181</v>
      </c>
      <c r="DA24" t="s">
        <v>197</v>
      </c>
      <c r="DB24" t="s">
        <v>194</v>
      </c>
      <c r="DD24" t="s">
        <v>194</v>
      </c>
      <c r="DF24" t="s">
        <v>194</v>
      </c>
      <c r="DH24" t="s">
        <v>194</v>
      </c>
      <c r="DJ24" t="s">
        <v>194</v>
      </c>
      <c r="DL24" t="s">
        <v>194</v>
      </c>
      <c r="DN24" t="s">
        <v>194</v>
      </c>
      <c r="DP24" t="s">
        <v>194</v>
      </c>
      <c r="DR24" t="s">
        <v>194</v>
      </c>
      <c r="DT24" t="s">
        <v>194</v>
      </c>
      <c r="DV24" t="s">
        <v>194</v>
      </c>
      <c r="DX24" t="s">
        <v>194</v>
      </c>
      <c r="DZ24" t="s">
        <v>194</v>
      </c>
      <c r="EB24" t="s">
        <v>194</v>
      </c>
      <c r="ED24" t="s">
        <v>194</v>
      </c>
      <c r="EF24" t="s">
        <v>194</v>
      </c>
      <c r="EI24" t="s">
        <v>181</v>
      </c>
      <c r="EJ24" t="s">
        <v>215</v>
      </c>
      <c r="EK24" t="s">
        <v>181</v>
      </c>
      <c r="EM24" t="s">
        <v>194</v>
      </c>
      <c r="EP24" t="s">
        <v>194</v>
      </c>
      <c r="ES24" t="s">
        <v>194</v>
      </c>
      <c r="EV24" t="s">
        <v>194</v>
      </c>
      <c r="EY24" t="s">
        <v>194</v>
      </c>
      <c r="FB24" t="s">
        <v>194</v>
      </c>
      <c r="FE24" t="s">
        <v>181</v>
      </c>
      <c r="FF24" t="s">
        <v>181</v>
      </c>
      <c r="FG24" t="s">
        <v>229</v>
      </c>
      <c r="FH24" t="s">
        <v>181</v>
      </c>
      <c r="FI24" t="s">
        <v>194</v>
      </c>
      <c r="FK24" t="s">
        <v>181</v>
      </c>
      <c r="FL24" t="s">
        <v>194</v>
      </c>
      <c r="FN24" t="s">
        <v>194</v>
      </c>
      <c r="FR24" t="s">
        <v>363</v>
      </c>
      <c r="FS24" t="s">
        <v>218</v>
      </c>
      <c r="FU24" t="s">
        <v>194</v>
      </c>
      <c r="GC24" t="s">
        <v>232</v>
      </c>
      <c r="GD24" t="s">
        <v>563</v>
      </c>
    </row>
    <row r="25" spans="1:186" hidden="1" x14ac:dyDescent="0.25">
      <c r="A25" s="1">
        <v>46133.596395601853</v>
      </c>
      <c r="B25" s="1">
        <v>46133.639320347233</v>
      </c>
      <c r="C25" t="s">
        <v>261</v>
      </c>
      <c r="D25">
        <v>24</v>
      </c>
      <c r="E25">
        <v>24</v>
      </c>
      <c r="F25" t="b">
        <f t="shared" si="0"/>
        <v>1</v>
      </c>
      <c r="G25" s="1">
        <v>46129</v>
      </c>
      <c r="H25">
        <v>1</v>
      </c>
      <c r="I25" t="s">
        <v>204</v>
      </c>
      <c r="J25" t="s">
        <v>178</v>
      </c>
      <c r="K25" t="s">
        <v>628</v>
      </c>
      <c r="L25" t="s">
        <v>629</v>
      </c>
      <c r="M25" t="s">
        <v>181</v>
      </c>
      <c r="N25" t="s">
        <v>182</v>
      </c>
      <c r="O25">
        <v>10</v>
      </c>
      <c r="P25" t="s">
        <v>183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184</v>
      </c>
      <c r="W25">
        <v>40</v>
      </c>
      <c r="X25" t="s">
        <v>181</v>
      </c>
      <c r="Z25" t="s">
        <v>185</v>
      </c>
      <c r="AB25" t="s">
        <v>186</v>
      </c>
      <c r="AC25" t="s">
        <v>257</v>
      </c>
      <c r="AD25" t="s">
        <v>210</v>
      </c>
      <c r="AE25" t="s">
        <v>198</v>
      </c>
      <c r="AF25" t="s">
        <v>224</v>
      </c>
      <c r="AG25" t="s">
        <v>295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BK25" t="s">
        <v>224</v>
      </c>
      <c r="BL25" t="s">
        <v>192</v>
      </c>
      <c r="BM25">
        <v>0</v>
      </c>
      <c r="BN25">
        <v>1</v>
      </c>
      <c r="BO25">
        <v>1</v>
      </c>
      <c r="BP25">
        <v>0</v>
      </c>
      <c r="BQ25">
        <v>0</v>
      </c>
      <c r="BR25" t="s">
        <v>227</v>
      </c>
      <c r="BS25" t="s">
        <v>194</v>
      </c>
      <c r="BT25" t="s">
        <v>194</v>
      </c>
      <c r="BU25" t="s">
        <v>194</v>
      </c>
      <c r="CD25" t="s">
        <v>194</v>
      </c>
      <c r="CZ25" t="s">
        <v>194</v>
      </c>
      <c r="DB25" t="s">
        <v>194</v>
      </c>
      <c r="DD25" t="s">
        <v>181</v>
      </c>
      <c r="DE25" t="s">
        <v>215</v>
      </c>
      <c r="DF25" t="s">
        <v>194</v>
      </c>
      <c r="DH25" t="s">
        <v>194</v>
      </c>
      <c r="DJ25" t="s">
        <v>181</v>
      </c>
      <c r="DK25" t="s">
        <v>197</v>
      </c>
      <c r="DL25" t="s">
        <v>194</v>
      </c>
      <c r="DN25" t="s">
        <v>194</v>
      </c>
      <c r="DP25" t="s">
        <v>194</v>
      </c>
      <c r="DR25" t="s">
        <v>194</v>
      </c>
      <c r="DT25" t="s">
        <v>194</v>
      </c>
      <c r="DV25" t="s">
        <v>194</v>
      </c>
      <c r="DX25" t="s">
        <v>194</v>
      </c>
      <c r="DZ25" t="s">
        <v>194</v>
      </c>
      <c r="EB25" t="s">
        <v>194</v>
      </c>
      <c r="ED25" t="s">
        <v>194</v>
      </c>
      <c r="EF25" t="s">
        <v>194</v>
      </c>
      <c r="EI25" t="s">
        <v>181</v>
      </c>
      <c r="EJ25" t="s">
        <v>215</v>
      </c>
      <c r="EK25" t="s">
        <v>181</v>
      </c>
      <c r="EM25" t="s">
        <v>181</v>
      </c>
      <c r="EN25" t="s">
        <v>194</v>
      </c>
      <c r="EP25" t="s">
        <v>194</v>
      </c>
      <c r="ES25" t="s">
        <v>194</v>
      </c>
      <c r="EV25" t="s">
        <v>194</v>
      </c>
      <c r="EY25" t="s">
        <v>194</v>
      </c>
      <c r="FB25" t="s">
        <v>194</v>
      </c>
      <c r="FE25" t="s">
        <v>194</v>
      </c>
      <c r="FH25" t="s">
        <v>181</v>
      </c>
      <c r="FI25" t="s">
        <v>194</v>
      </c>
      <c r="FK25" t="s">
        <v>194</v>
      </c>
      <c r="FN25" t="s">
        <v>194</v>
      </c>
      <c r="FR25" t="s">
        <v>218</v>
      </c>
      <c r="FU25" t="s">
        <v>194</v>
      </c>
      <c r="GC25" t="s">
        <v>232</v>
      </c>
    </row>
    <row r="26" spans="1:186" x14ac:dyDescent="0.25">
      <c r="A26" s="1">
        <v>46133.639320960647</v>
      </c>
      <c r="B26" s="1">
        <v>46133.643429826392</v>
      </c>
      <c r="C26" t="s">
        <v>261</v>
      </c>
      <c r="D26">
        <v>25</v>
      </c>
      <c r="E26">
        <v>25</v>
      </c>
      <c r="F26" t="b">
        <f t="shared" si="0"/>
        <v>1</v>
      </c>
      <c r="G26" s="1">
        <v>46129</v>
      </c>
      <c r="H26">
        <v>1</v>
      </c>
      <c r="I26" t="s">
        <v>177</v>
      </c>
      <c r="J26" t="s">
        <v>178</v>
      </c>
      <c r="K26" t="s">
        <v>561</v>
      </c>
      <c r="L26" t="s">
        <v>562</v>
      </c>
      <c r="M26" t="s">
        <v>181</v>
      </c>
      <c r="N26" t="s">
        <v>182</v>
      </c>
      <c r="O26">
        <v>30</v>
      </c>
      <c r="P26" t="s">
        <v>183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222</v>
      </c>
      <c r="W26">
        <v>60</v>
      </c>
      <c r="X26" t="s">
        <v>181</v>
      </c>
      <c r="Z26" t="s">
        <v>185</v>
      </c>
      <c r="AB26" t="s">
        <v>186</v>
      </c>
      <c r="AC26" t="s">
        <v>187</v>
      </c>
      <c r="AD26" t="s">
        <v>188</v>
      </c>
      <c r="AE26" t="s">
        <v>189</v>
      </c>
      <c r="AF26" t="s">
        <v>190</v>
      </c>
      <c r="AW26" t="s">
        <v>637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K26" t="s">
        <v>224</v>
      </c>
      <c r="BL26" t="s">
        <v>192</v>
      </c>
      <c r="BM26">
        <v>0</v>
      </c>
      <c r="BN26">
        <v>1</v>
      </c>
      <c r="BO26">
        <v>1</v>
      </c>
      <c r="BP26">
        <v>0</v>
      </c>
      <c r="BQ26">
        <v>0</v>
      </c>
      <c r="BR26" t="s">
        <v>193</v>
      </c>
      <c r="BS26" t="s">
        <v>194</v>
      </c>
      <c r="BT26" t="s">
        <v>181</v>
      </c>
      <c r="BU26" t="s">
        <v>181</v>
      </c>
      <c r="BV26" t="s">
        <v>638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 t="s">
        <v>308</v>
      </c>
      <c r="CD26" t="s">
        <v>194</v>
      </c>
      <c r="CZ26" t="s">
        <v>181</v>
      </c>
      <c r="DA26" t="s">
        <v>215</v>
      </c>
      <c r="DB26" t="s">
        <v>194</v>
      </c>
      <c r="DD26" t="s">
        <v>181</v>
      </c>
      <c r="DE26" t="s">
        <v>215</v>
      </c>
      <c r="DF26" t="s">
        <v>181</v>
      </c>
      <c r="DG26" t="s">
        <v>215</v>
      </c>
      <c r="DH26" t="s">
        <v>181</v>
      </c>
      <c r="DI26" t="s">
        <v>215</v>
      </c>
      <c r="DJ26" t="s">
        <v>194</v>
      </c>
      <c r="DL26" t="s">
        <v>181</v>
      </c>
      <c r="DM26" t="s">
        <v>199</v>
      </c>
      <c r="DN26" t="s">
        <v>181</v>
      </c>
      <c r="DO26" t="s">
        <v>197</v>
      </c>
      <c r="DP26" t="s">
        <v>194</v>
      </c>
      <c r="DR26" t="s">
        <v>181</v>
      </c>
      <c r="DS26" t="s">
        <v>215</v>
      </c>
      <c r="DT26" t="s">
        <v>194</v>
      </c>
      <c r="DV26" t="s">
        <v>194</v>
      </c>
      <c r="DX26" t="s">
        <v>194</v>
      </c>
      <c r="DZ26" t="s">
        <v>181</v>
      </c>
      <c r="EA26" t="s">
        <v>215</v>
      </c>
      <c r="EB26" t="s">
        <v>194</v>
      </c>
      <c r="ED26" t="s">
        <v>181</v>
      </c>
      <c r="EE26" t="s">
        <v>215</v>
      </c>
      <c r="EF26" t="s">
        <v>194</v>
      </c>
      <c r="EI26" t="s">
        <v>181</v>
      </c>
      <c r="EJ26" t="s">
        <v>215</v>
      </c>
      <c r="EK26" t="s">
        <v>181</v>
      </c>
      <c r="EM26" t="s">
        <v>181</v>
      </c>
      <c r="EN26" t="s">
        <v>181</v>
      </c>
      <c r="EO26" t="s">
        <v>217</v>
      </c>
      <c r="EP26" t="s">
        <v>181</v>
      </c>
      <c r="EQ26" t="s">
        <v>194</v>
      </c>
      <c r="ES26" t="s">
        <v>194</v>
      </c>
      <c r="EV26" t="s">
        <v>181</v>
      </c>
      <c r="EW26" t="s">
        <v>194</v>
      </c>
      <c r="EY26" t="s">
        <v>181</v>
      </c>
      <c r="EZ26" t="s">
        <v>181</v>
      </c>
      <c r="FA26" t="s">
        <v>229</v>
      </c>
      <c r="FB26" t="s">
        <v>194</v>
      </c>
      <c r="FE26" t="s">
        <v>194</v>
      </c>
      <c r="FH26" t="s">
        <v>181</v>
      </c>
      <c r="FI26" t="s">
        <v>194</v>
      </c>
      <c r="FK26" t="s">
        <v>181</v>
      </c>
      <c r="FL26" t="s">
        <v>194</v>
      </c>
      <c r="FN26" t="s">
        <v>194</v>
      </c>
      <c r="FR26" t="s">
        <v>639</v>
      </c>
      <c r="FS26" t="s">
        <v>640</v>
      </c>
      <c r="FT26" t="s">
        <v>218</v>
      </c>
      <c r="FU26" t="s">
        <v>238</v>
      </c>
      <c r="FV26" t="s">
        <v>239</v>
      </c>
      <c r="FW26" t="s">
        <v>238</v>
      </c>
      <c r="FX26" t="s">
        <v>641</v>
      </c>
      <c r="FY26" t="s">
        <v>241</v>
      </c>
      <c r="GA26" t="s">
        <v>194</v>
      </c>
      <c r="GB26" t="s">
        <v>642</v>
      </c>
      <c r="GC26" t="s">
        <v>232</v>
      </c>
    </row>
    <row r="27" spans="1:186" x14ac:dyDescent="0.25">
      <c r="A27" s="1">
        <v>46133.643430405093</v>
      </c>
      <c r="B27" s="1">
        <v>46133.648957766207</v>
      </c>
      <c r="C27" t="s">
        <v>261</v>
      </c>
      <c r="D27">
        <v>26</v>
      </c>
      <c r="E27">
        <v>26</v>
      </c>
      <c r="F27" t="b">
        <f t="shared" si="0"/>
        <v>1</v>
      </c>
      <c r="G27" s="1">
        <v>46129</v>
      </c>
      <c r="H27">
        <v>1</v>
      </c>
      <c r="I27" t="s">
        <v>219</v>
      </c>
      <c r="J27" t="s">
        <v>178</v>
      </c>
      <c r="K27" t="s">
        <v>646</v>
      </c>
      <c r="L27" t="s">
        <v>647</v>
      </c>
      <c r="M27" t="s">
        <v>181</v>
      </c>
      <c r="N27" t="s">
        <v>182</v>
      </c>
      <c r="O27">
        <v>40</v>
      </c>
      <c r="P27" t="s">
        <v>183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222</v>
      </c>
      <c r="W27">
        <v>40</v>
      </c>
      <c r="X27" t="s">
        <v>181</v>
      </c>
      <c r="Z27" t="s">
        <v>185</v>
      </c>
      <c r="AB27" t="s">
        <v>223</v>
      </c>
      <c r="AC27" t="s">
        <v>187</v>
      </c>
      <c r="AD27" t="s">
        <v>188</v>
      </c>
      <c r="AE27" t="s">
        <v>648</v>
      </c>
      <c r="AF27" t="s">
        <v>211</v>
      </c>
      <c r="AW27" t="s">
        <v>649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 t="s">
        <v>650</v>
      </c>
      <c r="BK27" t="s">
        <v>190</v>
      </c>
      <c r="BL27" t="s">
        <v>249</v>
      </c>
      <c r="BM27">
        <v>0</v>
      </c>
      <c r="BN27">
        <v>1</v>
      </c>
      <c r="BO27">
        <v>1</v>
      </c>
      <c r="BP27">
        <v>1</v>
      </c>
      <c r="BQ27">
        <v>0</v>
      </c>
      <c r="BR27" t="s">
        <v>227</v>
      </c>
      <c r="BS27" t="s">
        <v>194</v>
      </c>
      <c r="BT27" t="s">
        <v>181</v>
      </c>
      <c r="BU27" t="s">
        <v>181</v>
      </c>
      <c r="BV27" t="s">
        <v>195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 t="s">
        <v>651</v>
      </c>
      <c r="CD27" t="s">
        <v>181</v>
      </c>
      <c r="CE27" t="s">
        <v>636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V27" t="s">
        <v>181</v>
      </c>
      <c r="CZ27" t="s">
        <v>181</v>
      </c>
      <c r="DA27" t="s">
        <v>215</v>
      </c>
      <c r="DB27" t="s">
        <v>181</v>
      </c>
      <c r="DC27" t="s">
        <v>215</v>
      </c>
      <c r="DD27" t="s">
        <v>181</v>
      </c>
      <c r="DE27" t="s">
        <v>215</v>
      </c>
      <c r="DF27" t="s">
        <v>181</v>
      </c>
      <c r="DG27" t="s">
        <v>215</v>
      </c>
      <c r="DH27" t="s">
        <v>181</v>
      </c>
      <c r="DI27" t="s">
        <v>215</v>
      </c>
      <c r="DJ27" t="s">
        <v>181</v>
      </c>
      <c r="DK27" t="s">
        <v>215</v>
      </c>
      <c r="DL27" t="s">
        <v>181</v>
      </c>
      <c r="DM27" t="s">
        <v>215</v>
      </c>
      <c r="DN27" t="s">
        <v>181</v>
      </c>
      <c r="DO27" t="s">
        <v>199</v>
      </c>
      <c r="DP27" t="s">
        <v>181</v>
      </c>
      <c r="DQ27" t="s">
        <v>215</v>
      </c>
      <c r="DR27" t="s">
        <v>181</v>
      </c>
      <c r="DS27" t="s">
        <v>215</v>
      </c>
      <c r="DT27" t="s">
        <v>181</v>
      </c>
      <c r="DU27" t="s">
        <v>215</v>
      </c>
      <c r="DV27" t="s">
        <v>181</v>
      </c>
      <c r="DW27" t="s">
        <v>215</v>
      </c>
      <c r="DX27" t="s">
        <v>181</v>
      </c>
      <c r="DY27" t="s">
        <v>215</v>
      </c>
      <c r="DZ27" t="s">
        <v>181</v>
      </c>
      <c r="EA27" t="s">
        <v>199</v>
      </c>
      <c r="EB27" t="s">
        <v>194</v>
      </c>
      <c r="ED27" t="s">
        <v>194</v>
      </c>
      <c r="EF27" t="s">
        <v>181</v>
      </c>
      <c r="EG27" t="s">
        <v>652</v>
      </c>
      <c r="EH27" t="s">
        <v>199</v>
      </c>
      <c r="EI27" t="s">
        <v>181</v>
      </c>
      <c r="EJ27" t="s">
        <v>215</v>
      </c>
      <c r="EK27" t="s">
        <v>181</v>
      </c>
      <c r="EM27" t="s">
        <v>181</v>
      </c>
      <c r="EN27" t="s">
        <v>181</v>
      </c>
      <c r="EO27" t="s">
        <v>217</v>
      </c>
      <c r="EP27" t="s">
        <v>181</v>
      </c>
      <c r="EQ27" t="s">
        <v>181</v>
      </c>
      <c r="ER27" t="s">
        <v>217</v>
      </c>
      <c r="ES27" t="s">
        <v>181</v>
      </c>
      <c r="ET27" t="s">
        <v>181</v>
      </c>
      <c r="EU27" t="s">
        <v>250</v>
      </c>
      <c r="EV27" t="s">
        <v>181</v>
      </c>
      <c r="EW27" t="s">
        <v>181</v>
      </c>
      <c r="EX27" t="s">
        <v>217</v>
      </c>
      <c r="EY27" t="s">
        <v>181</v>
      </c>
      <c r="EZ27" t="s">
        <v>181</v>
      </c>
      <c r="FA27" t="s">
        <v>250</v>
      </c>
      <c r="FB27" t="s">
        <v>181</v>
      </c>
      <c r="FC27" t="s">
        <v>181</v>
      </c>
      <c r="FD27" t="s">
        <v>250</v>
      </c>
      <c r="FE27" t="s">
        <v>181</v>
      </c>
      <c r="FF27" t="s">
        <v>181</v>
      </c>
      <c r="FG27" t="s">
        <v>229</v>
      </c>
      <c r="FH27" t="s">
        <v>181</v>
      </c>
      <c r="FI27" t="s">
        <v>181</v>
      </c>
      <c r="FJ27" t="s">
        <v>217</v>
      </c>
      <c r="FK27" t="s">
        <v>181</v>
      </c>
      <c r="FL27" t="s">
        <v>181</v>
      </c>
      <c r="FM27" t="s">
        <v>250</v>
      </c>
      <c r="FN27" t="s">
        <v>181</v>
      </c>
      <c r="FO27" t="s">
        <v>181</v>
      </c>
      <c r="FP27" t="s">
        <v>216</v>
      </c>
      <c r="FR27" t="s">
        <v>237</v>
      </c>
      <c r="FS27" t="s">
        <v>278</v>
      </c>
      <c r="FT27" t="s">
        <v>230</v>
      </c>
      <c r="FU27" t="s">
        <v>238</v>
      </c>
      <c r="FV27" t="s">
        <v>492</v>
      </c>
      <c r="FW27" t="s">
        <v>238</v>
      </c>
      <c r="FX27" t="s">
        <v>653</v>
      </c>
      <c r="FY27" t="s">
        <v>238</v>
      </c>
      <c r="FZ27" t="s">
        <v>654</v>
      </c>
      <c r="GA27" t="s">
        <v>194</v>
      </c>
      <c r="GB27" t="s">
        <v>655</v>
      </c>
      <c r="GC27" t="s">
        <v>232</v>
      </c>
    </row>
    <row r="28" spans="1:186" hidden="1" x14ac:dyDescent="0.25">
      <c r="A28" s="1">
        <v>46133.648958587961</v>
      </c>
      <c r="B28" s="1">
        <v>46133.656064351853</v>
      </c>
      <c r="C28" t="s">
        <v>261</v>
      </c>
      <c r="D28">
        <v>27</v>
      </c>
      <c r="E28">
        <v>27</v>
      </c>
      <c r="F28" t="b">
        <f t="shared" si="0"/>
        <v>1</v>
      </c>
      <c r="G28" s="1">
        <v>46128</v>
      </c>
      <c r="H28">
        <v>1</v>
      </c>
      <c r="I28" t="s">
        <v>204</v>
      </c>
      <c r="J28" t="s">
        <v>178</v>
      </c>
      <c r="K28" t="s">
        <v>515</v>
      </c>
      <c r="L28" t="s">
        <v>669</v>
      </c>
      <c r="M28" t="s">
        <v>181</v>
      </c>
      <c r="N28" t="s">
        <v>182</v>
      </c>
      <c r="O28">
        <v>6</v>
      </c>
      <c r="P28" t="s">
        <v>183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222</v>
      </c>
      <c r="W28">
        <v>70</v>
      </c>
      <c r="X28" t="s">
        <v>181</v>
      </c>
      <c r="Z28" t="s">
        <v>270</v>
      </c>
      <c r="AB28" t="s">
        <v>208</v>
      </c>
      <c r="AC28" t="s">
        <v>209</v>
      </c>
      <c r="AD28" t="s">
        <v>188</v>
      </c>
      <c r="AE28" t="s">
        <v>265</v>
      </c>
      <c r="AF28" t="s">
        <v>224</v>
      </c>
      <c r="AG28" t="s">
        <v>295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BK28" t="s">
        <v>224</v>
      </c>
      <c r="BL28" t="s">
        <v>192</v>
      </c>
      <c r="BM28">
        <v>0</v>
      </c>
      <c r="BN28">
        <v>1</v>
      </c>
      <c r="BO28">
        <v>1</v>
      </c>
      <c r="BP28">
        <v>0</v>
      </c>
      <c r="BQ28">
        <v>0</v>
      </c>
      <c r="BR28" t="s">
        <v>193</v>
      </c>
      <c r="BS28" t="s">
        <v>194</v>
      </c>
      <c r="BT28" t="s">
        <v>181</v>
      </c>
      <c r="BU28" t="s">
        <v>194</v>
      </c>
      <c r="CD28" t="s">
        <v>194</v>
      </c>
      <c r="CZ28" t="s">
        <v>181</v>
      </c>
      <c r="DA28" t="s">
        <v>197</v>
      </c>
      <c r="DB28" t="s">
        <v>194</v>
      </c>
      <c r="DD28" t="s">
        <v>181</v>
      </c>
      <c r="DE28" t="s">
        <v>197</v>
      </c>
      <c r="DF28" t="s">
        <v>194</v>
      </c>
      <c r="DH28" t="s">
        <v>181</v>
      </c>
      <c r="DI28" t="s">
        <v>197</v>
      </c>
      <c r="DJ28" t="s">
        <v>194</v>
      </c>
      <c r="DL28" t="s">
        <v>181</v>
      </c>
      <c r="DM28" t="s">
        <v>197</v>
      </c>
      <c r="DN28" t="s">
        <v>181</v>
      </c>
      <c r="DO28" t="s">
        <v>199</v>
      </c>
      <c r="DP28" t="s">
        <v>194</v>
      </c>
      <c r="DR28" t="s">
        <v>194</v>
      </c>
      <c r="DT28" t="s">
        <v>194</v>
      </c>
      <c r="DV28" t="s">
        <v>194</v>
      </c>
      <c r="DX28" t="s">
        <v>194</v>
      </c>
      <c r="DZ28" t="s">
        <v>194</v>
      </c>
      <c r="EB28" t="s">
        <v>194</v>
      </c>
      <c r="ED28" t="s">
        <v>194</v>
      </c>
      <c r="EF28" t="s">
        <v>194</v>
      </c>
      <c r="EI28" t="s">
        <v>181</v>
      </c>
      <c r="EJ28" t="s">
        <v>215</v>
      </c>
      <c r="EK28" t="s">
        <v>181</v>
      </c>
      <c r="EM28" t="s">
        <v>181</v>
      </c>
      <c r="EN28" t="s">
        <v>181</v>
      </c>
      <c r="EO28" t="s">
        <v>217</v>
      </c>
      <c r="EP28" t="s">
        <v>194</v>
      </c>
      <c r="ES28" t="s">
        <v>194</v>
      </c>
      <c r="EV28" t="s">
        <v>181</v>
      </c>
      <c r="EW28" t="s">
        <v>181</v>
      </c>
      <c r="EX28" t="s">
        <v>250</v>
      </c>
      <c r="EY28" t="s">
        <v>181</v>
      </c>
      <c r="EZ28" t="s">
        <v>181</v>
      </c>
      <c r="FA28" t="s">
        <v>250</v>
      </c>
      <c r="FB28" t="s">
        <v>181</v>
      </c>
      <c r="FC28" t="s">
        <v>194</v>
      </c>
      <c r="FE28" t="s">
        <v>181</v>
      </c>
      <c r="FF28" t="s">
        <v>181</v>
      </c>
      <c r="FG28" t="s">
        <v>250</v>
      </c>
      <c r="FH28" t="s">
        <v>181</v>
      </c>
      <c r="FI28" t="s">
        <v>181</v>
      </c>
      <c r="FJ28" t="s">
        <v>217</v>
      </c>
      <c r="FK28" t="s">
        <v>181</v>
      </c>
      <c r="FL28" t="s">
        <v>181</v>
      </c>
      <c r="FM28" t="s">
        <v>250</v>
      </c>
      <c r="FN28" t="s">
        <v>194</v>
      </c>
      <c r="FR28" t="s">
        <v>218</v>
      </c>
      <c r="FU28" t="s">
        <v>194</v>
      </c>
      <c r="GC28" t="s">
        <v>1073</v>
      </c>
    </row>
    <row r="29" spans="1:186" x14ac:dyDescent="0.25">
      <c r="A29" s="1">
        <v>46133.656065196759</v>
      </c>
      <c r="B29" s="1">
        <v>46133.660622511583</v>
      </c>
      <c r="C29" t="s">
        <v>261</v>
      </c>
      <c r="D29">
        <v>28</v>
      </c>
      <c r="E29">
        <v>28</v>
      </c>
      <c r="F29" t="b">
        <f t="shared" si="0"/>
        <v>1</v>
      </c>
      <c r="G29" s="1">
        <v>46129</v>
      </c>
      <c r="H29">
        <v>1</v>
      </c>
      <c r="I29" t="s">
        <v>177</v>
      </c>
      <c r="J29" t="s">
        <v>178</v>
      </c>
      <c r="K29" t="s">
        <v>679</v>
      </c>
      <c r="L29" t="s">
        <v>680</v>
      </c>
      <c r="M29" t="s">
        <v>181</v>
      </c>
      <c r="N29" t="s">
        <v>182</v>
      </c>
      <c r="O29">
        <v>40</v>
      </c>
      <c r="P29" t="s">
        <v>183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184</v>
      </c>
      <c r="W29">
        <v>75</v>
      </c>
      <c r="X29" t="s">
        <v>181</v>
      </c>
      <c r="Z29" t="s">
        <v>185</v>
      </c>
      <c r="AB29" t="s">
        <v>256</v>
      </c>
      <c r="AC29" t="s">
        <v>257</v>
      </c>
      <c r="AD29" t="s">
        <v>210</v>
      </c>
      <c r="AE29" t="s">
        <v>265</v>
      </c>
      <c r="AF29" t="s">
        <v>224</v>
      </c>
      <c r="AG29" t="s">
        <v>681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BK29" t="s">
        <v>248</v>
      </c>
      <c r="BL29" t="s">
        <v>389</v>
      </c>
      <c r="BM29">
        <v>0</v>
      </c>
      <c r="BN29">
        <v>0</v>
      </c>
      <c r="BO29">
        <v>0</v>
      </c>
      <c r="BP29">
        <v>0</v>
      </c>
      <c r="BQ29">
        <v>1</v>
      </c>
      <c r="BR29" t="s">
        <v>193</v>
      </c>
      <c r="BS29" t="s">
        <v>194</v>
      </c>
      <c r="BT29" t="s">
        <v>194</v>
      </c>
      <c r="BU29" t="s">
        <v>181</v>
      </c>
      <c r="BV29" t="s">
        <v>195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 t="s">
        <v>682</v>
      </c>
      <c r="CD29" t="s">
        <v>194</v>
      </c>
      <c r="CZ29" t="s">
        <v>181</v>
      </c>
      <c r="DA29" t="s">
        <v>215</v>
      </c>
      <c r="DB29" t="s">
        <v>194</v>
      </c>
      <c r="DD29" t="s">
        <v>181</v>
      </c>
      <c r="DE29" t="s">
        <v>199</v>
      </c>
      <c r="DF29" t="s">
        <v>181</v>
      </c>
      <c r="DG29" t="s">
        <v>197</v>
      </c>
      <c r="DH29" t="s">
        <v>194</v>
      </c>
      <c r="DJ29" t="s">
        <v>194</v>
      </c>
      <c r="DL29" t="s">
        <v>181</v>
      </c>
      <c r="DM29" t="s">
        <v>215</v>
      </c>
      <c r="DN29" t="s">
        <v>194</v>
      </c>
      <c r="DP29" t="s">
        <v>194</v>
      </c>
      <c r="DR29" t="s">
        <v>181</v>
      </c>
      <c r="DS29" t="s">
        <v>215</v>
      </c>
      <c r="DT29" t="s">
        <v>181</v>
      </c>
      <c r="DU29" t="s">
        <v>197</v>
      </c>
      <c r="DV29" t="s">
        <v>194</v>
      </c>
      <c r="DX29" t="s">
        <v>194</v>
      </c>
      <c r="DZ29" t="s">
        <v>194</v>
      </c>
      <c r="EB29" t="s">
        <v>194</v>
      </c>
      <c r="ED29" t="s">
        <v>181</v>
      </c>
      <c r="EE29" t="s">
        <v>215</v>
      </c>
      <c r="EF29" t="s">
        <v>194</v>
      </c>
      <c r="EI29" t="s">
        <v>181</v>
      </c>
      <c r="EJ29" t="s">
        <v>215</v>
      </c>
      <c r="EK29" t="s">
        <v>181</v>
      </c>
      <c r="EM29" t="s">
        <v>181</v>
      </c>
      <c r="EN29" t="s">
        <v>181</v>
      </c>
      <c r="EO29" t="s">
        <v>217</v>
      </c>
      <c r="EP29" t="s">
        <v>194</v>
      </c>
      <c r="ES29" t="s">
        <v>194</v>
      </c>
      <c r="EV29" t="s">
        <v>181</v>
      </c>
      <c r="EW29" t="s">
        <v>194</v>
      </c>
      <c r="EY29" t="s">
        <v>194</v>
      </c>
      <c r="FB29" t="s">
        <v>194</v>
      </c>
      <c r="FE29" t="s">
        <v>181</v>
      </c>
      <c r="FF29" t="s">
        <v>194</v>
      </c>
      <c r="FH29" t="s">
        <v>181</v>
      </c>
      <c r="FI29" t="s">
        <v>194</v>
      </c>
      <c r="FK29" t="s">
        <v>181</v>
      </c>
      <c r="FL29" t="s">
        <v>194</v>
      </c>
      <c r="FN29" t="s">
        <v>194</v>
      </c>
      <c r="FR29" t="s">
        <v>683</v>
      </c>
      <c r="FS29" t="s">
        <v>684</v>
      </c>
      <c r="FT29" t="s">
        <v>685</v>
      </c>
      <c r="FU29" t="s">
        <v>238</v>
      </c>
      <c r="FV29" t="s">
        <v>383</v>
      </c>
      <c r="FW29" t="s">
        <v>241</v>
      </c>
      <c r="FX29" t="s">
        <v>686</v>
      </c>
      <c r="FY29" t="s">
        <v>238</v>
      </c>
      <c r="FZ29" t="s">
        <v>687</v>
      </c>
      <c r="GA29" t="s">
        <v>194</v>
      </c>
      <c r="GB29" t="s">
        <v>688</v>
      </c>
      <c r="GC29" t="s">
        <v>312</v>
      </c>
      <c r="GD29" t="s">
        <v>689</v>
      </c>
    </row>
    <row r="30" spans="1:186" x14ac:dyDescent="0.25">
      <c r="A30" s="1">
        <v>46133.6606230787</v>
      </c>
      <c r="B30" s="1">
        <v>46133.667368912043</v>
      </c>
      <c r="C30" t="s">
        <v>261</v>
      </c>
      <c r="D30">
        <v>29</v>
      </c>
      <c r="E30">
        <v>29</v>
      </c>
      <c r="F30" t="b">
        <f t="shared" si="0"/>
        <v>1</v>
      </c>
      <c r="G30" s="1">
        <v>46129</v>
      </c>
      <c r="H30">
        <v>1</v>
      </c>
      <c r="I30" t="s">
        <v>219</v>
      </c>
      <c r="J30" t="s">
        <v>178</v>
      </c>
      <c r="K30" t="s">
        <v>709</v>
      </c>
      <c r="L30" t="s">
        <v>710</v>
      </c>
      <c r="M30" t="s">
        <v>181</v>
      </c>
      <c r="N30" t="s">
        <v>246</v>
      </c>
      <c r="O30">
        <v>3</v>
      </c>
      <c r="P30" t="s">
        <v>183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184</v>
      </c>
      <c r="W30">
        <v>33</v>
      </c>
      <c r="X30" t="s">
        <v>194</v>
      </c>
      <c r="Y30" t="s">
        <v>255</v>
      </c>
      <c r="Z30" t="s">
        <v>185</v>
      </c>
      <c r="AB30" t="s">
        <v>186</v>
      </c>
      <c r="AC30" t="s">
        <v>257</v>
      </c>
      <c r="AD30" t="s">
        <v>188</v>
      </c>
      <c r="AE30" t="s">
        <v>265</v>
      </c>
      <c r="AF30" t="s">
        <v>224</v>
      </c>
      <c r="AG30" t="s">
        <v>236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BK30" t="s">
        <v>224</v>
      </c>
      <c r="BL30" t="s">
        <v>362</v>
      </c>
      <c r="BM30">
        <v>0</v>
      </c>
      <c r="BN30">
        <v>0</v>
      </c>
      <c r="BO30">
        <v>1</v>
      </c>
      <c r="BP30">
        <v>0</v>
      </c>
      <c r="BQ30">
        <v>0</v>
      </c>
      <c r="BR30" t="s">
        <v>212</v>
      </c>
      <c r="BS30" t="s">
        <v>194</v>
      </c>
      <c r="BT30" t="s">
        <v>194</v>
      </c>
      <c r="BU30" t="s">
        <v>194</v>
      </c>
      <c r="CD30" t="s">
        <v>194</v>
      </c>
      <c r="CZ30" t="s">
        <v>194</v>
      </c>
      <c r="DB30" t="s">
        <v>194</v>
      </c>
      <c r="DD30" t="s">
        <v>181</v>
      </c>
      <c r="DE30" t="s">
        <v>197</v>
      </c>
      <c r="DF30" t="s">
        <v>194</v>
      </c>
      <c r="DH30" t="s">
        <v>181</v>
      </c>
      <c r="DI30" t="s">
        <v>199</v>
      </c>
      <c r="DJ30" t="s">
        <v>194</v>
      </c>
      <c r="DL30" t="s">
        <v>181</v>
      </c>
      <c r="DM30" t="s">
        <v>199</v>
      </c>
      <c r="DN30" t="s">
        <v>194</v>
      </c>
      <c r="DP30" t="s">
        <v>194</v>
      </c>
      <c r="DR30" t="s">
        <v>181</v>
      </c>
      <c r="DS30" t="s">
        <v>197</v>
      </c>
      <c r="DT30" t="s">
        <v>194</v>
      </c>
      <c r="DV30" t="s">
        <v>194</v>
      </c>
      <c r="DX30" t="s">
        <v>194</v>
      </c>
      <c r="DZ30" t="s">
        <v>181</v>
      </c>
      <c r="EA30" t="s">
        <v>215</v>
      </c>
      <c r="EB30" t="s">
        <v>194</v>
      </c>
      <c r="ED30" t="s">
        <v>181</v>
      </c>
      <c r="EE30" t="s">
        <v>215</v>
      </c>
      <c r="EF30" t="s">
        <v>194</v>
      </c>
      <c r="EI30" t="s">
        <v>181</v>
      </c>
      <c r="EJ30" t="s">
        <v>199</v>
      </c>
      <c r="EK30" t="s">
        <v>194</v>
      </c>
      <c r="EM30" t="s">
        <v>181</v>
      </c>
      <c r="EN30" t="s">
        <v>194</v>
      </c>
      <c r="EP30" t="s">
        <v>181</v>
      </c>
      <c r="EQ30" t="s">
        <v>194</v>
      </c>
      <c r="ES30" t="s">
        <v>194</v>
      </c>
      <c r="EV30" t="s">
        <v>181</v>
      </c>
      <c r="EW30" t="s">
        <v>194</v>
      </c>
      <c r="EY30" t="s">
        <v>181</v>
      </c>
      <c r="EZ30" t="s">
        <v>194</v>
      </c>
      <c r="FB30" t="s">
        <v>194</v>
      </c>
      <c r="FE30" t="s">
        <v>194</v>
      </c>
      <c r="FH30" t="s">
        <v>181</v>
      </c>
      <c r="FI30" t="s">
        <v>181</v>
      </c>
      <c r="FJ30" t="s">
        <v>250</v>
      </c>
      <c r="FK30" t="s">
        <v>181</v>
      </c>
      <c r="FL30" t="s">
        <v>194</v>
      </c>
      <c r="FN30" t="s">
        <v>194</v>
      </c>
      <c r="FR30" t="s">
        <v>711</v>
      </c>
      <c r="FS30" t="s">
        <v>712</v>
      </c>
      <c r="FT30" t="s">
        <v>377</v>
      </c>
      <c r="FU30" t="s">
        <v>238</v>
      </c>
      <c r="FV30" t="s">
        <v>239</v>
      </c>
      <c r="FW30" t="s">
        <v>238</v>
      </c>
      <c r="FX30" t="s">
        <v>713</v>
      </c>
      <c r="FY30" t="s">
        <v>241</v>
      </c>
      <c r="GA30" t="s">
        <v>242</v>
      </c>
      <c r="GB30" t="s">
        <v>714</v>
      </c>
      <c r="GC30" t="s">
        <v>232</v>
      </c>
    </row>
    <row r="31" spans="1:186" x14ac:dyDescent="0.25">
      <c r="A31" s="1">
        <v>46133.667369745373</v>
      </c>
      <c r="B31" s="1">
        <v>46133.672470289363</v>
      </c>
      <c r="C31" t="s">
        <v>261</v>
      </c>
      <c r="D31">
        <v>30</v>
      </c>
      <c r="E31">
        <v>30</v>
      </c>
      <c r="F31" t="b">
        <f t="shared" si="0"/>
        <v>1</v>
      </c>
      <c r="G31" s="1">
        <v>46129</v>
      </c>
      <c r="H31">
        <v>1</v>
      </c>
      <c r="I31" t="s">
        <v>177</v>
      </c>
      <c r="J31" t="s">
        <v>178</v>
      </c>
      <c r="K31" t="s">
        <v>679</v>
      </c>
      <c r="L31" t="s">
        <v>726</v>
      </c>
      <c r="M31" t="s">
        <v>181</v>
      </c>
      <c r="N31" t="s">
        <v>182</v>
      </c>
      <c r="O31">
        <v>28</v>
      </c>
      <c r="P31" t="s">
        <v>183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222</v>
      </c>
      <c r="W31">
        <v>59</v>
      </c>
      <c r="X31" t="s">
        <v>181</v>
      </c>
      <c r="Z31" t="s">
        <v>185</v>
      </c>
      <c r="AB31" t="s">
        <v>186</v>
      </c>
      <c r="AC31" t="s">
        <v>209</v>
      </c>
      <c r="AD31" t="s">
        <v>188</v>
      </c>
      <c r="AE31" t="s">
        <v>265</v>
      </c>
      <c r="AF31" t="s">
        <v>190</v>
      </c>
      <c r="AW31" t="s">
        <v>191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K31" t="s">
        <v>190</v>
      </c>
      <c r="BL31" t="s">
        <v>632</v>
      </c>
      <c r="BM31">
        <v>0</v>
      </c>
      <c r="BN31">
        <v>0</v>
      </c>
      <c r="BO31">
        <v>1</v>
      </c>
      <c r="BP31">
        <v>1</v>
      </c>
      <c r="BQ31">
        <v>0</v>
      </c>
      <c r="BR31" t="s">
        <v>227</v>
      </c>
      <c r="BS31" t="s">
        <v>194</v>
      </c>
      <c r="BT31" t="s">
        <v>194</v>
      </c>
      <c r="BU31" t="s">
        <v>181</v>
      </c>
      <c r="BV31" t="s">
        <v>195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 t="s">
        <v>308</v>
      </c>
      <c r="CD31" t="s">
        <v>181</v>
      </c>
      <c r="CE31" t="s">
        <v>727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0</v>
      </c>
      <c r="CM31">
        <v>0</v>
      </c>
      <c r="CN31">
        <v>0</v>
      </c>
      <c r="CU31" t="s">
        <v>194</v>
      </c>
      <c r="CV31" t="s">
        <v>194</v>
      </c>
      <c r="CZ31" t="s">
        <v>181</v>
      </c>
      <c r="DA31" t="s">
        <v>199</v>
      </c>
      <c r="DB31" t="s">
        <v>194</v>
      </c>
      <c r="DD31" t="s">
        <v>194</v>
      </c>
      <c r="DF31" t="s">
        <v>194</v>
      </c>
      <c r="DH31" t="s">
        <v>194</v>
      </c>
      <c r="DJ31" t="s">
        <v>194</v>
      </c>
      <c r="DL31" t="s">
        <v>194</v>
      </c>
      <c r="DN31" t="s">
        <v>194</v>
      </c>
      <c r="DP31" t="s">
        <v>194</v>
      </c>
      <c r="DR31" t="s">
        <v>181</v>
      </c>
      <c r="DS31" t="s">
        <v>197</v>
      </c>
      <c r="DT31" t="s">
        <v>194</v>
      </c>
      <c r="DV31" t="s">
        <v>194</v>
      </c>
      <c r="DX31" t="s">
        <v>194</v>
      </c>
      <c r="DZ31" t="s">
        <v>181</v>
      </c>
      <c r="EA31" t="s">
        <v>197</v>
      </c>
      <c r="EB31" t="s">
        <v>194</v>
      </c>
      <c r="ED31" t="s">
        <v>181</v>
      </c>
      <c r="EE31" t="s">
        <v>199</v>
      </c>
      <c r="EF31" t="s">
        <v>194</v>
      </c>
      <c r="EI31" t="s">
        <v>181</v>
      </c>
      <c r="EJ31" t="s">
        <v>199</v>
      </c>
      <c r="EK31" t="s">
        <v>181</v>
      </c>
      <c r="EM31" t="s">
        <v>181</v>
      </c>
      <c r="EN31" t="s">
        <v>194</v>
      </c>
      <c r="EP31" t="s">
        <v>194</v>
      </c>
      <c r="ES31" t="s">
        <v>181</v>
      </c>
      <c r="ET31" t="s">
        <v>194</v>
      </c>
      <c r="EV31" t="s">
        <v>181</v>
      </c>
      <c r="EW31" t="s">
        <v>194</v>
      </c>
      <c r="EY31" t="s">
        <v>181</v>
      </c>
      <c r="EZ31" t="s">
        <v>194</v>
      </c>
      <c r="FB31" t="s">
        <v>194</v>
      </c>
      <c r="FE31" t="s">
        <v>181</v>
      </c>
      <c r="FF31" t="s">
        <v>194</v>
      </c>
      <c r="FH31" t="s">
        <v>181</v>
      </c>
      <c r="FI31" t="s">
        <v>194</v>
      </c>
      <c r="FK31" t="s">
        <v>181</v>
      </c>
      <c r="FL31" t="s">
        <v>194</v>
      </c>
      <c r="FN31" t="s">
        <v>181</v>
      </c>
      <c r="FO31" t="s">
        <v>194</v>
      </c>
      <c r="FR31" t="s">
        <v>363</v>
      </c>
      <c r="FS31" t="s">
        <v>218</v>
      </c>
      <c r="FT31" t="s">
        <v>237</v>
      </c>
      <c r="FU31" t="s">
        <v>238</v>
      </c>
      <c r="FV31" t="s">
        <v>239</v>
      </c>
      <c r="FW31" t="s">
        <v>238</v>
      </c>
      <c r="FX31" t="s">
        <v>728</v>
      </c>
      <c r="FY31" t="s">
        <v>238</v>
      </c>
      <c r="FZ31" t="s">
        <v>729</v>
      </c>
      <c r="GA31" t="s">
        <v>242</v>
      </c>
      <c r="GB31" t="s">
        <v>730</v>
      </c>
      <c r="GC31" t="s">
        <v>232</v>
      </c>
    </row>
    <row r="32" spans="1:186" hidden="1" x14ac:dyDescent="0.25">
      <c r="A32" s="1">
        <v>46132.432708043983</v>
      </c>
      <c r="B32" s="1">
        <v>46132.662105254632</v>
      </c>
      <c r="C32" t="s">
        <v>176</v>
      </c>
      <c r="D32">
        <v>31</v>
      </c>
      <c r="E32">
        <v>31</v>
      </c>
      <c r="F32" t="b">
        <f t="shared" si="0"/>
        <v>1</v>
      </c>
      <c r="G32" s="1">
        <v>46129</v>
      </c>
      <c r="H32">
        <v>1</v>
      </c>
      <c r="I32" t="s">
        <v>204</v>
      </c>
      <c r="J32" t="s">
        <v>178</v>
      </c>
      <c r="K32" t="s">
        <v>205</v>
      </c>
      <c r="L32" t="s">
        <v>206</v>
      </c>
      <c r="M32" t="s">
        <v>181</v>
      </c>
      <c r="N32" t="s">
        <v>182</v>
      </c>
      <c r="O32">
        <v>6</v>
      </c>
      <c r="P32" t="s">
        <v>183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184</v>
      </c>
      <c r="W32">
        <v>57</v>
      </c>
      <c r="X32" t="s">
        <v>181</v>
      </c>
      <c r="Z32" t="s">
        <v>207</v>
      </c>
      <c r="AB32" t="s">
        <v>208</v>
      </c>
      <c r="AC32" t="s">
        <v>209</v>
      </c>
      <c r="AD32" t="s">
        <v>210</v>
      </c>
      <c r="AE32" t="s">
        <v>198</v>
      </c>
      <c r="AF32" t="s">
        <v>211</v>
      </c>
      <c r="AW32" t="s">
        <v>191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K32" t="s">
        <v>211</v>
      </c>
      <c r="BL32" t="s">
        <v>192</v>
      </c>
      <c r="BM32">
        <v>0</v>
      </c>
      <c r="BN32">
        <v>1</v>
      </c>
      <c r="BO32">
        <v>1</v>
      </c>
      <c r="BP32">
        <v>0</v>
      </c>
      <c r="BQ32">
        <v>0</v>
      </c>
      <c r="BR32" t="s">
        <v>212</v>
      </c>
      <c r="BS32" t="s">
        <v>194</v>
      </c>
      <c r="BT32" t="s">
        <v>194</v>
      </c>
      <c r="BU32" t="s">
        <v>181</v>
      </c>
      <c r="BV32" t="s">
        <v>213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D32" t="s">
        <v>181</v>
      </c>
      <c r="CE32" t="s">
        <v>214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R32" t="s">
        <v>194</v>
      </c>
      <c r="CZ32" t="s">
        <v>181</v>
      </c>
      <c r="DA32" t="s">
        <v>199</v>
      </c>
      <c r="DB32" t="s">
        <v>198</v>
      </c>
      <c r="DD32" t="s">
        <v>194</v>
      </c>
      <c r="DF32" t="s">
        <v>194</v>
      </c>
      <c r="DH32" t="s">
        <v>198</v>
      </c>
      <c r="DJ32" t="s">
        <v>194</v>
      </c>
      <c r="DL32" t="s">
        <v>181</v>
      </c>
      <c r="DM32" t="s">
        <v>199</v>
      </c>
      <c r="DN32" t="s">
        <v>181</v>
      </c>
      <c r="DO32" t="s">
        <v>197</v>
      </c>
      <c r="DP32" t="s">
        <v>194</v>
      </c>
      <c r="DR32" t="s">
        <v>181</v>
      </c>
      <c r="DS32" t="s">
        <v>199</v>
      </c>
      <c r="DT32" t="s">
        <v>194</v>
      </c>
      <c r="DV32" t="s">
        <v>194</v>
      </c>
      <c r="DX32" t="s">
        <v>194</v>
      </c>
      <c r="DZ32" t="s">
        <v>194</v>
      </c>
      <c r="EB32" t="s">
        <v>194</v>
      </c>
      <c r="ED32" t="s">
        <v>194</v>
      </c>
      <c r="EF32" t="s">
        <v>194</v>
      </c>
      <c r="EI32" t="s">
        <v>181</v>
      </c>
      <c r="EJ32" t="s">
        <v>215</v>
      </c>
      <c r="EK32" t="s">
        <v>181</v>
      </c>
      <c r="EM32" t="s">
        <v>181</v>
      </c>
      <c r="EN32" t="s">
        <v>181</v>
      </c>
      <c r="EO32" t="s">
        <v>216</v>
      </c>
      <c r="EP32" t="s">
        <v>181</v>
      </c>
      <c r="EQ32" t="s">
        <v>181</v>
      </c>
      <c r="ER32" t="s">
        <v>216</v>
      </c>
      <c r="ES32" t="s">
        <v>194</v>
      </c>
      <c r="EV32" t="s">
        <v>181</v>
      </c>
      <c r="EW32" t="s">
        <v>194</v>
      </c>
      <c r="EY32" t="s">
        <v>181</v>
      </c>
      <c r="EZ32" t="s">
        <v>194</v>
      </c>
      <c r="FB32" t="s">
        <v>194</v>
      </c>
      <c r="FE32" t="s">
        <v>181</v>
      </c>
      <c r="FF32" t="s">
        <v>181</v>
      </c>
      <c r="FG32" t="s">
        <v>217</v>
      </c>
      <c r="FH32" t="s">
        <v>194</v>
      </c>
      <c r="FK32" t="s">
        <v>194</v>
      </c>
      <c r="FN32" t="s">
        <v>194</v>
      </c>
      <c r="FR32" t="s">
        <v>218</v>
      </c>
      <c r="FU32" t="s">
        <v>194</v>
      </c>
      <c r="GC32" t="s">
        <v>1073</v>
      </c>
    </row>
    <row r="33" spans="1:186" x14ac:dyDescent="0.25">
      <c r="A33" s="1">
        <v>46132.662105937503</v>
      </c>
      <c r="B33" s="1">
        <v>46132.666354409717</v>
      </c>
      <c r="C33" t="s">
        <v>176</v>
      </c>
      <c r="D33">
        <v>32</v>
      </c>
      <c r="E33">
        <v>32</v>
      </c>
      <c r="F33" t="b">
        <f t="shared" si="0"/>
        <v>1</v>
      </c>
      <c r="G33" s="1">
        <v>46129</v>
      </c>
      <c r="H33">
        <v>1</v>
      </c>
      <c r="I33" t="s">
        <v>219</v>
      </c>
      <c r="J33" t="s">
        <v>178</v>
      </c>
      <c r="K33" t="s">
        <v>220</v>
      </c>
      <c r="L33" t="s">
        <v>221</v>
      </c>
      <c r="M33" t="s">
        <v>181</v>
      </c>
      <c r="N33" t="s">
        <v>182</v>
      </c>
      <c r="O33">
        <v>2</v>
      </c>
      <c r="P33" t="s">
        <v>183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222</v>
      </c>
      <c r="W33">
        <v>38</v>
      </c>
      <c r="X33" t="s">
        <v>181</v>
      </c>
      <c r="Z33" t="s">
        <v>185</v>
      </c>
      <c r="AB33" t="s">
        <v>223</v>
      </c>
      <c r="AC33" t="s">
        <v>187</v>
      </c>
      <c r="AD33" t="s">
        <v>188</v>
      </c>
      <c r="AE33" t="s">
        <v>189</v>
      </c>
      <c r="AF33" t="s">
        <v>224</v>
      </c>
      <c r="AG33" t="s">
        <v>225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BK33" t="s">
        <v>224</v>
      </c>
      <c r="BL33" t="s">
        <v>226</v>
      </c>
      <c r="BM33">
        <v>0</v>
      </c>
      <c r="BN33">
        <v>1</v>
      </c>
      <c r="BO33">
        <v>0</v>
      </c>
      <c r="BP33">
        <v>0</v>
      </c>
      <c r="BQ33">
        <v>0</v>
      </c>
      <c r="BR33" t="s">
        <v>227</v>
      </c>
      <c r="BS33" t="s">
        <v>181</v>
      </c>
      <c r="BT33" t="s">
        <v>181</v>
      </c>
      <c r="BU33" t="s">
        <v>181</v>
      </c>
      <c r="BV33" t="s">
        <v>195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 t="s">
        <v>228</v>
      </c>
      <c r="CD33" t="s">
        <v>194</v>
      </c>
      <c r="CZ33" t="s">
        <v>181</v>
      </c>
      <c r="DA33" t="s">
        <v>199</v>
      </c>
      <c r="DB33" t="s">
        <v>194</v>
      </c>
      <c r="DD33" t="s">
        <v>181</v>
      </c>
      <c r="DE33" t="s">
        <v>199</v>
      </c>
      <c r="DF33" t="s">
        <v>181</v>
      </c>
      <c r="DG33" t="s">
        <v>199</v>
      </c>
      <c r="DH33" t="s">
        <v>181</v>
      </c>
      <c r="DI33" t="s">
        <v>199</v>
      </c>
      <c r="DJ33" t="s">
        <v>194</v>
      </c>
      <c r="DL33" t="s">
        <v>181</v>
      </c>
      <c r="DM33" t="s">
        <v>199</v>
      </c>
      <c r="DN33" t="s">
        <v>181</v>
      </c>
      <c r="DO33" t="s">
        <v>197</v>
      </c>
      <c r="DP33" t="s">
        <v>194</v>
      </c>
      <c r="DR33" t="s">
        <v>181</v>
      </c>
      <c r="DS33" t="s">
        <v>199</v>
      </c>
      <c r="DT33" t="s">
        <v>181</v>
      </c>
      <c r="DU33" t="s">
        <v>199</v>
      </c>
      <c r="DV33" t="s">
        <v>181</v>
      </c>
      <c r="DW33" t="s">
        <v>197</v>
      </c>
      <c r="DX33" t="s">
        <v>194</v>
      </c>
      <c r="DZ33" t="s">
        <v>181</v>
      </c>
      <c r="EA33" t="s">
        <v>215</v>
      </c>
      <c r="EB33" t="s">
        <v>194</v>
      </c>
      <c r="ED33" t="s">
        <v>181</v>
      </c>
      <c r="EE33" t="s">
        <v>199</v>
      </c>
      <c r="EF33" t="s">
        <v>194</v>
      </c>
      <c r="EI33" t="s">
        <v>181</v>
      </c>
      <c r="EJ33" t="s">
        <v>215</v>
      </c>
      <c r="EK33" t="s">
        <v>181</v>
      </c>
      <c r="EM33" t="s">
        <v>181</v>
      </c>
      <c r="EN33" t="s">
        <v>194</v>
      </c>
      <c r="EP33" t="s">
        <v>194</v>
      </c>
      <c r="ES33" t="s">
        <v>194</v>
      </c>
      <c r="EV33" t="s">
        <v>181</v>
      </c>
      <c r="EW33" t="s">
        <v>181</v>
      </c>
      <c r="EX33" t="s">
        <v>229</v>
      </c>
      <c r="EY33" t="s">
        <v>181</v>
      </c>
      <c r="EZ33" t="s">
        <v>181</v>
      </c>
      <c r="FA33" t="s">
        <v>229</v>
      </c>
      <c r="FB33" t="s">
        <v>181</v>
      </c>
      <c r="FC33" t="s">
        <v>181</v>
      </c>
      <c r="FD33" t="s">
        <v>229</v>
      </c>
      <c r="FE33" t="s">
        <v>181</v>
      </c>
      <c r="FF33" t="s">
        <v>181</v>
      </c>
      <c r="FG33" t="s">
        <v>229</v>
      </c>
      <c r="FH33" t="s">
        <v>181</v>
      </c>
      <c r="FI33" t="s">
        <v>181</v>
      </c>
      <c r="FJ33" t="s">
        <v>229</v>
      </c>
      <c r="FK33" t="s">
        <v>181</v>
      </c>
      <c r="FL33" t="s">
        <v>181</v>
      </c>
      <c r="FM33" t="s">
        <v>229</v>
      </c>
      <c r="FN33" t="s">
        <v>194</v>
      </c>
      <c r="FR33" t="s">
        <v>230</v>
      </c>
      <c r="FS33" t="s">
        <v>1171</v>
      </c>
      <c r="FT33" t="s">
        <v>231</v>
      </c>
      <c r="FU33" t="s">
        <v>194</v>
      </c>
      <c r="GC33" t="s">
        <v>232</v>
      </c>
    </row>
    <row r="34" spans="1:186" hidden="1" x14ac:dyDescent="0.25">
      <c r="A34" s="1">
        <v>46132.666355243047</v>
      </c>
      <c r="B34" s="1">
        <v>46132.676374733797</v>
      </c>
      <c r="C34" t="s">
        <v>176</v>
      </c>
      <c r="D34">
        <v>33</v>
      </c>
      <c r="E34">
        <v>33</v>
      </c>
      <c r="F34" t="b">
        <f t="shared" si="0"/>
        <v>1</v>
      </c>
      <c r="G34" s="1">
        <v>46129</v>
      </c>
      <c r="H34">
        <v>1</v>
      </c>
      <c r="I34" t="s">
        <v>177</v>
      </c>
      <c r="J34" t="s">
        <v>178</v>
      </c>
      <c r="K34" t="s">
        <v>233</v>
      </c>
      <c r="L34" t="s">
        <v>234</v>
      </c>
      <c r="M34" t="s">
        <v>181</v>
      </c>
      <c r="N34" t="s">
        <v>182</v>
      </c>
      <c r="O34">
        <v>24</v>
      </c>
      <c r="P34" t="s">
        <v>183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222</v>
      </c>
      <c r="W34">
        <v>53</v>
      </c>
      <c r="X34" t="s">
        <v>181</v>
      </c>
      <c r="Z34" t="s">
        <v>185</v>
      </c>
      <c r="AB34" t="s">
        <v>186</v>
      </c>
      <c r="AC34" t="s">
        <v>209</v>
      </c>
      <c r="AD34" t="s">
        <v>188</v>
      </c>
      <c r="AE34" t="s">
        <v>235</v>
      </c>
      <c r="AF34" t="s">
        <v>224</v>
      </c>
      <c r="AG34" t="s">
        <v>236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BK34" t="s">
        <v>224</v>
      </c>
      <c r="BL34" t="s">
        <v>192</v>
      </c>
      <c r="BM34">
        <v>0</v>
      </c>
      <c r="BN34">
        <v>1</v>
      </c>
      <c r="BO34">
        <v>1</v>
      </c>
      <c r="BP34">
        <v>0</v>
      </c>
      <c r="BQ34">
        <v>0</v>
      </c>
      <c r="BR34" t="s">
        <v>212</v>
      </c>
      <c r="BS34" t="s">
        <v>194</v>
      </c>
      <c r="BT34" t="s">
        <v>181</v>
      </c>
      <c r="BU34" t="s">
        <v>194</v>
      </c>
      <c r="CD34" t="s">
        <v>194</v>
      </c>
      <c r="CZ34" t="s">
        <v>181</v>
      </c>
      <c r="DA34" t="s">
        <v>215</v>
      </c>
      <c r="DB34" t="s">
        <v>194</v>
      </c>
      <c r="DD34" t="s">
        <v>181</v>
      </c>
      <c r="DE34" t="s">
        <v>215</v>
      </c>
      <c r="DF34" t="s">
        <v>194</v>
      </c>
      <c r="DH34" t="s">
        <v>194</v>
      </c>
      <c r="DJ34" t="s">
        <v>194</v>
      </c>
      <c r="DL34" t="s">
        <v>181</v>
      </c>
      <c r="DM34" t="s">
        <v>199</v>
      </c>
      <c r="DN34" t="s">
        <v>194</v>
      </c>
      <c r="DP34" t="s">
        <v>194</v>
      </c>
      <c r="DR34" t="s">
        <v>181</v>
      </c>
      <c r="DS34" t="s">
        <v>197</v>
      </c>
      <c r="DT34" t="s">
        <v>194</v>
      </c>
      <c r="DV34" t="s">
        <v>194</v>
      </c>
      <c r="DX34" t="s">
        <v>194</v>
      </c>
      <c r="DZ34" t="s">
        <v>194</v>
      </c>
      <c r="EB34" t="s">
        <v>194</v>
      </c>
      <c r="ED34" t="s">
        <v>194</v>
      </c>
      <c r="EF34" t="s">
        <v>194</v>
      </c>
      <c r="EI34" t="s">
        <v>181</v>
      </c>
      <c r="EJ34" t="s">
        <v>215</v>
      </c>
      <c r="EK34" t="s">
        <v>194</v>
      </c>
      <c r="EM34" t="s">
        <v>181</v>
      </c>
      <c r="EN34" t="s">
        <v>194</v>
      </c>
      <c r="EP34" t="s">
        <v>181</v>
      </c>
      <c r="EQ34" t="s">
        <v>194</v>
      </c>
      <c r="ES34" t="s">
        <v>194</v>
      </c>
      <c r="EV34" t="s">
        <v>181</v>
      </c>
      <c r="EW34" t="s">
        <v>194</v>
      </c>
      <c r="EY34" t="s">
        <v>181</v>
      </c>
      <c r="EZ34" t="s">
        <v>194</v>
      </c>
      <c r="FB34" t="s">
        <v>194</v>
      </c>
      <c r="FE34" t="s">
        <v>181</v>
      </c>
      <c r="FF34" t="s">
        <v>194</v>
      </c>
      <c r="FH34" t="s">
        <v>181</v>
      </c>
      <c r="FI34" t="s">
        <v>194</v>
      </c>
      <c r="FK34" t="s">
        <v>181</v>
      </c>
      <c r="FL34" t="s">
        <v>194</v>
      </c>
      <c r="FN34" t="s">
        <v>194</v>
      </c>
      <c r="FR34" t="s">
        <v>218</v>
      </c>
      <c r="FS34" t="s">
        <v>237</v>
      </c>
      <c r="FU34" t="s">
        <v>238</v>
      </c>
      <c r="FV34" t="s">
        <v>239</v>
      </c>
      <c r="FW34" t="s">
        <v>238</v>
      </c>
      <c r="FX34" t="s">
        <v>240</v>
      </c>
      <c r="FY34" t="s">
        <v>241</v>
      </c>
      <c r="GA34" t="s">
        <v>242</v>
      </c>
      <c r="GB34" t="s">
        <v>243</v>
      </c>
      <c r="GC34" t="s">
        <v>232</v>
      </c>
    </row>
    <row r="35" spans="1:186" x14ac:dyDescent="0.25">
      <c r="A35" s="1">
        <v>46132.676375405092</v>
      </c>
      <c r="B35" s="1">
        <v>46132.681780740742</v>
      </c>
      <c r="C35" t="s">
        <v>176</v>
      </c>
      <c r="D35">
        <v>34</v>
      </c>
      <c r="E35">
        <v>34</v>
      </c>
      <c r="F35" t="b">
        <f t="shared" si="0"/>
        <v>1</v>
      </c>
      <c r="G35" s="1">
        <v>46129</v>
      </c>
      <c r="H35">
        <v>1</v>
      </c>
      <c r="I35" t="s">
        <v>219</v>
      </c>
      <c r="J35" t="s">
        <v>178</v>
      </c>
      <c r="K35" t="s">
        <v>244</v>
      </c>
      <c r="L35" t="s">
        <v>245</v>
      </c>
      <c r="M35" t="s">
        <v>181</v>
      </c>
      <c r="N35" t="s">
        <v>246</v>
      </c>
      <c r="O35">
        <v>2</v>
      </c>
      <c r="P35" t="s">
        <v>183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184</v>
      </c>
      <c r="W35">
        <v>35</v>
      </c>
      <c r="X35" t="s">
        <v>181</v>
      </c>
      <c r="Z35" t="s">
        <v>185</v>
      </c>
      <c r="AB35" t="s">
        <v>223</v>
      </c>
      <c r="AC35" t="s">
        <v>187</v>
      </c>
      <c r="AD35" t="s">
        <v>188</v>
      </c>
      <c r="AE35" t="s">
        <v>235</v>
      </c>
      <c r="AF35" t="s">
        <v>224</v>
      </c>
      <c r="AG35" t="s">
        <v>247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BK35" t="s">
        <v>248</v>
      </c>
      <c r="BL35" t="s">
        <v>249</v>
      </c>
      <c r="BM35">
        <v>0</v>
      </c>
      <c r="BN35">
        <v>1</v>
      </c>
      <c r="BO35">
        <v>1</v>
      </c>
      <c r="BP35">
        <v>1</v>
      </c>
      <c r="BQ35">
        <v>0</v>
      </c>
      <c r="BR35" t="s">
        <v>227</v>
      </c>
      <c r="BS35" t="s">
        <v>194</v>
      </c>
      <c r="BT35" t="s">
        <v>181</v>
      </c>
      <c r="BU35" t="s">
        <v>194</v>
      </c>
      <c r="CD35" t="s">
        <v>194</v>
      </c>
      <c r="CZ35" t="s">
        <v>194</v>
      </c>
      <c r="DB35" t="s">
        <v>194</v>
      </c>
      <c r="DD35" t="s">
        <v>194</v>
      </c>
      <c r="DF35" t="s">
        <v>194</v>
      </c>
      <c r="DH35" t="s">
        <v>181</v>
      </c>
      <c r="DI35" t="s">
        <v>199</v>
      </c>
      <c r="DJ35" t="s">
        <v>194</v>
      </c>
      <c r="DL35" t="s">
        <v>194</v>
      </c>
      <c r="DN35" t="s">
        <v>194</v>
      </c>
      <c r="DP35" t="s">
        <v>194</v>
      </c>
      <c r="DR35" t="s">
        <v>194</v>
      </c>
      <c r="DT35" t="s">
        <v>194</v>
      </c>
      <c r="DV35" t="s">
        <v>194</v>
      </c>
      <c r="DX35" t="s">
        <v>181</v>
      </c>
      <c r="DY35" t="s">
        <v>199</v>
      </c>
      <c r="DZ35" t="s">
        <v>181</v>
      </c>
      <c r="EA35" t="s">
        <v>197</v>
      </c>
      <c r="EB35" t="s">
        <v>194</v>
      </c>
      <c r="ED35" t="s">
        <v>194</v>
      </c>
      <c r="EF35" t="s">
        <v>194</v>
      </c>
      <c r="EI35" t="s">
        <v>181</v>
      </c>
      <c r="EJ35" t="s">
        <v>199</v>
      </c>
      <c r="EK35" t="s">
        <v>194</v>
      </c>
      <c r="EM35" t="s">
        <v>194</v>
      </c>
      <c r="EP35" t="s">
        <v>194</v>
      </c>
      <c r="ES35" t="s">
        <v>194</v>
      </c>
      <c r="EV35" t="s">
        <v>181</v>
      </c>
      <c r="EW35" t="s">
        <v>181</v>
      </c>
      <c r="EX35" t="s">
        <v>250</v>
      </c>
      <c r="EY35" t="s">
        <v>194</v>
      </c>
      <c r="FB35" t="s">
        <v>194</v>
      </c>
      <c r="FE35" t="s">
        <v>181</v>
      </c>
      <c r="FF35" t="s">
        <v>181</v>
      </c>
      <c r="FG35" t="s">
        <v>250</v>
      </c>
      <c r="FH35" t="s">
        <v>181</v>
      </c>
      <c r="FI35" t="s">
        <v>181</v>
      </c>
      <c r="FJ35" t="s">
        <v>250</v>
      </c>
      <c r="FK35" t="s">
        <v>194</v>
      </c>
      <c r="FN35" t="s">
        <v>194</v>
      </c>
      <c r="FR35" t="s">
        <v>251</v>
      </c>
      <c r="FS35" t="s">
        <v>252</v>
      </c>
      <c r="FT35" t="s">
        <v>253</v>
      </c>
      <c r="FU35" t="s">
        <v>194</v>
      </c>
      <c r="GC35" t="s">
        <v>254</v>
      </c>
    </row>
    <row r="36" spans="1:186" hidden="1" x14ac:dyDescent="0.25">
      <c r="A36" s="1">
        <v>46132.681781446758</v>
      </c>
      <c r="B36" s="1">
        <v>46132.689431770843</v>
      </c>
      <c r="C36" t="s">
        <v>176</v>
      </c>
      <c r="D36">
        <v>35</v>
      </c>
      <c r="E36">
        <v>35</v>
      </c>
      <c r="F36" t="b">
        <f t="shared" si="0"/>
        <v>1</v>
      </c>
      <c r="G36" s="1">
        <v>46128</v>
      </c>
      <c r="H36">
        <v>1</v>
      </c>
      <c r="I36" t="s">
        <v>204</v>
      </c>
      <c r="J36" t="s">
        <v>178</v>
      </c>
      <c r="K36" t="s">
        <v>244</v>
      </c>
      <c r="L36" t="s">
        <v>245</v>
      </c>
      <c r="M36" t="s">
        <v>181</v>
      </c>
      <c r="N36" t="s">
        <v>182</v>
      </c>
      <c r="O36">
        <v>1</v>
      </c>
      <c r="P36" t="s">
        <v>183</v>
      </c>
      <c r="Q36">
        <v>0</v>
      </c>
      <c r="R36">
        <v>1</v>
      </c>
      <c r="S36">
        <v>0</v>
      </c>
      <c r="T36">
        <v>0</v>
      </c>
      <c r="U36">
        <v>1</v>
      </c>
      <c r="V36" t="s">
        <v>184</v>
      </c>
      <c r="W36">
        <v>43</v>
      </c>
      <c r="X36" t="s">
        <v>194</v>
      </c>
      <c r="Y36" t="s">
        <v>255</v>
      </c>
      <c r="Z36" t="s">
        <v>185</v>
      </c>
      <c r="AB36" t="s">
        <v>256</v>
      </c>
      <c r="AC36" t="s">
        <v>257</v>
      </c>
      <c r="AD36" t="s">
        <v>188</v>
      </c>
      <c r="AE36" t="s">
        <v>189</v>
      </c>
      <c r="AF36" t="s">
        <v>224</v>
      </c>
      <c r="AG36" t="s">
        <v>225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BK36" t="s">
        <v>211</v>
      </c>
      <c r="BL36" t="s">
        <v>258</v>
      </c>
      <c r="BM36">
        <v>0</v>
      </c>
      <c r="BN36">
        <v>0</v>
      </c>
      <c r="BO36">
        <v>0</v>
      </c>
      <c r="BP36">
        <v>1</v>
      </c>
      <c r="BQ36">
        <v>0</v>
      </c>
      <c r="BR36" t="s">
        <v>227</v>
      </c>
      <c r="BS36" t="s">
        <v>181</v>
      </c>
      <c r="BT36" t="s">
        <v>194</v>
      </c>
      <c r="BU36" t="s">
        <v>181</v>
      </c>
      <c r="BV36" t="s">
        <v>195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 t="s">
        <v>259</v>
      </c>
      <c r="CD36" t="s">
        <v>181</v>
      </c>
      <c r="CE36" t="s">
        <v>214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R36" t="s">
        <v>194</v>
      </c>
      <c r="CZ36" t="s">
        <v>181</v>
      </c>
      <c r="DA36" t="s">
        <v>197</v>
      </c>
      <c r="DB36" t="s">
        <v>194</v>
      </c>
      <c r="DD36" t="s">
        <v>181</v>
      </c>
      <c r="DE36" t="s">
        <v>215</v>
      </c>
      <c r="DF36" t="s">
        <v>181</v>
      </c>
      <c r="DG36" t="s">
        <v>197</v>
      </c>
      <c r="DH36" t="s">
        <v>198</v>
      </c>
      <c r="DJ36" t="s">
        <v>181</v>
      </c>
      <c r="DK36" t="s">
        <v>197</v>
      </c>
      <c r="DL36" t="s">
        <v>181</v>
      </c>
      <c r="DM36" t="s">
        <v>197</v>
      </c>
      <c r="DN36" t="s">
        <v>181</v>
      </c>
      <c r="DO36" t="s">
        <v>215</v>
      </c>
      <c r="DP36" t="s">
        <v>194</v>
      </c>
      <c r="DR36" t="s">
        <v>194</v>
      </c>
      <c r="DT36" t="s">
        <v>194</v>
      </c>
      <c r="DV36" t="s">
        <v>194</v>
      </c>
      <c r="DX36" t="s">
        <v>181</v>
      </c>
      <c r="DY36" t="s">
        <v>197</v>
      </c>
      <c r="DZ36" t="s">
        <v>194</v>
      </c>
      <c r="EB36" t="s">
        <v>194</v>
      </c>
      <c r="ED36" t="s">
        <v>194</v>
      </c>
      <c r="EF36" t="s">
        <v>194</v>
      </c>
      <c r="EI36" t="s">
        <v>181</v>
      </c>
      <c r="EJ36" t="s">
        <v>197</v>
      </c>
      <c r="EK36" t="s">
        <v>181</v>
      </c>
      <c r="EM36" t="s">
        <v>181</v>
      </c>
      <c r="EN36" t="s">
        <v>194</v>
      </c>
      <c r="EP36" t="s">
        <v>181</v>
      </c>
      <c r="EQ36" t="s">
        <v>194</v>
      </c>
      <c r="ES36" t="s">
        <v>181</v>
      </c>
      <c r="ET36" t="s">
        <v>194</v>
      </c>
      <c r="EV36" t="s">
        <v>181</v>
      </c>
      <c r="EW36" t="s">
        <v>194</v>
      </c>
      <c r="EY36" t="s">
        <v>181</v>
      </c>
      <c r="EZ36" t="s">
        <v>181</v>
      </c>
      <c r="FA36" t="s">
        <v>229</v>
      </c>
      <c r="FB36" t="s">
        <v>194</v>
      </c>
      <c r="FE36" t="s">
        <v>181</v>
      </c>
      <c r="FF36" t="s">
        <v>181</v>
      </c>
      <c r="FG36" t="s">
        <v>250</v>
      </c>
      <c r="FH36" t="s">
        <v>181</v>
      </c>
      <c r="FI36" t="s">
        <v>194</v>
      </c>
      <c r="FK36" t="s">
        <v>181</v>
      </c>
      <c r="FL36" t="s">
        <v>194</v>
      </c>
      <c r="FN36" t="s">
        <v>181</v>
      </c>
      <c r="FO36" t="s">
        <v>194</v>
      </c>
      <c r="FR36" t="s">
        <v>218</v>
      </c>
      <c r="FS36" t="s">
        <v>200</v>
      </c>
      <c r="FU36" t="s">
        <v>194</v>
      </c>
      <c r="GC36" t="s">
        <v>232</v>
      </c>
      <c r="GD36" t="s">
        <v>260</v>
      </c>
    </row>
    <row r="37" spans="1:186" x14ac:dyDescent="0.25">
      <c r="A37" s="1">
        <v>46132.689432476851</v>
      </c>
      <c r="B37" s="1">
        <v>46133.396891446762</v>
      </c>
      <c r="C37" t="s">
        <v>176</v>
      </c>
      <c r="D37">
        <v>36</v>
      </c>
      <c r="E37">
        <v>36</v>
      </c>
      <c r="F37" t="b">
        <f t="shared" si="0"/>
        <v>1</v>
      </c>
      <c r="G37" s="1">
        <v>46129</v>
      </c>
      <c r="H37">
        <v>1</v>
      </c>
      <c r="I37" t="s">
        <v>177</v>
      </c>
      <c r="J37" t="s">
        <v>178</v>
      </c>
      <c r="K37" t="s">
        <v>293</v>
      </c>
      <c r="L37" t="s">
        <v>294</v>
      </c>
      <c r="M37" t="s">
        <v>181</v>
      </c>
      <c r="N37" t="s">
        <v>246</v>
      </c>
      <c r="O37">
        <v>19</v>
      </c>
      <c r="P37" t="s">
        <v>183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184</v>
      </c>
      <c r="W37">
        <v>45</v>
      </c>
      <c r="X37" t="s">
        <v>181</v>
      </c>
      <c r="Z37" t="s">
        <v>185</v>
      </c>
      <c r="AB37" t="s">
        <v>186</v>
      </c>
      <c r="AC37" t="s">
        <v>187</v>
      </c>
      <c r="AD37" t="s">
        <v>188</v>
      </c>
      <c r="AE37" t="s">
        <v>189</v>
      </c>
      <c r="AF37" t="s">
        <v>224</v>
      </c>
      <c r="AG37" t="s">
        <v>295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BK37" t="s">
        <v>224</v>
      </c>
      <c r="BL37" t="s">
        <v>192</v>
      </c>
      <c r="BM37">
        <v>0</v>
      </c>
      <c r="BN37">
        <v>1</v>
      </c>
      <c r="BO37">
        <v>1</v>
      </c>
      <c r="BP37">
        <v>0</v>
      </c>
      <c r="BQ37">
        <v>0</v>
      </c>
      <c r="BR37" t="s">
        <v>193</v>
      </c>
      <c r="BS37" t="s">
        <v>194</v>
      </c>
      <c r="BT37" t="s">
        <v>181</v>
      </c>
      <c r="BU37" t="s">
        <v>181</v>
      </c>
      <c r="BV37" t="s">
        <v>195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 t="s">
        <v>296</v>
      </c>
      <c r="CD37" t="s">
        <v>194</v>
      </c>
      <c r="CZ37" t="s">
        <v>181</v>
      </c>
      <c r="DA37" t="s">
        <v>215</v>
      </c>
      <c r="DB37" t="s">
        <v>181</v>
      </c>
      <c r="DC37" t="s">
        <v>197</v>
      </c>
      <c r="DD37" t="s">
        <v>181</v>
      </c>
      <c r="DE37" t="s">
        <v>215</v>
      </c>
      <c r="DF37" t="s">
        <v>181</v>
      </c>
      <c r="DG37" t="s">
        <v>197</v>
      </c>
      <c r="DH37" t="s">
        <v>194</v>
      </c>
      <c r="DJ37" t="s">
        <v>194</v>
      </c>
      <c r="DL37" t="s">
        <v>181</v>
      </c>
      <c r="DM37" t="s">
        <v>199</v>
      </c>
      <c r="DN37" t="s">
        <v>181</v>
      </c>
      <c r="DO37" t="s">
        <v>199</v>
      </c>
      <c r="DP37" t="s">
        <v>194</v>
      </c>
      <c r="DR37" t="s">
        <v>181</v>
      </c>
      <c r="DS37" t="s">
        <v>199</v>
      </c>
      <c r="DT37" t="s">
        <v>194</v>
      </c>
      <c r="DV37" t="s">
        <v>181</v>
      </c>
      <c r="DW37" t="s">
        <v>197</v>
      </c>
      <c r="DX37" t="s">
        <v>194</v>
      </c>
      <c r="DZ37" t="s">
        <v>181</v>
      </c>
      <c r="EA37" t="s">
        <v>215</v>
      </c>
      <c r="EB37" t="s">
        <v>194</v>
      </c>
      <c r="ED37" t="s">
        <v>181</v>
      </c>
      <c r="EE37" t="s">
        <v>199</v>
      </c>
      <c r="EF37" t="s">
        <v>194</v>
      </c>
      <c r="EI37" t="s">
        <v>181</v>
      </c>
      <c r="EJ37" t="s">
        <v>199</v>
      </c>
      <c r="EK37" t="s">
        <v>194</v>
      </c>
      <c r="EM37" t="s">
        <v>181</v>
      </c>
      <c r="EN37" t="s">
        <v>181</v>
      </c>
      <c r="EO37" t="s">
        <v>250</v>
      </c>
      <c r="EP37" t="s">
        <v>194</v>
      </c>
      <c r="ES37" t="s">
        <v>194</v>
      </c>
      <c r="EV37" t="s">
        <v>181</v>
      </c>
      <c r="EW37" t="s">
        <v>181</v>
      </c>
      <c r="EX37" t="s">
        <v>250</v>
      </c>
      <c r="EY37" t="s">
        <v>181</v>
      </c>
      <c r="EZ37" t="s">
        <v>181</v>
      </c>
      <c r="FA37" t="s">
        <v>250</v>
      </c>
      <c r="FB37" t="s">
        <v>181</v>
      </c>
      <c r="FC37" t="s">
        <v>181</v>
      </c>
      <c r="FD37" t="s">
        <v>217</v>
      </c>
      <c r="FE37" t="s">
        <v>181</v>
      </c>
      <c r="FF37" t="s">
        <v>181</v>
      </c>
      <c r="FG37" t="s">
        <v>250</v>
      </c>
      <c r="FH37" t="s">
        <v>181</v>
      </c>
      <c r="FI37" t="s">
        <v>181</v>
      </c>
      <c r="FJ37" t="s">
        <v>250</v>
      </c>
      <c r="FK37" t="s">
        <v>181</v>
      </c>
      <c r="FL37" t="s">
        <v>194</v>
      </c>
      <c r="FN37" t="s">
        <v>194</v>
      </c>
      <c r="FR37" t="s">
        <v>297</v>
      </c>
      <c r="FS37" t="s">
        <v>298</v>
      </c>
      <c r="FT37" t="s">
        <v>299</v>
      </c>
      <c r="FU37" t="s">
        <v>238</v>
      </c>
      <c r="FV37" t="s">
        <v>300</v>
      </c>
      <c r="FW37" t="s">
        <v>238</v>
      </c>
      <c r="FX37" t="s">
        <v>301</v>
      </c>
      <c r="FY37" t="s">
        <v>238</v>
      </c>
      <c r="FZ37" t="s">
        <v>302</v>
      </c>
      <c r="GA37" t="s">
        <v>242</v>
      </c>
      <c r="GB37" t="s">
        <v>303</v>
      </c>
      <c r="GC37" t="s">
        <v>312</v>
      </c>
      <c r="GD37" t="s">
        <v>304</v>
      </c>
    </row>
    <row r="38" spans="1:186" x14ac:dyDescent="0.25">
      <c r="A38" s="1">
        <v>46133.396892245371</v>
      </c>
      <c r="B38" s="1">
        <v>46133.401604027778</v>
      </c>
      <c r="C38" t="s">
        <v>176</v>
      </c>
      <c r="D38">
        <v>37</v>
      </c>
      <c r="E38">
        <v>37</v>
      </c>
      <c r="F38" t="b">
        <f t="shared" si="0"/>
        <v>1</v>
      </c>
      <c r="G38" s="1">
        <v>46129</v>
      </c>
      <c r="H38">
        <v>1</v>
      </c>
      <c r="I38" t="s">
        <v>219</v>
      </c>
      <c r="J38" t="s">
        <v>178</v>
      </c>
      <c r="K38" t="s">
        <v>305</v>
      </c>
      <c r="L38" t="s">
        <v>306</v>
      </c>
      <c r="M38" t="s">
        <v>181</v>
      </c>
      <c r="N38" t="s">
        <v>182</v>
      </c>
      <c r="O38">
        <v>33</v>
      </c>
      <c r="P38" t="s">
        <v>183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184</v>
      </c>
      <c r="W38">
        <v>53</v>
      </c>
      <c r="X38" t="s">
        <v>181</v>
      </c>
      <c r="Z38" t="s">
        <v>185</v>
      </c>
      <c r="AB38" t="s">
        <v>208</v>
      </c>
      <c r="AC38" t="s">
        <v>257</v>
      </c>
      <c r="AD38" t="s">
        <v>188</v>
      </c>
      <c r="AE38" t="s">
        <v>189</v>
      </c>
      <c r="AF38" t="s">
        <v>190</v>
      </c>
      <c r="AW38" t="s">
        <v>307</v>
      </c>
      <c r="AX38">
        <v>1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K38" t="s">
        <v>224</v>
      </c>
      <c r="BL38" t="s">
        <v>192</v>
      </c>
      <c r="BM38">
        <v>0</v>
      </c>
      <c r="BN38">
        <v>1</v>
      </c>
      <c r="BO38">
        <v>1</v>
      </c>
      <c r="BP38">
        <v>0</v>
      </c>
      <c r="BQ38">
        <v>0</v>
      </c>
      <c r="BR38" t="s">
        <v>193</v>
      </c>
      <c r="BS38" t="s">
        <v>181</v>
      </c>
      <c r="BT38" t="s">
        <v>194</v>
      </c>
      <c r="BU38" t="s">
        <v>181</v>
      </c>
      <c r="BV38" t="s">
        <v>195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 t="s">
        <v>308</v>
      </c>
      <c r="CD38" t="s">
        <v>181</v>
      </c>
      <c r="CE38" t="s">
        <v>214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R38" t="s">
        <v>194</v>
      </c>
      <c r="CZ38" t="s">
        <v>181</v>
      </c>
      <c r="DA38" t="s">
        <v>215</v>
      </c>
      <c r="DB38" t="s">
        <v>194</v>
      </c>
      <c r="DD38" t="s">
        <v>181</v>
      </c>
      <c r="DE38" t="s">
        <v>197</v>
      </c>
      <c r="DF38" t="s">
        <v>181</v>
      </c>
      <c r="DG38" t="s">
        <v>199</v>
      </c>
      <c r="DH38" t="s">
        <v>194</v>
      </c>
      <c r="DJ38" t="s">
        <v>194</v>
      </c>
      <c r="DL38" t="s">
        <v>181</v>
      </c>
      <c r="DM38" t="s">
        <v>215</v>
      </c>
      <c r="DN38" t="s">
        <v>181</v>
      </c>
      <c r="DO38" t="s">
        <v>199</v>
      </c>
      <c r="DP38" t="s">
        <v>194</v>
      </c>
      <c r="DR38" t="s">
        <v>181</v>
      </c>
      <c r="DS38" t="s">
        <v>215</v>
      </c>
      <c r="DT38" t="s">
        <v>181</v>
      </c>
      <c r="DU38" t="s">
        <v>215</v>
      </c>
      <c r="DV38" t="s">
        <v>194</v>
      </c>
      <c r="DX38" t="s">
        <v>194</v>
      </c>
      <c r="DZ38" t="s">
        <v>194</v>
      </c>
      <c r="EB38" t="s">
        <v>194</v>
      </c>
      <c r="ED38" t="s">
        <v>194</v>
      </c>
      <c r="EF38" t="s">
        <v>194</v>
      </c>
      <c r="EI38" t="s">
        <v>181</v>
      </c>
      <c r="EJ38" t="s">
        <v>215</v>
      </c>
      <c r="EK38" t="s">
        <v>194</v>
      </c>
      <c r="EM38" t="s">
        <v>181</v>
      </c>
      <c r="EN38" t="s">
        <v>181</v>
      </c>
      <c r="EO38" t="s">
        <v>217</v>
      </c>
      <c r="EP38" t="s">
        <v>194</v>
      </c>
      <c r="ES38" t="s">
        <v>194</v>
      </c>
      <c r="EV38" t="s">
        <v>194</v>
      </c>
      <c r="EY38" t="s">
        <v>181</v>
      </c>
      <c r="EZ38" t="s">
        <v>181</v>
      </c>
      <c r="FA38" t="s">
        <v>250</v>
      </c>
      <c r="FB38" t="s">
        <v>194</v>
      </c>
      <c r="FE38" t="s">
        <v>181</v>
      </c>
      <c r="FF38" t="s">
        <v>181</v>
      </c>
      <c r="FG38" t="s">
        <v>229</v>
      </c>
      <c r="FH38" t="s">
        <v>181</v>
      </c>
      <c r="FI38" t="s">
        <v>181</v>
      </c>
      <c r="FJ38" t="s">
        <v>250</v>
      </c>
      <c r="FK38" t="s">
        <v>181</v>
      </c>
      <c r="FL38" t="s">
        <v>181</v>
      </c>
      <c r="FM38" t="s">
        <v>250</v>
      </c>
      <c r="FN38" t="s">
        <v>194</v>
      </c>
      <c r="FR38" t="s">
        <v>309</v>
      </c>
      <c r="FS38" t="s">
        <v>310</v>
      </c>
      <c r="FT38" t="s">
        <v>311</v>
      </c>
      <c r="FU38" t="s">
        <v>194</v>
      </c>
      <c r="GC38" t="s">
        <v>312</v>
      </c>
    </row>
    <row r="39" spans="1:186" x14ac:dyDescent="0.25">
      <c r="A39" s="1">
        <v>46133.604451435189</v>
      </c>
      <c r="B39" s="1">
        <v>46133.628511446761</v>
      </c>
      <c r="C39" t="s">
        <v>176</v>
      </c>
      <c r="D39">
        <v>38</v>
      </c>
      <c r="E39">
        <v>38</v>
      </c>
      <c r="F39" t="b">
        <f t="shared" si="0"/>
        <v>1</v>
      </c>
      <c r="G39" s="1">
        <v>46129</v>
      </c>
      <c r="H39">
        <v>1</v>
      </c>
      <c r="I39" t="s">
        <v>177</v>
      </c>
      <c r="J39" t="s">
        <v>178</v>
      </c>
      <c r="K39" t="s">
        <v>609</v>
      </c>
      <c r="L39" t="s">
        <v>610</v>
      </c>
      <c r="M39" t="s">
        <v>181</v>
      </c>
      <c r="N39" t="s">
        <v>182</v>
      </c>
      <c r="O39">
        <v>28</v>
      </c>
      <c r="P39" t="s">
        <v>183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222</v>
      </c>
      <c r="W39">
        <v>26</v>
      </c>
      <c r="X39" t="s">
        <v>181</v>
      </c>
      <c r="Z39" t="s">
        <v>185</v>
      </c>
      <c r="AB39" t="s">
        <v>223</v>
      </c>
      <c r="AC39" t="s">
        <v>257</v>
      </c>
      <c r="AD39" t="s">
        <v>210</v>
      </c>
      <c r="AE39" t="s">
        <v>235</v>
      </c>
      <c r="AF39" t="s">
        <v>224</v>
      </c>
      <c r="AG39" t="s">
        <v>295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BK39" t="s">
        <v>224</v>
      </c>
      <c r="BL39" t="s">
        <v>389</v>
      </c>
      <c r="BM39">
        <v>0</v>
      </c>
      <c r="BN39">
        <v>0</v>
      </c>
      <c r="BO39">
        <v>0</v>
      </c>
      <c r="BP39">
        <v>0</v>
      </c>
      <c r="BQ39">
        <v>1</v>
      </c>
      <c r="BR39" t="s">
        <v>212</v>
      </c>
      <c r="BS39" t="s">
        <v>194</v>
      </c>
      <c r="BT39" t="s">
        <v>194</v>
      </c>
      <c r="BU39" t="s">
        <v>181</v>
      </c>
      <c r="BV39" t="s">
        <v>195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 t="s">
        <v>611</v>
      </c>
      <c r="CD39" t="s">
        <v>181</v>
      </c>
      <c r="CE39" t="s">
        <v>214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R39" t="s">
        <v>194</v>
      </c>
      <c r="CZ39" t="s">
        <v>181</v>
      </c>
      <c r="DA39" t="s">
        <v>197</v>
      </c>
      <c r="DB39" t="s">
        <v>194</v>
      </c>
      <c r="DD39" t="s">
        <v>181</v>
      </c>
      <c r="DE39" t="s">
        <v>215</v>
      </c>
      <c r="DF39" t="s">
        <v>194</v>
      </c>
      <c r="DH39" t="s">
        <v>181</v>
      </c>
      <c r="DI39" t="s">
        <v>197</v>
      </c>
      <c r="DJ39" t="s">
        <v>181</v>
      </c>
      <c r="DK39" t="s">
        <v>199</v>
      </c>
      <c r="DL39" t="s">
        <v>181</v>
      </c>
      <c r="DM39" t="s">
        <v>199</v>
      </c>
      <c r="DN39" t="s">
        <v>194</v>
      </c>
      <c r="DP39" t="s">
        <v>194</v>
      </c>
      <c r="DR39" t="s">
        <v>194</v>
      </c>
      <c r="DT39" t="s">
        <v>194</v>
      </c>
      <c r="DV39" t="s">
        <v>194</v>
      </c>
      <c r="DX39" t="s">
        <v>181</v>
      </c>
      <c r="DY39" t="s">
        <v>199</v>
      </c>
      <c r="DZ39" t="s">
        <v>194</v>
      </c>
      <c r="EB39" t="s">
        <v>194</v>
      </c>
      <c r="ED39" t="s">
        <v>194</v>
      </c>
      <c r="EF39" t="s">
        <v>194</v>
      </c>
      <c r="EI39" t="s">
        <v>181</v>
      </c>
      <c r="EJ39" t="s">
        <v>215</v>
      </c>
      <c r="EK39" t="s">
        <v>181</v>
      </c>
      <c r="EM39" t="s">
        <v>181</v>
      </c>
      <c r="EN39" t="s">
        <v>194</v>
      </c>
      <c r="EP39" t="s">
        <v>194</v>
      </c>
      <c r="ES39" t="s">
        <v>181</v>
      </c>
      <c r="ET39" t="s">
        <v>181</v>
      </c>
      <c r="EU39" t="s">
        <v>250</v>
      </c>
      <c r="EV39" t="s">
        <v>181</v>
      </c>
      <c r="EW39" t="s">
        <v>181</v>
      </c>
      <c r="EX39" t="s">
        <v>250</v>
      </c>
      <c r="EY39" t="s">
        <v>181</v>
      </c>
      <c r="EZ39" t="s">
        <v>194</v>
      </c>
      <c r="FB39" t="s">
        <v>194</v>
      </c>
      <c r="FE39" t="s">
        <v>181</v>
      </c>
      <c r="FF39" t="s">
        <v>181</v>
      </c>
      <c r="FG39" t="s">
        <v>250</v>
      </c>
      <c r="FH39" t="s">
        <v>181</v>
      </c>
      <c r="FI39" t="s">
        <v>181</v>
      </c>
      <c r="FJ39" t="s">
        <v>250</v>
      </c>
      <c r="FK39" t="s">
        <v>181</v>
      </c>
      <c r="FL39" t="s">
        <v>194</v>
      </c>
      <c r="FN39" t="s">
        <v>194</v>
      </c>
      <c r="FR39" t="s">
        <v>612</v>
      </c>
      <c r="FS39" t="s">
        <v>613</v>
      </c>
      <c r="FT39" t="s">
        <v>614</v>
      </c>
      <c r="FU39" t="s">
        <v>194</v>
      </c>
      <c r="GC39" t="s">
        <v>202</v>
      </c>
    </row>
    <row r="40" spans="1:186" x14ac:dyDescent="0.25">
      <c r="A40" s="1">
        <v>46133.401604675928</v>
      </c>
      <c r="B40" s="1">
        <v>46133.407656828713</v>
      </c>
      <c r="C40" t="s">
        <v>176</v>
      </c>
      <c r="D40">
        <v>39</v>
      </c>
      <c r="E40">
        <v>39</v>
      </c>
      <c r="F40" t="b">
        <f t="shared" si="0"/>
        <v>1</v>
      </c>
      <c r="G40" s="1">
        <v>46129</v>
      </c>
      <c r="H40">
        <v>1</v>
      </c>
      <c r="I40" t="s">
        <v>219</v>
      </c>
      <c r="J40" t="s">
        <v>178</v>
      </c>
      <c r="K40" t="s">
        <v>316</v>
      </c>
      <c r="L40" t="s">
        <v>317</v>
      </c>
      <c r="M40" t="s">
        <v>181</v>
      </c>
      <c r="N40" t="s">
        <v>182</v>
      </c>
      <c r="O40">
        <v>3</v>
      </c>
      <c r="P40" t="s">
        <v>183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222</v>
      </c>
      <c r="W40">
        <v>35</v>
      </c>
      <c r="X40" t="s">
        <v>194</v>
      </c>
      <c r="Y40" t="s">
        <v>255</v>
      </c>
      <c r="Z40" t="s">
        <v>185</v>
      </c>
      <c r="AB40" t="s">
        <v>223</v>
      </c>
      <c r="AC40" t="s">
        <v>257</v>
      </c>
      <c r="AD40" t="s">
        <v>188</v>
      </c>
      <c r="AE40" t="s">
        <v>318</v>
      </c>
      <c r="AF40" t="s">
        <v>224</v>
      </c>
      <c r="AG40" t="s">
        <v>319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 t="s">
        <v>320</v>
      </c>
      <c r="BK40" t="s">
        <v>248</v>
      </c>
      <c r="BL40" t="s">
        <v>192</v>
      </c>
      <c r="BM40">
        <v>0</v>
      </c>
      <c r="BN40">
        <v>1</v>
      </c>
      <c r="BO40">
        <v>1</v>
      </c>
      <c r="BP40">
        <v>0</v>
      </c>
      <c r="BQ40">
        <v>0</v>
      </c>
      <c r="BR40" t="s">
        <v>212</v>
      </c>
      <c r="BS40" t="s">
        <v>194</v>
      </c>
      <c r="BT40" t="s">
        <v>181</v>
      </c>
      <c r="BU40" t="s">
        <v>181</v>
      </c>
      <c r="BV40" t="s">
        <v>195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 t="s">
        <v>321</v>
      </c>
      <c r="CD40" t="s">
        <v>194</v>
      </c>
      <c r="CZ40" t="s">
        <v>194</v>
      </c>
      <c r="DB40" t="s">
        <v>181</v>
      </c>
      <c r="DC40" t="s">
        <v>197</v>
      </c>
      <c r="DD40" t="s">
        <v>194</v>
      </c>
      <c r="DF40" t="s">
        <v>194</v>
      </c>
      <c r="DH40" t="s">
        <v>181</v>
      </c>
      <c r="DI40" t="s">
        <v>197</v>
      </c>
      <c r="DJ40" t="s">
        <v>194</v>
      </c>
      <c r="DL40" t="s">
        <v>181</v>
      </c>
      <c r="DM40" t="s">
        <v>199</v>
      </c>
      <c r="DN40" t="s">
        <v>194</v>
      </c>
      <c r="DP40" t="s">
        <v>194</v>
      </c>
      <c r="DR40" t="s">
        <v>194</v>
      </c>
      <c r="DT40" t="s">
        <v>194</v>
      </c>
      <c r="DV40" t="s">
        <v>194</v>
      </c>
      <c r="DX40" t="s">
        <v>194</v>
      </c>
      <c r="DZ40" t="s">
        <v>194</v>
      </c>
      <c r="EB40" t="s">
        <v>194</v>
      </c>
      <c r="ED40" t="s">
        <v>181</v>
      </c>
      <c r="EE40" t="s">
        <v>199</v>
      </c>
      <c r="EF40" t="s">
        <v>181</v>
      </c>
      <c r="EG40" t="s">
        <v>322</v>
      </c>
      <c r="EH40" t="s">
        <v>197</v>
      </c>
      <c r="EI40" t="s">
        <v>181</v>
      </c>
      <c r="EJ40" t="s">
        <v>199</v>
      </c>
      <c r="EK40" t="s">
        <v>194</v>
      </c>
      <c r="EM40" t="s">
        <v>181</v>
      </c>
      <c r="EN40" t="s">
        <v>194</v>
      </c>
      <c r="EP40" t="s">
        <v>194</v>
      </c>
      <c r="ES40" t="s">
        <v>194</v>
      </c>
      <c r="EV40" t="s">
        <v>181</v>
      </c>
      <c r="EW40" t="s">
        <v>181</v>
      </c>
      <c r="EX40" t="s">
        <v>250</v>
      </c>
      <c r="EY40" t="s">
        <v>181</v>
      </c>
      <c r="EZ40" t="s">
        <v>194</v>
      </c>
      <c r="FB40" t="s">
        <v>181</v>
      </c>
      <c r="FC40" t="s">
        <v>194</v>
      </c>
      <c r="FE40" t="s">
        <v>181</v>
      </c>
      <c r="FF40" t="s">
        <v>181</v>
      </c>
      <c r="FG40" t="s">
        <v>250</v>
      </c>
      <c r="FH40" t="s">
        <v>181</v>
      </c>
      <c r="FI40" t="s">
        <v>194</v>
      </c>
      <c r="FK40" t="s">
        <v>181</v>
      </c>
      <c r="FL40" t="s">
        <v>194</v>
      </c>
      <c r="FN40" t="s">
        <v>194</v>
      </c>
      <c r="FR40" t="s">
        <v>218</v>
      </c>
      <c r="FS40" t="s">
        <v>323</v>
      </c>
      <c r="FT40" t="s">
        <v>324</v>
      </c>
      <c r="FU40" t="s">
        <v>194</v>
      </c>
      <c r="GC40" t="s">
        <v>232</v>
      </c>
    </row>
    <row r="41" spans="1:186" x14ac:dyDescent="0.25">
      <c r="A41" s="1">
        <v>46133.40765760417</v>
      </c>
      <c r="B41" s="1">
        <v>46133.417532141197</v>
      </c>
      <c r="C41" t="s">
        <v>176</v>
      </c>
      <c r="D41">
        <v>40</v>
      </c>
      <c r="E41">
        <v>40</v>
      </c>
      <c r="F41" t="b">
        <f t="shared" si="0"/>
        <v>1</v>
      </c>
      <c r="G41" s="1">
        <v>46131</v>
      </c>
      <c r="H41">
        <v>1</v>
      </c>
      <c r="I41" t="s">
        <v>267</v>
      </c>
      <c r="J41" t="s">
        <v>178</v>
      </c>
      <c r="K41" t="s">
        <v>332</v>
      </c>
      <c r="L41" t="s">
        <v>333</v>
      </c>
      <c r="M41" t="s">
        <v>181</v>
      </c>
      <c r="N41" t="s">
        <v>182</v>
      </c>
      <c r="O41">
        <v>20</v>
      </c>
      <c r="P41" t="s">
        <v>183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184</v>
      </c>
      <c r="W41">
        <v>61</v>
      </c>
      <c r="X41" t="s">
        <v>181</v>
      </c>
      <c r="Z41" t="s">
        <v>270</v>
      </c>
      <c r="AB41" t="s">
        <v>208</v>
      </c>
      <c r="AC41" t="s">
        <v>334</v>
      </c>
      <c r="AE41" t="s">
        <v>189</v>
      </c>
      <c r="AF41" t="s">
        <v>224</v>
      </c>
      <c r="AG41" t="s">
        <v>335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 t="s">
        <v>336</v>
      </c>
      <c r="AU41" t="s">
        <v>337</v>
      </c>
      <c r="BK41" t="s">
        <v>224</v>
      </c>
      <c r="BL41" t="s">
        <v>192</v>
      </c>
      <c r="BM41">
        <v>0</v>
      </c>
      <c r="BN41">
        <v>1</v>
      </c>
      <c r="BO41">
        <v>1</v>
      </c>
      <c r="BP41">
        <v>0</v>
      </c>
      <c r="BQ41">
        <v>0</v>
      </c>
      <c r="BR41" t="s">
        <v>212</v>
      </c>
      <c r="BS41" t="s">
        <v>194</v>
      </c>
      <c r="BT41" t="s">
        <v>194</v>
      </c>
      <c r="BU41" t="s">
        <v>194</v>
      </c>
      <c r="CD41" t="s">
        <v>194</v>
      </c>
      <c r="CZ41" t="s">
        <v>194</v>
      </c>
      <c r="DB41" t="s">
        <v>194</v>
      </c>
      <c r="DD41" t="s">
        <v>181</v>
      </c>
      <c r="DE41" t="s">
        <v>199</v>
      </c>
      <c r="DF41" t="s">
        <v>181</v>
      </c>
      <c r="DG41" t="s">
        <v>215</v>
      </c>
      <c r="DH41" t="s">
        <v>194</v>
      </c>
      <c r="DJ41" t="s">
        <v>181</v>
      </c>
      <c r="DK41" t="s">
        <v>197</v>
      </c>
      <c r="DL41" t="s">
        <v>194</v>
      </c>
      <c r="DN41" t="s">
        <v>194</v>
      </c>
      <c r="DP41" t="s">
        <v>194</v>
      </c>
      <c r="DR41" t="s">
        <v>194</v>
      </c>
      <c r="DT41" t="s">
        <v>194</v>
      </c>
      <c r="DV41" t="s">
        <v>194</v>
      </c>
      <c r="DX41" t="s">
        <v>194</v>
      </c>
      <c r="DZ41" t="s">
        <v>181</v>
      </c>
      <c r="EA41" t="s">
        <v>197</v>
      </c>
      <c r="EB41" t="s">
        <v>194</v>
      </c>
      <c r="ED41" t="s">
        <v>181</v>
      </c>
      <c r="EE41" t="s">
        <v>199</v>
      </c>
      <c r="EF41" t="s">
        <v>194</v>
      </c>
      <c r="EI41" t="s">
        <v>181</v>
      </c>
      <c r="EJ41" t="s">
        <v>199</v>
      </c>
      <c r="EK41" t="s">
        <v>181</v>
      </c>
      <c r="EM41" t="s">
        <v>181</v>
      </c>
      <c r="EN41" t="s">
        <v>181</v>
      </c>
      <c r="EO41" t="s">
        <v>250</v>
      </c>
      <c r="EP41" t="s">
        <v>194</v>
      </c>
      <c r="ES41" t="s">
        <v>181</v>
      </c>
      <c r="ET41" t="s">
        <v>181</v>
      </c>
      <c r="EU41" t="s">
        <v>250</v>
      </c>
      <c r="EV41" t="s">
        <v>181</v>
      </c>
      <c r="EW41" t="s">
        <v>181</v>
      </c>
      <c r="EX41" t="s">
        <v>250</v>
      </c>
      <c r="EY41" t="s">
        <v>181</v>
      </c>
      <c r="EZ41" t="s">
        <v>181</v>
      </c>
      <c r="FA41" t="s">
        <v>250</v>
      </c>
      <c r="FB41" t="s">
        <v>194</v>
      </c>
      <c r="FE41" t="s">
        <v>181</v>
      </c>
      <c r="FF41" t="s">
        <v>181</v>
      </c>
      <c r="FG41" t="s">
        <v>250</v>
      </c>
      <c r="FH41" t="s">
        <v>181</v>
      </c>
      <c r="FI41" t="s">
        <v>194</v>
      </c>
      <c r="FK41" t="s">
        <v>194</v>
      </c>
      <c r="FN41" t="s">
        <v>181</v>
      </c>
      <c r="FO41" t="s">
        <v>181</v>
      </c>
      <c r="FP41" t="s">
        <v>250</v>
      </c>
      <c r="FR41" t="s">
        <v>338</v>
      </c>
      <c r="FS41" t="s">
        <v>218</v>
      </c>
      <c r="FT41" t="s">
        <v>218</v>
      </c>
      <c r="FU41" t="s">
        <v>194</v>
      </c>
      <c r="GC41" t="s">
        <v>312</v>
      </c>
    </row>
    <row r="42" spans="1:186" hidden="1" x14ac:dyDescent="0.25">
      <c r="A42" s="1">
        <v>46133.417532800922</v>
      </c>
      <c r="B42" s="1">
        <v>46133.429464826389</v>
      </c>
      <c r="C42" t="s">
        <v>176</v>
      </c>
      <c r="D42">
        <v>41</v>
      </c>
      <c r="E42">
        <v>41</v>
      </c>
      <c r="F42" t="b">
        <f t="shared" si="0"/>
        <v>1</v>
      </c>
      <c r="G42" s="1">
        <v>46131</v>
      </c>
      <c r="H42">
        <v>1</v>
      </c>
      <c r="I42" t="s">
        <v>204</v>
      </c>
      <c r="J42" t="s">
        <v>178</v>
      </c>
      <c r="K42" t="s">
        <v>344</v>
      </c>
      <c r="L42" t="s">
        <v>345</v>
      </c>
      <c r="M42" t="s">
        <v>181</v>
      </c>
      <c r="N42" t="s">
        <v>182</v>
      </c>
      <c r="O42">
        <v>18</v>
      </c>
      <c r="P42" t="s">
        <v>346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222</v>
      </c>
      <c r="W42">
        <v>27</v>
      </c>
      <c r="X42" t="s">
        <v>181</v>
      </c>
      <c r="Z42" t="s">
        <v>185</v>
      </c>
      <c r="AB42" t="s">
        <v>223</v>
      </c>
      <c r="AC42" t="s">
        <v>257</v>
      </c>
      <c r="AD42" t="s">
        <v>188</v>
      </c>
      <c r="AE42" t="s">
        <v>198</v>
      </c>
      <c r="AF42" t="s">
        <v>190</v>
      </c>
      <c r="AW42" t="s">
        <v>191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K42" t="s">
        <v>224</v>
      </c>
      <c r="BL42" t="s">
        <v>192</v>
      </c>
      <c r="BM42">
        <v>0</v>
      </c>
      <c r="BN42">
        <v>1</v>
      </c>
      <c r="BO42">
        <v>1</v>
      </c>
      <c r="BP42">
        <v>0</v>
      </c>
      <c r="BQ42">
        <v>0</v>
      </c>
      <c r="BR42" t="s">
        <v>193</v>
      </c>
      <c r="BS42" t="s">
        <v>194</v>
      </c>
      <c r="BT42" t="s">
        <v>194</v>
      </c>
      <c r="BU42" t="s">
        <v>194</v>
      </c>
      <c r="CD42" t="s">
        <v>181</v>
      </c>
      <c r="CE42" t="s">
        <v>277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Q42" t="s">
        <v>181</v>
      </c>
      <c r="CZ42" t="s">
        <v>194</v>
      </c>
      <c r="DB42" t="s">
        <v>194</v>
      </c>
      <c r="DD42" t="s">
        <v>194</v>
      </c>
      <c r="DF42" t="s">
        <v>194</v>
      </c>
      <c r="DH42" t="s">
        <v>181</v>
      </c>
      <c r="DI42" t="s">
        <v>197</v>
      </c>
      <c r="DJ42" t="s">
        <v>181</v>
      </c>
      <c r="DK42" t="s">
        <v>199</v>
      </c>
      <c r="DL42" t="s">
        <v>181</v>
      </c>
      <c r="DM42" t="s">
        <v>215</v>
      </c>
      <c r="DN42" t="s">
        <v>194</v>
      </c>
      <c r="DP42" t="s">
        <v>194</v>
      </c>
      <c r="DR42" t="s">
        <v>181</v>
      </c>
      <c r="DS42" t="s">
        <v>199</v>
      </c>
      <c r="DT42" t="s">
        <v>194</v>
      </c>
      <c r="DV42" t="s">
        <v>194</v>
      </c>
      <c r="DX42" t="s">
        <v>181</v>
      </c>
      <c r="DY42" t="s">
        <v>197</v>
      </c>
      <c r="DZ42" t="s">
        <v>181</v>
      </c>
      <c r="EA42" t="s">
        <v>197</v>
      </c>
      <c r="EB42" t="s">
        <v>194</v>
      </c>
      <c r="ED42" t="s">
        <v>194</v>
      </c>
      <c r="EF42" t="s">
        <v>194</v>
      </c>
      <c r="EI42" t="s">
        <v>181</v>
      </c>
      <c r="EJ42" t="s">
        <v>199</v>
      </c>
      <c r="EK42" t="s">
        <v>194</v>
      </c>
      <c r="EM42" t="s">
        <v>181</v>
      </c>
      <c r="EN42" t="s">
        <v>194</v>
      </c>
      <c r="EP42" t="s">
        <v>181</v>
      </c>
      <c r="EQ42" t="s">
        <v>194</v>
      </c>
      <c r="ES42" t="s">
        <v>181</v>
      </c>
      <c r="ET42" t="s">
        <v>181</v>
      </c>
      <c r="EU42" t="s">
        <v>216</v>
      </c>
      <c r="EV42" t="s">
        <v>181</v>
      </c>
      <c r="EW42" t="s">
        <v>181</v>
      </c>
      <c r="EX42" t="s">
        <v>250</v>
      </c>
      <c r="EY42" t="s">
        <v>194</v>
      </c>
      <c r="FB42" t="s">
        <v>194</v>
      </c>
      <c r="FE42" t="s">
        <v>181</v>
      </c>
      <c r="FF42" t="s">
        <v>181</v>
      </c>
      <c r="FG42" t="s">
        <v>229</v>
      </c>
      <c r="FH42" t="s">
        <v>181</v>
      </c>
      <c r="FI42" t="s">
        <v>194</v>
      </c>
      <c r="FK42" t="s">
        <v>181</v>
      </c>
      <c r="FL42" t="s">
        <v>194</v>
      </c>
      <c r="FN42" t="s">
        <v>194</v>
      </c>
      <c r="FR42" t="s">
        <v>218</v>
      </c>
      <c r="FU42" t="s">
        <v>238</v>
      </c>
      <c r="FV42" t="s">
        <v>239</v>
      </c>
      <c r="FW42" t="s">
        <v>238</v>
      </c>
      <c r="FX42" t="s">
        <v>347</v>
      </c>
      <c r="FY42" t="s">
        <v>238</v>
      </c>
      <c r="FZ42" t="s">
        <v>348</v>
      </c>
      <c r="GA42" t="s">
        <v>242</v>
      </c>
      <c r="GB42" t="s">
        <v>349</v>
      </c>
      <c r="GC42" t="s">
        <v>312</v>
      </c>
    </row>
    <row r="43" spans="1:186" hidden="1" x14ac:dyDescent="0.25">
      <c r="A43" s="1">
        <v>46133.429465474539</v>
      </c>
      <c r="B43" s="1">
        <v>46133.435570173613</v>
      </c>
      <c r="C43" t="s">
        <v>176</v>
      </c>
      <c r="D43">
        <v>42</v>
      </c>
      <c r="E43">
        <v>42</v>
      </c>
      <c r="F43" t="b">
        <f t="shared" si="0"/>
        <v>1</v>
      </c>
      <c r="G43" s="1">
        <v>46131</v>
      </c>
      <c r="H43">
        <v>1</v>
      </c>
      <c r="I43" t="s">
        <v>177</v>
      </c>
      <c r="J43" t="s">
        <v>178</v>
      </c>
      <c r="K43" t="s">
        <v>350</v>
      </c>
      <c r="L43" t="s">
        <v>351</v>
      </c>
      <c r="M43" t="s">
        <v>181</v>
      </c>
      <c r="N43" t="s">
        <v>182</v>
      </c>
      <c r="O43">
        <v>15</v>
      </c>
      <c r="P43" t="s">
        <v>183</v>
      </c>
      <c r="Q43">
        <v>0</v>
      </c>
      <c r="R43">
        <v>0</v>
      </c>
      <c r="S43">
        <v>0</v>
      </c>
      <c r="T43">
        <v>0</v>
      </c>
      <c r="U43">
        <v>1</v>
      </c>
      <c r="V43" t="s">
        <v>222</v>
      </c>
      <c r="W43">
        <v>76</v>
      </c>
      <c r="X43" t="s">
        <v>181</v>
      </c>
      <c r="Z43" t="s">
        <v>185</v>
      </c>
      <c r="AB43" t="s">
        <v>256</v>
      </c>
      <c r="AC43" t="s">
        <v>209</v>
      </c>
      <c r="AD43" t="s">
        <v>188</v>
      </c>
      <c r="AE43" t="s">
        <v>265</v>
      </c>
      <c r="AF43" t="s">
        <v>224</v>
      </c>
      <c r="AG43" t="s">
        <v>352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BK43" t="s">
        <v>224</v>
      </c>
      <c r="BL43" t="s">
        <v>226</v>
      </c>
      <c r="BM43">
        <v>0</v>
      </c>
      <c r="BN43">
        <v>1</v>
      </c>
      <c r="BO43">
        <v>0</v>
      </c>
      <c r="BP43">
        <v>0</v>
      </c>
      <c r="BQ43">
        <v>0</v>
      </c>
      <c r="BR43" t="s">
        <v>212</v>
      </c>
      <c r="BS43" t="s">
        <v>194</v>
      </c>
      <c r="BT43" t="s">
        <v>181</v>
      </c>
      <c r="BU43" t="s">
        <v>194</v>
      </c>
      <c r="CD43" t="s">
        <v>181</v>
      </c>
      <c r="CE43" t="s">
        <v>283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T43" t="s">
        <v>194</v>
      </c>
      <c r="CZ43" t="s">
        <v>181</v>
      </c>
      <c r="DA43" t="s">
        <v>197</v>
      </c>
      <c r="DB43" t="s">
        <v>181</v>
      </c>
      <c r="DC43" t="s">
        <v>197</v>
      </c>
      <c r="DD43" t="s">
        <v>181</v>
      </c>
      <c r="DE43" t="s">
        <v>215</v>
      </c>
      <c r="DF43" t="s">
        <v>181</v>
      </c>
      <c r="DG43" t="s">
        <v>197</v>
      </c>
      <c r="DH43" t="s">
        <v>181</v>
      </c>
      <c r="DI43" t="s">
        <v>197</v>
      </c>
      <c r="DJ43" t="s">
        <v>194</v>
      </c>
      <c r="DL43" t="s">
        <v>181</v>
      </c>
      <c r="DM43" t="s">
        <v>215</v>
      </c>
      <c r="DN43" t="s">
        <v>181</v>
      </c>
      <c r="DO43" t="s">
        <v>199</v>
      </c>
      <c r="DP43" t="s">
        <v>194</v>
      </c>
      <c r="DR43" t="s">
        <v>181</v>
      </c>
      <c r="DS43" t="s">
        <v>215</v>
      </c>
      <c r="DT43" t="s">
        <v>181</v>
      </c>
      <c r="DU43" t="s">
        <v>197</v>
      </c>
      <c r="DV43" t="s">
        <v>194</v>
      </c>
      <c r="DX43" t="s">
        <v>181</v>
      </c>
      <c r="DY43" t="s">
        <v>215</v>
      </c>
      <c r="DZ43" t="s">
        <v>194</v>
      </c>
      <c r="EB43" t="s">
        <v>194</v>
      </c>
      <c r="ED43" t="s">
        <v>181</v>
      </c>
      <c r="EE43" t="s">
        <v>197</v>
      </c>
      <c r="EF43" t="s">
        <v>194</v>
      </c>
      <c r="EI43" t="s">
        <v>181</v>
      </c>
      <c r="EJ43" t="s">
        <v>199</v>
      </c>
      <c r="EK43" t="s">
        <v>194</v>
      </c>
      <c r="EM43" t="s">
        <v>181</v>
      </c>
      <c r="EN43" t="s">
        <v>181</v>
      </c>
      <c r="EO43" t="s">
        <v>250</v>
      </c>
      <c r="EP43" t="s">
        <v>194</v>
      </c>
      <c r="ES43" t="s">
        <v>194</v>
      </c>
      <c r="EV43" t="s">
        <v>181</v>
      </c>
      <c r="EW43" t="s">
        <v>181</v>
      </c>
      <c r="EX43" t="s">
        <v>250</v>
      </c>
      <c r="EY43" t="s">
        <v>181</v>
      </c>
      <c r="EZ43" t="s">
        <v>181</v>
      </c>
      <c r="FA43" t="s">
        <v>250</v>
      </c>
      <c r="FB43" t="s">
        <v>194</v>
      </c>
      <c r="FE43" t="s">
        <v>181</v>
      </c>
      <c r="FF43" t="s">
        <v>181</v>
      </c>
      <c r="FG43" t="s">
        <v>250</v>
      </c>
      <c r="FH43" t="s">
        <v>181</v>
      </c>
      <c r="FI43" t="s">
        <v>181</v>
      </c>
      <c r="FJ43" t="s">
        <v>250</v>
      </c>
      <c r="FK43" t="s">
        <v>181</v>
      </c>
      <c r="FL43" t="s">
        <v>181</v>
      </c>
      <c r="FM43" t="s">
        <v>250</v>
      </c>
      <c r="FN43" t="s">
        <v>194</v>
      </c>
      <c r="FR43" t="s">
        <v>353</v>
      </c>
      <c r="FU43" t="s">
        <v>238</v>
      </c>
      <c r="FV43" t="s">
        <v>239</v>
      </c>
      <c r="FW43" t="s">
        <v>238</v>
      </c>
      <c r="FX43" t="s">
        <v>354</v>
      </c>
      <c r="FY43" t="s">
        <v>238</v>
      </c>
      <c r="FZ43" t="s">
        <v>355</v>
      </c>
      <c r="GA43" t="s">
        <v>242</v>
      </c>
      <c r="GB43" t="s">
        <v>356</v>
      </c>
      <c r="GC43" t="s">
        <v>232</v>
      </c>
      <c r="GD43" t="s">
        <v>357</v>
      </c>
    </row>
    <row r="44" spans="1:186" x14ac:dyDescent="0.25">
      <c r="A44" s="1">
        <v>46133.435571192131</v>
      </c>
      <c r="B44" s="1">
        <v>46133.440368495372</v>
      </c>
      <c r="C44" t="s">
        <v>176</v>
      </c>
      <c r="D44">
        <v>43</v>
      </c>
      <c r="E44">
        <v>43</v>
      </c>
      <c r="F44" t="b">
        <f t="shared" si="0"/>
        <v>1</v>
      </c>
      <c r="G44" s="1">
        <v>46131</v>
      </c>
      <c r="H44">
        <v>1</v>
      </c>
      <c r="I44" t="s">
        <v>267</v>
      </c>
      <c r="J44" t="s">
        <v>178</v>
      </c>
      <c r="K44" t="s">
        <v>358</v>
      </c>
      <c r="L44" t="s">
        <v>359</v>
      </c>
      <c r="M44" t="s">
        <v>181</v>
      </c>
      <c r="N44" t="s">
        <v>182</v>
      </c>
      <c r="O44">
        <v>5</v>
      </c>
      <c r="P44" t="s">
        <v>183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222</v>
      </c>
      <c r="W44">
        <v>19</v>
      </c>
      <c r="X44" t="s">
        <v>181</v>
      </c>
      <c r="Z44" t="s">
        <v>270</v>
      </c>
      <c r="AB44" t="s">
        <v>223</v>
      </c>
      <c r="AC44" t="s">
        <v>257</v>
      </c>
      <c r="AD44" t="s">
        <v>188</v>
      </c>
      <c r="AE44" t="s">
        <v>189</v>
      </c>
      <c r="AF44" t="s">
        <v>224</v>
      </c>
      <c r="AG44" t="s">
        <v>360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 t="s">
        <v>361</v>
      </c>
      <c r="BK44" t="s">
        <v>224</v>
      </c>
      <c r="BL44" t="s">
        <v>362</v>
      </c>
      <c r="BM44">
        <v>0</v>
      </c>
      <c r="BN44">
        <v>0</v>
      </c>
      <c r="BO44">
        <v>1</v>
      </c>
      <c r="BP44">
        <v>0</v>
      </c>
      <c r="BQ44">
        <v>0</v>
      </c>
      <c r="BR44" t="s">
        <v>212</v>
      </c>
      <c r="BS44" t="s">
        <v>194</v>
      </c>
      <c r="BT44" t="s">
        <v>194</v>
      </c>
      <c r="BU44" t="s">
        <v>194</v>
      </c>
      <c r="CD44" t="s">
        <v>194</v>
      </c>
      <c r="CZ44" t="s">
        <v>194</v>
      </c>
      <c r="DB44" t="s">
        <v>194</v>
      </c>
      <c r="DD44" t="s">
        <v>181</v>
      </c>
      <c r="DE44" t="s">
        <v>199</v>
      </c>
      <c r="DF44" t="s">
        <v>181</v>
      </c>
      <c r="DG44" t="s">
        <v>199</v>
      </c>
      <c r="DH44" t="s">
        <v>194</v>
      </c>
      <c r="DJ44" t="s">
        <v>181</v>
      </c>
      <c r="DK44" t="s">
        <v>197</v>
      </c>
      <c r="DL44" t="s">
        <v>181</v>
      </c>
      <c r="DM44" t="s">
        <v>197</v>
      </c>
      <c r="DN44" t="s">
        <v>181</v>
      </c>
      <c r="DO44" t="s">
        <v>199</v>
      </c>
      <c r="DP44" t="s">
        <v>194</v>
      </c>
      <c r="DR44" t="s">
        <v>181</v>
      </c>
      <c r="DS44" t="s">
        <v>199</v>
      </c>
      <c r="DT44" t="s">
        <v>181</v>
      </c>
      <c r="DU44" t="s">
        <v>197</v>
      </c>
      <c r="DV44" t="s">
        <v>194</v>
      </c>
      <c r="DX44" t="s">
        <v>181</v>
      </c>
      <c r="DY44" t="s">
        <v>199</v>
      </c>
      <c r="DZ44" t="s">
        <v>181</v>
      </c>
      <c r="EA44" t="s">
        <v>199</v>
      </c>
      <c r="EB44" t="s">
        <v>194</v>
      </c>
      <c r="ED44" t="s">
        <v>194</v>
      </c>
      <c r="EF44" t="s">
        <v>194</v>
      </c>
      <c r="EI44" t="s">
        <v>181</v>
      </c>
      <c r="EJ44" t="s">
        <v>197</v>
      </c>
      <c r="EK44" t="s">
        <v>194</v>
      </c>
      <c r="EM44" t="s">
        <v>181</v>
      </c>
      <c r="EN44" t="s">
        <v>181</v>
      </c>
      <c r="EO44" t="s">
        <v>250</v>
      </c>
      <c r="EP44" t="s">
        <v>181</v>
      </c>
      <c r="EQ44" t="s">
        <v>181</v>
      </c>
      <c r="ER44" t="s">
        <v>250</v>
      </c>
      <c r="ES44" t="s">
        <v>181</v>
      </c>
      <c r="ET44" t="s">
        <v>181</v>
      </c>
      <c r="EU44" t="s">
        <v>250</v>
      </c>
      <c r="EV44" t="s">
        <v>181</v>
      </c>
      <c r="EW44" t="s">
        <v>181</v>
      </c>
      <c r="EX44" t="s">
        <v>250</v>
      </c>
      <c r="EY44" t="s">
        <v>181</v>
      </c>
      <c r="EZ44" t="s">
        <v>181</v>
      </c>
      <c r="FA44" t="s">
        <v>250</v>
      </c>
      <c r="FB44" t="s">
        <v>194</v>
      </c>
      <c r="FE44" t="s">
        <v>181</v>
      </c>
      <c r="FF44" t="s">
        <v>181</v>
      </c>
      <c r="FG44" t="s">
        <v>250</v>
      </c>
      <c r="FH44" t="s">
        <v>181</v>
      </c>
      <c r="FI44" t="s">
        <v>181</v>
      </c>
      <c r="FJ44" t="s">
        <v>250</v>
      </c>
      <c r="FK44" t="s">
        <v>181</v>
      </c>
      <c r="FL44" t="s">
        <v>181</v>
      </c>
      <c r="FM44" t="s">
        <v>250</v>
      </c>
      <c r="FN44" t="s">
        <v>181</v>
      </c>
      <c r="FO44" t="s">
        <v>181</v>
      </c>
      <c r="FP44" t="s">
        <v>250</v>
      </c>
      <c r="FR44" t="s">
        <v>363</v>
      </c>
      <c r="FS44" t="s">
        <v>364</v>
      </c>
      <c r="FT44" t="s">
        <v>218</v>
      </c>
      <c r="FU44" t="s">
        <v>238</v>
      </c>
      <c r="FV44" t="s">
        <v>300</v>
      </c>
      <c r="FW44" t="s">
        <v>238</v>
      </c>
      <c r="FX44" t="s">
        <v>365</v>
      </c>
      <c r="FY44" t="s">
        <v>279</v>
      </c>
      <c r="GA44" t="s">
        <v>242</v>
      </c>
      <c r="GB44" t="s">
        <v>366</v>
      </c>
      <c r="GC44" t="s">
        <v>232</v>
      </c>
    </row>
    <row r="45" spans="1:186" hidden="1" x14ac:dyDescent="0.25">
      <c r="A45" s="1">
        <v>46133.440369247677</v>
      </c>
      <c r="B45" s="1">
        <v>46133.44473072917</v>
      </c>
      <c r="C45" t="s">
        <v>176</v>
      </c>
      <c r="D45">
        <v>44</v>
      </c>
      <c r="E45">
        <v>44</v>
      </c>
      <c r="F45" t="b">
        <f t="shared" si="0"/>
        <v>1</v>
      </c>
      <c r="G45" s="1">
        <v>46131</v>
      </c>
      <c r="H45">
        <v>1</v>
      </c>
      <c r="I45" t="s">
        <v>177</v>
      </c>
      <c r="J45" t="s">
        <v>178</v>
      </c>
      <c r="K45" t="s">
        <v>367</v>
      </c>
      <c r="L45" t="s">
        <v>368</v>
      </c>
      <c r="M45" t="s">
        <v>181</v>
      </c>
      <c r="N45" t="s">
        <v>182</v>
      </c>
      <c r="O45">
        <v>20</v>
      </c>
      <c r="P45" t="s">
        <v>183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222</v>
      </c>
      <c r="W45">
        <v>20</v>
      </c>
      <c r="X45" t="s">
        <v>181</v>
      </c>
      <c r="Z45" t="s">
        <v>185</v>
      </c>
      <c r="AB45" t="s">
        <v>223</v>
      </c>
      <c r="AC45" t="s">
        <v>257</v>
      </c>
      <c r="AD45" t="s">
        <v>210</v>
      </c>
      <c r="AE45" t="s">
        <v>235</v>
      </c>
      <c r="AF45" t="s">
        <v>224</v>
      </c>
      <c r="AG45" t="s">
        <v>369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BK45" t="s">
        <v>224</v>
      </c>
      <c r="BL45" t="s">
        <v>192</v>
      </c>
      <c r="BM45">
        <v>0</v>
      </c>
      <c r="BN45">
        <v>1</v>
      </c>
      <c r="BO45">
        <v>1</v>
      </c>
      <c r="BP45">
        <v>0</v>
      </c>
      <c r="BQ45">
        <v>0</v>
      </c>
      <c r="BR45" t="s">
        <v>193</v>
      </c>
      <c r="BS45" t="s">
        <v>181</v>
      </c>
      <c r="BT45" t="s">
        <v>181</v>
      </c>
      <c r="BU45" t="s">
        <v>181</v>
      </c>
      <c r="BV45" t="s">
        <v>195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 t="s">
        <v>370</v>
      </c>
      <c r="CD45" t="s">
        <v>194</v>
      </c>
      <c r="CZ45" t="s">
        <v>194</v>
      </c>
      <c r="DB45" t="s">
        <v>194</v>
      </c>
      <c r="DD45" t="s">
        <v>181</v>
      </c>
      <c r="DE45" t="s">
        <v>215</v>
      </c>
      <c r="DF45" t="s">
        <v>181</v>
      </c>
      <c r="DG45" t="s">
        <v>215</v>
      </c>
      <c r="DH45" t="s">
        <v>181</v>
      </c>
      <c r="DI45" t="s">
        <v>215</v>
      </c>
      <c r="DJ45" t="s">
        <v>181</v>
      </c>
      <c r="DK45" t="s">
        <v>199</v>
      </c>
      <c r="DL45" t="s">
        <v>181</v>
      </c>
      <c r="DM45" t="s">
        <v>215</v>
      </c>
      <c r="DN45" t="s">
        <v>194</v>
      </c>
      <c r="DP45" t="s">
        <v>194</v>
      </c>
      <c r="DR45" t="s">
        <v>181</v>
      </c>
      <c r="DS45" t="s">
        <v>215</v>
      </c>
      <c r="DT45" t="s">
        <v>181</v>
      </c>
      <c r="DU45" t="s">
        <v>199</v>
      </c>
      <c r="DV45" t="s">
        <v>194</v>
      </c>
      <c r="DX45" t="s">
        <v>181</v>
      </c>
      <c r="DY45" t="s">
        <v>215</v>
      </c>
      <c r="DZ45" t="s">
        <v>181</v>
      </c>
      <c r="EA45" t="s">
        <v>197</v>
      </c>
      <c r="EB45" t="s">
        <v>194</v>
      </c>
      <c r="ED45" t="s">
        <v>181</v>
      </c>
      <c r="EE45" t="s">
        <v>215</v>
      </c>
      <c r="EF45" t="s">
        <v>194</v>
      </c>
      <c r="EI45" t="s">
        <v>181</v>
      </c>
      <c r="EJ45" t="s">
        <v>215</v>
      </c>
      <c r="EK45" t="s">
        <v>194</v>
      </c>
      <c r="EM45" t="s">
        <v>181</v>
      </c>
      <c r="EN45" t="s">
        <v>194</v>
      </c>
      <c r="EP45" t="s">
        <v>181</v>
      </c>
      <c r="EQ45" t="s">
        <v>194</v>
      </c>
      <c r="ES45" t="s">
        <v>194</v>
      </c>
      <c r="EV45" t="s">
        <v>181</v>
      </c>
      <c r="EW45" t="s">
        <v>194</v>
      </c>
      <c r="EY45" t="s">
        <v>194</v>
      </c>
      <c r="FB45" t="s">
        <v>194</v>
      </c>
      <c r="FE45" t="s">
        <v>194</v>
      </c>
      <c r="FH45" t="s">
        <v>181</v>
      </c>
      <c r="FI45" t="s">
        <v>181</v>
      </c>
      <c r="FJ45" t="s">
        <v>250</v>
      </c>
      <c r="FK45" t="s">
        <v>181</v>
      </c>
      <c r="FL45" t="s">
        <v>194</v>
      </c>
      <c r="FN45" t="s">
        <v>194</v>
      </c>
      <c r="FR45" t="s">
        <v>218</v>
      </c>
      <c r="FU45" t="s">
        <v>238</v>
      </c>
      <c r="FV45" t="s">
        <v>239</v>
      </c>
      <c r="FW45" t="s">
        <v>238</v>
      </c>
      <c r="FX45" t="s">
        <v>371</v>
      </c>
      <c r="FY45" t="s">
        <v>241</v>
      </c>
      <c r="GA45" t="s">
        <v>242</v>
      </c>
      <c r="GB45" t="s">
        <v>372</v>
      </c>
      <c r="GC45" t="s">
        <v>373</v>
      </c>
      <c r="GD45" t="s">
        <v>373</v>
      </c>
    </row>
    <row r="46" spans="1:186" hidden="1" x14ac:dyDescent="0.25">
      <c r="A46" s="1">
        <v>46133.444731388889</v>
      </c>
      <c r="B46" s="1">
        <v>46133.460179965281</v>
      </c>
      <c r="C46" t="s">
        <v>176</v>
      </c>
      <c r="D46">
        <v>45</v>
      </c>
      <c r="E46">
        <v>45</v>
      </c>
      <c r="F46" t="b">
        <f t="shared" si="0"/>
        <v>1</v>
      </c>
      <c r="G46" s="1">
        <v>46131</v>
      </c>
      <c r="H46">
        <v>1</v>
      </c>
      <c r="I46" t="s">
        <v>204</v>
      </c>
      <c r="J46" t="s">
        <v>178</v>
      </c>
      <c r="K46" t="s">
        <v>379</v>
      </c>
      <c r="L46" t="s">
        <v>380</v>
      </c>
      <c r="M46" t="s">
        <v>181</v>
      </c>
      <c r="N46" t="s">
        <v>182</v>
      </c>
      <c r="O46">
        <v>9</v>
      </c>
      <c r="P46" t="s">
        <v>183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222</v>
      </c>
      <c r="W46">
        <v>30</v>
      </c>
      <c r="X46" t="s">
        <v>181</v>
      </c>
      <c r="Z46" t="s">
        <v>185</v>
      </c>
      <c r="AB46" t="s">
        <v>223</v>
      </c>
      <c r="AC46" t="s">
        <v>187</v>
      </c>
      <c r="AD46" t="s">
        <v>210</v>
      </c>
      <c r="AE46" t="s">
        <v>265</v>
      </c>
      <c r="AF46" t="s">
        <v>224</v>
      </c>
      <c r="AG46" t="s">
        <v>381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BK46" t="s">
        <v>224</v>
      </c>
      <c r="BL46" t="s">
        <v>192</v>
      </c>
      <c r="BM46">
        <v>0</v>
      </c>
      <c r="BN46">
        <v>1</v>
      </c>
      <c r="BO46">
        <v>1</v>
      </c>
      <c r="BP46">
        <v>0</v>
      </c>
      <c r="BQ46">
        <v>0</v>
      </c>
      <c r="BR46" t="s">
        <v>193</v>
      </c>
      <c r="BS46" t="s">
        <v>194</v>
      </c>
      <c r="BT46" t="s">
        <v>181</v>
      </c>
      <c r="BU46" t="s">
        <v>181</v>
      </c>
      <c r="BV46" t="s">
        <v>195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 t="s">
        <v>382</v>
      </c>
      <c r="CD46" t="s">
        <v>194</v>
      </c>
      <c r="CZ46" t="s">
        <v>181</v>
      </c>
      <c r="DA46" t="s">
        <v>215</v>
      </c>
      <c r="DB46" t="s">
        <v>194</v>
      </c>
      <c r="DD46" t="s">
        <v>181</v>
      </c>
      <c r="DE46" t="s">
        <v>215</v>
      </c>
      <c r="DF46" t="s">
        <v>181</v>
      </c>
      <c r="DG46" t="s">
        <v>215</v>
      </c>
      <c r="DH46" t="s">
        <v>181</v>
      </c>
      <c r="DI46" t="s">
        <v>197</v>
      </c>
      <c r="DJ46" t="s">
        <v>181</v>
      </c>
      <c r="DK46" t="s">
        <v>197</v>
      </c>
      <c r="DL46" t="s">
        <v>181</v>
      </c>
      <c r="DM46" t="s">
        <v>215</v>
      </c>
      <c r="DN46" t="s">
        <v>181</v>
      </c>
      <c r="DO46" t="s">
        <v>197</v>
      </c>
      <c r="DP46" t="s">
        <v>181</v>
      </c>
      <c r="DQ46" t="s">
        <v>197</v>
      </c>
      <c r="DR46" t="s">
        <v>181</v>
      </c>
      <c r="DS46" t="s">
        <v>215</v>
      </c>
      <c r="DT46" t="s">
        <v>181</v>
      </c>
      <c r="DU46" t="s">
        <v>215</v>
      </c>
      <c r="DV46" t="s">
        <v>181</v>
      </c>
      <c r="DW46" t="s">
        <v>197</v>
      </c>
      <c r="DX46" t="s">
        <v>181</v>
      </c>
      <c r="DY46" t="s">
        <v>197</v>
      </c>
      <c r="DZ46" t="s">
        <v>181</v>
      </c>
      <c r="EA46" t="s">
        <v>215</v>
      </c>
      <c r="EB46" t="s">
        <v>194</v>
      </c>
      <c r="ED46" t="s">
        <v>181</v>
      </c>
      <c r="EE46" t="s">
        <v>197</v>
      </c>
      <c r="EF46" t="s">
        <v>194</v>
      </c>
      <c r="EI46" t="s">
        <v>181</v>
      </c>
      <c r="EJ46" t="s">
        <v>215</v>
      </c>
      <c r="EK46" t="s">
        <v>181</v>
      </c>
      <c r="EM46" t="s">
        <v>181</v>
      </c>
      <c r="EN46" t="s">
        <v>194</v>
      </c>
      <c r="EP46" t="s">
        <v>181</v>
      </c>
      <c r="EQ46" t="s">
        <v>181</v>
      </c>
      <c r="ER46" t="s">
        <v>250</v>
      </c>
      <c r="ES46" t="s">
        <v>181</v>
      </c>
      <c r="ET46" t="s">
        <v>194</v>
      </c>
      <c r="EV46" t="s">
        <v>181</v>
      </c>
      <c r="EW46" t="s">
        <v>181</v>
      </c>
      <c r="EX46" t="s">
        <v>250</v>
      </c>
      <c r="EY46" t="s">
        <v>181</v>
      </c>
      <c r="EZ46" t="s">
        <v>194</v>
      </c>
      <c r="FB46" t="s">
        <v>181</v>
      </c>
      <c r="FC46" t="s">
        <v>194</v>
      </c>
      <c r="FE46" t="s">
        <v>181</v>
      </c>
      <c r="FF46" t="s">
        <v>181</v>
      </c>
      <c r="FG46" t="s">
        <v>250</v>
      </c>
      <c r="FH46" t="s">
        <v>181</v>
      </c>
      <c r="FI46" t="s">
        <v>181</v>
      </c>
      <c r="FJ46" t="s">
        <v>250</v>
      </c>
      <c r="FK46" t="s">
        <v>181</v>
      </c>
      <c r="FL46" t="s">
        <v>194</v>
      </c>
      <c r="FN46" t="s">
        <v>194</v>
      </c>
      <c r="FR46" t="s">
        <v>342</v>
      </c>
      <c r="FU46" t="s">
        <v>238</v>
      </c>
      <c r="FV46" t="s">
        <v>383</v>
      </c>
      <c r="FW46" t="s">
        <v>241</v>
      </c>
      <c r="FX46" t="s">
        <v>384</v>
      </c>
      <c r="FY46" t="s">
        <v>241</v>
      </c>
      <c r="GA46" t="s">
        <v>194</v>
      </c>
      <c r="GB46" t="s">
        <v>385</v>
      </c>
      <c r="GC46" t="s">
        <v>373</v>
      </c>
    </row>
    <row r="47" spans="1:186" x14ac:dyDescent="0.25">
      <c r="A47" s="1">
        <v>46133.460180868053</v>
      </c>
      <c r="B47" s="1">
        <v>46133.46342428241</v>
      </c>
      <c r="C47" t="s">
        <v>176</v>
      </c>
      <c r="D47">
        <v>46</v>
      </c>
      <c r="E47">
        <v>46</v>
      </c>
      <c r="F47" t="b">
        <f t="shared" si="0"/>
        <v>1</v>
      </c>
      <c r="G47" s="1">
        <v>46131</v>
      </c>
      <c r="H47">
        <v>1</v>
      </c>
      <c r="I47" t="s">
        <v>267</v>
      </c>
      <c r="J47" t="s">
        <v>178</v>
      </c>
      <c r="K47" t="s">
        <v>386</v>
      </c>
      <c r="L47" t="s">
        <v>387</v>
      </c>
      <c r="M47" t="s">
        <v>181</v>
      </c>
      <c r="N47" t="s">
        <v>182</v>
      </c>
      <c r="O47">
        <v>32</v>
      </c>
      <c r="P47" t="s">
        <v>183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222</v>
      </c>
      <c r="W47">
        <v>63</v>
      </c>
      <c r="X47" t="s">
        <v>181</v>
      </c>
      <c r="Z47" t="s">
        <v>270</v>
      </c>
      <c r="AB47" t="s">
        <v>208</v>
      </c>
      <c r="AC47" t="s">
        <v>209</v>
      </c>
      <c r="AD47" t="s">
        <v>188</v>
      </c>
      <c r="AE47" t="s">
        <v>189</v>
      </c>
      <c r="AF47" t="s">
        <v>224</v>
      </c>
      <c r="AG47" t="s">
        <v>388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BK47" t="s">
        <v>224</v>
      </c>
      <c r="BL47" t="s">
        <v>389</v>
      </c>
      <c r="BM47">
        <v>0</v>
      </c>
      <c r="BN47">
        <v>0</v>
      </c>
      <c r="BO47">
        <v>0</v>
      </c>
      <c r="BP47">
        <v>0</v>
      </c>
      <c r="BQ47">
        <v>1</v>
      </c>
      <c r="BR47" t="s">
        <v>227</v>
      </c>
      <c r="BS47" t="s">
        <v>194</v>
      </c>
      <c r="BT47" t="s">
        <v>194</v>
      </c>
      <c r="BU47" t="s">
        <v>194</v>
      </c>
      <c r="CD47" t="s">
        <v>194</v>
      </c>
      <c r="CZ47" t="s">
        <v>194</v>
      </c>
      <c r="DB47" t="s">
        <v>194</v>
      </c>
      <c r="DD47" t="s">
        <v>181</v>
      </c>
      <c r="DE47" t="s">
        <v>199</v>
      </c>
      <c r="DF47" t="s">
        <v>181</v>
      </c>
      <c r="DG47" t="s">
        <v>197</v>
      </c>
      <c r="DH47" t="s">
        <v>194</v>
      </c>
      <c r="DJ47" t="s">
        <v>194</v>
      </c>
      <c r="DL47" t="s">
        <v>194</v>
      </c>
      <c r="DN47" t="s">
        <v>194</v>
      </c>
      <c r="DP47" t="s">
        <v>194</v>
      </c>
      <c r="DR47" t="s">
        <v>198</v>
      </c>
      <c r="DT47" t="s">
        <v>198</v>
      </c>
      <c r="DV47" t="s">
        <v>198</v>
      </c>
      <c r="DX47" t="s">
        <v>194</v>
      </c>
      <c r="DZ47" t="s">
        <v>194</v>
      </c>
      <c r="EB47" t="s">
        <v>194</v>
      </c>
      <c r="ED47" t="s">
        <v>194</v>
      </c>
      <c r="EF47" t="s">
        <v>194</v>
      </c>
      <c r="EI47" t="s">
        <v>181</v>
      </c>
      <c r="EJ47" t="s">
        <v>199</v>
      </c>
      <c r="EK47" t="s">
        <v>194</v>
      </c>
      <c r="EM47" t="s">
        <v>181</v>
      </c>
      <c r="EN47" t="s">
        <v>194</v>
      </c>
      <c r="EP47" t="s">
        <v>194</v>
      </c>
      <c r="ES47" t="s">
        <v>194</v>
      </c>
      <c r="EV47" t="s">
        <v>181</v>
      </c>
      <c r="EW47" t="s">
        <v>194</v>
      </c>
      <c r="EY47" t="s">
        <v>194</v>
      </c>
      <c r="FB47" t="s">
        <v>181</v>
      </c>
      <c r="FC47" t="s">
        <v>194</v>
      </c>
      <c r="FE47" t="s">
        <v>181</v>
      </c>
      <c r="FF47" t="s">
        <v>181</v>
      </c>
      <c r="FG47" t="s">
        <v>250</v>
      </c>
      <c r="FH47" t="s">
        <v>181</v>
      </c>
      <c r="FI47" t="s">
        <v>181</v>
      </c>
      <c r="FJ47" t="s">
        <v>250</v>
      </c>
      <c r="FK47" t="s">
        <v>181</v>
      </c>
      <c r="FL47" t="s">
        <v>181</v>
      </c>
      <c r="FM47" t="s">
        <v>250</v>
      </c>
      <c r="FN47" t="s">
        <v>194</v>
      </c>
      <c r="FR47" t="s">
        <v>390</v>
      </c>
      <c r="FS47" t="s">
        <v>218</v>
      </c>
      <c r="FT47" t="s">
        <v>391</v>
      </c>
      <c r="FU47" t="s">
        <v>194</v>
      </c>
      <c r="GC47" t="s">
        <v>312</v>
      </c>
    </row>
    <row r="48" spans="1:186" hidden="1" x14ac:dyDescent="0.25">
      <c r="A48" s="1">
        <v>46133.463425000002</v>
      </c>
      <c r="B48" s="1">
        <v>46133.475745925927</v>
      </c>
      <c r="C48" t="s">
        <v>176</v>
      </c>
      <c r="D48">
        <v>47</v>
      </c>
      <c r="E48">
        <v>47</v>
      </c>
      <c r="F48" t="b">
        <f t="shared" si="0"/>
        <v>1</v>
      </c>
      <c r="G48" s="1">
        <v>46131</v>
      </c>
      <c r="H48">
        <v>1</v>
      </c>
      <c r="I48" t="s">
        <v>204</v>
      </c>
      <c r="J48" t="s">
        <v>178</v>
      </c>
      <c r="K48" t="s">
        <v>396</v>
      </c>
      <c r="L48" t="s">
        <v>397</v>
      </c>
      <c r="M48" t="s">
        <v>181</v>
      </c>
      <c r="N48" t="s">
        <v>182</v>
      </c>
      <c r="O48">
        <v>30</v>
      </c>
      <c r="P48" t="s">
        <v>183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184</v>
      </c>
      <c r="W48">
        <v>41</v>
      </c>
      <c r="X48" t="s">
        <v>181</v>
      </c>
      <c r="Z48" t="s">
        <v>185</v>
      </c>
      <c r="AB48" t="s">
        <v>315</v>
      </c>
      <c r="AC48" t="s">
        <v>209</v>
      </c>
      <c r="AD48" t="s">
        <v>188</v>
      </c>
      <c r="AE48" t="s">
        <v>198</v>
      </c>
      <c r="AF48" t="s">
        <v>190</v>
      </c>
      <c r="AW48" t="s">
        <v>398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K48" t="s">
        <v>190</v>
      </c>
      <c r="BL48" t="s">
        <v>192</v>
      </c>
      <c r="BM48">
        <v>0</v>
      </c>
      <c r="BN48">
        <v>1</v>
      </c>
      <c r="BO48">
        <v>1</v>
      </c>
      <c r="BP48">
        <v>0</v>
      </c>
      <c r="BQ48">
        <v>0</v>
      </c>
      <c r="BR48" t="s">
        <v>227</v>
      </c>
      <c r="BS48" t="s">
        <v>194</v>
      </c>
      <c r="BT48" t="s">
        <v>194</v>
      </c>
      <c r="BU48" t="s">
        <v>194</v>
      </c>
      <c r="CD48" t="s">
        <v>181</v>
      </c>
      <c r="CE48" t="s">
        <v>214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R48" t="s">
        <v>181</v>
      </c>
      <c r="CZ48" t="s">
        <v>181</v>
      </c>
      <c r="DA48" t="s">
        <v>199</v>
      </c>
      <c r="DB48" t="s">
        <v>194</v>
      </c>
      <c r="DD48" t="s">
        <v>194</v>
      </c>
      <c r="DF48" t="s">
        <v>194</v>
      </c>
      <c r="DH48" t="s">
        <v>194</v>
      </c>
      <c r="DJ48" t="s">
        <v>194</v>
      </c>
      <c r="DL48" t="s">
        <v>181</v>
      </c>
      <c r="DM48" t="s">
        <v>199</v>
      </c>
      <c r="DN48" t="s">
        <v>181</v>
      </c>
      <c r="DO48" t="s">
        <v>199</v>
      </c>
      <c r="DP48" t="s">
        <v>194</v>
      </c>
      <c r="DR48" t="s">
        <v>181</v>
      </c>
      <c r="DS48" t="s">
        <v>199</v>
      </c>
      <c r="DT48" t="s">
        <v>194</v>
      </c>
      <c r="DV48" t="s">
        <v>181</v>
      </c>
      <c r="DW48" t="s">
        <v>197</v>
      </c>
      <c r="DX48" t="s">
        <v>181</v>
      </c>
      <c r="DY48" t="s">
        <v>199</v>
      </c>
      <c r="DZ48" t="s">
        <v>194</v>
      </c>
      <c r="EB48" t="s">
        <v>194</v>
      </c>
      <c r="ED48" t="s">
        <v>194</v>
      </c>
      <c r="EF48" t="s">
        <v>194</v>
      </c>
      <c r="EI48" t="s">
        <v>181</v>
      </c>
      <c r="EJ48" t="s">
        <v>215</v>
      </c>
      <c r="EK48" t="s">
        <v>181</v>
      </c>
      <c r="EM48" t="s">
        <v>194</v>
      </c>
      <c r="EP48" t="s">
        <v>194</v>
      </c>
      <c r="ES48" t="s">
        <v>181</v>
      </c>
      <c r="ET48" t="s">
        <v>194</v>
      </c>
      <c r="EV48" t="s">
        <v>181</v>
      </c>
      <c r="EW48" t="s">
        <v>194</v>
      </c>
      <c r="EY48" t="s">
        <v>181</v>
      </c>
      <c r="EZ48" t="s">
        <v>194</v>
      </c>
      <c r="FB48" t="s">
        <v>194</v>
      </c>
      <c r="FE48" t="s">
        <v>181</v>
      </c>
      <c r="FF48" t="s">
        <v>181</v>
      </c>
      <c r="FG48" t="s">
        <v>250</v>
      </c>
      <c r="FH48" t="s">
        <v>181</v>
      </c>
      <c r="FI48" t="s">
        <v>194</v>
      </c>
      <c r="FK48" t="s">
        <v>181</v>
      </c>
      <c r="FL48" t="s">
        <v>194</v>
      </c>
      <c r="FN48" t="s">
        <v>194</v>
      </c>
      <c r="FR48" t="s">
        <v>399</v>
      </c>
      <c r="FU48" t="s">
        <v>194</v>
      </c>
      <c r="GC48" t="s">
        <v>232</v>
      </c>
    </row>
    <row r="49" spans="1:186" x14ac:dyDescent="0.25">
      <c r="A49" s="1">
        <v>46133.475746770833</v>
      </c>
      <c r="B49" s="1">
        <v>46133.483035486111</v>
      </c>
      <c r="C49" t="s">
        <v>176</v>
      </c>
      <c r="D49">
        <v>48</v>
      </c>
      <c r="E49">
        <v>48</v>
      </c>
      <c r="F49" t="b">
        <f t="shared" si="0"/>
        <v>1</v>
      </c>
      <c r="G49" s="1">
        <v>46131</v>
      </c>
      <c r="H49">
        <v>1</v>
      </c>
      <c r="I49" t="s">
        <v>177</v>
      </c>
      <c r="J49" t="s">
        <v>178</v>
      </c>
      <c r="K49" t="s">
        <v>403</v>
      </c>
      <c r="L49" t="s">
        <v>404</v>
      </c>
      <c r="M49" t="s">
        <v>181</v>
      </c>
      <c r="N49" t="s">
        <v>182</v>
      </c>
      <c r="O49">
        <v>15</v>
      </c>
      <c r="P49" t="s">
        <v>183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184</v>
      </c>
      <c r="W49">
        <v>28</v>
      </c>
      <c r="X49" t="s">
        <v>181</v>
      </c>
      <c r="Z49" t="s">
        <v>185</v>
      </c>
      <c r="AB49" t="s">
        <v>186</v>
      </c>
      <c r="AC49" t="s">
        <v>187</v>
      </c>
      <c r="AD49" t="s">
        <v>188</v>
      </c>
      <c r="AE49" t="s">
        <v>265</v>
      </c>
      <c r="AF49" t="s">
        <v>190</v>
      </c>
      <c r="AW49" t="s">
        <v>405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K49" t="s">
        <v>224</v>
      </c>
      <c r="BL49" t="s">
        <v>192</v>
      </c>
      <c r="BM49">
        <v>0</v>
      </c>
      <c r="BN49">
        <v>1</v>
      </c>
      <c r="BO49">
        <v>1</v>
      </c>
      <c r="BP49">
        <v>0</v>
      </c>
      <c r="BQ49">
        <v>0</v>
      </c>
      <c r="BR49" t="s">
        <v>212</v>
      </c>
      <c r="BS49" t="s">
        <v>194</v>
      </c>
      <c r="BT49" t="s">
        <v>181</v>
      </c>
      <c r="BU49" t="s">
        <v>194</v>
      </c>
      <c r="CD49" t="s">
        <v>194</v>
      </c>
      <c r="CZ49" t="s">
        <v>181</v>
      </c>
      <c r="DA49" t="s">
        <v>197</v>
      </c>
      <c r="DB49" t="s">
        <v>194</v>
      </c>
      <c r="DD49" t="s">
        <v>194</v>
      </c>
      <c r="DF49" t="s">
        <v>194</v>
      </c>
      <c r="DH49" t="s">
        <v>181</v>
      </c>
      <c r="DI49" t="s">
        <v>197</v>
      </c>
      <c r="DJ49" t="s">
        <v>194</v>
      </c>
      <c r="DL49" t="s">
        <v>181</v>
      </c>
      <c r="DM49" t="s">
        <v>215</v>
      </c>
      <c r="DN49" t="s">
        <v>194</v>
      </c>
      <c r="DP49" t="s">
        <v>194</v>
      </c>
      <c r="DR49" t="s">
        <v>181</v>
      </c>
      <c r="DS49" t="s">
        <v>197</v>
      </c>
      <c r="DT49" t="s">
        <v>181</v>
      </c>
      <c r="DU49" t="s">
        <v>197</v>
      </c>
      <c r="DV49" t="s">
        <v>194</v>
      </c>
      <c r="DX49" t="s">
        <v>194</v>
      </c>
      <c r="DZ49" t="s">
        <v>181</v>
      </c>
      <c r="EA49" t="s">
        <v>215</v>
      </c>
      <c r="EB49" t="s">
        <v>194</v>
      </c>
      <c r="ED49" t="s">
        <v>194</v>
      </c>
      <c r="EF49" t="s">
        <v>194</v>
      </c>
      <c r="EI49" t="s">
        <v>181</v>
      </c>
      <c r="EJ49" t="s">
        <v>215</v>
      </c>
      <c r="EK49" t="s">
        <v>181</v>
      </c>
      <c r="EM49" t="s">
        <v>181</v>
      </c>
      <c r="EN49" t="s">
        <v>194</v>
      </c>
      <c r="EP49" t="s">
        <v>194</v>
      </c>
      <c r="ES49" t="s">
        <v>181</v>
      </c>
      <c r="ET49" t="s">
        <v>194</v>
      </c>
      <c r="EV49" t="s">
        <v>181</v>
      </c>
      <c r="EW49" t="s">
        <v>194</v>
      </c>
      <c r="EY49" t="s">
        <v>194</v>
      </c>
      <c r="FB49" t="s">
        <v>194</v>
      </c>
      <c r="FE49" t="s">
        <v>181</v>
      </c>
      <c r="FF49" t="s">
        <v>194</v>
      </c>
      <c r="FH49" t="s">
        <v>181</v>
      </c>
      <c r="FI49" t="s">
        <v>194</v>
      </c>
      <c r="FK49" t="s">
        <v>181</v>
      </c>
      <c r="FL49" t="s">
        <v>194</v>
      </c>
      <c r="FN49" t="s">
        <v>194</v>
      </c>
      <c r="FR49" t="s">
        <v>353</v>
      </c>
      <c r="FS49" t="s">
        <v>218</v>
      </c>
      <c r="FT49" t="s">
        <v>278</v>
      </c>
      <c r="FU49" t="s">
        <v>238</v>
      </c>
      <c r="FV49" t="s">
        <v>239</v>
      </c>
      <c r="FW49" t="s">
        <v>238</v>
      </c>
      <c r="FX49" t="s">
        <v>406</v>
      </c>
      <c r="FY49" t="s">
        <v>238</v>
      </c>
      <c r="FZ49" t="s">
        <v>407</v>
      </c>
      <c r="GA49" t="s">
        <v>194</v>
      </c>
      <c r="GB49" t="s">
        <v>408</v>
      </c>
      <c r="GC49" t="s">
        <v>409</v>
      </c>
    </row>
    <row r="50" spans="1:186" x14ac:dyDescent="0.25">
      <c r="A50" s="1">
        <v>46133.483036423611</v>
      </c>
      <c r="B50" s="1">
        <v>46133.49269446759</v>
      </c>
      <c r="C50" t="s">
        <v>176</v>
      </c>
      <c r="D50">
        <v>49</v>
      </c>
      <c r="E50">
        <v>49</v>
      </c>
      <c r="F50" t="b">
        <f t="shared" si="0"/>
        <v>1</v>
      </c>
      <c r="G50" s="1">
        <v>46131</v>
      </c>
      <c r="H50">
        <v>1</v>
      </c>
      <c r="I50" t="s">
        <v>204</v>
      </c>
      <c r="J50" t="s">
        <v>178</v>
      </c>
      <c r="K50" t="s">
        <v>411</v>
      </c>
      <c r="L50" t="s">
        <v>412</v>
      </c>
      <c r="M50" t="s">
        <v>181</v>
      </c>
      <c r="N50" t="s">
        <v>182</v>
      </c>
      <c r="O50">
        <v>3</v>
      </c>
      <c r="P50" t="s">
        <v>183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184</v>
      </c>
      <c r="W50">
        <v>23</v>
      </c>
      <c r="X50" t="s">
        <v>181</v>
      </c>
      <c r="Z50" t="s">
        <v>185</v>
      </c>
      <c r="AB50" t="s">
        <v>223</v>
      </c>
      <c r="AC50" t="s">
        <v>187</v>
      </c>
      <c r="AD50" t="s">
        <v>210</v>
      </c>
      <c r="AE50" t="s">
        <v>198</v>
      </c>
      <c r="AF50" t="s">
        <v>224</v>
      </c>
      <c r="AG50" t="s">
        <v>295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BK50" t="s">
        <v>224</v>
      </c>
      <c r="BL50" t="s">
        <v>192</v>
      </c>
      <c r="BM50">
        <v>0</v>
      </c>
      <c r="BN50">
        <v>1</v>
      </c>
      <c r="BO50">
        <v>1</v>
      </c>
      <c r="BP50">
        <v>0</v>
      </c>
      <c r="BQ50">
        <v>0</v>
      </c>
      <c r="BR50" t="s">
        <v>227</v>
      </c>
      <c r="BS50" t="s">
        <v>194</v>
      </c>
      <c r="BT50" t="s">
        <v>194</v>
      </c>
      <c r="BU50" t="s">
        <v>194</v>
      </c>
      <c r="CD50" t="s">
        <v>194</v>
      </c>
      <c r="CZ50" t="s">
        <v>181</v>
      </c>
      <c r="DA50" t="s">
        <v>197</v>
      </c>
      <c r="DB50" t="s">
        <v>194</v>
      </c>
      <c r="DD50" t="s">
        <v>181</v>
      </c>
      <c r="DE50" t="s">
        <v>197</v>
      </c>
      <c r="DF50" t="s">
        <v>194</v>
      </c>
      <c r="DH50" t="s">
        <v>181</v>
      </c>
      <c r="DI50" t="s">
        <v>197</v>
      </c>
      <c r="DJ50" t="s">
        <v>194</v>
      </c>
      <c r="DL50" t="s">
        <v>181</v>
      </c>
      <c r="DM50" t="s">
        <v>197</v>
      </c>
      <c r="DN50" t="s">
        <v>194</v>
      </c>
      <c r="DP50" t="s">
        <v>194</v>
      </c>
      <c r="DR50" t="s">
        <v>194</v>
      </c>
      <c r="DT50" t="s">
        <v>194</v>
      </c>
      <c r="DV50" t="s">
        <v>194</v>
      </c>
      <c r="DX50" t="s">
        <v>181</v>
      </c>
      <c r="DY50" t="s">
        <v>197</v>
      </c>
      <c r="DZ50" t="s">
        <v>181</v>
      </c>
      <c r="EA50" t="s">
        <v>215</v>
      </c>
      <c r="EB50" t="s">
        <v>194</v>
      </c>
      <c r="ED50" t="s">
        <v>181</v>
      </c>
      <c r="EE50" t="s">
        <v>197</v>
      </c>
      <c r="EF50" t="s">
        <v>194</v>
      </c>
      <c r="EI50" t="s">
        <v>181</v>
      </c>
      <c r="EJ50" t="s">
        <v>215</v>
      </c>
      <c r="EK50" t="s">
        <v>181</v>
      </c>
      <c r="EM50" t="s">
        <v>181</v>
      </c>
      <c r="EN50" t="s">
        <v>181</v>
      </c>
      <c r="EO50" t="s">
        <v>250</v>
      </c>
      <c r="EP50" t="s">
        <v>181</v>
      </c>
      <c r="EQ50" t="s">
        <v>194</v>
      </c>
      <c r="ES50" t="s">
        <v>194</v>
      </c>
      <c r="EV50" t="s">
        <v>181</v>
      </c>
      <c r="EW50" t="s">
        <v>181</v>
      </c>
      <c r="EX50" t="s">
        <v>250</v>
      </c>
      <c r="EY50" t="s">
        <v>181</v>
      </c>
      <c r="EZ50" t="s">
        <v>194</v>
      </c>
      <c r="FB50" t="s">
        <v>181</v>
      </c>
      <c r="FC50" t="s">
        <v>194</v>
      </c>
      <c r="FE50" t="s">
        <v>181</v>
      </c>
      <c r="FF50" t="s">
        <v>181</v>
      </c>
      <c r="FG50" t="s">
        <v>229</v>
      </c>
      <c r="FH50" t="s">
        <v>194</v>
      </c>
      <c r="FK50" t="s">
        <v>181</v>
      </c>
      <c r="FL50" t="s">
        <v>194</v>
      </c>
      <c r="FN50" t="s">
        <v>194</v>
      </c>
      <c r="FR50" t="s">
        <v>413</v>
      </c>
      <c r="FS50" t="s">
        <v>218</v>
      </c>
      <c r="FT50" t="s">
        <v>363</v>
      </c>
      <c r="FU50" t="s">
        <v>194</v>
      </c>
      <c r="GC50" t="s">
        <v>202</v>
      </c>
      <c r="GD50" t="s">
        <v>414</v>
      </c>
    </row>
    <row r="51" spans="1:186" x14ac:dyDescent="0.25">
      <c r="A51" s="1">
        <v>46133.492695324072</v>
      </c>
      <c r="B51" s="1">
        <v>46133.498134363428</v>
      </c>
      <c r="C51" t="s">
        <v>176</v>
      </c>
      <c r="D51">
        <v>50</v>
      </c>
      <c r="E51">
        <v>50</v>
      </c>
      <c r="F51" t="b">
        <f t="shared" si="0"/>
        <v>1</v>
      </c>
      <c r="G51" s="1">
        <v>46131</v>
      </c>
      <c r="H51">
        <v>1</v>
      </c>
      <c r="I51" t="s">
        <v>267</v>
      </c>
      <c r="J51" t="s">
        <v>178</v>
      </c>
      <c r="K51" t="s">
        <v>411</v>
      </c>
      <c r="L51" t="s">
        <v>412</v>
      </c>
      <c r="M51" t="s">
        <v>181</v>
      </c>
      <c r="N51" t="s">
        <v>182</v>
      </c>
      <c r="O51">
        <v>36</v>
      </c>
      <c r="P51" t="s">
        <v>183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184</v>
      </c>
      <c r="W51">
        <v>32</v>
      </c>
      <c r="X51" t="s">
        <v>181</v>
      </c>
      <c r="Z51" t="s">
        <v>270</v>
      </c>
      <c r="AB51" t="s">
        <v>186</v>
      </c>
      <c r="AC51" t="s">
        <v>209</v>
      </c>
      <c r="AD51" t="s">
        <v>210</v>
      </c>
      <c r="AE51" t="s">
        <v>189</v>
      </c>
      <c r="AF51" t="s">
        <v>211</v>
      </c>
      <c r="AW51" t="s">
        <v>420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 t="s">
        <v>421</v>
      </c>
      <c r="BK51" t="s">
        <v>224</v>
      </c>
      <c r="BL51" t="s">
        <v>226</v>
      </c>
      <c r="BM51">
        <v>0</v>
      </c>
      <c r="BN51">
        <v>1</v>
      </c>
      <c r="BO51">
        <v>0</v>
      </c>
      <c r="BP51">
        <v>0</v>
      </c>
      <c r="BQ51">
        <v>0</v>
      </c>
      <c r="BR51" t="s">
        <v>227</v>
      </c>
      <c r="BS51" t="s">
        <v>194</v>
      </c>
      <c r="BT51" t="s">
        <v>181</v>
      </c>
      <c r="BU51" t="s">
        <v>194</v>
      </c>
      <c r="CD51" t="s">
        <v>181</v>
      </c>
      <c r="CE51" t="s">
        <v>277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Q51" t="s">
        <v>194</v>
      </c>
      <c r="CZ51" t="s">
        <v>181</v>
      </c>
      <c r="DA51" t="s">
        <v>199</v>
      </c>
      <c r="DB51" t="s">
        <v>181</v>
      </c>
      <c r="DC51" t="s">
        <v>197</v>
      </c>
      <c r="DD51" t="s">
        <v>181</v>
      </c>
      <c r="DE51" t="s">
        <v>215</v>
      </c>
      <c r="DF51" t="s">
        <v>181</v>
      </c>
      <c r="DG51" t="s">
        <v>215</v>
      </c>
      <c r="DH51" t="s">
        <v>198</v>
      </c>
      <c r="DJ51" t="s">
        <v>181</v>
      </c>
      <c r="DK51" t="s">
        <v>199</v>
      </c>
      <c r="DL51" t="s">
        <v>181</v>
      </c>
      <c r="DM51" t="s">
        <v>197</v>
      </c>
      <c r="DN51" t="s">
        <v>181</v>
      </c>
      <c r="DO51" t="s">
        <v>199</v>
      </c>
      <c r="DP51" t="s">
        <v>194</v>
      </c>
      <c r="DR51" t="s">
        <v>181</v>
      </c>
      <c r="DS51" t="s">
        <v>199</v>
      </c>
      <c r="DT51" t="s">
        <v>194</v>
      </c>
      <c r="DV51" t="s">
        <v>181</v>
      </c>
      <c r="DW51" t="s">
        <v>197</v>
      </c>
      <c r="DX51" t="s">
        <v>194</v>
      </c>
      <c r="DZ51" t="s">
        <v>181</v>
      </c>
      <c r="EA51" t="s">
        <v>199</v>
      </c>
      <c r="EB51" t="s">
        <v>198</v>
      </c>
      <c r="ED51" t="s">
        <v>181</v>
      </c>
      <c r="EE51" t="s">
        <v>215</v>
      </c>
      <c r="EF51" t="s">
        <v>194</v>
      </c>
      <c r="EI51" t="s">
        <v>181</v>
      </c>
      <c r="EJ51" t="s">
        <v>199</v>
      </c>
      <c r="EK51" t="s">
        <v>181</v>
      </c>
      <c r="EM51" t="s">
        <v>181</v>
      </c>
      <c r="EN51" t="s">
        <v>194</v>
      </c>
      <c r="EP51" t="s">
        <v>194</v>
      </c>
      <c r="ES51" t="s">
        <v>194</v>
      </c>
      <c r="EV51" t="s">
        <v>181</v>
      </c>
      <c r="EW51" t="s">
        <v>194</v>
      </c>
      <c r="EY51" t="s">
        <v>181</v>
      </c>
      <c r="EZ51" t="s">
        <v>194</v>
      </c>
      <c r="FB51" t="s">
        <v>194</v>
      </c>
      <c r="FE51" t="s">
        <v>181</v>
      </c>
      <c r="FF51" t="s">
        <v>181</v>
      </c>
      <c r="FG51" t="s">
        <v>250</v>
      </c>
      <c r="FH51" t="s">
        <v>181</v>
      </c>
      <c r="FI51" t="s">
        <v>181</v>
      </c>
      <c r="FJ51" t="s">
        <v>250</v>
      </c>
      <c r="FK51" t="s">
        <v>194</v>
      </c>
      <c r="FN51" t="s">
        <v>194</v>
      </c>
      <c r="FR51" t="s">
        <v>780</v>
      </c>
      <c r="FS51" t="s">
        <v>201</v>
      </c>
      <c r="FT51" t="s">
        <v>1161</v>
      </c>
      <c r="FU51" t="s">
        <v>194</v>
      </c>
      <c r="GC51" t="s">
        <v>232</v>
      </c>
      <c r="GD51" t="s">
        <v>422</v>
      </c>
    </row>
    <row r="52" spans="1:186" hidden="1" x14ac:dyDescent="0.25">
      <c r="A52" s="1">
        <v>46133.498135104157</v>
      </c>
      <c r="B52" s="1">
        <v>46133.501187546302</v>
      </c>
      <c r="C52" t="s">
        <v>176</v>
      </c>
      <c r="D52">
        <v>51</v>
      </c>
      <c r="E52">
        <v>51</v>
      </c>
      <c r="F52" t="b">
        <f t="shared" si="0"/>
        <v>1</v>
      </c>
      <c r="G52" s="1">
        <v>46131</v>
      </c>
      <c r="H52">
        <v>1</v>
      </c>
      <c r="I52" t="s">
        <v>177</v>
      </c>
      <c r="J52" t="s">
        <v>178</v>
      </c>
      <c r="K52" t="s">
        <v>427</v>
      </c>
      <c r="L52" t="s">
        <v>428</v>
      </c>
      <c r="M52" t="s">
        <v>181</v>
      </c>
      <c r="N52" t="s">
        <v>182</v>
      </c>
      <c r="O52">
        <v>36</v>
      </c>
      <c r="P52" t="s">
        <v>183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222</v>
      </c>
      <c r="W52">
        <v>69</v>
      </c>
      <c r="X52" t="s">
        <v>181</v>
      </c>
      <c r="Z52" t="s">
        <v>185</v>
      </c>
      <c r="AB52" t="s">
        <v>208</v>
      </c>
      <c r="AC52" t="s">
        <v>209</v>
      </c>
      <c r="AD52" t="s">
        <v>188</v>
      </c>
      <c r="AE52" t="s">
        <v>189</v>
      </c>
      <c r="AF52" t="s">
        <v>190</v>
      </c>
      <c r="AW52" t="s">
        <v>429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K52" t="s">
        <v>224</v>
      </c>
      <c r="BL52" t="s">
        <v>192</v>
      </c>
      <c r="BM52">
        <v>0</v>
      </c>
      <c r="BN52">
        <v>1</v>
      </c>
      <c r="BO52">
        <v>1</v>
      </c>
      <c r="BP52">
        <v>0</v>
      </c>
      <c r="BQ52">
        <v>0</v>
      </c>
      <c r="BR52" t="s">
        <v>212</v>
      </c>
      <c r="BS52" t="s">
        <v>194</v>
      </c>
      <c r="BT52" t="s">
        <v>181</v>
      </c>
      <c r="BU52" t="s">
        <v>194</v>
      </c>
      <c r="CD52" t="s">
        <v>194</v>
      </c>
      <c r="CZ52" t="s">
        <v>194</v>
      </c>
      <c r="DB52" t="s">
        <v>194</v>
      </c>
      <c r="DD52" t="s">
        <v>194</v>
      </c>
      <c r="DF52" t="s">
        <v>181</v>
      </c>
      <c r="DG52" t="s">
        <v>197</v>
      </c>
      <c r="DH52" t="s">
        <v>181</v>
      </c>
      <c r="DI52" t="s">
        <v>197</v>
      </c>
      <c r="DJ52" t="s">
        <v>194</v>
      </c>
      <c r="DL52" t="s">
        <v>181</v>
      </c>
      <c r="DM52" t="s">
        <v>197</v>
      </c>
      <c r="DN52" t="s">
        <v>194</v>
      </c>
      <c r="DP52" t="s">
        <v>194</v>
      </c>
      <c r="DR52" t="s">
        <v>181</v>
      </c>
      <c r="DS52" t="s">
        <v>197</v>
      </c>
      <c r="DT52" t="s">
        <v>181</v>
      </c>
      <c r="DU52" t="s">
        <v>197</v>
      </c>
      <c r="DV52" t="s">
        <v>194</v>
      </c>
      <c r="DX52" t="s">
        <v>194</v>
      </c>
      <c r="DZ52" t="s">
        <v>194</v>
      </c>
      <c r="EB52" t="s">
        <v>194</v>
      </c>
      <c r="ED52" t="s">
        <v>181</v>
      </c>
      <c r="EE52" t="s">
        <v>199</v>
      </c>
      <c r="EF52" t="s">
        <v>194</v>
      </c>
      <c r="EI52" t="s">
        <v>181</v>
      </c>
      <c r="EJ52" t="s">
        <v>215</v>
      </c>
      <c r="EK52" t="s">
        <v>181</v>
      </c>
      <c r="EM52" t="s">
        <v>181</v>
      </c>
      <c r="EN52" t="s">
        <v>194</v>
      </c>
      <c r="EP52" t="s">
        <v>181</v>
      </c>
      <c r="EQ52" t="s">
        <v>194</v>
      </c>
      <c r="ES52" t="s">
        <v>194</v>
      </c>
      <c r="EV52" t="s">
        <v>181</v>
      </c>
      <c r="EW52" t="s">
        <v>194</v>
      </c>
      <c r="EY52" t="s">
        <v>181</v>
      </c>
      <c r="EZ52" t="s">
        <v>181</v>
      </c>
      <c r="FA52" t="s">
        <v>250</v>
      </c>
      <c r="FB52" t="s">
        <v>194</v>
      </c>
      <c r="FE52" t="s">
        <v>181</v>
      </c>
      <c r="FF52" t="s">
        <v>181</v>
      </c>
      <c r="FG52" t="s">
        <v>250</v>
      </c>
      <c r="FH52" t="s">
        <v>181</v>
      </c>
      <c r="FI52" t="s">
        <v>181</v>
      </c>
      <c r="FJ52" t="s">
        <v>250</v>
      </c>
      <c r="FK52" t="s">
        <v>181</v>
      </c>
      <c r="FL52" t="s">
        <v>194</v>
      </c>
      <c r="FN52" t="s">
        <v>194</v>
      </c>
      <c r="FR52" t="s">
        <v>237</v>
      </c>
      <c r="FS52" t="s">
        <v>218</v>
      </c>
      <c r="FU52" t="s">
        <v>238</v>
      </c>
      <c r="FV52" t="s">
        <v>239</v>
      </c>
      <c r="FW52" t="s">
        <v>238</v>
      </c>
      <c r="FX52" t="s">
        <v>430</v>
      </c>
      <c r="FY52" t="s">
        <v>241</v>
      </c>
      <c r="GA52" t="s">
        <v>242</v>
      </c>
      <c r="GB52" t="s">
        <v>431</v>
      </c>
      <c r="GC52" t="s">
        <v>232</v>
      </c>
      <c r="GD52" t="s">
        <v>432</v>
      </c>
    </row>
    <row r="53" spans="1:186" hidden="1" x14ac:dyDescent="0.25">
      <c r="A53" s="1">
        <v>46133.501188472219</v>
      </c>
      <c r="B53" s="1">
        <v>46133.50492201389</v>
      </c>
      <c r="C53" t="s">
        <v>176</v>
      </c>
      <c r="D53">
        <v>52</v>
      </c>
      <c r="E53">
        <v>52</v>
      </c>
      <c r="F53" t="b">
        <f t="shared" si="0"/>
        <v>1</v>
      </c>
      <c r="G53" s="1">
        <v>46131</v>
      </c>
      <c r="H53">
        <v>1</v>
      </c>
      <c r="I53" t="s">
        <v>204</v>
      </c>
      <c r="J53" t="s">
        <v>178</v>
      </c>
      <c r="K53" t="s">
        <v>433</v>
      </c>
      <c r="L53" t="s">
        <v>434</v>
      </c>
      <c r="M53" t="s">
        <v>181</v>
      </c>
      <c r="N53" t="s">
        <v>182</v>
      </c>
      <c r="O53">
        <v>30</v>
      </c>
      <c r="P53" t="s">
        <v>183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184</v>
      </c>
      <c r="W53">
        <v>55</v>
      </c>
      <c r="X53" t="s">
        <v>181</v>
      </c>
      <c r="Z53" t="s">
        <v>185</v>
      </c>
      <c r="AB53" t="s">
        <v>223</v>
      </c>
      <c r="AC53" t="s">
        <v>257</v>
      </c>
      <c r="AD53" t="s">
        <v>188</v>
      </c>
      <c r="AE53" t="s">
        <v>198</v>
      </c>
      <c r="AF53" t="s">
        <v>190</v>
      </c>
      <c r="AW53" t="s">
        <v>435</v>
      </c>
      <c r="AX53">
        <v>1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K53" t="s">
        <v>190</v>
      </c>
      <c r="BL53" t="s">
        <v>192</v>
      </c>
      <c r="BM53">
        <v>0</v>
      </c>
      <c r="BN53">
        <v>1</v>
      </c>
      <c r="BO53">
        <v>1</v>
      </c>
      <c r="BP53">
        <v>0</v>
      </c>
      <c r="BQ53">
        <v>0</v>
      </c>
      <c r="BR53" t="s">
        <v>193</v>
      </c>
      <c r="BS53" t="s">
        <v>194</v>
      </c>
      <c r="BT53" t="s">
        <v>181</v>
      </c>
      <c r="BU53" t="s">
        <v>181</v>
      </c>
      <c r="BV53" t="s">
        <v>213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D53" t="s">
        <v>194</v>
      </c>
      <c r="CZ53" t="s">
        <v>194</v>
      </c>
      <c r="DB53" t="s">
        <v>194</v>
      </c>
      <c r="DD53" t="s">
        <v>181</v>
      </c>
      <c r="DE53" t="s">
        <v>215</v>
      </c>
      <c r="DF53" t="s">
        <v>181</v>
      </c>
      <c r="DG53" t="s">
        <v>215</v>
      </c>
      <c r="DH53" t="s">
        <v>181</v>
      </c>
      <c r="DI53" t="s">
        <v>197</v>
      </c>
      <c r="DJ53" t="s">
        <v>181</v>
      </c>
      <c r="DK53" t="s">
        <v>199</v>
      </c>
      <c r="DL53" t="s">
        <v>181</v>
      </c>
      <c r="DM53" t="s">
        <v>215</v>
      </c>
      <c r="DN53" t="s">
        <v>181</v>
      </c>
      <c r="DO53" t="s">
        <v>199</v>
      </c>
      <c r="DP53" t="s">
        <v>194</v>
      </c>
      <c r="DR53" t="s">
        <v>181</v>
      </c>
      <c r="DS53" t="s">
        <v>199</v>
      </c>
      <c r="DT53" t="s">
        <v>181</v>
      </c>
      <c r="DU53" t="s">
        <v>199</v>
      </c>
      <c r="DV53" t="s">
        <v>181</v>
      </c>
      <c r="DW53" t="s">
        <v>199</v>
      </c>
      <c r="DX53" t="s">
        <v>194</v>
      </c>
      <c r="DZ53" t="s">
        <v>181</v>
      </c>
      <c r="EA53" t="s">
        <v>199</v>
      </c>
      <c r="EB53" t="s">
        <v>194</v>
      </c>
      <c r="ED53" t="s">
        <v>181</v>
      </c>
      <c r="EE53" t="s">
        <v>197</v>
      </c>
      <c r="EF53" t="s">
        <v>194</v>
      </c>
      <c r="EI53" t="s">
        <v>181</v>
      </c>
      <c r="EJ53" t="s">
        <v>215</v>
      </c>
      <c r="EK53" t="s">
        <v>181</v>
      </c>
      <c r="EM53" t="s">
        <v>181</v>
      </c>
      <c r="EN53" t="s">
        <v>194</v>
      </c>
      <c r="EP53" t="s">
        <v>194</v>
      </c>
      <c r="ES53" t="s">
        <v>181</v>
      </c>
      <c r="ET53" t="s">
        <v>194</v>
      </c>
      <c r="EV53" t="s">
        <v>181</v>
      </c>
      <c r="EW53" t="s">
        <v>194</v>
      </c>
      <c r="EY53" t="s">
        <v>194</v>
      </c>
      <c r="FB53" t="s">
        <v>194</v>
      </c>
      <c r="FE53" t="s">
        <v>181</v>
      </c>
      <c r="FF53" t="s">
        <v>181</v>
      </c>
      <c r="FG53" t="s">
        <v>250</v>
      </c>
      <c r="FH53" t="s">
        <v>181</v>
      </c>
      <c r="FI53" t="s">
        <v>194</v>
      </c>
      <c r="FK53" t="s">
        <v>181</v>
      </c>
      <c r="FL53" t="s">
        <v>194</v>
      </c>
      <c r="FN53" t="s">
        <v>194</v>
      </c>
      <c r="FR53" t="s">
        <v>287</v>
      </c>
      <c r="FS53" t="s">
        <v>201</v>
      </c>
      <c r="FU53" t="s">
        <v>238</v>
      </c>
      <c r="FV53" t="s">
        <v>383</v>
      </c>
      <c r="FW53" t="s">
        <v>241</v>
      </c>
      <c r="FX53" t="s">
        <v>436</v>
      </c>
      <c r="FY53" t="s">
        <v>241</v>
      </c>
      <c r="GA53" t="s">
        <v>194</v>
      </c>
      <c r="GB53" t="s">
        <v>437</v>
      </c>
      <c r="GC53" t="s">
        <v>232</v>
      </c>
    </row>
    <row r="54" spans="1:186" hidden="1" x14ac:dyDescent="0.25">
      <c r="A54" s="1">
        <v>46133.504922800923</v>
      </c>
      <c r="B54" s="1">
        <v>46133.507518622682</v>
      </c>
      <c r="C54" t="s">
        <v>176</v>
      </c>
      <c r="D54">
        <v>53</v>
      </c>
      <c r="E54">
        <v>53</v>
      </c>
      <c r="F54" t="b">
        <f t="shared" si="0"/>
        <v>1</v>
      </c>
      <c r="G54" s="1">
        <v>46131</v>
      </c>
      <c r="H54">
        <v>1</v>
      </c>
      <c r="I54" t="s">
        <v>177</v>
      </c>
      <c r="J54" t="s">
        <v>178</v>
      </c>
      <c r="K54" t="s">
        <v>438</v>
      </c>
      <c r="L54" t="s">
        <v>434</v>
      </c>
      <c r="M54" t="s">
        <v>181</v>
      </c>
      <c r="N54" t="s">
        <v>182</v>
      </c>
      <c r="O54">
        <v>3</v>
      </c>
      <c r="P54" t="s">
        <v>183</v>
      </c>
      <c r="Q54">
        <v>0</v>
      </c>
      <c r="R54">
        <v>0</v>
      </c>
      <c r="S54">
        <v>0</v>
      </c>
      <c r="T54">
        <v>0</v>
      </c>
      <c r="U54">
        <v>1</v>
      </c>
      <c r="V54" t="s">
        <v>222</v>
      </c>
      <c r="W54">
        <v>62</v>
      </c>
      <c r="X54" t="s">
        <v>181</v>
      </c>
      <c r="Z54" t="s">
        <v>185</v>
      </c>
      <c r="AB54" t="s">
        <v>208</v>
      </c>
      <c r="AC54" t="s">
        <v>209</v>
      </c>
      <c r="AD54" t="s">
        <v>210</v>
      </c>
      <c r="AE54" t="s">
        <v>265</v>
      </c>
      <c r="AF54" t="s">
        <v>224</v>
      </c>
      <c r="AG54" t="s">
        <v>225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BK54" t="s">
        <v>224</v>
      </c>
      <c r="BL54" t="s">
        <v>192</v>
      </c>
      <c r="BM54">
        <v>0</v>
      </c>
      <c r="BN54">
        <v>1</v>
      </c>
      <c r="BO54">
        <v>1</v>
      </c>
      <c r="BP54">
        <v>0</v>
      </c>
      <c r="BQ54">
        <v>0</v>
      </c>
      <c r="BR54" t="s">
        <v>227</v>
      </c>
      <c r="BS54" t="s">
        <v>194</v>
      </c>
      <c r="BT54" t="s">
        <v>194</v>
      </c>
      <c r="BU54" t="s">
        <v>181</v>
      </c>
      <c r="BV54" t="s">
        <v>213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D54" t="s">
        <v>194</v>
      </c>
      <c r="CZ54" t="s">
        <v>181</v>
      </c>
      <c r="DA54" t="s">
        <v>197</v>
      </c>
      <c r="DB54" t="s">
        <v>194</v>
      </c>
      <c r="DD54" t="s">
        <v>194</v>
      </c>
      <c r="DF54" t="s">
        <v>181</v>
      </c>
      <c r="DG54" t="s">
        <v>197</v>
      </c>
      <c r="DH54" t="s">
        <v>194</v>
      </c>
      <c r="DJ54" t="s">
        <v>194</v>
      </c>
      <c r="DL54" t="s">
        <v>181</v>
      </c>
      <c r="DM54" t="s">
        <v>215</v>
      </c>
      <c r="DN54" t="s">
        <v>194</v>
      </c>
      <c r="DP54" t="s">
        <v>194</v>
      </c>
      <c r="DR54" t="s">
        <v>181</v>
      </c>
      <c r="DS54" t="s">
        <v>197</v>
      </c>
      <c r="DT54" t="s">
        <v>181</v>
      </c>
      <c r="DU54" t="s">
        <v>197</v>
      </c>
      <c r="DV54" t="s">
        <v>194</v>
      </c>
      <c r="DX54" t="s">
        <v>181</v>
      </c>
      <c r="DY54" t="s">
        <v>197</v>
      </c>
      <c r="DZ54" t="s">
        <v>194</v>
      </c>
      <c r="EB54" t="s">
        <v>194</v>
      </c>
      <c r="ED54" t="s">
        <v>194</v>
      </c>
      <c r="EF54" t="s">
        <v>194</v>
      </c>
      <c r="EI54" t="s">
        <v>181</v>
      </c>
      <c r="EJ54" t="s">
        <v>215</v>
      </c>
      <c r="EK54" t="s">
        <v>194</v>
      </c>
      <c r="EM54" t="s">
        <v>181</v>
      </c>
      <c r="EN54" t="s">
        <v>194</v>
      </c>
      <c r="EP54" t="s">
        <v>194</v>
      </c>
      <c r="ES54" t="s">
        <v>194</v>
      </c>
      <c r="EV54" t="s">
        <v>181</v>
      </c>
      <c r="EW54" t="s">
        <v>194</v>
      </c>
      <c r="EY54" t="s">
        <v>181</v>
      </c>
      <c r="EZ54" t="s">
        <v>194</v>
      </c>
      <c r="FB54" t="s">
        <v>181</v>
      </c>
      <c r="FC54" t="s">
        <v>194</v>
      </c>
      <c r="FE54" t="s">
        <v>181</v>
      </c>
      <c r="FF54" t="s">
        <v>194</v>
      </c>
      <c r="FH54" t="s">
        <v>181</v>
      </c>
      <c r="FI54" t="s">
        <v>194</v>
      </c>
      <c r="FK54" t="s">
        <v>181</v>
      </c>
      <c r="FL54" t="s">
        <v>194</v>
      </c>
      <c r="FN54" t="s">
        <v>194</v>
      </c>
      <c r="FR54" t="s">
        <v>218</v>
      </c>
      <c r="FS54" t="s">
        <v>287</v>
      </c>
      <c r="FU54" t="s">
        <v>238</v>
      </c>
      <c r="FV54" t="s">
        <v>239</v>
      </c>
      <c r="FW54" t="s">
        <v>238</v>
      </c>
      <c r="FX54" t="s">
        <v>439</v>
      </c>
      <c r="FY54" t="s">
        <v>241</v>
      </c>
      <c r="GA54" t="s">
        <v>242</v>
      </c>
      <c r="GB54" t="s">
        <v>440</v>
      </c>
      <c r="GC54" t="s">
        <v>378</v>
      </c>
    </row>
    <row r="55" spans="1:186" x14ac:dyDescent="0.25">
      <c r="A55" s="1">
        <v>46133.507519409723</v>
      </c>
      <c r="B55" s="1">
        <v>46133.510179386583</v>
      </c>
      <c r="C55" t="s">
        <v>176</v>
      </c>
      <c r="D55">
        <v>54</v>
      </c>
      <c r="E55">
        <v>54</v>
      </c>
      <c r="F55" t="b">
        <f t="shared" si="0"/>
        <v>1</v>
      </c>
      <c r="G55" s="1">
        <v>46131</v>
      </c>
      <c r="H55">
        <v>1</v>
      </c>
      <c r="I55" t="s">
        <v>177</v>
      </c>
      <c r="J55" t="s">
        <v>178</v>
      </c>
      <c r="K55" t="s">
        <v>441</v>
      </c>
      <c r="L55" t="s">
        <v>442</v>
      </c>
      <c r="M55" t="s">
        <v>181</v>
      </c>
      <c r="N55" t="s">
        <v>182</v>
      </c>
      <c r="O55">
        <v>2</v>
      </c>
      <c r="P55" t="s">
        <v>183</v>
      </c>
      <c r="Q55">
        <v>0</v>
      </c>
      <c r="R55">
        <v>0</v>
      </c>
      <c r="S55">
        <v>0</v>
      </c>
      <c r="T55">
        <v>0</v>
      </c>
      <c r="U55">
        <v>1</v>
      </c>
      <c r="V55" t="s">
        <v>222</v>
      </c>
      <c r="W55">
        <v>30</v>
      </c>
      <c r="X55" t="s">
        <v>181</v>
      </c>
      <c r="Z55" t="s">
        <v>185</v>
      </c>
      <c r="AB55" t="s">
        <v>223</v>
      </c>
      <c r="AC55" t="s">
        <v>257</v>
      </c>
      <c r="AD55" t="s">
        <v>188</v>
      </c>
      <c r="AE55" t="s">
        <v>265</v>
      </c>
      <c r="AF55" t="s">
        <v>190</v>
      </c>
      <c r="AW55" t="s">
        <v>420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 t="s">
        <v>443</v>
      </c>
      <c r="BK55" t="s">
        <v>224</v>
      </c>
      <c r="BL55" t="s">
        <v>192</v>
      </c>
      <c r="BM55">
        <v>0</v>
      </c>
      <c r="BN55">
        <v>1</v>
      </c>
      <c r="BO55">
        <v>1</v>
      </c>
      <c r="BP55">
        <v>0</v>
      </c>
      <c r="BQ55">
        <v>0</v>
      </c>
      <c r="BR55" t="s">
        <v>212</v>
      </c>
      <c r="BS55" t="s">
        <v>194</v>
      </c>
      <c r="BT55" t="s">
        <v>194</v>
      </c>
      <c r="BU55" t="s">
        <v>194</v>
      </c>
      <c r="CD55" t="s">
        <v>194</v>
      </c>
      <c r="CZ55" t="s">
        <v>194</v>
      </c>
      <c r="DB55" t="s">
        <v>194</v>
      </c>
      <c r="DD55" t="s">
        <v>194</v>
      </c>
      <c r="DF55" t="s">
        <v>181</v>
      </c>
      <c r="DG55" t="s">
        <v>215</v>
      </c>
      <c r="DH55" t="s">
        <v>181</v>
      </c>
      <c r="DI55" t="s">
        <v>199</v>
      </c>
      <c r="DJ55" t="s">
        <v>194</v>
      </c>
      <c r="DL55" t="s">
        <v>181</v>
      </c>
      <c r="DM55" t="s">
        <v>197</v>
      </c>
      <c r="DN55" t="s">
        <v>194</v>
      </c>
      <c r="DP55" t="s">
        <v>194</v>
      </c>
      <c r="DR55" t="s">
        <v>181</v>
      </c>
      <c r="DS55" t="s">
        <v>215</v>
      </c>
      <c r="DT55" t="s">
        <v>194</v>
      </c>
      <c r="DV55" t="s">
        <v>194</v>
      </c>
      <c r="DX55" t="s">
        <v>181</v>
      </c>
      <c r="DY55" t="s">
        <v>215</v>
      </c>
      <c r="DZ55" t="s">
        <v>181</v>
      </c>
      <c r="EA55" t="s">
        <v>215</v>
      </c>
      <c r="EB55" t="s">
        <v>194</v>
      </c>
      <c r="ED55" t="s">
        <v>181</v>
      </c>
      <c r="EE55" t="s">
        <v>215</v>
      </c>
      <c r="EF55" t="s">
        <v>194</v>
      </c>
      <c r="EI55" t="s">
        <v>181</v>
      </c>
      <c r="EJ55" t="s">
        <v>215</v>
      </c>
      <c r="EK55" t="s">
        <v>194</v>
      </c>
      <c r="EM55" t="s">
        <v>181</v>
      </c>
      <c r="EN55" t="s">
        <v>194</v>
      </c>
      <c r="EP55" t="s">
        <v>194</v>
      </c>
      <c r="ES55" t="s">
        <v>194</v>
      </c>
      <c r="EV55" t="s">
        <v>181</v>
      </c>
      <c r="EW55" t="s">
        <v>194</v>
      </c>
      <c r="EY55" t="s">
        <v>181</v>
      </c>
      <c r="EZ55" t="s">
        <v>194</v>
      </c>
      <c r="FB55" t="s">
        <v>181</v>
      </c>
      <c r="FC55" t="s">
        <v>194</v>
      </c>
      <c r="FE55" t="s">
        <v>194</v>
      </c>
      <c r="FH55" t="s">
        <v>181</v>
      </c>
      <c r="FI55" t="s">
        <v>181</v>
      </c>
      <c r="FJ55" t="s">
        <v>250</v>
      </c>
      <c r="FK55" t="s">
        <v>194</v>
      </c>
      <c r="FN55" t="s">
        <v>194</v>
      </c>
      <c r="FR55" t="s">
        <v>444</v>
      </c>
      <c r="FS55" t="s">
        <v>445</v>
      </c>
      <c r="FT55" t="s">
        <v>1160</v>
      </c>
      <c r="FU55" t="s">
        <v>194</v>
      </c>
      <c r="GC55" t="s">
        <v>232</v>
      </c>
    </row>
    <row r="56" spans="1:186" hidden="1" x14ac:dyDescent="0.25">
      <c r="A56" s="1">
        <v>46133.510180092591</v>
      </c>
      <c r="B56" s="1">
        <v>46133.517552094912</v>
      </c>
      <c r="C56" t="s">
        <v>176</v>
      </c>
      <c r="D56">
        <v>55</v>
      </c>
      <c r="E56">
        <v>55</v>
      </c>
      <c r="F56" t="b">
        <f t="shared" si="0"/>
        <v>1</v>
      </c>
      <c r="G56" s="1">
        <v>46131</v>
      </c>
      <c r="H56">
        <v>1</v>
      </c>
      <c r="I56" t="s">
        <v>204</v>
      </c>
      <c r="J56" t="s">
        <v>178</v>
      </c>
      <c r="K56" t="s">
        <v>470</v>
      </c>
      <c r="L56" t="s">
        <v>471</v>
      </c>
      <c r="M56" t="s">
        <v>181</v>
      </c>
      <c r="N56" t="s">
        <v>182</v>
      </c>
      <c r="O56">
        <v>10</v>
      </c>
      <c r="P56" t="s">
        <v>183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184</v>
      </c>
      <c r="W56">
        <v>53</v>
      </c>
      <c r="X56" t="s">
        <v>181</v>
      </c>
      <c r="Z56" t="s">
        <v>270</v>
      </c>
      <c r="AB56" t="s">
        <v>186</v>
      </c>
      <c r="AC56" t="s">
        <v>209</v>
      </c>
      <c r="AD56" t="s">
        <v>188</v>
      </c>
      <c r="AE56" t="s">
        <v>198</v>
      </c>
      <c r="AF56" t="s">
        <v>190</v>
      </c>
      <c r="AW56" t="s">
        <v>191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K56" t="s">
        <v>190</v>
      </c>
      <c r="BL56" t="s">
        <v>192</v>
      </c>
      <c r="BM56">
        <v>0</v>
      </c>
      <c r="BN56">
        <v>1</v>
      </c>
      <c r="BO56">
        <v>1</v>
      </c>
      <c r="BP56">
        <v>0</v>
      </c>
      <c r="BQ56">
        <v>0</v>
      </c>
      <c r="BR56" t="s">
        <v>227</v>
      </c>
      <c r="BS56" t="s">
        <v>194</v>
      </c>
      <c r="BT56" t="s">
        <v>194</v>
      </c>
      <c r="BU56" t="s">
        <v>194</v>
      </c>
      <c r="CD56" t="s">
        <v>181</v>
      </c>
      <c r="CE56" t="s">
        <v>214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R56" t="s">
        <v>194</v>
      </c>
      <c r="CZ56" t="s">
        <v>194</v>
      </c>
      <c r="DB56" t="s">
        <v>194</v>
      </c>
      <c r="DD56" t="s">
        <v>194</v>
      </c>
      <c r="DF56" t="s">
        <v>194</v>
      </c>
      <c r="DH56" t="s">
        <v>194</v>
      </c>
      <c r="DJ56" t="s">
        <v>194</v>
      </c>
      <c r="DL56" t="s">
        <v>194</v>
      </c>
      <c r="DN56" t="s">
        <v>194</v>
      </c>
      <c r="DP56" t="s">
        <v>194</v>
      </c>
      <c r="DR56" t="s">
        <v>194</v>
      </c>
      <c r="DT56" t="s">
        <v>194</v>
      </c>
      <c r="DV56" t="s">
        <v>194</v>
      </c>
      <c r="DX56" t="s">
        <v>194</v>
      </c>
      <c r="DZ56" t="s">
        <v>194</v>
      </c>
      <c r="EB56" t="s">
        <v>194</v>
      </c>
      <c r="ED56" t="s">
        <v>194</v>
      </c>
      <c r="EF56" t="s">
        <v>194</v>
      </c>
      <c r="EI56" t="s">
        <v>181</v>
      </c>
      <c r="EJ56" t="s">
        <v>215</v>
      </c>
      <c r="EK56" t="s">
        <v>194</v>
      </c>
      <c r="EM56" t="s">
        <v>181</v>
      </c>
      <c r="EN56" t="s">
        <v>194</v>
      </c>
      <c r="EP56" t="s">
        <v>194</v>
      </c>
      <c r="ES56" t="s">
        <v>194</v>
      </c>
      <c r="EV56" t="s">
        <v>181</v>
      </c>
      <c r="EW56" t="s">
        <v>194</v>
      </c>
      <c r="EY56" t="s">
        <v>194</v>
      </c>
      <c r="FB56" t="s">
        <v>194</v>
      </c>
      <c r="FE56" t="s">
        <v>181</v>
      </c>
      <c r="FF56" t="s">
        <v>181</v>
      </c>
      <c r="FG56" t="s">
        <v>250</v>
      </c>
      <c r="FH56" t="s">
        <v>181</v>
      </c>
      <c r="FI56" t="s">
        <v>194</v>
      </c>
      <c r="FK56" t="s">
        <v>181</v>
      </c>
      <c r="FL56" t="s">
        <v>194</v>
      </c>
      <c r="FN56" t="s">
        <v>194</v>
      </c>
      <c r="FR56" t="s">
        <v>218</v>
      </c>
      <c r="FU56" t="s">
        <v>194</v>
      </c>
      <c r="GC56" t="s">
        <v>378</v>
      </c>
      <c r="GD56" t="s">
        <v>472</v>
      </c>
    </row>
    <row r="57" spans="1:186" x14ac:dyDescent="0.25">
      <c r="A57" s="1">
        <v>46133.517552766207</v>
      </c>
      <c r="B57" s="1">
        <v>46133.582261018521</v>
      </c>
      <c r="C57" t="s">
        <v>176</v>
      </c>
      <c r="D57">
        <v>56</v>
      </c>
      <c r="E57">
        <v>56</v>
      </c>
      <c r="F57" t="b">
        <f t="shared" si="0"/>
        <v>1</v>
      </c>
      <c r="G57" s="1">
        <v>46131</v>
      </c>
      <c r="H57">
        <v>1</v>
      </c>
      <c r="I57" t="s">
        <v>267</v>
      </c>
      <c r="J57" t="s">
        <v>178</v>
      </c>
      <c r="K57" t="s">
        <v>543</v>
      </c>
      <c r="L57" t="s">
        <v>544</v>
      </c>
      <c r="M57" t="s">
        <v>181</v>
      </c>
      <c r="N57" t="s">
        <v>182</v>
      </c>
      <c r="O57">
        <v>30</v>
      </c>
      <c r="P57" t="s">
        <v>183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222</v>
      </c>
      <c r="W57">
        <v>60</v>
      </c>
      <c r="X57" t="s">
        <v>181</v>
      </c>
      <c r="Z57" t="s">
        <v>185</v>
      </c>
      <c r="AB57" t="s">
        <v>223</v>
      </c>
      <c r="AC57" t="s">
        <v>187</v>
      </c>
      <c r="AD57" t="s">
        <v>188</v>
      </c>
      <c r="AE57" t="s">
        <v>235</v>
      </c>
      <c r="AF57" t="s">
        <v>211</v>
      </c>
      <c r="AW57" t="s">
        <v>405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K57" t="s">
        <v>190</v>
      </c>
      <c r="BL57" t="s">
        <v>389</v>
      </c>
      <c r="BM57">
        <v>0</v>
      </c>
      <c r="BN57">
        <v>0</v>
      </c>
      <c r="BO57">
        <v>0</v>
      </c>
      <c r="BP57">
        <v>0</v>
      </c>
      <c r="BQ57">
        <v>1</v>
      </c>
      <c r="BR57" t="s">
        <v>193</v>
      </c>
      <c r="BS57" t="s">
        <v>194</v>
      </c>
      <c r="BT57" t="s">
        <v>194</v>
      </c>
      <c r="BU57" t="s">
        <v>194</v>
      </c>
      <c r="CD57" t="s">
        <v>194</v>
      </c>
      <c r="CZ57" t="s">
        <v>181</v>
      </c>
      <c r="DA57" t="s">
        <v>197</v>
      </c>
      <c r="DB57" t="s">
        <v>194</v>
      </c>
      <c r="DD57" t="s">
        <v>181</v>
      </c>
      <c r="DE57" t="s">
        <v>199</v>
      </c>
      <c r="DF57" t="s">
        <v>181</v>
      </c>
      <c r="DG57" t="s">
        <v>197</v>
      </c>
      <c r="DH57" t="s">
        <v>181</v>
      </c>
      <c r="DI57" t="s">
        <v>199</v>
      </c>
      <c r="DJ57" t="s">
        <v>181</v>
      </c>
      <c r="DK57" t="s">
        <v>197</v>
      </c>
      <c r="DL57" t="s">
        <v>181</v>
      </c>
      <c r="DM57" t="s">
        <v>197</v>
      </c>
      <c r="DN57" t="s">
        <v>181</v>
      </c>
      <c r="DO57" t="s">
        <v>199</v>
      </c>
      <c r="DP57" t="s">
        <v>194</v>
      </c>
      <c r="DR57" t="s">
        <v>181</v>
      </c>
      <c r="DS57" t="s">
        <v>199</v>
      </c>
      <c r="DT57" t="s">
        <v>194</v>
      </c>
      <c r="DV57" t="s">
        <v>194</v>
      </c>
      <c r="DX57" t="s">
        <v>194</v>
      </c>
      <c r="DZ57" t="s">
        <v>194</v>
      </c>
      <c r="EB57" t="s">
        <v>194</v>
      </c>
      <c r="ED57" t="s">
        <v>181</v>
      </c>
      <c r="EE57" t="s">
        <v>199</v>
      </c>
      <c r="EF57" t="s">
        <v>194</v>
      </c>
      <c r="EI57" t="s">
        <v>181</v>
      </c>
      <c r="EJ57" t="s">
        <v>215</v>
      </c>
      <c r="EK57" t="s">
        <v>181</v>
      </c>
      <c r="EM57" t="s">
        <v>181</v>
      </c>
      <c r="EN57" t="s">
        <v>194</v>
      </c>
      <c r="EP57" t="s">
        <v>194</v>
      </c>
      <c r="ES57" t="s">
        <v>194</v>
      </c>
      <c r="EV57" t="s">
        <v>181</v>
      </c>
      <c r="EW57" t="s">
        <v>181</v>
      </c>
      <c r="EX57" t="s">
        <v>250</v>
      </c>
      <c r="EY57" t="s">
        <v>194</v>
      </c>
      <c r="FB57" t="s">
        <v>194</v>
      </c>
      <c r="FE57" t="s">
        <v>181</v>
      </c>
      <c r="FF57" t="s">
        <v>181</v>
      </c>
      <c r="FG57" t="s">
        <v>250</v>
      </c>
      <c r="FH57" t="s">
        <v>181</v>
      </c>
      <c r="FI57" t="s">
        <v>181</v>
      </c>
      <c r="FJ57" t="s">
        <v>250</v>
      </c>
      <c r="FK57" t="s">
        <v>181</v>
      </c>
      <c r="FL57" t="s">
        <v>181</v>
      </c>
      <c r="FM57" t="s">
        <v>250</v>
      </c>
      <c r="FN57" t="s">
        <v>194</v>
      </c>
      <c r="FR57" t="s">
        <v>278</v>
      </c>
      <c r="FS57" t="s">
        <v>1158</v>
      </c>
      <c r="FT57" t="s">
        <v>545</v>
      </c>
      <c r="FU57" t="s">
        <v>194</v>
      </c>
      <c r="GC57" t="s">
        <v>343</v>
      </c>
    </row>
    <row r="58" spans="1:186" hidden="1" x14ac:dyDescent="0.25">
      <c r="A58" s="1">
        <v>46133.582261828713</v>
      </c>
      <c r="B58" s="1">
        <v>46133.592463912028</v>
      </c>
      <c r="C58" t="s">
        <v>176</v>
      </c>
      <c r="D58">
        <v>57</v>
      </c>
      <c r="E58">
        <v>57</v>
      </c>
      <c r="F58" t="b">
        <f t="shared" si="0"/>
        <v>1</v>
      </c>
      <c r="G58" s="1">
        <v>46131</v>
      </c>
      <c r="H58">
        <v>1</v>
      </c>
      <c r="I58" t="s">
        <v>204</v>
      </c>
      <c r="J58" t="s">
        <v>178</v>
      </c>
      <c r="K58" t="s">
        <v>557</v>
      </c>
      <c r="L58" t="s">
        <v>558</v>
      </c>
      <c r="M58" t="s">
        <v>181</v>
      </c>
      <c r="N58" t="s">
        <v>182</v>
      </c>
      <c r="O58">
        <v>2</v>
      </c>
      <c r="P58" t="s">
        <v>183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184</v>
      </c>
      <c r="W58">
        <v>24</v>
      </c>
      <c r="X58" t="s">
        <v>181</v>
      </c>
      <c r="Z58" t="s">
        <v>185</v>
      </c>
      <c r="AB58" t="s">
        <v>223</v>
      </c>
      <c r="AC58" t="s">
        <v>257</v>
      </c>
      <c r="AD58" t="s">
        <v>188</v>
      </c>
      <c r="AE58" t="s">
        <v>265</v>
      </c>
      <c r="AF58" t="s">
        <v>224</v>
      </c>
      <c r="AG58" t="s">
        <v>225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BK58" t="s">
        <v>224</v>
      </c>
      <c r="BL58" t="s">
        <v>226</v>
      </c>
      <c r="BM58">
        <v>0</v>
      </c>
      <c r="BN58">
        <v>1</v>
      </c>
      <c r="BO58">
        <v>0</v>
      </c>
      <c r="BP58">
        <v>0</v>
      </c>
      <c r="BQ58">
        <v>0</v>
      </c>
      <c r="BR58" t="s">
        <v>227</v>
      </c>
      <c r="BS58" t="s">
        <v>194</v>
      </c>
      <c r="BT58" t="s">
        <v>194</v>
      </c>
      <c r="BU58" t="s">
        <v>194</v>
      </c>
      <c r="CD58" t="s">
        <v>194</v>
      </c>
      <c r="CZ58" t="s">
        <v>194</v>
      </c>
      <c r="DB58" t="s">
        <v>194</v>
      </c>
      <c r="DD58" t="s">
        <v>194</v>
      </c>
      <c r="DF58" t="s">
        <v>194</v>
      </c>
      <c r="DH58" t="s">
        <v>198</v>
      </c>
      <c r="DJ58" t="s">
        <v>194</v>
      </c>
      <c r="DL58" t="s">
        <v>181</v>
      </c>
      <c r="DM58" t="s">
        <v>197</v>
      </c>
      <c r="DN58" t="s">
        <v>194</v>
      </c>
      <c r="DP58" t="s">
        <v>194</v>
      </c>
      <c r="DR58" t="s">
        <v>194</v>
      </c>
      <c r="DT58" t="s">
        <v>194</v>
      </c>
      <c r="DV58" t="s">
        <v>194</v>
      </c>
      <c r="DX58" t="s">
        <v>194</v>
      </c>
      <c r="DZ58" t="s">
        <v>181</v>
      </c>
      <c r="EA58" t="s">
        <v>197</v>
      </c>
      <c r="EB58" t="s">
        <v>194</v>
      </c>
      <c r="ED58" t="s">
        <v>194</v>
      </c>
      <c r="EF58" t="s">
        <v>194</v>
      </c>
      <c r="EI58" t="s">
        <v>181</v>
      </c>
      <c r="EJ58" t="s">
        <v>199</v>
      </c>
      <c r="EK58" t="s">
        <v>194</v>
      </c>
      <c r="EM58" t="s">
        <v>181</v>
      </c>
      <c r="EN58" t="s">
        <v>181</v>
      </c>
      <c r="EO58" t="s">
        <v>250</v>
      </c>
      <c r="EP58" t="s">
        <v>194</v>
      </c>
      <c r="ES58" t="s">
        <v>194</v>
      </c>
      <c r="EV58" t="s">
        <v>181</v>
      </c>
      <c r="EW58" t="s">
        <v>194</v>
      </c>
      <c r="EY58" t="s">
        <v>181</v>
      </c>
      <c r="EZ58" t="s">
        <v>194</v>
      </c>
      <c r="FB58" t="s">
        <v>181</v>
      </c>
      <c r="FC58" t="s">
        <v>194</v>
      </c>
      <c r="FE58" t="s">
        <v>181</v>
      </c>
      <c r="FF58" t="s">
        <v>181</v>
      </c>
      <c r="FG58" t="s">
        <v>250</v>
      </c>
      <c r="FH58" t="s">
        <v>181</v>
      </c>
      <c r="FI58" t="s">
        <v>194</v>
      </c>
      <c r="FK58" t="s">
        <v>181</v>
      </c>
      <c r="FL58" t="s">
        <v>194</v>
      </c>
      <c r="FN58" t="s">
        <v>194</v>
      </c>
      <c r="FR58" t="s">
        <v>218</v>
      </c>
      <c r="FU58" t="s">
        <v>238</v>
      </c>
      <c r="FV58" t="s">
        <v>239</v>
      </c>
      <c r="FW58" t="s">
        <v>238</v>
      </c>
      <c r="FX58" t="s">
        <v>559</v>
      </c>
      <c r="FY58" t="s">
        <v>279</v>
      </c>
      <c r="GA58" t="s">
        <v>242</v>
      </c>
      <c r="GB58" t="s">
        <v>560</v>
      </c>
      <c r="GC58" t="s">
        <v>312</v>
      </c>
    </row>
    <row r="59" spans="1:186" hidden="1" x14ac:dyDescent="0.25">
      <c r="A59" s="1">
        <v>46133.592464733803</v>
      </c>
      <c r="B59" s="1">
        <v>46133.596459328714</v>
      </c>
      <c r="C59" t="s">
        <v>176</v>
      </c>
      <c r="D59">
        <v>58</v>
      </c>
      <c r="E59">
        <v>58</v>
      </c>
      <c r="F59" t="b">
        <f t="shared" si="0"/>
        <v>1</v>
      </c>
      <c r="G59" s="1">
        <v>46131</v>
      </c>
      <c r="H59">
        <v>1</v>
      </c>
      <c r="I59" t="s">
        <v>267</v>
      </c>
      <c r="J59" t="s">
        <v>178</v>
      </c>
      <c r="K59" t="s">
        <v>564</v>
      </c>
      <c r="L59" t="s">
        <v>565</v>
      </c>
      <c r="M59" t="s">
        <v>181</v>
      </c>
      <c r="N59" t="s">
        <v>182</v>
      </c>
      <c r="O59">
        <v>25</v>
      </c>
      <c r="P59" t="s">
        <v>183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184</v>
      </c>
      <c r="W59">
        <v>46</v>
      </c>
      <c r="X59" t="s">
        <v>181</v>
      </c>
      <c r="Z59" t="s">
        <v>185</v>
      </c>
      <c r="AB59" t="s">
        <v>208</v>
      </c>
      <c r="AC59" t="s">
        <v>257</v>
      </c>
      <c r="AD59" t="s">
        <v>188</v>
      </c>
      <c r="AE59" t="s">
        <v>189</v>
      </c>
      <c r="AF59" t="s">
        <v>190</v>
      </c>
      <c r="AW59" t="s">
        <v>566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0</v>
      </c>
      <c r="BH59" t="s">
        <v>567</v>
      </c>
      <c r="BK59" t="s">
        <v>190</v>
      </c>
      <c r="BL59" t="s">
        <v>362</v>
      </c>
      <c r="BM59">
        <v>0</v>
      </c>
      <c r="BN59">
        <v>0</v>
      </c>
      <c r="BO59">
        <v>1</v>
      </c>
      <c r="BP59">
        <v>0</v>
      </c>
      <c r="BQ59">
        <v>0</v>
      </c>
      <c r="BR59" t="s">
        <v>227</v>
      </c>
      <c r="BS59" t="s">
        <v>181</v>
      </c>
      <c r="BT59" t="s">
        <v>181</v>
      </c>
      <c r="BU59" t="s">
        <v>194</v>
      </c>
      <c r="CD59" t="s">
        <v>194</v>
      </c>
      <c r="CZ59" t="s">
        <v>181</v>
      </c>
      <c r="DA59" t="s">
        <v>197</v>
      </c>
      <c r="DB59" t="s">
        <v>194</v>
      </c>
      <c r="DD59" t="s">
        <v>181</v>
      </c>
      <c r="DE59" t="s">
        <v>199</v>
      </c>
      <c r="DF59" t="s">
        <v>181</v>
      </c>
      <c r="DG59" t="s">
        <v>197</v>
      </c>
      <c r="DH59" t="s">
        <v>194</v>
      </c>
      <c r="DJ59" t="s">
        <v>181</v>
      </c>
      <c r="DK59" t="s">
        <v>197</v>
      </c>
      <c r="DL59" t="s">
        <v>181</v>
      </c>
      <c r="DM59" t="s">
        <v>199</v>
      </c>
      <c r="DN59" t="s">
        <v>194</v>
      </c>
      <c r="DP59" t="s">
        <v>194</v>
      </c>
      <c r="DR59" t="s">
        <v>181</v>
      </c>
      <c r="DS59" t="s">
        <v>197</v>
      </c>
      <c r="DT59" t="s">
        <v>181</v>
      </c>
      <c r="DU59" t="s">
        <v>197</v>
      </c>
      <c r="DV59" t="s">
        <v>194</v>
      </c>
      <c r="DX59" t="s">
        <v>181</v>
      </c>
      <c r="DY59" t="s">
        <v>197</v>
      </c>
      <c r="DZ59" t="s">
        <v>181</v>
      </c>
      <c r="EA59" t="s">
        <v>199</v>
      </c>
      <c r="EB59" t="s">
        <v>194</v>
      </c>
      <c r="ED59" t="s">
        <v>181</v>
      </c>
      <c r="EE59" t="s">
        <v>197</v>
      </c>
      <c r="EF59" t="s">
        <v>194</v>
      </c>
      <c r="EI59" t="s">
        <v>181</v>
      </c>
      <c r="EJ59" t="s">
        <v>215</v>
      </c>
      <c r="EK59" t="s">
        <v>181</v>
      </c>
      <c r="EM59" t="s">
        <v>181</v>
      </c>
      <c r="EN59" t="s">
        <v>194</v>
      </c>
      <c r="EP59" t="s">
        <v>181</v>
      </c>
      <c r="EQ59" t="s">
        <v>194</v>
      </c>
      <c r="ES59" t="s">
        <v>194</v>
      </c>
      <c r="EV59" t="s">
        <v>194</v>
      </c>
      <c r="EY59" t="s">
        <v>194</v>
      </c>
      <c r="FB59" t="s">
        <v>194</v>
      </c>
      <c r="FE59" t="s">
        <v>181</v>
      </c>
      <c r="FF59" t="s">
        <v>181</v>
      </c>
      <c r="FG59" t="s">
        <v>250</v>
      </c>
      <c r="FH59" t="s">
        <v>181</v>
      </c>
      <c r="FI59" t="s">
        <v>181</v>
      </c>
      <c r="FJ59" t="s">
        <v>250</v>
      </c>
      <c r="FK59" t="s">
        <v>181</v>
      </c>
      <c r="FL59" t="s">
        <v>194</v>
      </c>
      <c r="FN59" t="s">
        <v>181</v>
      </c>
      <c r="FO59" t="s">
        <v>194</v>
      </c>
      <c r="FR59" t="s">
        <v>831</v>
      </c>
      <c r="FS59" t="s">
        <v>287</v>
      </c>
      <c r="FU59" t="s">
        <v>238</v>
      </c>
      <c r="FV59" t="s">
        <v>239</v>
      </c>
      <c r="FW59" t="s">
        <v>238</v>
      </c>
      <c r="FX59" t="s">
        <v>568</v>
      </c>
      <c r="FY59" t="s">
        <v>241</v>
      </c>
      <c r="GA59" t="s">
        <v>242</v>
      </c>
      <c r="GB59" t="s">
        <v>569</v>
      </c>
      <c r="GC59" t="s">
        <v>232</v>
      </c>
    </row>
    <row r="60" spans="1:186" hidden="1" x14ac:dyDescent="0.25">
      <c r="A60" s="1">
        <v>46133.596460115739</v>
      </c>
      <c r="B60" s="1">
        <v>46133.601178460653</v>
      </c>
      <c r="C60" t="s">
        <v>176</v>
      </c>
      <c r="D60">
        <v>59</v>
      </c>
      <c r="E60">
        <v>59</v>
      </c>
      <c r="F60" t="b">
        <f t="shared" si="0"/>
        <v>1</v>
      </c>
      <c r="G60" s="1">
        <v>46131</v>
      </c>
      <c r="H60">
        <v>1</v>
      </c>
      <c r="I60" t="s">
        <v>177</v>
      </c>
      <c r="J60" t="s">
        <v>178</v>
      </c>
      <c r="K60" t="s">
        <v>576</v>
      </c>
      <c r="L60" t="s">
        <v>577</v>
      </c>
      <c r="M60" t="s">
        <v>181</v>
      </c>
      <c r="N60" t="s">
        <v>182</v>
      </c>
      <c r="O60">
        <v>10</v>
      </c>
      <c r="P60" t="s">
        <v>183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184</v>
      </c>
      <c r="W60">
        <v>57</v>
      </c>
      <c r="X60" t="s">
        <v>181</v>
      </c>
      <c r="Z60" t="s">
        <v>185</v>
      </c>
      <c r="AB60" t="s">
        <v>186</v>
      </c>
      <c r="AC60" t="s">
        <v>257</v>
      </c>
      <c r="AD60" t="s">
        <v>188</v>
      </c>
      <c r="AE60" t="s">
        <v>265</v>
      </c>
      <c r="AF60" t="s">
        <v>224</v>
      </c>
      <c r="AG60" t="s">
        <v>225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BK60" t="s">
        <v>190</v>
      </c>
      <c r="BL60" t="s">
        <v>192</v>
      </c>
      <c r="BM60">
        <v>0</v>
      </c>
      <c r="BN60">
        <v>1</v>
      </c>
      <c r="BO60">
        <v>1</v>
      </c>
      <c r="BP60">
        <v>0</v>
      </c>
      <c r="BQ60">
        <v>0</v>
      </c>
      <c r="BR60" t="s">
        <v>193</v>
      </c>
      <c r="BS60" t="s">
        <v>194</v>
      </c>
      <c r="BT60" t="s">
        <v>194</v>
      </c>
      <c r="BU60" t="s">
        <v>194</v>
      </c>
      <c r="CD60" t="s">
        <v>181</v>
      </c>
      <c r="CE60" t="s">
        <v>578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S60" t="s">
        <v>194</v>
      </c>
      <c r="CZ60" t="s">
        <v>194</v>
      </c>
      <c r="DB60" t="s">
        <v>194</v>
      </c>
      <c r="DD60" t="s">
        <v>181</v>
      </c>
      <c r="DE60" t="s">
        <v>197</v>
      </c>
      <c r="DF60" t="s">
        <v>194</v>
      </c>
      <c r="DH60" t="s">
        <v>181</v>
      </c>
      <c r="DI60" t="s">
        <v>197</v>
      </c>
      <c r="DJ60" t="s">
        <v>181</v>
      </c>
      <c r="DK60" t="s">
        <v>215</v>
      </c>
      <c r="DL60" t="s">
        <v>181</v>
      </c>
      <c r="DM60" t="s">
        <v>197</v>
      </c>
      <c r="DN60" t="s">
        <v>181</v>
      </c>
      <c r="DO60" t="s">
        <v>199</v>
      </c>
      <c r="DP60" t="s">
        <v>194</v>
      </c>
      <c r="DR60" t="s">
        <v>181</v>
      </c>
      <c r="DS60" t="s">
        <v>199</v>
      </c>
      <c r="DT60" t="s">
        <v>194</v>
      </c>
      <c r="DV60" t="s">
        <v>194</v>
      </c>
      <c r="DX60" t="s">
        <v>181</v>
      </c>
      <c r="DY60" t="s">
        <v>199</v>
      </c>
      <c r="DZ60" t="s">
        <v>181</v>
      </c>
      <c r="EA60" t="s">
        <v>215</v>
      </c>
      <c r="EB60" t="s">
        <v>194</v>
      </c>
      <c r="ED60" t="s">
        <v>181</v>
      </c>
      <c r="EE60" t="s">
        <v>199</v>
      </c>
      <c r="EF60" t="s">
        <v>194</v>
      </c>
      <c r="EI60" t="s">
        <v>181</v>
      </c>
      <c r="EJ60" t="s">
        <v>215</v>
      </c>
      <c r="EK60" t="s">
        <v>181</v>
      </c>
      <c r="EM60" t="s">
        <v>181</v>
      </c>
      <c r="EN60" t="s">
        <v>181</v>
      </c>
      <c r="EO60" t="s">
        <v>217</v>
      </c>
      <c r="EP60" t="s">
        <v>194</v>
      </c>
      <c r="ES60" t="s">
        <v>194</v>
      </c>
      <c r="EV60" t="s">
        <v>181</v>
      </c>
      <c r="EW60" t="s">
        <v>194</v>
      </c>
      <c r="EY60" t="s">
        <v>181</v>
      </c>
      <c r="EZ60" t="s">
        <v>194</v>
      </c>
      <c r="FB60" t="s">
        <v>194</v>
      </c>
      <c r="FE60" t="s">
        <v>181</v>
      </c>
      <c r="FF60" t="s">
        <v>194</v>
      </c>
      <c r="FH60" t="s">
        <v>181</v>
      </c>
      <c r="FI60" t="s">
        <v>181</v>
      </c>
      <c r="FJ60" t="s">
        <v>250</v>
      </c>
      <c r="FK60" t="s">
        <v>194</v>
      </c>
      <c r="FN60" t="s">
        <v>194</v>
      </c>
      <c r="FR60" t="s">
        <v>218</v>
      </c>
      <c r="FU60" t="s">
        <v>238</v>
      </c>
      <c r="FV60" t="s">
        <v>239</v>
      </c>
      <c r="FW60" t="s">
        <v>241</v>
      </c>
      <c r="FX60" t="s">
        <v>579</v>
      </c>
      <c r="FY60" t="s">
        <v>241</v>
      </c>
      <c r="GA60" t="s">
        <v>194</v>
      </c>
      <c r="GB60" t="s">
        <v>580</v>
      </c>
      <c r="GC60" t="s">
        <v>378</v>
      </c>
      <c r="GD60" t="s">
        <v>581</v>
      </c>
    </row>
    <row r="61" spans="1:186" x14ac:dyDescent="0.25">
      <c r="A61" s="1">
        <v>46133.601179351848</v>
      </c>
      <c r="B61" s="1">
        <v>46133.60445071759</v>
      </c>
      <c r="C61" t="s">
        <v>176</v>
      </c>
      <c r="D61">
        <v>60</v>
      </c>
      <c r="E61">
        <v>60</v>
      </c>
      <c r="F61" t="b">
        <f t="shared" si="0"/>
        <v>1</v>
      </c>
      <c r="G61" s="1">
        <v>46131</v>
      </c>
      <c r="H61">
        <v>1</v>
      </c>
      <c r="I61" t="s">
        <v>177</v>
      </c>
      <c r="J61" t="s">
        <v>178</v>
      </c>
      <c r="K61" t="s">
        <v>591</v>
      </c>
      <c r="L61" t="s">
        <v>592</v>
      </c>
      <c r="M61" t="s">
        <v>181</v>
      </c>
      <c r="N61" t="s">
        <v>182</v>
      </c>
      <c r="O61">
        <v>5</v>
      </c>
      <c r="P61" t="s">
        <v>183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222</v>
      </c>
      <c r="W61">
        <v>45</v>
      </c>
      <c r="X61" t="s">
        <v>181</v>
      </c>
      <c r="Z61" t="s">
        <v>185</v>
      </c>
      <c r="AB61" t="s">
        <v>186</v>
      </c>
      <c r="AC61" t="s">
        <v>257</v>
      </c>
      <c r="AD61" t="s">
        <v>210</v>
      </c>
      <c r="AE61" t="s">
        <v>265</v>
      </c>
      <c r="AF61" t="s">
        <v>190</v>
      </c>
      <c r="AW61" t="s">
        <v>191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K61" t="s">
        <v>224</v>
      </c>
      <c r="BL61" t="s">
        <v>192</v>
      </c>
      <c r="BM61">
        <v>0</v>
      </c>
      <c r="BN61">
        <v>1</v>
      </c>
      <c r="BO61">
        <v>1</v>
      </c>
      <c r="BP61">
        <v>0</v>
      </c>
      <c r="BQ61">
        <v>0</v>
      </c>
      <c r="BR61" t="s">
        <v>212</v>
      </c>
      <c r="BS61" t="s">
        <v>194</v>
      </c>
      <c r="BT61" t="s">
        <v>194</v>
      </c>
      <c r="BU61" t="s">
        <v>194</v>
      </c>
      <c r="CD61" t="s">
        <v>194</v>
      </c>
      <c r="CZ61" t="s">
        <v>181</v>
      </c>
      <c r="DA61" t="s">
        <v>199</v>
      </c>
      <c r="DB61" t="s">
        <v>194</v>
      </c>
      <c r="DD61" t="s">
        <v>181</v>
      </c>
      <c r="DE61" t="s">
        <v>197</v>
      </c>
      <c r="DF61" t="s">
        <v>181</v>
      </c>
      <c r="DG61" t="s">
        <v>215</v>
      </c>
      <c r="DH61" t="s">
        <v>181</v>
      </c>
      <c r="DI61" t="s">
        <v>215</v>
      </c>
      <c r="DJ61" t="s">
        <v>181</v>
      </c>
      <c r="DK61" t="s">
        <v>197</v>
      </c>
      <c r="DL61" t="s">
        <v>181</v>
      </c>
      <c r="DM61" t="s">
        <v>197</v>
      </c>
      <c r="DN61" t="s">
        <v>194</v>
      </c>
      <c r="DP61" t="s">
        <v>194</v>
      </c>
      <c r="DR61" t="s">
        <v>194</v>
      </c>
      <c r="DT61" t="s">
        <v>194</v>
      </c>
      <c r="DV61" t="s">
        <v>181</v>
      </c>
      <c r="DW61" t="s">
        <v>197</v>
      </c>
      <c r="DX61" t="s">
        <v>181</v>
      </c>
      <c r="DY61" t="s">
        <v>215</v>
      </c>
      <c r="DZ61" t="s">
        <v>181</v>
      </c>
      <c r="EA61" t="s">
        <v>197</v>
      </c>
      <c r="EB61" t="s">
        <v>194</v>
      </c>
      <c r="ED61" t="s">
        <v>194</v>
      </c>
      <c r="EF61" t="s">
        <v>194</v>
      </c>
      <c r="EI61" t="s">
        <v>181</v>
      </c>
      <c r="EJ61" t="s">
        <v>215</v>
      </c>
      <c r="EK61" t="s">
        <v>181</v>
      </c>
      <c r="EM61" t="s">
        <v>181</v>
      </c>
      <c r="EN61" t="s">
        <v>194</v>
      </c>
      <c r="EP61" t="s">
        <v>194</v>
      </c>
      <c r="ES61" t="s">
        <v>181</v>
      </c>
      <c r="ET61" t="s">
        <v>194</v>
      </c>
      <c r="EV61" t="s">
        <v>181</v>
      </c>
      <c r="EW61" t="s">
        <v>194</v>
      </c>
      <c r="EY61" t="s">
        <v>181</v>
      </c>
      <c r="EZ61" t="s">
        <v>194</v>
      </c>
      <c r="FB61" t="s">
        <v>181</v>
      </c>
      <c r="FC61" t="s">
        <v>194</v>
      </c>
      <c r="FE61" t="s">
        <v>181</v>
      </c>
      <c r="FF61" t="s">
        <v>194</v>
      </c>
      <c r="FH61" t="s">
        <v>181</v>
      </c>
      <c r="FI61" t="s">
        <v>194</v>
      </c>
      <c r="FK61" t="s">
        <v>181</v>
      </c>
      <c r="FL61" t="s">
        <v>194</v>
      </c>
      <c r="FN61" t="s">
        <v>194</v>
      </c>
      <c r="FR61" t="s">
        <v>284</v>
      </c>
      <c r="FS61" t="s">
        <v>287</v>
      </c>
      <c r="FT61" t="s">
        <v>593</v>
      </c>
      <c r="FU61" t="s">
        <v>238</v>
      </c>
      <c r="FV61" t="s">
        <v>239</v>
      </c>
      <c r="FW61" t="s">
        <v>238</v>
      </c>
      <c r="FX61" t="s">
        <v>594</v>
      </c>
      <c r="FY61" t="s">
        <v>241</v>
      </c>
      <c r="GA61" t="s">
        <v>242</v>
      </c>
      <c r="GB61" t="s">
        <v>476</v>
      </c>
      <c r="GC61" t="s">
        <v>232</v>
      </c>
    </row>
    <row r="62" spans="1:186" x14ac:dyDescent="0.25">
      <c r="A62" s="1">
        <v>46133.501602638891</v>
      </c>
      <c r="B62" s="1">
        <v>46133.515911886578</v>
      </c>
      <c r="C62" t="s">
        <v>178</v>
      </c>
      <c r="D62">
        <v>61</v>
      </c>
      <c r="E62">
        <v>61</v>
      </c>
      <c r="F62" t="b">
        <f t="shared" si="0"/>
        <v>1</v>
      </c>
      <c r="G62" s="1">
        <v>46131</v>
      </c>
      <c r="H62">
        <v>1</v>
      </c>
      <c r="I62" t="s">
        <v>267</v>
      </c>
      <c r="J62" t="s">
        <v>178</v>
      </c>
      <c r="K62" t="s">
        <v>461</v>
      </c>
      <c r="L62" t="s">
        <v>462</v>
      </c>
      <c r="M62" t="s">
        <v>181</v>
      </c>
      <c r="N62" t="s">
        <v>182</v>
      </c>
      <c r="O62">
        <v>20</v>
      </c>
      <c r="P62" t="s">
        <v>183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184</v>
      </c>
      <c r="W62">
        <v>53</v>
      </c>
      <c r="X62" t="s">
        <v>181</v>
      </c>
      <c r="Z62" t="s">
        <v>270</v>
      </c>
      <c r="AB62" t="s">
        <v>186</v>
      </c>
      <c r="AC62" t="s">
        <v>209</v>
      </c>
      <c r="AD62" t="s">
        <v>188</v>
      </c>
      <c r="AE62" t="s">
        <v>189</v>
      </c>
      <c r="AF62" t="s">
        <v>190</v>
      </c>
      <c r="AW62" t="s">
        <v>420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 t="s">
        <v>1058</v>
      </c>
      <c r="BK62" t="s">
        <v>190</v>
      </c>
      <c r="BL62" t="s">
        <v>362</v>
      </c>
      <c r="BM62">
        <v>0</v>
      </c>
      <c r="BN62">
        <v>0</v>
      </c>
      <c r="BO62">
        <v>1</v>
      </c>
      <c r="BP62">
        <v>0</v>
      </c>
      <c r="BQ62">
        <v>0</v>
      </c>
      <c r="BR62" t="s">
        <v>227</v>
      </c>
      <c r="BS62" t="s">
        <v>194</v>
      </c>
      <c r="BT62" t="s">
        <v>181</v>
      </c>
      <c r="BU62" t="s">
        <v>194</v>
      </c>
      <c r="CD62" t="s">
        <v>194</v>
      </c>
      <c r="CZ62" t="s">
        <v>194</v>
      </c>
      <c r="DB62" t="s">
        <v>194</v>
      </c>
      <c r="DD62" t="s">
        <v>194</v>
      </c>
      <c r="DF62" t="s">
        <v>181</v>
      </c>
      <c r="DG62" t="s">
        <v>197</v>
      </c>
      <c r="DH62" t="s">
        <v>194</v>
      </c>
      <c r="DJ62" t="s">
        <v>194</v>
      </c>
      <c r="DL62" t="s">
        <v>181</v>
      </c>
      <c r="DM62" t="s">
        <v>197</v>
      </c>
      <c r="DN62" t="s">
        <v>194</v>
      </c>
      <c r="DP62" t="s">
        <v>194</v>
      </c>
      <c r="DR62" t="s">
        <v>181</v>
      </c>
      <c r="DS62" t="s">
        <v>197</v>
      </c>
      <c r="DT62" t="s">
        <v>181</v>
      </c>
      <c r="DU62" t="s">
        <v>197</v>
      </c>
      <c r="DV62" t="s">
        <v>194</v>
      </c>
      <c r="DX62" t="s">
        <v>194</v>
      </c>
      <c r="DZ62" t="s">
        <v>181</v>
      </c>
      <c r="EA62" t="s">
        <v>199</v>
      </c>
      <c r="EB62" t="s">
        <v>194</v>
      </c>
      <c r="ED62" t="s">
        <v>194</v>
      </c>
      <c r="EF62" t="s">
        <v>194</v>
      </c>
      <c r="EI62" t="s">
        <v>181</v>
      </c>
      <c r="EJ62" t="s">
        <v>215</v>
      </c>
      <c r="EK62" t="s">
        <v>181</v>
      </c>
      <c r="EM62" t="s">
        <v>181</v>
      </c>
      <c r="EN62" t="s">
        <v>194</v>
      </c>
      <c r="EP62" t="s">
        <v>181</v>
      </c>
      <c r="EQ62" t="s">
        <v>194</v>
      </c>
      <c r="ES62" t="s">
        <v>194</v>
      </c>
      <c r="EV62" t="s">
        <v>181</v>
      </c>
      <c r="EW62" t="s">
        <v>194</v>
      </c>
      <c r="EY62" t="s">
        <v>181</v>
      </c>
      <c r="EZ62" t="s">
        <v>194</v>
      </c>
      <c r="FB62" t="s">
        <v>194</v>
      </c>
      <c r="FE62" t="s">
        <v>181</v>
      </c>
      <c r="FF62" t="s">
        <v>181</v>
      </c>
      <c r="FG62" t="s">
        <v>250</v>
      </c>
      <c r="FH62" t="s">
        <v>194</v>
      </c>
      <c r="FK62" t="s">
        <v>194</v>
      </c>
      <c r="FN62" t="s">
        <v>194</v>
      </c>
      <c r="FR62" t="s">
        <v>278</v>
      </c>
      <c r="FS62" t="s">
        <v>769</v>
      </c>
      <c r="FT62" t="s">
        <v>284</v>
      </c>
      <c r="FU62" t="s">
        <v>238</v>
      </c>
      <c r="FV62" t="s">
        <v>239</v>
      </c>
      <c r="FW62" t="s">
        <v>238</v>
      </c>
      <c r="FX62" t="s">
        <v>1045</v>
      </c>
      <c r="FY62" t="s">
        <v>241</v>
      </c>
      <c r="GA62" t="s">
        <v>242</v>
      </c>
      <c r="GB62" t="s">
        <v>712</v>
      </c>
      <c r="GC62" t="s">
        <v>312</v>
      </c>
    </row>
    <row r="63" spans="1:186" hidden="1" x14ac:dyDescent="0.25">
      <c r="A63" s="1">
        <v>46133.515912557872</v>
      </c>
      <c r="B63" s="1">
        <v>46133.555141423611</v>
      </c>
      <c r="C63" t="s">
        <v>178</v>
      </c>
      <c r="D63">
        <v>62</v>
      </c>
      <c r="E63">
        <v>62</v>
      </c>
      <c r="F63" t="b">
        <f t="shared" si="0"/>
        <v>1</v>
      </c>
      <c r="G63" s="1">
        <v>46131</v>
      </c>
      <c r="H63">
        <v>1</v>
      </c>
      <c r="I63" t="s">
        <v>204</v>
      </c>
      <c r="J63" t="s">
        <v>178</v>
      </c>
      <c r="K63" t="s">
        <v>358</v>
      </c>
      <c r="L63" t="s">
        <v>501</v>
      </c>
      <c r="M63" t="s">
        <v>181</v>
      </c>
      <c r="N63" t="s">
        <v>182</v>
      </c>
      <c r="O63">
        <v>40</v>
      </c>
      <c r="P63" t="s">
        <v>183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222</v>
      </c>
      <c r="W63">
        <v>42</v>
      </c>
      <c r="X63" t="s">
        <v>181</v>
      </c>
      <c r="Z63" t="s">
        <v>185</v>
      </c>
      <c r="AB63" t="s">
        <v>208</v>
      </c>
      <c r="AC63" t="s">
        <v>502</v>
      </c>
      <c r="AD63" t="s">
        <v>188</v>
      </c>
      <c r="AE63" t="s">
        <v>265</v>
      </c>
      <c r="AF63" t="s">
        <v>190</v>
      </c>
      <c r="AW63" t="s">
        <v>503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K63" t="s">
        <v>190</v>
      </c>
      <c r="BL63" t="s">
        <v>192</v>
      </c>
      <c r="BM63">
        <v>0</v>
      </c>
      <c r="BN63">
        <v>1</v>
      </c>
      <c r="BO63">
        <v>1</v>
      </c>
      <c r="BP63">
        <v>0</v>
      </c>
      <c r="BQ63">
        <v>0</v>
      </c>
      <c r="BR63" t="s">
        <v>193</v>
      </c>
      <c r="BS63" t="s">
        <v>194</v>
      </c>
      <c r="BT63" t="s">
        <v>181</v>
      </c>
      <c r="BU63" t="s">
        <v>181</v>
      </c>
      <c r="BV63" t="s">
        <v>195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 t="s">
        <v>504</v>
      </c>
      <c r="CD63" t="s">
        <v>181</v>
      </c>
      <c r="CE63" t="s">
        <v>277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Q63" t="s">
        <v>181</v>
      </c>
      <c r="CZ63" t="s">
        <v>194</v>
      </c>
      <c r="DB63" t="s">
        <v>194</v>
      </c>
      <c r="DD63" t="s">
        <v>181</v>
      </c>
      <c r="DE63" t="s">
        <v>215</v>
      </c>
      <c r="DF63" t="s">
        <v>194</v>
      </c>
      <c r="DH63" t="s">
        <v>181</v>
      </c>
      <c r="DI63" t="s">
        <v>199</v>
      </c>
      <c r="DJ63" t="s">
        <v>181</v>
      </c>
      <c r="DK63" t="s">
        <v>197</v>
      </c>
      <c r="DL63" t="s">
        <v>181</v>
      </c>
      <c r="DM63" t="s">
        <v>215</v>
      </c>
      <c r="DN63" t="s">
        <v>181</v>
      </c>
      <c r="DO63" t="s">
        <v>199</v>
      </c>
      <c r="DP63" t="s">
        <v>194</v>
      </c>
      <c r="DR63" t="s">
        <v>181</v>
      </c>
      <c r="DS63" t="s">
        <v>215</v>
      </c>
      <c r="DT63" t="s">
        <v>181</v>
      </c>
      <c r="DU63" t="s">
        <v>215</v>
      </c>
      <c r="DV63" t="s">
        <v>181</v>
      </c>
      <c r="DW63" t="s">
        <v>199</v>
      </c>
      <c r="DX63" t="s">
        <v>181</v>
      </c>
      <c r="DY63" t="s">
        <v>199</v>
      </c>
      <c r="DZ63" t="s">
        <v>181</v>
      </c>
      <c r="EA63" t="s">
        <v>197</v>
      </c>
      <c r="EB63" t="s">
        <v>194</v>
      </c>
      <c r="ED63" t="s">
        <v>194</v>
      </c>
      <c r="EF63" t="s">
        <v>194</v>
      </c>
      <c r="EI63" t="s">
        <v>181</v>
      </c>
      <c r="EJ63" t="s">
        <v>215</v>
      </c>
      <c r="EK63" t="s">
        <v>181</v>
      </c>
      <c r="EM63" t="s">
        <v>181</v>
      </c>
      <c r="EN63" t="s">
        <v>181</v>
      </c>
      <c r="EO63" t="s">
        <v>217</v>
      </c>
      <c r="EP63" t="s">
        <v>181</v>
      </c>
      <c r="EQ63" t="s">
        <v>181</v>
      </c>
      <c r="ER63" t="s">
        <v>216</v>
      </c>
      <c r="ES63" t="s">
        <v>194</v>
      </c>
      <c r="EV63" t="s">
        <v>181</v>
      </c>
      <c r="EW63" t="s">
        <v>181</v>
      </c>
      <c r="EX63" t="s">
        <v>217</v>
      </c>
      <c r="EY63" t="s">
        <v>181</v>
      </c>
      <c r="EZ63" t="s">
        <v>181</v>
      </c>
      <c r="FA63" t="s">
        <v>229</v>
      </c>
      <c r="FB63" t="s">
        <v>181</v>
      </c>
      <c r="FC63" t="s">
        <v>181</v>
      </c>
      <c r="FD63" t="s">
        <v>250</v>
      </c>
      <c r="FE63" t="s">
        <v>181</v>
      </c>
      <c r="FF63" t="s">
        <v>181</v>
      </c>
      <c r="FG63" t="s">
        <v>216</v>
      </c>
      <c r="FH63" t="s">
        <v>181</v>
      </c>
      <c r="FI63" t="s">
        <v>181</v>
      </c>
      <c r="FJ63" t="s">
        <v>229</v>
      </c>
      <c r="FK63" t="s">
        <v>181</v>
      </c>
      <c r="FL63" t="s">
        <v>194</v>
      </c>
      <c r="FN63" t="s">
        <v>194</v>
      </c>
      <c r="FR63" t="s">
        <v>278</v>
      </c>
      <c r="FU63" t="s">
        <v>194</v>
      </c>
      <c r="GC63" t="s">
        <v>232</v>
      </c>
    </row>
    <row r="64" spans="1:186" x14ac:dyDescent="0.25">
      <c r="A64" s="1">
        <v>46133.555142048608</v>
      </c>
      <c r="B64" s="1">
        <v>46133.558463194437</v>
      </c>
      <c r="C64" t="s">
        <v>178</v>
      </c>
      <c r="D64">
        <v>63</v>
      </c>
      <c r="E64">
        <v>63</v>
      </c>
      <c r="F64" t="b">
        <f t="shared" si="0"/>
        <v>1</v>
      </c>
      <c r="G64" s="1">
        <v>46131</v>
      </c>
      <c r="H64">
        <v>1</v>
      </c>
      <c r="I64" t="s">
        <v>267</v>
      </c>
      <c r="J64" t="s">
        <v>178</v>
      </c>
      <c r="K64" t="s">
        <v>446</v>
      </c>
      <c r="L64" t="s">
        <v>508</v>
      </c>
      <c r="M64" t="s">
        <v>181</v>
      </c>
      <c r="N64" t="s">
        <v>182</v>
      </c>
      <c r="O64">
        <v>12</v>
      </c>
      <c r="P64" t="s">
        <v>183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222</v>
      </c>
      <c r="W64">
        <v>33</v>
      </c>
      <c r="X64" t="s">
        <v>181</v>
      </c>
      <c r="Z64" t="s">
        <v>270</v>
      </c>
      <c r="AB64" t="s">
        <v>186</v>
      </c>
      <c r="AC64" t="s">
        <v>257</v>
      </c>
      <c r="AD64" t="s">
        <v>188</v>
      </c>
      <c r="AE64" t="s">
        <v>265</v>
      </c>
      <c r="AF64" t="s">
        <v>224</v>
      </c>
      <c r="AG64" t="s">
        <v>509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 t="s">
        <v>510</v>
      </c>
      <c r="BK64" t="s">
        <v>224</v>
      </c>
      <c r="BL64" t="s">
        <v>226</v>
      </c>
      <c r="BM64">
        <v>0</v>
      </c>
      <c r="BN64">
        <v>1</v>
      </c>
      <c r="BO64">
        <v>0</v>
      </c>
      <c r="BP64">
        <v>0</v>
      </c>
      <c r="BQ64">
        <v>0</v>
      </c>
      <c r="BR64" t="s">
        <v>227</v>
      </c>
      <c r="BS64" t="s">
        <v>194</v>
      </c>
      <c r="BT64" t="s">
        <v>194</v>
      </c>
      <c r="BU64" t="s">
        <v>194</v>
      </c>
      <c r="CD64" t="s">
        <v>194</v>
      </c>
      <c r="CZ64" t="s">
        <v>181</v>
      </c>
      <c r="DA64" t="s">
        <v>197</v>
      </c>
      <c r="DB64" t="s">
        <v>194</v>
      </c>
      <c r="DD64" t="s">
        <v>181</v>
      </c>
      <c r="DE64" t="s">
        <v>199</v>
      </c>
      <c r="DF64" t="s">
        <v>194</v>
      </c>
      <c r="DH64" t="s">
        <v>181</v>
      </c>
      <c r="DI64" t="s">
        <v>197</v>
      </c>
      <c r="DJ64" t="s">
        <v>181</v>
      </c>
      <c r="DK64" t="s">
        <v>215</v>
      </c>
      <c r="DL64" t="s">
        <v>181</v>
      </c>
      <c r="DM64" t="s">
        <v>199</v>
      </c>
      <c r="DN64" t="s">
        <v>181</v>
      </c>
      <c r="DO64" t="s">
        <v>199</v>
      </c>
      <c r="DP64" t="s">
        <v>194</v>
      </c>
      <c r="DR64" t="s">
        <v>181</v>
      </c>
      <c r="DS64" t="s">
        <v>199</v>
      </c>
      <c r="DT64" t="s">
        <v>194</v>
      </c>
      <c r="DV64" t="s">
        <v>181</v>
      </c>
      <c r="DW64" t="s">
        <v>199</v>
      </c>
      <c r="DX64" t="s">
        <v>181</v>
      </c>
      <c r="DY64" t="s">
        <v>197</v>
      </c>
      <c r="DZ64" t="s">
        <v>181</v>
      </c>
      <c r="EA64" t="s">
        <v>215</v>
      </c>
      <c r="EB64" t="s">
        <v>194</v>
      </c>
      <c r="ED64" t="s">
        <v>181</v>
      </c>
      <c r="EE64" t="s">
        <v>199</v>
      </c>
      <c r="EF64" t="s">
        <v>194</v>
      </c>
      <c r="EI64" t="s">
        <v>181</v>
      </c>
      <c r="EJ64" t="s">
        <v>215</v>
      </c>
      <c r="EK64" t="s">
        <v>194</v>
      </c>
      <c r="EM64" t="s">
        <v>181</v>
      </c>
      <c r="EN64" t="s">
        <v>194</v>
      </c>
      <c r="EP64" t="s">
        <v>181</v>
      </c>
      <c r="EQ64" t="s">
        <v>194</v>
      </c>
      <c r="ES64" t="s">
        <v>194</v>
      </c>
      <c r="EV64" t="s">
        <v>181</v>
      </c>
      <c r="EW64" t="s">
        <v>194</v>
      </c>
      <c r="EY64" t="s">
        <v>194</v>
      </c>
      <c r="FB64" t="s">
        <v>194</v>
      </c>
      <c r="FE64" t="s">
        <v>181</v>
      </c>
      <c r="FF64" t="s">
        <v>181</v>
      </c>
      <c r="FG64" t="s">
        <v>250</v>
      </c>
      <c r="FH64" t="s">
        <v>181</v>
      </c>
      <c r="FI64" t="s">
        <v>194</v>
      </c>
      <c r="FK64" t="s">
        <v>181</v>
      </c>
      <c r="FL64" t="s">
        <v>194</v>
      </c>
      <c r="FN64" t="s">
        <v>194</v>
      </c>
      <c r="FR64" t="s">
        <v>1033</v>
      </c>
      <c r="FS64" t="s">
        <v>274</v>
      </c>
      <c r="FT64" t="s">
        <v>363</v>
      </c>
      <c r="FU64" t="s">
        <v>238</v>
      </c>
      <c r="FV64" t="s">
        <v>239</v>
      </c>
      <c r="FW64" t="s">
        <v>241</v>
      </c>
      <c r="FX64" t="s">
        <v>1046</v>
      </c>
      <c r="FY64" t="s">
        <v>241</v>
      </c>
      <c r="GA64" t="s">
        <v>194</v>
      </c>
      <c r="GB64" t="s">
        <v>1037</v>
      </c>
      <c r="GC64" t="s">
        <v>373</v>
      </c>
    </row>
    <row r="65" spans="1:186" x14ac:dyDescent="0.25">
      <c r="A65" s="1">
        <v>46133.558463923611</v>
      </c>
      <c r="B65" s="1">
        <v>46133.561993657408</v>
      </c>
      <c r="C65" t="s">
        <v>178</v>
      </c>
      <c r="D65">
        <v>64</v>
      </c>
      <c r="E65">
        <v>64</v>
      </c>
      <c r="F65" t="b">
        <f t="shared" si="0"/>
        <v>1</v>
      </c>
      <c r="G65" s="1">
        <v>46131</v>
      </c>
      <c r="H65">
        <v>1</v>
      </c>
      <c r="I65" t="s">
        <v>177</v>
      </c>
      <c r="J65" t="s">
        <v>178</v>
      </c>
      <c r="K65" t="s">
        <v>515</v>
      </c>
      <c r="L65" t="s">
        <v>501</v>
      </c>
      <c r="M65" t="s">
        <v>181</v>
      </c>
      <c r="N65" t="s">
        <v>182</v>
      </c>
      <c r="O65">
        <v>35</v>
      </c>
      <c r="P65" t="s">
        <v>183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222</v>
      </c>
      <c r="W65">
        <v>70</v>
      </c>
      <c r="X65" t="s">
        <v>181</v>
      </c>
      <c r="Z65" t="s">
        <v>270</v>
      </c>
      <c r="AB65" t="s">
        <v>186</v>
      </c>
      <c r="AC65" t="s">
        <v>209</v>
      </c>
      <c r="AD65" t="s">
        <v>210</v>
      </c>
      <c r="AE65" t="s">
        <v>265</v>
      </c>
      <c r="AF65" t="s">
        <v>190</v>
      </c>
      <c r="AW65" t="s">
        <v>516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K65" t="s">
        <v>190</v>
      </c>
      <c r="BL65" t="s">
        <v>192</v>
      </c>
      <c r="BM65">
        <v>0</v>
      </c>
      <c r="BN65">
        <v>1</v>
      </c>
      <c r="BO65">
        <v>1</v>
      </c>
      <c r="BP65">
        <v>0</v>
      </c>
      <c r="BQ65">
        <v>0</v>
      </c>
      <c r="BR65" t="s">
        <v>193</v>
      </c>
      <c r="BS65" t="s">
        <v>181</v>
      </c>
      <c r="BT65" t="s">
        <v>194</v>
      </c>
      <c r="BU65" t="s">
        <v>181</v>
      </c>
      <c r="BV65" t="s">
        <v>195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 t="s">
        <v>517</v>
      </c>
      <c r="CD65" t="s">
        <v>181</v>
      </c>
      <c r="CE65" t="s">
        <v>277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Q65" t="s">
        <v>181</v>
      </c>
      <c r="CZ65" t="s">
        <v>181</v>
      </c>
      <c r="DA65" t="s">
        <v>197</v>
      </c>
      <c r="DB65" t="s">
        <v>181</v>
      </c>
      <c r="DC65" t="s">
        <v>197</v>
      </c>
      <c r="DD65" t="s">
        <v>181</v>
      </c>
      <c r="DE65" t="s">
        <v>215</v>
      </c>
      <c r="DF65" t="s">
        <v>181</v>
      </c>
      <c r="DG65" t="s">
        <v>215</v>
      </c>
      <c r="DH65" t="s">
        <v>194</v>
      </c>
      <c r="DJ65" t="s">
        <v>181</v>
      </c>
      <c r="DK65" t="s">
        <v>199</v>
      </c>
      <c r="DL65" t="s">
        <v>181</v>
      </c>
      <c r="DM65" t="s">
        <v>197</v>
      </c>
      <c r="DN65" t="s">
        <v>194</v>
      </c>
      <c r="DP65" t="s">
        <v>194</v>
      </c>
      <c r="DR65" t="s">
        <v>181</v>
      </c>
      <c r="DS65" t="s">
        <v>197</v>
      </c>
      <c r="DT65" t="s">
        <v>194</v>
      </c>
      <c r="DV65" t="s">
        <v>181</v>
      </c>
      <c r="DW65" t="s">
        <v>197</v>
      </c>
      <c r="DX65" t="s">
        <v>194</v>
      </c>
      <c r="DZ65" t="s">
        <v>181</v>
      </c>
      <c r="EA65" t="s">
        <v>197</v>
      </c>
      <c r="EB65" t="s">
        <v>194</v>
      </c>
      <c r="ED65" t="s">
        <v>181</v>
      </c>
      <c r="EE65" t="s">
        <v>199</v>
      </c>
      <c r="EF65" t="s">
        <v>194</v>
      </c>
      <c r="EI65" t="s">
        <v>181</v>
      </c>
      <c r="EJ65" t="s">
        <v>215</v>
      </c>
      <c r="EK65" t="s">
        <v>181</v>
      </c>
      <c r="EM65" t="s">
        <v>181</v>
      </c>
      <c r="EN65" t="s">
        <v>181</v>
      </c>
      <c r="EO65" t="s">
        <v>250</v>
      </c>
      <c r="EP65" t="s">
        <v>194</v>
      </c>
      <c r="ES65" t="s">
        <v>194</v>
      </c>
      <c r="EV65" t="s">
        <v>181</v>
      </c>
      <c r="EW65" t="s">
        <v>181</v>
      </c>
      <c r="EX65" t="s">
        <v>250</v>
      </c>
      <c r="EY65" t="s">
        <v>194</v>
      </c>
      <c r="FB65" t="s">
        <v>194</v>
      </c>
      <c r="FE65" t="s">
        <v>194</v>
      </c>
      <c r="FH65" t="s">
        <v>181</v>
      </c>
      <c r="FI65" t="s">
        <v>181</v>
      </c>
      <c r="FJ65" t="s">
        <v>250</v>
      </c>
      <c r="FK65" t="s">
        <v>194</v>
      </c>
      <c r="FN65" t="s">
        <v>194</v>
      </c>
      <c r="FR65" t="s">
        <v>237</v>
      </c>
      <c r="FS65" t="s">
        <v>218</v>
      </c>
      <c r="FT65" t="s">
        <v>363</v>
      </c>
      <c r="FU65" t="s">
        <v>238</v>
      </c>
      <c r="FV65" t="s">
        <v>239</v>
      </c>
      <c r="FW65" t="s">
        <v>238</v>
      </c>
      <c r="FX65" t="s">
        <v>1047</v>
      </c>
      <c r="FY65" t="s">
        <v>238</v>
      </c>
      <c r="FZ65" t="s">
        <v>1054</v>
      </c>
      <c r="GA65" t="s">
        <v>194</v>
      </c>
      <c r="GB65" t="s">
        <v>1038</v>
      </c>
      <c r="GC65" t="s">
        <v>232</v>
      </c>
    </row>
    <row r="66" spans="1:186" hidden="1" x14ac:dyDescent="0.25">
      <c r="A66" s="1">
        <v>46133.561994201387</v>
      </c>
      <c r="B66" s="1">
        <v>46133.566223622693</v>
      </c>
      <c r="C66" t="s">
        <v>178</v>
      </c>
      <c r="D66">
        <v>65</v>
      </c>
      <c r="E66">
        <v>65</v>
      </c>
      <c r="F66" t="b">
        <f t="shared" si="0"/>
        <v>1</v>
      </c>
      <c r="G66" s="1">
        <v>46131</v>
      </c>
      <c r="H66">
        <v>1</v>
      </c>
      <c r="I66" t="s">
        <v>267</v>
      </c>
      <c r="J66" t="s">
        <v>178</v>
      </c>
      <c r="K66" t="s">
        <v>446</v>
      </c>
      <c r="L66" t="s">
        <v>447</v>
      </c>
      <c r="M66" t="s">
        <v>181</v>
      </c>
      <c r="N66" t="s">
        <v>182</v>
      </c>
      <c r="O66">
        <v>8</v>
      </c>
      <c r="P66" t="s">
        <v>183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222</v>
      </c>
      <c r="W66">
        <v>69</v>
      </c>
      <c r="X66" t="s">
        <v>181</v>
      </c>
      <c r="Z66" t="s">
        <v>185</v>
      </c>
      <c r="AB66" t="s">
        <v>186</v>
      </c>
      <c r="AC66" t="s">
        <v>257</v>
      </c>
      <c r="AD66" t="s">
        <v>188</v>
      </c>
      <c r="AE66" t="s">
        <v>189</v>
      </c>
      <c r="AF66" t="s">
        <v>224</v>
      </c>
      <c r="AG66" t="s">
        <v>523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BK66" t="s">
        <v>224</v>
      </c>
      <c r="BL66" t="s">
        <v>192</v>
      </c>
      <c r="BM66">
        <v>0</v>
      </c>
      <c r="BN66">
        <v>1</v>
      </c>
      <c r="BO66">
        <v>1</v>
      </c>
      <c r="BP66">
        <v>0</v>
      </c>
      <c r="BQ66">
        <v>0</v>
      </c>
      <c r="BR66" t="s">
        <v>227</v>
      </c>
      <c r="BS66" t="s">
        <v>194</v>
      </c>
      <c r="BT66" t="s">
        <v>194</v>
      </c>
      <c r="BU66" t="s">
        <v>194</v>
      </c>
      <c r="CD66" t="s">
        <v>194</v>
      </c>
      <c r="CZ66" t="s">
        <v>194</v>
      </c>
      <c r="DB66" t="s">
        <v>194</v>
      </c>
      <c r="DD66" t="s">
        <v>181</v>
      </c>
      <c r="DE66" t="s">
        <v>199</v>
      </c>
      <c r="DF66" t="s">
        <v>181</v>
      </c>
      <c r="DG66" t="s">
        <v>215</v>
      </c>
      <c r="DH66" t="s">
        <v>194</v>
      </c>
      <c r="DJ66" t="s">
        <v>194</v>
      </c>
      <c r="DL66" t="s">
        <v>181</v>
      </c>
      <c r="DM66" t="s">
        <v>197</v>
      </c>
      <c r="DN66" t="s">
        <v>181</v>
      </c>
      <c r="DO66" t="s">
        <v>199</v>
      </c>
      <c r="DP66" t="s">
        <v>194</v>
      </c>
      <c r="DR66" t="s">
        <v>194</v>
      </c>
      <c r="DT66" t="s">
        <v>194</v>
      </c>
      <c r="DV66" t="s">
        <v>194</v>
      </c>
      <c r="DX66" t="s">
        <v>181</v>
      </c>
      <c r="DY66" t="s">
        <v>197</v>
      </c>
      <c r="DZ66" t="s">
        <v>181</v>
      </c>
      <c r="EA66" t="s">
        <v>199</v>
      </c>
      <c r="EB66" t="s">
        <v>194</v>
      </c>
      <c r="ED66" t="s">
        <v>194</v>
      </c>
      <c r="EF66" t="s">
        <v>194</v>
      </c>
      <c r="EI66" t="s">
        <v>181</v>
      </c>
      <c r="EJ66" t="s">
        <v>215</v>
      </c>
      <c r="EK66" t="s">
        <v>181</v>
      </c>
      <c r="EM66" t="s">
        <v>181</v>
      </c>
      <c r="EN66" t="s">
        <v>194</v>
      </c>
      <c r="EP66" t="s">
        <v>194</v>
      </c>
      <c r="ES66" t="s">
        <v>194</v>
      </c>
      <c r="EV66" t="s">
        <v>181</v>
      </c>
      <c r="EW66" t="s">
        <v>194</v>
      </c>
      <c r="EY66" t="s">
        <v>194</v>
      </c>
      <c r="FB66" t="s">
        <v>194</v>
      </c>
      <c r="FE66" t="s">
        <v>181</v>
      </c>
      <c r="FF66" t="s">
        <v>194</v>
      </c>
      <c r="FH66" t="s">
        <v>181</v>
      </c>
      <c r="FI66" t="s">
        <v>194</v>
      </c>
      <c r="FK66" t="s">
        <v>181</v>
      </c>
      <c r="FL66" t="s">
        <v>194</v>
      </c>
      <c r="FN66" t="s">
        <v>194</v>
      </c>
      <c r="FR66" t="s">
        <v>1034</v>
      </c>
      <c r="FS66" t="s">
        <v>769</v>
      </c>
      <c r="FU66" t="s">
        <v>238</v>
      </c>
      <c r="FV66" t="s">
        <v>239</v>
      </c>
      <c r="FW66" t="s">
        <v>238</v>
      </c>
      <c r="FX66" t="s">
        <v>1048</v>
      </c>
      <c r="FY66" t="s">
        <v>241</v>
      </c>
      <c r="GA66" t="s">
        <v>242</v>
      </c>
      <c r="GB66" t="s">
        <v>1039</v>
      </c>
      <c r="GC66" t="s">
        <v>373</v>
      </c>
      <c r="GD66" t="s">
        <v>511</v>
      </c>
    </row>
    <row r="67" spans="1:186" x14ac:dyDescent="0.25">
      <c r="A67" s="1">
        <v>46133.56622429398</v>
      </c>
      <c r="B67" s="1">
        <v>46133.591746655089</v>
      </c>
      <c r="C67" t="s">
        <v>178</v>
      </c>
      <c r="D67">
        <v>66</v>
      </c>
      <c r="E67">
        <v>66</v>
      </c>
      <c r="F67" t="b">
        <f t="shared" ref="F67:F130" si="1">E67=D67</f>
        <v>1</v>
      </c>
      <c r="G67" s="1">
        <v>46131</v>
      </c>
      <c r="H67">
        <v>2</v>
      </c>
      <c r="I67" t="s">
        <v>452</v>
      </c>
      <c r="J67" t="s">
        <v>451</v>
      </c>
      <c r="K67" t="s">
        <v>554</v>
      </c>
      <c r="L67" t="s">
        <v>555</v>
      </c>
      <c r="M67" t="s">
        <v>181</v>
      </c>
      <c r="N67" t="s">
        <v>182</v>
      </c>
      <c r="O67">
        <v>12</v>
      </c>
      <c r="P67" t="s">
        <v>183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222</v>
      </c>
      <c r="W67">
        <v>60</v>
      </c>
      <c r="X67" t="s">
        <v>181</v>
      </c>
      <c r="Z67" t="s">
        <v>270</v>
      </c>
      <c r="AB67" t="s">
        <v>186</v>
      </c>
      <c r="AC67" t="s">
        <v>209</v>
      </c>
      <c r="AD67" t="s">
        <v>210</v>
      </c>
      <c r="AE67" t="s">
        <v>265</v>
      </c>
      <c r="AF67" t="s">
        <v>190</v>
      </c>
      <c r="AW67" t="s">
        <v>420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 t="s">
        <v>556</v>
      </c>
      <c r="BK67" t="s">
        <v>224</v>
      </c>
      <c r="BL67" t="s">
        <v>192</v>
      </c>
      <c r="BM67">
        <v>0</v>
      </c>
      <c r="BN67">
        <v>1</v>
      </c>
      <c r="BO67">
        <v>1</v>
      </c>
      <c r="BP67">
        <v>0</v>
      </c>
      <c r="BQ67">
        <v>0</v>
      </c>
      <c r="BR67" t="s">
        <v>212</v>
      </c>
      <c r="BS67" t="s">
        <v>194</v>
      </c>
      <c r="BT67" t="s">
        <v>194</v>
      </c>
      <c r="BU67" t="s">
        <v>194</v>
      </c>
      <c r="CD67" t="s">
        <v>194</v>
      </c>
      <c r="CZ67" t="s">
        <v>181</v>
      </c>
      <c r="DA67" t="s">
        <v>199</v>
      </c>
      <c r="DB67" t="s">
        <v>194</v>
      </c>
      <c r="DD67" t="s">
        <v>194</v>
      </c>
      <c r="DF67" t="s">
        <v>194</v>
      </c>
      <c r="DH67" t="s">
        <v>194</v>
      </c>
      <c r="DJ67" t="s">
        <v>194</v>
      </c>
      <c r="DL67" t="s">
        <v>181</v>
      </c>
      <c r="DM67" t="s">
        <v>197</v>
      </c>
      <c r="DN67" t="s">
        <v>181</v>
      </c>
      <c r="DO67" t="s">
        <v>199</v>
      </c>
      <c r="DP67" t="s">
        <v>194</v>
      </c>
      <c r="DR67" t="s">
        <v>194</v>
      </c>
      <c r="DT67" t="s">
        <v>194</v>
      </c>
      <c r="DV67" t="s">
        <v>181</v>
      </c>
      <c r="DW67" t="s">
        <v>199</v>
      </c>
      <c r="DX67" t="s">
        <v>194</v>
      </c>
      <c r="DZ67" t="s">
        <v>194</v>
      </c>
      <c r="EB67" t="s">
        <v>194</v>
      </c>
      <c r="ED67" t="s">
        <v>181</v>
      </c>
      <c r="EE67" t="s">
        <v>199</v>
      </c>
      <c r="EF67" t="s">
        <v>194</v>
      </c>
      <c r="EI67" t="s">
        <v>181</v>
      </c>
      <c r="EJ67" t="s">
        <v>197</v>
      </c>
      <c r="EK67" t="s">
        <v>194</v>
      </c>
      <c r="EM67" t="s">
        <v>181</v>
      </c>
      <c r="EN67" t="s">
        <v>181</v>
      </c>
      <c r="EO67" t="s">
        <v>250</v>
      </c>
      <c r="EP67" t="s">
        <v>181</v>
      </c>
      <c r="EQ67" t="s">
        <v>194</v>
      </c>
      <c r="ES67" t="s">
        <v>194</v>
      </c>
      <c r="EV67" t="s">
        <v>181</v>
      </c>
      <c r="EW67" t="s">
        <v>181</v>
      </c>
      <c r="EX67" t="s">
        <v>250</v>
      </c>
      <c r="EY67" t="s">
        <v>181</v>
      </c>
      <c r="EZ67" t="s">
        <v>194</v>
      </c>
      <c r="FB67" t="s">
        <v>194</v>
      </c>
      <c r="FE67" t="s">
        <v>181</v>
      </c>
      <c r="FF67" t="s">
        <v>181</v>
      </c>
      <c r="FG67" t="s">
        <v>250</v>
      </c>
      <c r="FH67" t="s">
        <v>181</v>
      </c>
      <c r="FI67" t="s">
        <v>181</v>
      </c>
      <c r="FJ67" t="s">
        <v>250</v>
      </c>
      <c r="FK67" t="s">
        <v>181</v>
      </c>
      <c r="FL67" t="s">
        <v>181</v>
      </c>
      <c r="FM67" t="s">
        <v>250</v>
      </c>
      <c r="FN67" t="s">
        <v>181</v>
      </c>
      <c r="FO67" t="s">
        <v>181</v>
      </c>
      <c r="FP67" t="s">
        <v>250</v>
      </c>
      <c r="FR67" t="s">
        <v>287</v>
      </c>
      <c r="FS67" t="s">
        <v>218</v>
      </c>
      <c r="FT67" t="s">
        <v>1067</v>
      </c>
      <c r="FU67" t="s">
        <v>238</v>
      </c>
      <c r="FV67" t="s">
        <v>239</v>
      </c>
      <c r="FW67" t="s">
        <v>238</v>
      </c>
      <c r="FX67" t="s">
        <v>1049</v>
      </c>
      <c r="FY67" t="s">
        <v>238</v>
      </c>
      <c r="FZ67" t="s">
        <v>1055</v>
      </c>
      <c r="GA67" t="s">
        <v>242</v>
      </c>
      <c r="GB67" t="s">
        <v>1040</v>
      </c>
      <c r="GC67" t="s">
        <v>202</v>
      </c>
    </row>
    <row r="68" spans="1:186" hidden="1" x14ac:dyDescent="0.25">
      <c r="A68" s="1">
        <v>46133.591747407409</v>
      </c>
      <c r="B68" s="1">
        <v>46133.597099930557</v>
      </c>
      <c r="C68" t="s">
        <v>178</v>
      </c>
      <c r="D68">
        <v>67</v>
      </c>
      <c r="E68">
        <v>67</v>
      </c>
      <c r="F68" t="b">
        <f t="shared" si="1"/>
        <v>1</v>
      </c>
      <c r="G68" s="1">
        <v>46131</v>
      </c>
      <c r="H68">
        <v>2</v>
      </c>
      <c r="I68" t="s">
        <v>518</v>
      </c>
      <c r="J68" t="s">
        <v>451</v>
      </c>
      <c r="K68" t="s">
        <v>570</v>
      </c>
      <c r="L68" t="s">
        <v>571</v>
      </c>
      <c r="M68" t="s">
        <v>181</v>
      </c>
      <c r="N68" t="s">
        <v>182</v>
      </c>
      <c r="O68">
        <v>34</v>
      </c>
      <c r="P68" t="s">
        <v>183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184</v>
      </c>
      <c r="W68">
        <v>68</v>
      </c>
      <c r="X68" t="s">
        <v>181</v>
      </c>
      <c r="Z68" t="s">
        <v>185</v>
      </c>
      <c r="AB68" t="s">
        <v>186</v>
      </c>
      <c r="AC68" t="s">
        <v>257</v>
      </c>
      <c r="AD68" t="s">
        <v>188</v>
      </c>
      <c r="AE68" t="s">
        <v>265</v>
      </c>
      <c r="AF68" t="s">
        <v>224</v>
      </c>
      <c r="AG68" t="s">
        <v>388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BK68" t="s">
        <v>224</v>
      </c>
      <c r="BL68" t="s">
        <v>192</v>
      </c>
      <c r="BM68">
        <v>0</v>
      </c>
      <c r="BN68">
        <v>1</v>
      </c>
      <c r="BO68">
        <v>1</v>
      </c>
      <c r="BP68">
        <v>0</v>
      </c>
      <c r="BQ68">
        <v>0</v>
      </c>
      <c r="BR68" t="s">
        <v>212</v>
      </c>
      <c r="BS68" t="s">
        <v>194</v>
      </c>
      <c r="BT68" t="s">
        <v>194</v>
      </c>
      <c r="BU68" t="s">
        <v>181</v>
      </c>
      <c r="BV68" t="s">
        <v>213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D68" t="s">
        <v>194</v>
      </c>
      <c r="CZ68" t="s">
        <v>194</v>
      </c>
      <c r="DB68" t="s">
        <v>194</v>
      </c>
      <c r="DD68" t="s">
        <v>181</v>
      </c>
      <c r="DE68" t="s">
        <v>197</v>
      </c>
      <c r="DF68" t="s">
        <v>181</v>
      </c>
      <c r="DG68" t="s">
        <v>197</v>
      </c>
      <c r="DH68" t="s">
        <v>194</v>
      </c>
      <c r="DJ68" t="s">
        <v>181</v>
      </c>
      <c r="DK68" t="s">
        <v>197</v>
      </c>
      <c r="DL68" t="s">
        <v>181</v>
      </c>
      <c r="DM68" t="s">
        <v>197</v>
      </c>
      <c r="DN68" t="s">
        <v>181</v>
      </c>
      <c r="DO68" t="s">
        <v>197</v>
      </c>
      <c r="DP68" t="s">
        <v>194</v>
      </c>
      <c r="DR68" t="s">
        <v>194</v>
      </c>
      <c r="DT68" t="s">
        <v>194</v>
      </c>
      <c r="DV68" t="s">
        <v>194</v>
      </c>
      <c r="DX68" t="s">
        <v>194</v>
      </c>
      <c r="DZ68" t="s">
        <v>181</v>
      </c>
      <c r="EA68" t="s">
        <v>197</v>
      </c>
      <c r="EB68" t="s">
        <v>194</v>
      </c>
      <c r="ED68" t="s">
        <v>194</v>
      </c>
      <c r="EF68" t="s">
        <v>194</v>
      </c>
      <c r="EI68" t="s">
        <v>181</v>
      </c>
      <c r="EJ68" t="s">
        <v>199</v>
      </c>
      <c r="EK68" t="s">
        <v>181</v>
      </c>
      <c r="EM68" t="s">
        <v>181</v>
      </c>
      <c r="EN68" t="s">
        <v>194</v>
      </c>
      <c r="EP68" t="s">
        <v>181</v>
      </c>
      <c r="EQ68" t="s">
        <v>194</v>
      </c>
      <c r="ES68" t="s">
        <v>194</v>
      </c>
      <c r="EV68" t="s">
        <v>194</v>
      </c>
      <c r="EY68" t="s">
        <v>181</v>
      </c>
      <c r="EZ68" t="s">
        <v>181</v>
      </c>
      <c r="FA68" t="s">
        <v>250</v>
      </c>
      <c r="FB68" t="s">
        <v>194</v>
      </c>
      <c r="FE68" t="s">
        <v>181</v>
      </c>
      <c r="FF68" t="s">
        <v>181</v>
      </c>
      <c r="FG68" t="s">
        <v>229</v>
      </c>
      <c r="FH68" t="s">
        <v>181</v>
      </c>
      <c r="FI68" t="s">
        <v>181</v>
      </c>
      <c r="FJ68" t="s">
        <v>250</v>
      </c>
      <c r="FK68" t="s">
        <v>194</v>
      </c>
      <c r="FN68" t="s">
        <v>194</v>
      </c>
      <c r="FR68" t="s">
        <v>1035</v>
      </c>
      <c r="FU68" t="s">
        <v>194</v>
      </c>
      <c r="GC68" t="s">
        <v>232</v>
      </c>
    </row>
    <row r="69" spans="1:186" hidden="1" x14ac:dyDescent="0.25">
      <c r="A69" s="1">
        <v>46133.597100567131</v>
      </c>
      <c r="B69" s="1">
        <v>46133.60143185185</v>
      </c>
      <c r="C69" t="s">
        <v>178</v>
      </c>
      <c r="D69">
        <v>68</v>
      </c>
      <c r="E69">
        <v>68</v>
      </c>
      <c r="F69" t="b">
        <f t="shared" si="1"/>
        <v>1</v>
      </c>
      <c r="G69" s="1">
        <v>46131</v>
      </c>
      <c r="H69">
        <v>2</v>
      </c>
      <c r="I69" t="s">
        <v>452</v>
      </c>
      <c r="J69" t="s">
        <v>451</v>
      </c>
      <c r="K69" t="s">
        <v>582</v>
      </c>
      <c r="L69" t="s">
        <v>583</v>
      </c>
      <c r="M69" t="s">
        <v>181</v>
      </c>
      <c r="N69" t="s">
        <v>182</v>
      </c>
      <c r="O69">
        <v>25</v>
      </c>
      <c r="P69" t="s">
        <v>183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184</v>
      </c>
      <c r="W69">
        <v>60</v>
      </c>
      <c r="X69" t="s">
        <v>181</v>
      </c>
      <c r="Z69" t="s">
        <v>185</v>
      </c>
      <c r="AB69" t="s">
        <v>223</v>
      </c>
      <c r="AC69" t="s">
        <v>257</v>
      </c>
      <c r="AD69" t="s">
        <v>188</v>
      </c>
      <c r="AE69" t="s">
        <v>265</v>
      </c>
      <c r="AF69" t="s">
        <v>224</v>
      </c>
      <c r="AG69" t="s">
        <v>584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 t="s">
        <v>510</v>
      </c>
      <c r="BK69" t="s">
        <v>248</v>
      </c>
      <c r="BL69" t="s">
        <v>249</v>
      </c>
      <c r="BM69">
        <v>0</v>
      </c>
      <c r="BN69">
        <v>1</v>
      </c>
      <c r="BO69">
        <v>1</v>
      </c>
      <c r="BP69">
        <v>1</v>
      </c>
      <c r="BQ69">
        <v>0</v>
      </c>
      <c r="BR69" t="s">
        <v>212</v>
      </c>
      <c r="BS69" t="s">
        <v>194</v>
      </c>
      <c r="BT69" t="s">
        <v>181</v>
      </c>
      <c r="BU69" t="s">
        <v>194</v>
      </c>
      <c r="CD69" t="s">
        <v>194</v>
      </c>
      <c r="CZ69" t="s">
        <v>181</v>
      </c>
      <c r="DA69" t="s">
        <v>215</v>
      </c>
      <c r="DB69" t="s">
        <v>194</v>
      </c>
      <c r="DD69" t="s">
        <v>181</v>
      </c>
      <c r="DE69" t="s">
        <v>215</v>
      </c>
      <c r="DF69" t="s">
        <v>181</v>
      </c>
      <c r="DG69" t="s">
        <v>215</v>
      </c>
      <c r="DH69" t="s">
        <v>194</v>
      </c>
      <c r="DJ69" t="s">
        <v>194</v>
      </c>
      <c r="DL69" t="s">
        <v>181</v>
      </c>
      <c r="DM69" t="s">
        <v>197</v>
      </c>
      <c r="DN69" t="s">
        <v>181</v>
      </c>
      <c r="DO69" t="s">
        <v>199</v>
      </c>
      <c r="DP69" t="s">
        <v>194</v>
      </c>
      <c r="DR69" t="s">
        <v>194</v>
      </c>
      <c r="DT69" t="s">
        <v>194</v>
      </c>
      <c r="DV69" t="s">
        <v>181</v>
      </c>
      <c r="DW69" t="s">
        <v>197</v>
      </c>
      <c r="DX69" t="s">
        <v>181</v>
      </c>
      <c r="DY69" t="s">
        <v>197</v>
      </c>
      <c r="DZ69" t="s">
        <v>194</v>
      </c>
      <c r="EB69" t="s">
        <v>194</v>
      </c>
      <c r="ED69" t="s">
        <v>194</v>
      </c>
      <c r="EF69" t="s">
        <v>181</v>
      </c>
      <c r="EG69" t="s">
        <v>585</v>
      </c>
      <c r="EH69" t="s">
        <v>215</v>
      </c>
      <c r="EI69" t="s">
        <v>181</v>
      </c>
      <c r="EJ69" t="s">
        <v>215</v>
      </c>
      <c r="EK69" t="s">
        <v>181</v>
      </c>
      <c r="EM69" t="s">
        <v>181</v>
      </c>
      <c r="EN69" t="s">
        <v>194</v>
      </c>
      <c r="EP69" t="s">
        <v>181</v>
      </c>
      <c r="EQ69" t="s">
        <v>194</v>
      </c>
      <c r="ES69" t="s">
        <v>181</v>
      </c>
      <c r="ET69" t="s">
        <v>194</v>
      </c>
      <c r="EV69" t="s">
        <v>181</v>
      </c>
      <c r="EW69" t="s">
        <v>194</v>
      </c>
      <c r="EY69" t="s">
        <v>181</v>
      </c>
      <c r="EZ69" t="s">
        <v>194</v>
      </c>
      <c r="FB69" t="s">
        <v>194</v>
      </c>
      <c r="FE69" t="s">
        <v>181</v>
      </c>
      <c r="FF69" t="s">
        <v>181</v>
      </c>
      <c r="FG69" t="s">
        <v>250</v>
      </c>
      <c r="FH69" t="s">
        <v>181</v>
      </c>
      <c r="FI69" t="s">
        <v>194</v>
      </c>
      <c r="FK69" t="s">
        <v>181</v>
      </c>
      <c r="FL69" t="s">
        <v>194</v>
      </c>
      <c r="FN69" t="s">
        <v>194</v>
      </c>
      <c r="FR69" t="s">
        <v>986</v>
      </c>
      <c r="FS69" t="s">
        <v>287</v>
      </c>
      <c r="FU69" t="s">
        <v>238</v>
      </c>
      <c r="FV69" t="s">
        <v>239</v>
      </c>
      <c r="FW69" t="s">
        <v>238</v>
      </c>
      <c r="FX69" t="s">
        <v>1068</v>
      </c>
      <c r="FY69" t="s">
        <v>241</v>
      </c>
      <c r="GA69" t="s">
        <v>242</v>
      </c>
      <c r="GB69" t="s">
        <v>1070</v>
      </c>
      <c r="GC69" t="s">
        <v>232</v>
      </c>
    </row>
    <row r="70" spans="1:186" hidden="1" x14ac:dyDescent="0.25">
      <c r="A70" s="1">
        <v>46133.601432407413</v>
      </c>
      <c r="B70" s="1">
        <v>46133.606187337973</v>
      </c>
      <c r="C70" t="s">
        <v>178</v>
      </c>
      <c r="D70">
        <v>69</v>
      </c>
      <c r="E70">
        <v>69</v>
      </c>
      <c r="F70" t="b">
        <f t="shared" si="1"/>
        <v>1</v>
      </c>
      <c r="G70" s="1">
        <v>46131</v>
      </c>
      <c r="H70">
        <v>2</v>
      </c>
      <c r="I70" t="s">
        <v>518</v>
      </c>
      <c r="J70" t="s">
        <v>451</v>
      </c>
      <c r="K70" t="s">
        <v>595</v>
      </c>
      <c r="L70" t="s">
        <v>596</v>
      </c>
      <c r="M70" t="s">
        <v>181</v>
      </c>
      <c r="N70" t="s">
        <v>246</v>
      </c>
      <c r="O70">
        <v>3</v>
      </c>
      <c r="P70" t="s">
        <v>183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222</v>
      </c>
      <c r="W70">
        <v>53</v>
      </c>
      <c r="X70" t="s">
        <v>181</v>
      </c>
      <c r="Z70" t="s">
        <v>185</v>
      </c>
      <c r="AB70" t="s">
        <v>186</v>
      </c>
      <c r="AC70" t="s">
        <v>257</v>
      </c>
      <c r="AD70" t="s">
        <v>210</v>
      </c>
      <c r="AE70" t="s">
        <v>265</v>
      </c>
      <c r="AF70" t="s">
        <v>224</v>
      </c>
      <c r="AG70" t="s">
        <v>236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BK70" t="s">
        <v>224</v>
      </c>
      <c r="BL70" t="s">
        <v>192</v>
      </c>
      <c r="BM70">
        <v>0</v>
      </c>
      <c r="BN70">
        <v>1</v>
      </c>
      <c r="BO70">
        <v>1</v>
      </c>
      <c r="BP70">
        <v>0</v>
      </c>
      <c r="BQ70">
        <v>0</v>
      </c>
      <c r="BR70" t="s">
        <v>212</v>
      </c>
      <c r="BS70" t="s">
        <v>194</v>
      </c>
      <c r="BT70" t="s">
        <v>194</v>
      </c>
      <c r="BU70" t="s">
        <v>194</v>
      </c>
      <c r="CD70" t="s">
        <v>194</v>
      </c>
      <c r="CZ70" t="s">
        <v>194</v>
      </c>
      <c r="DB70" t="s">
        <v>181</v>
      </c>
      <c r="DC70" t="s">
        <v>199</v>
      </c>
      <c r="DD70" t="s">
        <v>181</v>
      </c>
      <c r="DE70" t="s">
        <v>199</v>
      </c>
      <c r="DF70" t="s">
        <v>181</v>
      </c>
      <c r="DG70" t="s">
        <v>199</v>
      </c>
      <c r="DH70" t="s">
        <v>194</v>
      </c>
      <c r="DJ70" t="s">
        <v>194</v>
      </c>
      <c r="DL70" t="s">
        <v>181</v>
      </c>
      <c r="DM70" t="s">
        <v>215</v>
      </c>
      <c r="DN70" t="s">
        <v>194</v>
      </c>
      <c r="DP70" t="s">
        <v>194</v>
      </c>
      <c r="DR70" t="s">
        <v>194</v>
      </c>
      <c r="DT70" t="s">
        <v>194</v>
      </c>
      <c r="DV70" t="s">
        <v>181</v>
      </c>
      <c r="DW70" t="s">
        <v>215</v>
      </c>
      <c r="DX70" t="s">
        <v>194</v>
      </c>
      <c r="DZ70" t="s">
        <v>181</v>
      </c>
      <c r="EA70" t="s">
        <v>215</v>
      </c>
      <c r="EB70" t="s">
        <v>194</v>
      </c>
      <c r="ED70" t="s">
        <v>194</v>
      </c>
      <c r="EF70" t="s">
        <v>194</v>
      </c>
      <c r="EI70" t="s">
        <v>181</v>
      </c>
      <c r="EJ70" t="s">
        <v>199</v>
      </c>
      <c r="EK70" t="s">
        <v>181</v>
      </c>
      <c r="EM70" t="s">
        <v>181</v>
      </c>
      <c r="EN70" t="s">
        <v>194</v>
      </c>
      <c r="EP70" t="s">
        <v>181</v>
      </c>
      <c r="EQ70" t="s">
        <v>194</v>
      </c>
      <c r="ES70" t="s">
        <v>194</v>
      </c>
      <c r="EV70" t="s">
        <v>181</v>
      </c>
      <c r="EW70" t="s">
        <v>194</v>
      </c>
      <c r="EY70" t="s">
        <v>194</v>
      </c>
      <c r="FB70" t="s">
        <v>194</v>
      </c>
      <c r="FE70" t="s">
        <v>181</v>
      </c>
      <c r="FF70" t="s">
        <v>181</v>
      </c>
      <c r="FG70" t="s">
        <v>250</v>
      </c>
      <c r="FH70" t="s">
        <v>181</v>
      </c>
      <c r="FI70" t="s">
        <v>181</v>
      </c>
      <c r="FJ70" t="s">
        <v>229</v>
      </c>
      <c r="FK70" t="s">
        <v>181</v>
      </c>
      <c r="FL70" t="s">
        <v>181</v>
      </c>
      <c r="FM70" t="s">
        <v>250</v>
      </c>
      <c r="FN70" t="s">
        <v>194</v>
      </c>
      <c r="FR70" t="s">
        <v>218</v>
      </c>
      <c r="FU70" t="s">
        <v>238</v>
      </c>
      <c r="FV70" t="s">
        <v>300</v>
      </c>
      <c r="FW70" t="s">
        <v>238</v>
      </c>
      <c r="FX70" t="s">
        <v>1050</v>
      </c>
      <c r="FY70" t="s">
        <v>238</v>
      </c>
      <c r="FZ70" t="s">
        <v>930</v>
      </c>
      <c r="GA70" t="s">
        <v>194</v>
      </c>
      <c r="GB70" t="s">
        <v>1041</v>
      </c>
      <c r="GC70" t="s">
        <v>373</v>
      </c>
    </row>
    <row r="71" spans="1:186" hidden="1" x14ac:dyDescent="0.25">
      <c r="A71" s="1">
        <v>46133.606187939811</v>
      </c>
      <c r="B71" s="1">
        <v>46133.623971273148</v>
      </c>
      <c r="C71" t="s">
        <v>178</v>
      </c>
      <c r="D71">
        <v>70</v>
      </c>
      <c r="E71">
        <v>70</v>
      </c>
      <c r="F71" t="b">
        <f t="shared" si="1"/>
        <v>1</v>
      </c>
      <c r="G71" s="1">
        <v>46131</v>
      </c>
      <c r="H71">
        <v>2</v>
      </c>
      <c r="I71" t="s">
        <v>452</v>
      </c>
      <c r="J71" t="s">
        <v>451</v>
      </c>
      <c r="K71" t="s">
        <v>603</v>
      </c>
      <c r="L71" t="s">
        <v>604</v>
      </c>
      <c r="M71" t="s">
        <v>181</v>
      </c>
      <c r="N71" t="s">
        <v>182</v>
      </c>
      <c r="O71">
        <v>42</v>
      </c>
      <c r="P71" t="s">
        <v>183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184</v>
      </c>
      <c r="W71">
        <v>63</v>
      </c>
      <c r="X71" t="s">
        <v>181</v>
      </c>
      <c r="Z71" t="s">
        <v>185</v>
      </c>
      <c r="AB71" t="s">
        <v>223</v>
      </c>
      <c r="AC71" t="s">
        <v>257</v>
      </c>
      <c r="AD71" t="s">
        <v>210</v>
      </c>
      <c r="AE71" t="s">
        <v>265</v>
      </c>
      <c r="AF71" t="s">
        <v>190</v>
      </c>
      <c r="AW71" t="s">
        <v>605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0</v>
      </c>
      <c r="BG71">
        <v>0</v>
      </c>
      <c r="BH71" t="s">
        <v>1059</v>
      </c>
      <c r="BK71" t="s">
        <v>190</v>
      </c>
      <c r="BL71" t="s">
        <v>606</v>
      </c>
      <c r="BM71">
        <v>0</v>
      </c>
      <c r="BN71">
        <v>1</v>
      </c>
      <c r="BO71">
        <v>0</v>
      </c>
      <c r="BP71">
        <v>1</v>
      </c>
      <c r="BQ71">
        <v>0</v>
      </c>
      <c r="BR71" t="s">
        <v>227</v>
      </c>
      <c r="BS71" t="s">
        <v>181</v>
      </c>
      <c r="BT71" t="s">
        <v>181</v>
      </c>
      <c r="BU71" t="s">
        <v>181</v>
      </c>
      <c r="BV71" t="s">
        <v>607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D71" t="s">
        <v>194</v>
      </c>
      <c r="CZ71" t="s">
        <v>181</v>
      </c>
      <c r="DA71" t="s">
        <v>199</v>
      </c>
      <c r="DB71" t="s">
        <v>181</v>
      </c>
      <c r="DC71" t="s">
        <v>199</v>
      </c>
      <c r="DD71" t="s">
        <v>181</v>
      </c>
      <c r="DE71" t="s">
        <v>215</v>
      </c>
      <c r="DF71" t="s">
        <v>181</v>
      </c>
      <c r="DG71" t="s">
        <v>215</v>
      </c>
      <c r="DH71" t="s">
        <v>194</v>
      </c>
      <c r="DJ71" t="s">
        <v>181</v>
      </c>
      <c r="DK71" t="s">
        <v>197</v>
      </c>
      <c r="DL71" t="s">
        <v>181</v>
      </c>
      <c r="DM71" t="s">
        <v>199</v>
      </c>
      <c r="DN71" t="s">
        <v>181</v>
      </c>
      <c r="DO71" t="s">
        <v>215</v>
      </c>
      <c r="DP71" t="s">
        <v>181</v>
      </c>
      <c r="DQ71" t="s">
        <v>199</v>
      </c>
      <c r="DR71" t="s">
        <v>181</v>
      </c>
      <c r="DS71" t="s">
        <v>199</v>
      </c>
      <c r="DT71" t="s">
        <v>181</v>
      </c>
      <c r="DU71" t="s">
        <v>199</v>
      </c>
      <c r="DV71" t="s">
        <v>181</v>
      </c>
      <c r="DW71" t="s">
        <v>199</v>
      </c>
      <c r="DX71" t="s">
        <v>181</v>
      </c>
      <c r="DY71" t="s">
        <v>197</v>
      </c>
      <c r="DZ71" t="s">
        <v>181</v>
      </c>
      <c r="EA71" t="s">
        <v>215</v>
      </c>
      <c r="EB71" t="s">
        <v>194</v>
      </c>
      <c r="ED71" t="s">
        <v>181</v>
      </c>
      <c r="EE71" t="s">
        <v>199</v>
      </c>
      <c r="EF71" t="s">
        <v>181</v>
      </c>
      <c r="EG71" t="s">
        <v>608</v>
      </c>
      <c r="EH71" t="s">
        <v>215</v>
      </c>
      <c r="EI71" t="s">
        <v>181</v>
      </c>
      <c r="EJ71" t="s">
        <v>215</v>
      </c>
      <c r="EK71" t="s">
        <v>181</v>
      </c>
      <c r="EM71" t="s">
        <v>181</v>
      </c>
      <c r="EN71" t="s">
        <v>194</v>
      </c>
      <c r="EP71" t="s">
        <v>181</v>
      </c>
      <c r="EQ71" t="s">
        <v>194</v>
      </c>
      <c r="ES71" t="s">
        <v>181</v>
      </c>
      <c r="ET71" t="s">
        <v>194</v>
      </c>
      <c r="EV71" t="s">
        <v>181</v>
      </c>
      <c r="EW71" t="s">
        <v>181</v>
      </c>
      <c r="EX71" t="s">
        <v>250</v>
      </c>
      <c r="EY71" t="s">
        <v>181</v>
      </c>
      <c r="EZ71" t="s">
        <v>194</v>
      </c>
      <c r="FB71" t="s">
        <v>194</v>
      </c>
      <c r="FE71" t="s">
        <v>181</v>
      </c>
      <c r="FF71" t="s">
        <v>181</v>
      </c>
      <c r="FG71" t="s">
        <v>250</v>
      </c>
      <c r="FH71" t="s">
        <v>194</v>
      </c>
      <c r="FK71" t="s">
        <v>181</v>
      </c>
      <c r="FL71" t="s">
        <v>194</v>
      </c>
      <c r="FN71" t="s">
        <v>194</v>
      </c>
      <c r="FR71" t="s">
        <v>1036</v>
      </c>
      <c r="FU71" t="s">
        <v>238</v>
      </c>
      <c r="FV71" t="s">
        <v>383</v>
      </c>
      <c r="FW71" t="s">
        <v>241</v>
      </c>
      <c r="FX71" t="s">
        <v>1051</v>
      </c>
      <c r="FY71" t="s">
        <v>238</v>
      </c>
      <c r="FZ71" t="s">
        <v>1056</v>
      </c>
      <c r="GA71" t="s">
        <v>242</v>
      </c>
      <c r="GB71" t="s">
        <v>1042</v>
      </c>
      <c r="GC71" t="s">
        <v>312</v>
      </c>
    </row>
    <row r="72" spans="1:186" hidden="1" x14ac:dyDescent="0.25">
      <c r="A72" s="1">
        <v>46133.623972187503</v>
      </c>
      <c r="B72" s="1">
        <v>46133.629998460638</v>
      </c>
      <c r="C72" t="s">
        <v>178</v>
      </c>
      <c r="D72">
        <v>71</v>
      </c>
      <c r="E72">
        <v>71</v>
      </c>
      <c r="F72" t="b">
        <f t="shared" si="1"/>
        <v>1</v>
      </c>
      <c r="G72" s="1">
        <v>46131</v>
      </c>
      <c r="H72">
        <v>2</v>
      </c>
      <c r="I72" t="s">
        <v>518</v>
      </c>
      <c r="J72" t="s">
        <v>451</v>
      </c>
      <c r="K72" t="s">
        <v>615</v>
      </c>
      <c r="L72" t="s">
        <v>616</v>
      </c>
      <c r="M72" t="s">
        <v>181</v>
      </c>
      <c r="N72" t="s">
        <v>182</v>
      </c>
      <c r="O72">
        <v>30</v>
      </c>
      <c r="P72" t="s">
        <v>183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222</v>
      </c>
      <c r="W72">
        <v>52</v>
      </c>
      <c r="X72" t="s">
        <v>181</v>
      </c>
      <c r="Z72" t="s">
        <v>185</v>
      </c>
      <c r="AB72" t="s">
        <v>186</v>
      </c>
      <c r="AC72" t="s">
        <v>257</v>
      </c>
      <c r="AD72" t="s">
        <v>188</v>
      </c>
      <c r="AE72" t="s">
        <v>189</v>
      </c>
      <c r="AF72" t="s">
        <v>224</v>
      </c>
      <c r="AG72" t="s">
        <v>617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BK72" t="s">
        <v>224</v>
      </c>
      <c r="BL72" t="s">
        <v>192</v>
      </c>
      <c r="BM72">
        <v>0</v>
      </c>
      <c r="BN72">
        <v>1</v>
      </c>
      <c r="BO72">
        <v>1</v>
      </c>
      <c r="BP72">
        <v>0</v>
      </c>
      <c r="BQ72">
        <v>0</v>
      </c>
      <c r="BR72" t="s">
        <v>212</v>
      </c>
      <c r="BS72" t="s">
        <v>194</v>
      </c>
      <c r="BT72" t="s">
        <v>181</v>
      </c>
      <c r="BU72" t="s">
        <v>194</v>
      </c>
      <c r="CD72" t="s">
        <v>194</v>
      </c>
      <c r="CZ72" t="s">
        <v>181</v>
      </c>
      <c r="DA72" t="s">
        <v>215</v>
      </c>
      <c r="DB72" t="s">
        <v>194</v>
      </c>
      <c r="DD72" t="s">
        <v>181</v>
      </c>
      <c r="DE72" t="s">
        <v>215</v>
      </c>
      <c r="DF72" t="s">
        <v>181</v>
      </c>
      <c r="DG72" t="s">
        <v>215</v>
      </c>
      <c r="DH72" t="s">
        <v>194</v>
      </c>
      <c r="DJ72" t="s">
        <v>194</v>
      </c>
      <c r="DL72" t="s">
        <v>194</v>
      </c>
      <c r="DN72" t="s">
        <v>194</v>
      </c>
      <c r="DP72" t="s">
        <v>194</v>
      </c>
      <c r="DR72" t="s">
        <v>194</v>
      </c>
      <c r="DT72" t="s">
        <v>194</v>
      </c>
      <c r="DV72" t="s">
        <v>194</v>
      </c>
      <c r="DX72" t="s">
        <v>194</v>
      </c>
      <c r="DZ72" t="s">
        <v>194</v>
      </c>
      <c r="EB72" t="s">
        <v>194</v>
      </c>
      <c r="ED72" t="s">
        <v>194</v>
      </c>
      <c r="EF72" t="s">
        <v>194</v>
      </c>
      <c r="EI72" t="s">
        <v>181</v>
      </c>
      <c r="EJ72" t="s">
        <v>199</v>
      </c>
      <c r="EK72" t="s">
        <v>181</v>
      </c>
      <c r="EM72" t="s">
        <v>181</v>
      </c>
      <c r="EN72" t="s">
        <v>194</v>
      </c>
      <c r="EP72" t="s">
        <v>181</v>
      </c>
      <c r="EQ72" t="s">
        <v>194</v>
      </c>
      <c r="ES72" t="s">
        <v>194</v>
      </c>
      <c r="EV72" t="s">
        <v>181</v>
      </c>
      <c r="EW72" t="s">
        <v>194</v>
      </c>
      <c r="EY72" t="s">
        <v>181</v>
      </c>
      <c r="EZ72" t="s">
        <v>194</v>
      </c>
      <c r="FB72" t="s">
        <v>194</v>
      </c>
      <c r="FE72" t="s">
        <v>181</v>
      </c>
      <c r="FF72" t="s">
        <v>181</v>
      </c>
      <c r="FG72" t="s">
        <v>250</v>
      </c>
      <c r="FH72" t="s">
        <v>181</v>
      </c>
      <c r="FI72" t="s">
        <v>181</v>
      </c>
      <c r="FJ72" t="s">
        <v>250</v>
      </c>
      <c r="FK72" t="s">
        <v>194</v>
      </c>
      <c r="FN72" t="s">
        <v>194</v>
      </c>
      <c r="FR72" t="s">
        <v>1035</v>
      </c>
      <c r="FU72" t="s">
        <v>238</v>
      </c>
      <c r="FV72" t="s">
        <v>300</v>
      </c>
      <c r="FW72" t="s">
        <v>241</v>
      </c>
      <c r="FX72" t="s">
        <v>1052</v>
      </c>
      <c r="FY72" t="s">
        <v>238</v>
      </c>
      <c r="FZ72" t="s">
        <v>930</v>
      </c>
      <c r="GA72" t="s">
        <v>242</v>
      </c>
      <c r="GB72" t="s">
        <v>1043</v>
      </c>
      <c r="GC72" t="s">
        <v>853</v>
      </c>
    </row>
    <row r="73" spans="1:186" x14ac:dyDescent="0.25">
      <c r="A73" s="1">
        <v>46133.629999050929</v>
      </c>
      <c r="B73" s="1">
        <v>46133.636347395834</v>
      </c>
      <c r="C73" t="s">
        <v>178</v>
      </c>
      <c r="D73">
        <v>72</v>
      </c>
      <c r="E73">
        <v>72</v>
      </c>
      <c r="F73" t="b">
        <f t="shared" si="1"/>
        <v>1</v>
      </c>
      <c r="G73" s="1">
        <v>46131</v>
      </c>
      <c r="H73">
        <v>2</v>
      </c>
      <c r="I73" t="s">
        <v>452</v>
      </c>
      <c r="J73" t="s">
        <v>451</v>
      </c>
      <c r="K73" t="s">
        <v>625</v>
      </c>
      <c r="L73" t="s">
        <v>626</v>
      </c>
      <c r="M73" t="s">
        <v>181</v>
      </c>
      <c r="N73" t="s">
        <v>182</v>
      </c>
      <c r="O73">
        <v>18</v>
      </c>
      <c r="P73" t="s">
        <v>183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184</v>
      </c>
      <c r="W73">
        <v>38</v>
      </c>
      <c r="X73" t="s">
        <v>181</v>
      </c>
      <c r="Z73" t="s">
        <v>270</v>
      </c>
      <c r="AB73" t="s">
        <v>186</v>
      </c>
      <c r="AC73" t="s">
        <v>187</v>
      </c>
      <c r="AD73" t="s">
        <v>188</v>
      </c>
      <c r="AE73" t="s">
        <v>189</v>
      </c>
      <c r="AF73" t="s">
        <v>190</v>
      </c>
      <c r="AW73" t="s">
        <v>1063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 t="s">
        <v>1062</v>
      </c>
      <c r="BK73" t="s">
        <v>190</v>
      </c>
      <c r="BL73" t="s">
        <v>192</v>
      </c>
      <c r="BM73">
        <v>0</v>
      </c>
      <c r="BN73">
        <v>1</v>
      </c>
      <c r="BO73">
        <v>1</v>
      </c>
      <c r="BP73">
        <v>0</v>
      </c>
      <c r="BQ73">
        <v>0</v>
      </c>
      <c r="BR73" t="s">
        <v>227</v>
      </c>
      <c r="BS73" t="s">
        <v>194</v>
      </c>
      <c r="BT73" t="s">
        <v>181</v>
      </c>
      <c r="BU73" t="s">
        <v>194</v>
      </c>
      <c r="CD73" t="s">
        <v>194</v>
      </c>
      <c r="CZ73" t="s">
        <v>181</v>
      </c>
      <c r="DA73" t="s">
        <v>215</v>
      </c>
      <c r="DB73" t="s">
        <v>194</v>
      </c>
      <c r="DD73" t="s">
        <v>181</v>
      </c>
      <c r="DE73" t="s">
        <v>215</v>
      </c>
      <c r="DF73" t="s">
        <v>181</v>
      </c>
      <c r="DG73" t="s">
        <v>215</v>
      </c>
      <c r="DH73" t="s">
        <v>181</v>
      </c>
      <c r="DI73" t="s">
        <v>199</v>
      </c>
      <c r="DJ73" t="s">
        <v>194</v>
      </c>
      <c r="DL73" t="s">
        <v>181</v>
      </c>
      <c r="DM73" t="s">
        <v>215</v>
      </c>
      <c r="DN73" t="s">
        <v>181</v>
      </c>
      <c r="DO73" t="s">
        <v>197</v>
      </c>
      <c r="DP73" t="s">
        <v>181</v>
      </c>
      <c r="DQ73" t="s">
        <v>197</v>
      </c>
      <c r="DR73" t="s">
        <v>181</v>
      </c>
      <c r="DS73" t="s">
        <v>199</v>
      </c>
      <c r="DT73" t="s">
        <v>181</v>
      </c>
      <c r="DU73" t="s">
        <v>215</v>
      </c>
      <c r="DV73" t="s">
        <v>181</v>
      </c>
      <c r="DW73" t="s">
        <v>199</v>
      </c>
      <c r="DX73" t="s">
        <v>194</v>
      </c>
      <c r="DZ73" t="s">
        <v>181</v>
      </c>
      <c r="EA73" t="s">
        <v>215</v>
      </c>
      <c r="EB73" t="s">
        <v>194</v>
      </c>
      <c r="ED73" t="s">
        <v>194</v>
      </c>
      <c r="EF73" t="s">
        <v>181</v>
      </c>
      <c r="EG73" t="s">
        <v>1065</v>
      </c>
      <c r="EH73" t="s">
        <v>199</v>
      </c>
      <c r="EI73" t="s">
        <v>181</v>
      </c>
      <c r="EJ73" t="s">
        <v>215</v>
      </c>
      <c r="EK73" t="s">
        <v>181</v>
      </c>
      <c r="EM73" t="s">
        <v>194</v>
      </c>
      <c r="EP73" t="s">
        <v>194</v>
      </c>
      <c r="ES73" t="s">
        <v>194</v>
      </c>
      <c r="EV73" t="s">
        <v>181</v>
      </c>
      <c r="EW73" t="s">
        <v>194</v>
      </c>
      <c r="EY73" t="s">
        <v>194</v>
      </c>
      <c r="FB73" t="s">
        <v>194</v>
      </c>
      <c r="FE73" t="s">
        <v>181</v>
      </c>
      <c r="FF73" t="s">
        <v>181</v>
      </c>
      <c r="FG73" t="s">
        <v>250</v>
      </c>
      <c r="FH73" t="s">
        <v>181</v>
      </c>
      <c r="FI73" t="s">
        <v>194</v>
      </c>
      <c r="FK73" t="s">
        <v>181</v>
      </c>
      <c r="FL73" t="s">
        <v>181</v>
      </c>
      <c r="FM73" t="s">
        <v>250</v>
      </c>
      <c r="FN73" t="s">
        <v>194</v>
      </c>
      <c r="FR73" t="s">
        <v>287</v>
      </c>
      <c r="FS73" t="s">
        <v>822</v>
      </c>
      <c r="FT73" t="s">
        <v>1161</v>
      </c>
      <c r="FU73" t="s">
        <v>194</v>
      </c>
      <c r="GC73" t="s">
        <v>232</v>
      </c>
      <c r="GD73" t="s">
        <v>627</v>
      </c>
    </row>
    <row r="74" spans="1:186" hidden="1" x14ac:dyDescent="0.25">
      <c r="A74" s="1">
        <v>46133.636348067128</v>
      </c>
      <c r="B74" s="1">
        <v>46133.640275821759</v>
      </c>
      <c r="C74" t="s">
        <v>178</v>
      </c>
      <c r="D74">
        <v>73</v>
      </c>
      <c r="E74">
        <v>73</v>
      </c>
      <c r="F74" t="b">
        <f t="shared" si="1"/>
        <v>1</v>
      </c>
      <c r="G74" s="1">
        <v>46131</v>
      </c>
      <c r="H74">
        <v>2</v>
      </c>
      <c r="I74" t="s">
        <v>518</v>
      </c>
      <c r="J74" t="s">
        <v>451</v>
      </c>
      <c r="K74" t="s">
        <v>634</v>
      </c>
      <c r="L74" t="s">
        <v>635</v>
      </c>
      <c r="M74" t="s">
        <v>181</v>
      </c>
      <c r="N74" t="s">
        <v>182</v>
      </c>
      <c r="O74">
        <v>20</v>
      </c>
      <c r="P74" t="s">
        <v>183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222</v>
      </c>
      <c r="W74">
        <v>49</v>
      </c>
      <c r="X74" t="s">
        <v>181</v>
      </c>
      <c r="Z74" t="s">
        <v>185</v>
      </c>
      <c r="AB74" t="s">
        <v>208</v>
      </c>
      <c r="AC74" t="s">
        <v>257</v>
      </c>
      <c r="AD74" t="s">
        <v>188</v>
      </c>
      <c r="AE74" t="s">
        <v>265</v>
      </c>
      <c r="AF74" t="s">
        <v>190</v>
      </c>
      <c r="AW74" t="s">
        <v>420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 t="s">
        <v>1060</v>
      </c>
      <c r="BK74" t="s">
        <v>190</v>
      </c>
      <c r="BL74" t="s">
        <v>632</v>
      </c>
      <c r="BM74">
        <v>0</v>
      </c>
      <c r="BN74">
        <v>0</v>
      </c>
      <c r="BO74">
        <v>1</v>
      </c>
      <c r="BP74">
        <v>1</v>
      </c>
      <c r="BQ74">
        <v>0</v>
      </c>
      <c r="BR74" t="s">
        <v>227</v>
      </c>
      <c r="BS74" t="s">
        <v>194</v>
      </c>
      <c r="BT74" t="s">
        <v>194</v>
      </c>
      <c r="BU74" t="s">
        <v>194</v>
      </c>
      <c r="CD74" t="s">
        <v>181</v>
      </c>
      <c r="CE74" t="s">
        <v>636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V74" t="s">
        <v>181</v>
      </c>
      <c r="CZ74" t="s">
        <v>194</v>
      </c>
      <c r="DB74" t="s">
        <v>181</v>
      </c>
      <c r="DC74" t="s">
        <v>199</v>
      </c>
      <c r="DD74" t="s">
        <v>181</v>
      </c>
      <c r="DE74" t="s">
        <v>215</v>
      </c>
      <c r="DF74" t="s">
        <v>181</v>
      </c>
      <c r="DG74" t="s">
        <v>215</v>
      </c>
      <c r="DH74" t="s">
        <v>181</v>
      </c>
      <c r="DI74" t="s">
        <v>215</v>
      </c>
      <c r="DJ74" t="s">
        <v>181</v>
      </c>
      <c r="DK74" t="s">
        <v>199</v>
      </c>
      <c r="DL74" t="s">
        <v>181</v>
      </c>
      <c r="DM74" t="s">
        <v>215</v>
      </c>
      <c r="DN74" t="s">
        <v>194</v>
      </c>
      <c r="DP74" t="s">
        <v>194</v>
      </c>
      <c r="DR74" t="s">
        <v>181</v>
      </c>
      <c r="DS74" t="s">
        <v>197</v>
      </c>
      <c r="DT74" t="s">
        <v>194</v>
      </c>
      <c r="DV74" t="s">
        <v>194</v>
      </c>
      <c r="DX74" t="s">
        <v>194</v>
      </c>
      <c r="DZ74" t="s">
        <v>181</v>
      </c>
      <c r="EA74" t="s">
        <v>215</v>
      </c>
      <c r="EB74" t="s">
        <v>194</v>
      </c>
      <c r="ED74" t="s">
        <v>194</v>
      </c>
      <c r="EF74" t="s">
        <v>181</v>
      </c>
      <c r="EG74" t="s">
        <v>1066</v>
      </c>
      <c r="EH74" t="s">
        <v>199</v>
      </c>
      <c r="EI74" t="s">
        <v>181</v>
      </c>
      <c r="EJ74" t="s">
        <v>199</v>
      </c>
      <c r="EK74" t="s">
        <v>181</v>
      </c>
      <c r="EM74" t="s">
        <v>181</v>
      </c>
      <c r="EN74" t="s">
        <v>194</v>
      </c>
      <c r="EP74" t="s">
        <v>181</v>
      </c>
      <c r="EQ74" t="s">
        <v>194</v>
      </c>
      <c r="ES74" t="s">
        <v>194</v>
      </c>
      <c r="EV74" t="s">
        <v>181</v>
      </c>
      <c r="EW74" t="s">
        <v>181</v>
      </c>
      <c r="EX74" t="s">
        <v>250</v>
      </c>
      <c r="EY74" t="s">
        <v>194</v>
      </c>
      <c r="FB74" t="s">
        <v>194</v>
      </c>
      <c r="FE74" t="s">
        <v>181</v>
      </c>
      <c r="FF74" t="s">
        <v>181</v>
      </c>
      <c r="FG74" t="s">
        <v>250</v>
      </c>
      <c r="FH74" t="s">
        <v>181</v>
      </c>
      <c r="FI74" t="s">
        <v>181</v>
      </c>
      <c r="FJ74" t="s">
        <v>250</v>
      </c>
      <c r="FK74" t="s">
        <v>194</v>
      </c>
      <c r="FN74" t="s">
        <v>194</v>
      </c>
      <c r="FR74" t="s">
        <v>924</v>
      </c>
      <c r="FU74" t="s">
        <v>238</v>
      </c>
      <c r="FV74" t="s">
        <v>239</v>
      </c>
      <c r="FW74" t="s">
        <v>238</v>
      </c>
      <c r="FX74" t="s">
        <v>1053</v>
      </c>
      <c r="FY74" t="s">
        <v>238</v>
      </c>
      <c r="FZ74" t="s">
        <v>930</v>
      </c>
      <c r="GA74" t="s">
        <v>242</v>
      </c>
      <c r="GB74" t="s">
        <v>1043</v>
      </c>
      <c r="GC74" t="s">
        <v>409</v>
      </c>
    </row>
    <row r="75" spans="1:186" hidden="1" x14ac:dyDescent="0.25">
      <c r="A75" s="1">
        <v>46133.640276377308</v>
      </c>
      <c r="B75" s="1">
        <v>46133.644920393519</v>
      </c>
      <c r="C75" t="s">
        <v>178</v>
      </c>
      <c r="D75">
        <v>74</v>
      </c>
      <c r="E75">
        <v>74</v>
      </c>
      <c r="F75" t="b">
        <f t="shared" si="1"/>
        <v>1</v>
      </c>
      <c r="G75" s="1">
        <v>46131</v>
      </c>
      <c r="H75">
        <v>2</v>
      </c>
      <c r="I75" t="s">
        <v>518</v>
      </c>
      <c r="J75" t="s">
        <v>451</v>
      </c>
      <c r="K75" t="s">
        <v>643</v>
      </c>
      <c r="L75" t="s">
        <v>644</v>
      </c>
      <c r="M75" t="s">
        <v>181</v>
      </c>
      <c r="N75" t="s">
        <v>246</v>
      </c>
      <c r="O75">
        <v>15</v>
      </c>
      <c r="P75" t="s">
        <v>183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222</v>
      </c>
      <c r="W75">
        <v>32</v>
      </c>
      <c r="X75" t="s">
        <v>181</v>
      </c>
      <c r="Z75" t="s">
        <v>270</v>
      </c>
      <c r="AB75" t="s">
        <v>186</v>
      </c>
      <c r="AC75" t="s">
        <v>187</v>
      </c>
      <c r="AD75" t="s">
        <v>188</v>
      </c>
      <c r="AE75" t="s">
        <v>265</v>
      </c>
      <c r="AF75" t="s">
        <v>224</v>
      </c>
      <c r="AG75" t="s">
        <v>645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0</v>
      </c>
      <c r="AR75">
        <v>0</v>
      </c>
      <c r="AS75">
        <v>0</v>
      </c>
      <c r="BK75" t="s">
        <v>224</v>
      </c>
      <c r="BL75" t="s">
        <v>249</v>
      </c>
      <c r="BM75">
        <v>0</v>
      </c>
      <c r="BN75">
        <v>1</v>
      </c>
      <c r="BO75">
        <v>1</v>
      </c>
      <c r="BP75">
        <v>1</v>
      </c>
      <c r="BQ75">
        <v>0</v>
      </c>
      <c r="BR75" t="s">
        <v>227</v>
      </c>
      <c r="BS75" t="s">
        <v>194</v>
      </c>
      <c r="BT75" t="s">
        <v>194</v>
      </c>
      <c r="BU75" t="s">
        <v>194</v>
      </c>
      <c r="CD75" t="s">
        <v>194</v>
      </c>
      <c r="CZ75" t="s">
        <v>194</v>
      </c>
      <c r="DB75" t="s">
        <v>194</v>
      </c>
      <c r="DD75" t="s">
        <v>194</v>
      </c>
      <c r="DF75" t="s">
        <v>181</v>
      </c>
      <c r="DG75" t="s">
        <v>215</v>
      </c>
      <c r="DH75" t="s">
        <v>194</v>
      </c>
      <c r="DJ75" t="s">
        <v>194</v>
      </c>
      <c r="DL75" t="s">
        <v>194</v>
      </c>
      <c r="DN75" t="s">
        <v>194</v>
      </c>
      <c r="DP75" t="s">
        <v>194</v>
      </c>
      <c r="DR75" t="s">
        <v>194</v>
      </c>
      <c r="DT75" t="s">
        <v>194</v>
      </c>
      <c r="DV75" t="s">
        <v>194</v>
      </c>
      <c r="DX75" t="s">
        <v>194</v>
      </c>
      <c r="DZ75" t="s">
        <v>194</v>
      </c>
      <c r="EB75" t="s">
        <v>194</v>
      </c>
      <c r="ED75" t="s">
        <v>194</v>
      </c>
      <c r="EF75" t="s">
        <v>194</v>
      </c>
      <c r="EI75" t="s">
        <v>194</v>
      </c>
      <c r="EM75" t="s">
        <v>181</v>
      </c>
      <c r="EN75" t="s">
        <v>194</v>
      </c>
      <c r="EP75" t="s">
        <v>181</v>
      </c>
      <c r="EQ75" t="s">
        <v>194</v>
      </c>
      <c r="ES75" t="s">
        <v>194</v>
      </c>
      <c r="EV75" t="s">
        <v>194</v>
      </c>
      <c r="EY75" t="s">
        <v>194</v>
      </c>
      <c r="FB75" t="s">
        <v>194</v>
      </c>
      <c r="FE75" t="s">
        <v>181</v>
      </c>
      <c r="FF75" t="s">
        <v>194</v>
      </c>
      <c r="FH75" t="s">
        <v>181</v>
      </c>
      <c r="FI75" t="s">
        <v>194</v>
      </c>
      <c r="FK75" t="s">
        <v>194</v>
      </c>
      <c r="FN75" t="s">
        <v>194</v>
      </c>
      <c r="FR75" t="s">
        <v>218</v>
      </c>
      <c r="FU75" t="s">
        <v>238</v>
      </c>
      <c r="FV75" t="s">
        <v>239</v>
      </c>
      <c r="FW75" t="s">
        <v>241</v>
      </c>
      <c r="FX75" t="s">
        <v>1035</v>
      </c>
      <c r="FY75" t="s">
        <v>238</v>
      </c>
      <c r="FZ75" t="s">
        <v>930</v>
      </c>
      <c r="GA75" t="s">
        <v>242</v>
      </c>
      <c r="GB75" t="s">
        <v>1071</v>
      </c>
      <c r="GC75" t="s">
        <v>373</v>
      </c>
    </row>
    <row r="76" spans="1:186" hidden="1" x14ac:dyDescent="0.25">
      <c r="A76" s="1">
        <v>46133.644920914347</v>
      </c>
      <c r="B76" s="1">
        <v>46133.656094942133</v>
      </c>
      <c r="C76" t="s">
        <v>178</v>
      </c>
      <c r="D76">
        <v>75</v>
      </c>
      <c r="E76">
        <v>75</v>
      </c>
      <c r="F76" t="b">
        <f t="shared" si="1"/>
        <v>1</v>
      </c>
      <c r="G76" s="1">
        <v>46131</v>
      </c>
      <c r="H76">
        <v>2</v>
      </c>
      <c r="I76" t="s">
        <v>518</v>
      </c>
      <c r="J76" t="s">
        <v>451</v>
      </c>
      <c r="K76" t="s">
        <v>670</v>
      </c>
      <c r="L76" t="s">
        <v>671</v>
      </c>
      <c r="M76" t="s">
        <v>181</v>
      </c>
      <c r="N76" t="s">
        <v>182</v>
      </c>
      <c r="O76">
        <v>15</v>
      </c>
      <c r="P76" t="s">
        <v>183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222</v>
      </c>
      <c r="W76">
        <v>50</v>
      </c>
      <c r="X76" t="s">
        <v>181</v>
      </c>
      <c r="Z76" t="s">
        <v>270</v>
      </c>
      <c r="AB76" t="s">
        <v>186</v>
      </c>
      <c r="AC76" t="s">
        <v>187</v>
      </c>
      <c r="AD76" t="s">
        <v>188</v>
      </c>
      <c r="AE76" t="s">
        <v>265</v>
      </c>
      <c r="AF76" t="s">
        <v>224</v>
      </c>
      <c r="AG76" t="s">
        <v>672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BK76" t="s">
        <v>224</v>
      </c>
      <c r="BL76" t="s">
        <v>389</v>
      </c>
      <c r="BM76">
        <v>0</v>
      </c>
      <c r="BN76">
        <v>0</v>
      </c>
      <c r="BO76">
        <v>0</v>
      </c>
      <c r="BP76">
        <v>0</v>
      </c>
      <c r="BQ76">
        <v>1</v>
      </c>
      <c r="BR76" t="s">
        <v>227</v>
      </c>
      <c r="BS76" t="s">
        <v>194</v>
      </c>
      <c r="BT76" t="s">
        <v>194</v>
      </c>
      <c r="BU76" t="s">
        <v>194</v>
      </c>
      <c r="CD76" t="s">
        <v>194</v>
      </c>
      <c r="CZ76" t="s">
        <v>194</v>
      </c>
      <c r="DB76" t="s">
        <v>194</v>
      </c>
      <c r="DD76" t="s">
        <v>194</v>
      </c>
      <c r="DF76" t="s">
        <v>181</v>
      </c>
      <c r="DG76" t="s">
        <v>215</v>
      </c>
      <c r="DH76" t="s">
        <v>181</v>
      </c>
      <c r="DI76" t="s">
        <v>215</v>
      </c>
      <c r="DJ76" t="s">
        <v>194</v>
      </c>
      <c r="DL76" t="s">
        <v>194</v>
      </c>
      <c r="DN76" t="s">
        <v>194</v>
      </c>
      <c r="DP76" t="s">
        <v>194</v>
      </c>
      <c r="DR76" t="s">
        <v>194</v>
      </c>
      <c r="DT76" t="s">
        <v>194</v>
      </c>
      <c r="DV76" t="s">
        <v>194</v>
      </c>
      <c r="DX76" t="s">
        <v>194</v>
      </c>
      <c r="DZ76" t="s">
        <v>194</v>
      </c>
      <c r="EB76" t="s">
        <v>194</v>
      </c>
      <c r="ED76" t="s">
        <v>194</v>
      </c>
      <c r="EF76" t="s">
        <v>194</v>
      </c>
      <c r="EI76" t="s">
        <v>194</v>
      </c>
      <c r="EM76" t="s">
        <v>181</v>
      </c>
      <c r="EN76" t="s">
        <v>194</v>
      </c>
      <c r="EP76" t="s">
        <v>181</v>
      </c>
      <c r="EQ76" t="s">
        <v>194</v>
      </c>
      <c r="ES76" t="s">
        <v>194</v>
      </c>
      <c r="EV76" t="s">
        <v>194</v>
      </c>
      <c r="EY76" t="s">
        <v>194</v>
      </c>
      <c r="FB76" t="s">
        <v>194</v>
      </c>
      <c r="FE76" t="s">
        <v>181</v>
      </c>
      <c r="FF76" t="s">
        <v>194</v>
      </c>
      <c r="FH76" t="s">
        <v>181</v>
      </c>
      <c r="FI76" t="s">
        <v>194</v>
      </c>
      <c r="FK76" t="s">
        <v>194</v>
      </c>
      <c r="FN76" t="s">
        <v>194</v>
      </c>
      <c r="FR76" t="s">
        <v>1035</v>
      </c>
      <c r="FU76" t="s">
        <v>238</v>
      </c>
      <c r="FV76" t="s">
        <v>239</v>
      </c>
      <c r="FW76" t="s">
        <v>279</v>
      </c>
      <c r="FY76" t="s">
        <v>238</v>
      </c>
      <c r="FZ76" t="s">
        <v>930</v>
      </c>
      <c r="GA76" t="s">
        <v>242</v>
      </c>
      <c r="GB76" t="s">
        <v>588</v>
      </c>
      <c r="GC76" t="s">
        <v>312</v>
      </c>
      <c r="GD76" t="s">
        <v>673</v>
      </c>
    </row>
    <row r="77" spans="1:186" x14ac:dyDescent="0.25">
      <c r="A77" s="1">
        <v>46133.656095578714</v>
      </c>
      <c r="B77" s="1">
        <v>46133.660727453702</v>
      </c>
      <c r="C77" t="s">
        <v>178</v>
      </c>
      <c r="D77">
        <v>76</v>
      </c>
      <c r="E77">
        <v>76</v>
      </c>
      <c r="F77" t="b">
        <f t="shared" si="1"/>
        <v>1</v>
      </c>
      <c r="G77" s="1">
        <v>46131</v>
      </c>
      <c r="H77">
        <v>2</v>
      </c>
      <c r="I77" t="s">
        <v>452</v>
      </c>
      <c r="J77" t="s">
        <v>451</v>
      </c>
      <c r="K77" t="s">
        <v>690</v>
      </c>
      <c r="L77" t="s">
        <v>691</v>
      </c>
      <c r="M77" t="s">
        <v>181</v>
      </c>
      <c r="N77" t="s">
        <v>182</v>
      </c>
      <c r="O77">
        <v>3</v>
      </c>
      <c r="P77" t="s">
        <v>183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184</v>
      </c>
      <c r="W77">
        <v>26</v>
      </c>
      <c r="X77" t="s">
        <v>181</v>
      </c>
      <c r="Z77" t="s">
        <v>185</v>
      </c>
      <c r="AB77" t="s">
        <v>223</v>
      </c>
      <c r="AC77" t="s">
        <v>448</v>
      </c>
      <c r="AD77" t="s">
        <v>210</v>
      </c>
      <c r="AE77" t="s">
        <v>265</v>
      </c>
      <c r="AF77" t="s">
        <v>190</v>
      </c>
      <c r="AW77" t="s">
        <v>420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 t="s">
        <v>1061</v>
      </c>
      <c r="BK77" t="s">
        <v>224</v>
      </c>
      <c r="BL77" t="s">
        <v>226</v>
      </c>
      <c r="BM77">
        <v>0</v>
      </c>
      <c r="BN77">
        <v>1</v>
      </c>
      <c r="BO77">
        <v>0</v>
      </c>
      <c r="BP77">
        <v>0</v>
      </c>
      <c r="BQ77">
        <v>0</v>
      </c>
      <c r="BR77" t="s">
        <v>227</v>
      </c>
      <c r="BS77" t="s">
        <v>194</v>
      </c>
      <c r="BT77" t="s">
        <v>181</v>
      </c>
      <c r="BU77" t="s">
        <v>181</v>
      </c>
      <c r="BV77" t="s">
        <v>607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D77" t="s">
        <v>194</v>
      </c>
      <c r="CZ77" t="s">
        <v>194</v>
      </c>
      <c r="DB77" t="s">
        <v>194</v>
      </c>
      <c r="DD77" t="s">
        <v>181</v>
      </c>
      <c r="DE77" t="s">
        <v>199</v>
      </c>
      <c r="DF77" t="s">
        <v>181</v>
      </c>
      <c r="DG77" t="s">
        <v>199</v>
      </c>
      <c r="DH77" t="s">
        <v>181</v>
      </c>
      <c r="DI77" t="s">
        <v>197</v>
      </c>
      <c r="DJ77" t="s">
        <v>181</v>
      </c>
      <c r="DK77" t="s">
        <v>199</v>
      </c>
      <c r="DL77" t="s">
        <v>181</v>
      </c>
      <c r="DM77" t="s">
        <v>199</v>
      </c>
      <c r="DN77" t="s">
        <v>181</v>
      </c>
      <c r="DO77" t="s">
        <v>215</v>
      </c>
      <c r="DP77" t="s">
        <v>194</v>
      </c>
      <c r="DR77" t="s">
        <v>181</v>
      </c>
      <c r="DS77" t="s">
        <v>199</v>
      </c>
      <c r="DT77" t="s">
        <v>181</v>
      </c>
      <c r="DU77" t="s">
        <v>197</v>
      </c>
      <c r="DV77" t="s">
        <v>194</v>
      </c>
      <c r="DX77" t="s">
        <v>194</v>
      </c>
      <c r="DZ77" t="s">
        <v>181</v>
      </c>
      <c r="EA77" t="s">
        <v>197</v>
      </c>
      <c r="EB77" t="s">
        <v>194</v>
      </c>
      <c r="ED77" t="s">
        <v>194</v>
      </c>
      <c r="EF77" t="s">
        <v>181</v>
      </c>
      <c r="EG77" t="s">
        <v>1061</v>
      </c>
      <c r="EH77" t="s">
        <v>199</v>
      </c>
      <c r="EI77" t="s">
        <v>181</v>
      </c>
      <c r="EJ77" t="s">
        <v>215</v>
      </c>
      <c r="EK77" t="s">
        <v>181</v>
      </c>
      <c r="EM77" t="s">
        <v>194</v>
      </c>
      <c r="EP77" t="s">
        <v>181</v>
      </c>
      <c r="EQ77" t="s">
        <v>194</v>
      </c>
      <c r="ES77" t="s">
        <v>194</v>
      </c>
      <c r="EV77" t="s">
        <v>181</v>
      </c>
      <c r="EW77" t="s">
        <v>181</v>
      </c>
      <c r="EX77" t="s">
        <v>250</v>
      </c>
      <c r="EY77" t="s">
        <v>181</v>
      </c>
      <c r="EZ77" t="s">
        <v>194</v>
      </c>
      <c r="FB77" t="s">
        <v>181</v>
      </c>
      <c r="FC77" t="s">
        <v>194</v>
      </c>
      <c r="FE77" t="s">
        <v>181</v>
      </c>
      <c r="FF77" t="s">
        <v>181</v>
      </c>
      <c r="FG77" t="s">
        <v>250</v>
      </c>
      <c r="FH77" t="s">
        <v>194</v>
      </c>
      <c r="FK77" t="s">
        <v>181</v>
      </c>
      <c r="FL77" t="s">
        <v>181</v>
      </c>
      <c r="FM77" t="s">
        <v>250</v>
      </c>
      <c r="FN77" t="s">
        <v>194</v>
      </c>
      <c r="FR77" t="s">
        <v>410</v>
      </c>
      <c r="FS77" t="s">
        <v>218</v>
      </c>
      <c r="FT77" t="s">
        <v>324</v>
      </c>
      <c r="FU77" t="s">
        <v>194</v>
      </c>
      <c r="GC77" t="s">
        <v>409</v>
      </c>
      <c r="GD77" t="s">
        <v>692</v>
      </c>
    </row>
    <row r="78" spans="1:186" hidden="1" x14ac:dyDescent="0.25">
      <c r="A78" s="1">
        <v>46133.660728020834</v>
      </c>
      <c r="B78" s="1">
        <v>46133.66470415509</v>
      </c>
      <c r="C78" t="s">
        <v>178</v>
      </c>
      <c r="D78">
        <v>77</v>
      </c>
      <c r="E78">
        <v>77</v>
      </c>
      <c r="F78" t="b">
        <f t="shared" si="1"/>
        <v>1</v>
      </c>
      <c r="G78" s="1">
        <v>46131</v>
      </c>
      <c r="H78">
        <v>2</v>
      </c>
      <c r="I78" t="s">
        <v>518</v>
      </c>
      <c r="J78" t="s">
        <v>451</v>
      </c>
      <c r="K78" t="s">
        <v>701</v>
      </c>
      <c r="L78" t="s">
        <v>702</v>
      </c>
      <c r="M78" t="s">
        <v>181</v>
      </c>
      <c r="N78" t="s">
        <v>182</v>
      </c>
      <c r="O78">
        <v>40</v>
      </c>
      <c r="P78" t="s">
        <v>183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222</v>
      </c>
      <c r="W78">
        <v>76</v>
      </c>
      <c r="X78" t="s">
        <v>181</v>
      </c>
      <c r="Z78" t="s">
        <v>185</v>
      </c>
      <c r="AB78" t="s">
        <v>315</v>
      </c>
      <c r="AC78" t="s">
        <v>257</v>
      </c>
      <c r="AD78" t="s">
        <v>210</v>
      </c>
      <c r="AE78" t="s">
        <v>265</v>
      </c>
      <c r="AF78" t="s">
        <v>224</v>
      </c>
      <c r="AG78" t="s">
        <v>425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BK78" t="s">
        <v>224</v>
      </c>
      <c r="BL78" t="s">
        <v>192</v>
      </c>
      <c r="BM78">
        <v>0</v>
      </c>
      <c r="BN78">
        <v>1</v>
      </c>
      <c r="BO78">
        <v>1</v>
      </c>
      <c r="BP78">
        <v>0</v>
      </c>
      <c r="BQ78">
        <v>0</v>
      </c>
      <c r="BR78" t="s">
        <v>193</v>
      </c>
      <c r="BS78" t="s">
        <v>194</v>
      </c>
      <c r="BT78" t="s">
        <v>194</v>
      </c>
      <c r="BU78" t="s">
        <v>181</v>
      </c>
      <c r="BV78" t="s">
        <v>195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 t="s">
        <v>703</v>
      </c>
      <c r="CD78" t="s">
        <v>194</v>
      </c>
      <c r="CZ78" t="s">
        <v>194</v>
      </c>
      <c r="DB78" t="s">
        <v>194</v>
      </c>
      <c r="DD78" t="s">
        <v>181</v>
      </c>
      <c r="DE78" t="s">
        <v>215</v>
      </c>
      <c r="DF78" t="s">
        <v>194</v>
      </c>
      <c r="DH78" t="s">
        <v>194</v>
      </c>
      <c r="DJ78" t="s">
        <v>194</v>
      </c>
      <c r="DL78" t="s">
        <v>181</v>
      </c>
      <c r="DM78" t="s">
        <v>215</v>
      </c>
      <c r="DN78" t="s">
        <v>194</v>
      </c>
      <c r="DP78" t="s">
        <v>194</v>
      </c>
      <c r="DR78" t="s">
        <v>194</v>
      </c>
      <c r="DT78" t="s">
        <v>194</v>
      </c>
      <c r="DV78" t="s">
        <v>181</v>
      </c>
      <c r="DW78" t="s">
        <v>197</v>
      </c>
      <c r="DX78" t="s">
        <v>194</v>
      </c>
      <c r="DZ78" t="s">
        <v>194</v>
      </c>
      <c r="EB78" t="s">
        <v>194</v>
      </c>
      <c r="ED78" t="s">
        <v>194</v>
      </c>
      <c r="EF78" t="s">
        <v>194</v>
      </c>
      <c r="EI78" t="s">
        <v>181</v>
      </c>
      <c r="EJ78" t="s">
        <v>215</v>
      </c>
      <c r="EK78" t="s">
        <v>181</v>
      </c>
      <c r="EM78" t="s">
        <v>181</v>
      </c>
      <c r="EN78" t="s">
        <v>181</v>
      </c>
      <c r="EO78" t="s">
        <v>216</v>
      </c>
      <c r="EP78" t="s">
        <v>181</v>
      </c>
      <c r="EQ78" t="s">
        <v>181</v>
      </c>
      <c r="ER78" t="s">
        <v>216</v>
      </c>
      <c r="ES78" t="s">
        <v>194</v>
      </c>
      <c r="EV78" t="s">
        <v>181</v>
      </c>
      <c r="EW78" t="s">
        <v>194</v>
      </c>
      <c r="EY78" t="s">
        <v>181</v>
      </c>
      <c r="EZ78" t="s">
        <v>194</v>
      </c>
      <c r="FB78" t="s">
        <v>194</v>
      </c>
      <c r="FE78" t="s">
        <v>181</v>
      </c>
      <c r="FF78" t="s">
        <v>181</v>
      </c>
      <c r="FG78" t="s">
        <v>216</v>
      </c>
      <c r="FH78" t="s">
        <v>181</v>
      </c>
      <c r="FI78" t="s">
        <v>181</v>
      </c>
      <c r="FJ78" t="s">
        <v>250</v>
      </c>
      <c r="FK78" t="s">
        <v>194</v>
      </c>
      <c r="FN78" t="s">
        <v>194</v>
      </c>
      <c r="FR78" t="s">
        <v>284</v>
      </c>
      <c r="FU78" t="s">
        <v>238</v>
      </c>
      <c r="FV78" t="s">
        <v>492</v>
      </c>
      <c r="FW78" t="s">
        <v>241</v>
      </c>
      <c r="FX78" t="s">
        <v>1044</v>
      </c>
      <c r="FY78" t="s">
        <v>238</v>
      </c>
      <c r="FZ78" t="s">
        <v>930</v>
      </c>
      <c r="GA78" t="s">
        <v>194</v>
      </c>
      <c r="GB78" t="s">
        <v>1044</v>
      </c>
      <c r="GC78" t="s">
        <v>312</v>
      </c>
    </row>
    <row r="79" spans="1:186" hidden="1" x14ac:dyDescent="0.25">
      <c r="A79" s="1">
        <v>46134.612550150458</v>
      </c>
      <c r="B79" s="1">
        <v>46134.615631597233</v>
      </c>
      <c r="C79" t="s">
        <v>176</v>
      </c>
      <c r="D79">
        <v>78</v>
      </c>
      <c r="E79">
        <v>78</v>
      </c>
      <c r="F79" t="b">
        <f t="shared" si="1"/>
        <v>1</v>
      </c>
      <c r="G79" s="1">
        <v>46131</v>
      </c>
      <c r="H79">
        <v>2</v>
      </c>
      <c r="I79" t="s">
        <v>452</v>
      </c>
      <c r="J79" t="s">
        <v>451</v>
      </c>
      <c r="K79" t="s">
        <v>884</v>
      </c>
      <c r="L79" t="s">
        <v>885</v>
      </c>
      <c r="M79" t="s">
        <v>181</v>
      </c>
      <c r="N79" t="s">
        <v>182</v>
      </c>
      <c r="O79">
        <v>20</v>
      </c>
      <c r="P79" t="s">
        <v>183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184</v>
      </c>
      <c r="W79">
        <v>40</v>
      </c>
      <c r="X79" t="s">
        <v>181</v>
      </c>
      <c r="Z79" t="s">
        <v>185</v>
      </c>
      <c r="AB79" t="s">
        <v>223</v>
      </c>
      <c r="AC79" t="s">
        <v>257</v>
      </c>
      <c r="AD79" t="s">
        <v>188</v>
      </c>
      <c r="AE79" t="s">
        <v>189</v>
      </c>
      <c r="AF79" t="s">
        <v>224</v>
      </c>
      <c r="AG79" t="s">
        <v>393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BK79" t="s">
        <v>224</v>
      </c>
      <c r="BL79" t="s">
        <v>192</v>
      </c>
      <c r="BM79">
        <v>0</v>
      </c>
      <c r="BN79">
        <v>1</v>
      </c>
      <c r="BO79">
        <v>1</v>
      </c>
      <c r="BP79">
        <v>0</v>
      </c>
      <c r="BQ79">
        <v>0</v>
      </c>
      <c r="BR79" t="s">
        <v>227</v>
      </c>
      <c r="BS79" t="s">
        <v>194</v>
      </c>
      <c r="BT79" t="s">
        <v>194</v>
      </c>
      <c r="BU79" t="s">
        <v>194</v>
      </c>
      <c r="CD79" t="s">
        <v>194</v>
      </c>
      <c r="CZ79" t="s">
        <v>181</v>
      </c>
      <c r="DA79" t="s">
        <v>199</v>
      </c>
      <c r="DB79" t="s">
        <v>194</v>
      </c>
      <c r="DD79" t="s">
        <v>194</v>
      </c>
      <c r="DF79" t="s">
        <v>181</v>
      </c>
      <c r="DG79" t="s">
        <v>197</v>
      </c>
      <c r="DH79" t="s">
        <v>194</v>
      </c>
      <c r="DJ79" t="s">
        <v>194</v>
      </c>
      <c r="DL79" t="s">
        <v>181</v>
      </c>
      <c r="DM79" t="s">
        <v>199</v>
      </c>
      <c r="DN79" t="s">
        <v>194</v>
      </c>
      <c r="DP79" t="s">
        <v>194</v>
      </c>
      <c r="DR79" t="s">
        <v>194</v>
      </c>
      <c r="DT79" t="s">
        <v>194</v>
      </c>
      <c r="DV79" t="s">
        <v>181</v>
      </c>
      <c r="DW79" t="s">
        <v>197</v>
      </c>
      <c r="DX79" t="s">
        <v>194</v>
      </c>
      <c r="DZ79" t="s">
        <v>181</v>
      </c>
      <c r="EA79" t="s">
        <v>215</v>
      </c>
      <c r="EB79" t="s">
        <v>194</v>
      </c>
      <c r="ED79" t="s">
        <v>181</v>
      </c>
      <c r="EE79" t="s">
        <v>199</v>
      </c>
      <c r="EF79" t="s">
        <v>194</v>
      </c>
      <c r="EI79" t="s">
        <v>181</v>
      </c>
      <c r="EJ79" t="s">
        <v>215</v>
      </c>
      <c r="EK79" t="s">
        <v>181</v>
      </c>
      <c r="EM79" t="s">
        <v>181</v>
      </c>
      <c r="EN79" t="s">
        <v>194</v>
      </c>
      <c r="EP79" t="s">
        <v>181</v>
      </c>
      <c r="EQ79" t="s">
        <v>194</v>
      </c>
      <c r="ES79" t="s">
        <v>194</v>
      </c>
      <c r="EV79" t="s">
        <v>181</v>
      </c>
      <c r="EW79" t="s">
        <v>181</v>
      </c>
      <c r="EX79" t="s">
        <v>250</v>
      </c>
      <c r="EY79" t="s">
        <v>194</v>
      </c>
      <c r="FB79" t="s">
        <v>194</v>
      </c>
      <c r="FE79" t="s">
        <v>181</v>
      </c>
      <c r="FF79" t="s">
        <v>181</v>
      </c>
      <c r="FG79" t="s">
        <v>250</v>
      </c>
      <c r="FH79" t="s">
        <v>181</v>
      </c>
      <c r="FI79" t="s">
        <v>181</v>
      </c>
      <c r="FJ79" t="s">
        <v>250</v>
      </c>
      <c r="FK79" t="s">
        <v>194</v>
      </c>
      <c r="FN79" t="s">
        <v>194</v>
      </c>
      <c r="FR79" t="s">
        <v>218</v>
      </c>
      <c r="FU79" t="s">
        <v>194</v>
      </c>
      <c r="GC79" t="s">
        <v>232</v>
      </c>
    </row>
    <row r="80" spans="1:186" x14ac:dyDescent="0.25">
      <c r="A80" s="1">
        <v>46134.61563226852</v>
      </c>
      <c r="B80" s="1">
        <v>46134.621185891207</v>
      </c>
      <c r="C80" t="s">
        <v>176</v>
      </c>
      <c r="D80">
        <v>79</v>
      </c>
      <c r="E80">
        <v>79</v>
      </c>
      <c r="F80" t="b">
        <f t="shared" si="1"/>
        <v>1</v>
      </c>
      <c r="G80" s="1">
        <v>46131</v>
      </c>
      <c r="H80">
        <v>2</v>
      </c>
      <c r="I80" t="s">
        <v>452</v>
      </c>
      <c r="J80" t="s">
        <v>451</v>
      </c>
      <c r="K80" t="s">
        <v>894</v>
      </c>
      <c r="L80" t="s">
        <v>895</v>
      </c>
      <c r="M80" t="s">
        <v>181</v>
      </c>
      <c r="N80" t="s">
        <v>182</v>
      </c>
      <c r="O80">
        <v>40</v>
      </c>
      <c r="P80" t="s">
        <v>183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222</v>
      </c>
      <c r="W80">
        <v>61</v>
      </c>
      <c r="X80" t="s">
        <v>181</v>
      </c>
      <c r="Z80" t="s">
        <v>270</v>
      </c>
      <c r="AB80" t="s">
        <v>315</v>
      </c>
      <c r="AC80" t="s">
        <v>209</v>
      </c>
      <c r="AD80" t="s">
        <v>188</v>
      </c>
      <c r="AE80" t="s">
        <v>265</v>
      </c>
      <c r="AF80" t="s">
        <v>224</v>
      </c>
      <c r="AG80" t="s">
        <v>527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BK80" t="s">
        <v>224</v>
      </c>
      <c r="BL80" t="s">
        <v>192</v>
      </c>
      <c r="BM80">
        <v>0</v>
      </c>
      <c r="BN80">
        <v>1</v>
      </c>
      <c r="BO80">
        <v>1</v>
      </c>
      <c r="BP80">
        <v>0</v>
      </c>
      <c r="BQ80">
        <v>0</v>
      </c>
      <c r="BR80" t="s">
        <v>227</v>
      </c>
      <c r="BS80" t="s">
        <v>194</v>
      </c>
      <c r="BT80" t="s">
        <v>181</v>
      </c>
      <c r="BU80" t="s">
        <v>194</v>
      </c>
      <c r="CD80" t="s">
        <v>194</v>
      </c>
      <c r="CZ80" t="s">
        <v>181</v>
      </c>
      <c r="DA80" t="s">
        <v>199</v>
      </c>
      <c r="DB80" t="s">
        <v>194</v>
      </c>
      <c r="DD80" t="s">
        <v>194</v>
      </c>
      <c r="DF80" t="s">
        <v>181</v>
      </c>
      <c r="DG80" t="s">
        <v>197</v>
      </c>
      <c r="DH80" t="s">
        <v>194</v>
      </c>
      <c r="DJ80" t="s">
        <v>194</v>
      </c>
      <c r="DL80" t="s">
        <v>181</v>
      </c>
      <c r="DM80" t="s">
        <v>215</v>
      </c>
      <c r="DN80" t="s">
        <v>194</v>
      </c>
      <c r="DP80" t="s">
        <v>194</v>
      </c>
      <c r="DR80" t="s">
        <v>194</v>
      </c>
      <c r="DT80" t="s">
        <v>194</v>
      </c>
      <c r="DV80" t="s">
        <v>194</v>
      </c>
      <c r="DX80" t="s">
        <v>194</v>
      </c>
      <c r="DZ80" t="s">
        <v>181</v>
      </c>
      <c r="EA80" t="s">
        <v>215</v>
      </c>
      <c r="EB80" t="s">
        <v>194</v>
      </c>
      <c r="ED80" t="s">
        <v>181</v>
      </c>
      <c r="EE80" t="s">
        <v>199</v>
      </c>
      <c r="EF80" t="s">
        <v>181</v>
      </c>
      <c r="EG80" t="s">
        <v>896</v>
      </c>
      <c r="EH80" t="s">
        <v>215</v>
      </c>
      <c r="EI80" t="s">
        <v>181</v>
      </c>
      <c r="EJ80" t="s">
        <v>215</v>
      </c>
      <c r="EK80" t="s">
        <v>181</v>
      </c>
      <c r="EM80" t="s">
        <v>181</v>
      </c>
      <c r="EN80" t="s">
        <v>181</v>
      </c>
      <c r="EO80" t="s">
        <v>217</v>
      </c>
      <c r="EP80" t="s">
        <v>181</v>
      </c>
      <c r="EQ80" t="s">
        <v>194</v>
      </c>
      <c r="ES80" t="s">
        <v>194</v>
      </c>
      <c r="EV80" t="s">
        <v>181</v>
      </c>
      <c r="EW80" t="s">
        <v>194</v>
      </c>
      <c r="EY80" t="s">
        <v>181</v>
      </c>
      <c r="EZ80" t="s">
        <v>194</v>
      </c>
      <c r="FB80" t="s">
        <v>194</v>
      </c>
      <c r="FE80" t="s">
        <v>181</v>
      </c>
      <c r="FF80" t="s">
        <v>181</v>
      </c>
      <c r="FG80" t="s">
        <v>250</v>
      </c>
      <c r="FH80" t="s">
        <v>181</v>
      </c>
      <c r="FI80" t="s">
        <v>181</v>
      </c>
      <c r="FJ80" t="s">
        <v>250</v>
      </c>
      <c r="FK80" t="s">
        <v>181</v>
      </c>
      <c r="FL80" t="s">
        <v>194</v>
      </c>
      <c r="FN80" t="s">
        <v>194</v>
      </c>
      <c r="FR80" t="s">
        <v>338</v>
      </c>
      <c r="FS80" t="s">
        <v>498</v>
      </c>
      <c r="FT80" t="s">
        <v>663</v>
      </c>
      <c r="FU80" t="s">
        <v>238</v>
      </c>
      <c r="FV80" t="s">
        <v>239</v>
      </c>
      <c r="FW80" t="s">
        <v>238</v>
      </c>
      <c r="FX80" t="s">
        <v>897</v>
      </c>
      <c r="FY80" t="s">
        <v>238</v>
      </c>
      <c r="FZ80" t="s">
        <v>898</v>
      </c>
      <c r="GA80" t="s">
        <v>242</v>
      </c>
      <c r="GB80" t="s">
        <v>899</v>
      </c>
      <c r="GC80" t="s">
        <v>409</v>
      </c>
      <c r="GD80" t="s">
        <v>900</v>
      </c>
    </row>
    <row r="81" spans="1:186" hidden="1" x14ac:dyDescent="0.25">
      <c r="A81" s="1">
        <v>46134.621186585653</v>
      </c>
      <c r="B81" s="1">
        <v>46134.626694340281</v>
      </c>
      <c r="C81" t="s">
        <v>176</v>
      </c>
      <c r="D81">
        <v>80</v>
      </c>
      <c r="E81">
        <v>80</v>
      </c>
      <c r="F81" t="b">
        <f t="shared" si="1"/>
        <v>1</v>
      </c>
      <c r="G81" s="1">
        <v>46131</v>
      </c>
      <c r="H81">
        <v>2</v>
      </c>
      <c r="I81" t="s">
        <v>518</v>
      </c>
      <c r="J81" t="s">
        <v>451</v>
      </c>
      <c r="K81" t="s">
        <v>911</v>
      </c>
      <c r="L81" t="s">
        <v>912</v>
      </c>
      <c r="M81" t="s">
        <v>181</v>
      </c>
      <c r="N81" t="s">
        <v>182</v>
      </c>
      <c r="O81">
        <v>3</v>
      </c>
      <c r="P81" t="s">
        <v>183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184</v>
      </c>
      <c r="W81">
        <v>43</v>
      </c>
      <c r="X81" t="s">
        <v>181</v>
      </c>
      <c r="Z81" t="s">
        <v>270</v>
      </c>
      <c r="AB81" t="s">
        <v>208</v>
      </c>
      <c r="AC81" t="s">
        <v>209</v>
      </c>
      <c r="AD81" t="s">
        <v>188</v>
      </c>
      <c r="AE81" t="s">
        <v>265</v>
      </c>
      <c r="AF81" t="s">
        <v>224</v>
      </c>
      <c r="AG81" t="s">
        <v>319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 t="s">
        <v>913</v>
      </c>
      <c r="BK81" t="s">
        <v>224</v>
      </c>
      <c r="BL81" t="s">
        <v>192</v>
      </c>
      <c r="BM81">
        <v>0</v>
      </c>
      <c r="BN81">
        <v>1</v>
      </c>
      <c r="BO81">
        <v>1</v>
      </c>
      <c r="BP81">
        <v>0</v>
      </c>
      <c r="BQ81">
        <v>0</v>
      </c>
      <c r="BR81" t="s">
        <v>227</v>
      </c>
      <c r="BS81" t="s">
        <v>194</v>
      </c>
      <c r="BT81" t="s">
        <v>181</v>
      </c>
      <c r="BU81" t="s">
        <v>181</v>
      </c>
      <c r="BV81" t="s">
        <v>195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 t="s">
        <v>914</v>
      </c>
      <c r="CD81" t="s">
        <v>194</v>
      </c>
      <c r="CZ81" t="s">
        <v>194</v>
      </c>
      <c r="DB81" t="s">
        <v>181</v>
      </c>
      <c r="DC81" t="s">
        <v>197</v>
      </c>
      <c r="DD81" t="s">
        <v>181</v>
      </c>
      <c r="DE81" t="s">
        <v>197</v>
      </c>
      <c r="DF81" t="s">
        <v>194</v>
      </c>
      <c r="DH81" t="s">
        <v>194</v>
      </c>
      <c r="DJ81" t="s">
        <v>194</v>
      </c>
      <c r="DL81" t="s">
        <v>181</v>
      </c>
      <c r="DM81" t="s">
        <v>215</v>
      </c>
      <c r="DN81" t="s">
        <v>194</v>
      </c>
      <c r="DP81" t="s">
        <v>194</v>
      </c>
      <c r="DR81" t="s">
        <v>194</v>
      </c>
      <c r="DT81" t="s">
        <v>194</v>
      </c>
      <c r="DV81" t="s">
        <v>181</v>
      </c>
      <c r="DW81" t="s">
        <v>199</v>
      </c>
      <c r="DX81" t="s">
        <v>194</v>
      </c>
      <c r="DZ81" t="s">
        <v>181</v>
      </c>
      <c r="EA81" t="s">
        <v>197</v>
      </c>
      <c r="EB81" t="s">
        <v>194</v>
      </c>
      <c r="ED81" t="s">
        <v>194</v>
      </c>
      <c r="EF81" t="s">
        <v>194</v>
      </c>
      <c r="EI81" t="s">
        <v>181</v>
      </c>
      <c r="EJ81" t="s">
        <v>215</v>
      </c>
      <c r="EK81" t="s">
        <v>181</v>
      </c>
      <c r="EM81" t="s">
        <v>181</v>
      </c>
      <c r="EN81" t="s">
        <v>194</v>
      </c>
      <c r="EP81" t="s">
        <v>194</v>
      </c>
      <c r="ES81" t="s">
        <v>194</v>
      </c>
      <c r="EV81" t="s">
        <v>181</v>
      </c>
      <c r="EW81" t="s">
        <v>194</v>
      </c>
      <c r="EY81" t="s">
        <v>181</v>
      </c>
      <c r="EZ81" t="s">
        <v>194</v>
      </c>
      <c r="FB81" t="s">
        <v>194</v>
      </c>
      <c r="FE81" t="s">
        <v>194</v>
      </c>
      <c r="FH81" t="s">
        <v>181</v>
      </c>
      <c r="FI81" t="s">
        <v>194</v>
      </c>
      <c r="FK81" t="s">
        <v>181</v>
      </c>
      <c r="FL81" t="s">
        <v>194</v>
      </c>
      <c r="FN81" t="s">
        <v>181</v>
      </c>
      <c r="FO81" t="s">
        <v>194</v>
      </c>
      <c r="FR81" t="s">
        <v>278</v>
      </c>
      <c r="FS81" t="s">
        <v>640</v>
      </c>
      <c r="FU81" t="s">
        <v>238</v>
      </c>
      <c r="FV81" t="s">
        <v>383</v>
      </c>
      <c r="FW81" t="s">
        <v>241</v>
      </c>
      <c r="FX81" t="s">
        <v>915</v>
      </c>
      <c r="FY81" t="s">
        <v>238</v>
      </c>
      <c r="FZ81" t="s">
        <v>529</v>
      </c>
      <c r="GA81" t="s">
        <v>194</v>
      </c>
      <c r="GB81" t="s">
        <v>916</v>
      </c>
      <c r="GC81" t="s">
        <v>232</v>
      </c>
      <c r="GD81" t="s">
        <v>917</v>
      </c>
    </row>
    <row r="82" spans="1:186" x14ac:dyDescent="0.25">
      <c r="A82" s="1">
        <v>46134.626694918981</v>
      </c>
      <c r="B82" s="1">
        <v>46134.632200358799</v>
      </c>
      <c r="C82" t="s">
        <v>176</v>
      </c>
      <c r="D82">
        <v>81</v>
      </c>
      <c r="E82">
        <v>81</v>
      </c>
      <c r="F82" t="b">
        <f t="shared" si="1"/>
        <v>1</v>
      </c>
      <c r="G82" s="1">
        <v>46131</v>
      </c>
      <c r="H82">
        <v>2</v>
      </c>
      <c r="I82" t="s">
        <v>518</v>
      </c>
      <c r="J82" t="s">
        <v>451</v>
      </c>
      <c r="K82" t="s">
        <v>925</v>
      </c>
      <c r="L82" t="s">
        <v>926</v>
      </c>
      <c r="M82" t="s">
        <v>181</v>
      </c>
      <c r="N82" t="s">
        <v>182</v>
      </c>
      <c r="O82">
        <v>14</v>
      </c>
      <c r="P82" t="s">
        <v>183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222</v>
      </c>
      <c r="W82">
        <v>60</v>
      </c>
      <c r="X82" t="s">
        <v>194</v>
      </c>
      <c r="Y82" t="s">
        <v>519</v>
      </c>
      <c r="Z82" t="s">
        <v>185</v>
      </c>
      <c r="AB82" t="s">
        <v>186</v>
      </c>
      <c r="AC82" t="s">
        <v>448</v>
      </c>
      <c r="AD82" t="s">
        <v>188</v>
      </c>
      <c r="AE82" t="s">
        <v>189</v>
      </c>
      <c r="AF82" t="s">
        <v>190</v>
      </c>
      <c r="AW82" t="s">
        <v>927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1</v>
      </c>
      <c r="BE82">
        <v>0</v>
      </c>
      <c r="BF82">
        <v>0</v>
      </c>
      <c r="BG82">
        <v>0</v>
      </c>
      <c r="BK82" t="s">
        <v>190</v>
      </c>
      <c r="BL82" t="s">
        <v>389</v>
      </c>
      <c r="BM82">
        <v>0</v>
      </c>
      <c r="BN82">
        <v>0</v>
      </c>
      <c r="BO82">
        <v>0</v>
      </c>
      <c r="BP82">
        <v>0</v>
      </c>
      <c r="BQ82">
        <v>1</v>
      </c>
      <c r="BR82" t="s">
        <v>193</v>
      </c>
      <c r="BS82" t="s">
        <v>181</v>
      </c>
      <c r="BT82" t="s">
        <v>181</v>
      </c>
      <c r="BU82" t="s">
        <v>194</v>
      </c>
      <c r="CD82" t="s">
        <v>181</v>
      </c>
      <c r="CE82" t="s">
        <v>578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S82" t="s">
        <v>194</v>
      </c>
      <c r="CZ82" t="s">
        <v>194</v>
      </c>
      <c r="DB82" t="s">
        <v>194</v>
      </c>
      <c r="DD82" t="s">
        <v>194</v>
      </c>
      <c r="DF82" t="s">
        <v>181</v>
      </c>
      <c r="DG82" t="s">
        <v>199</v>
      </c>
      <c r="DH82" t="s">
        <v>181</v>
      </c>
      <c r="DI82" t="s">
        <v>199</v>
      </c>
      <c r="DJ82" t="s">
        <v>181</v>
      </c>
      <c r="DK82" t="s">
        <v>197</v>
      </c>
      <c r="DL82" t="s">
        <v>181</v>
      </c>
      <c r="DM82" t="s">
        <v>215</v>
      </c>
      <c r="DN82" t="s">
        <v>194</v>
      </c>
      <c r="DP82" t="s">
        <v>194</v>
      </c>
      <c r="DR82" t="s">
        <v>194</v>
      </c>
      <c r="DT82" t="s">
        <v>194</v>
      </c>
      <c r="DV82" t="s">
        <v>181</v>
      </c>
      <c r="DW82" t="s">
        <v>199</v>
      </c>
      <c r="DX82" t="s">
        <v>181</v>
      </c>
      <c r="DY82" t="s">
        <v>199</v>
      </c>
      <c r="DZ82" t="s">
        <v>181</v>
      </c>
      <c r="EA82" t="s">
        <v>199</v>
      </c>
      <c r="EB82" t="s">
        <v>194</v>
      </c>
      <c r="ED82" t="s">
        <v>194</v>
      </c>
      <c r="EF82" t="s">
        <v>181</v>
      </c>
      <c r="EG82" t="s">
        <v>928</v>
      </c>
      <c r="EH82" t="s">
        <v>199</v>
      </c>
      <c r="EI82" t="s">
        <v>181</v>
      </c>
      <c r="EJ82" t="s">
        <v>215</v>
      </c>
      <c r="EK82" t="s">
        <v>181</v>
      </c>
      <c r="EM82" t="s">
        <v>181</v>
      </c>
      <c r="EN82" t="s">
        <v>194</v>
      </c>
      <c r="EP82" t="s">
        <v>181</v>
      </c>
      <c r="EQ82" t="s">
        <v>194</v>
      </c>
      <c r="ES82" t="s">
        <v>194</v>
      </c>
      <c r="EV82" t="s">
        <v>181</v>
      </c>
      <c r="EW82" t="s">
        <v>181</v>
      </c>
      <c r="EX82" t="s">
        <v>250</v>
      </c>
      <c r="EY82" t="s">
        <v>194</v>
      </c>
      <c r="FB82" t="s">
        <v>194</v>
      </c>
      <c r="FE82" t="s">
        <v>181</v>
      </c>
      <c r="FF82" t="s">
        <v>181</v>
      </c>
      <c r="FG82" t="s">
        <v>250</v>
      </c>
      <c r="FH82" t="s">
        <v>181</v>
      </c>
      <c r="FI82" t="s">
        <v>181</v>
      </c>
      <c r="FJ82" t="s">
        <v>250</v>
      </c>
      <c r="FK82" t="s">
        <v>181</v>
      </c>
      <c r="FL82" t="s">
        <v>181</v>
      </c>
      <c r="FM82" t="s">
        <v>250</v>
      </c>
      <c r="FN82" t="s">
        <v>181</v>
      </c>
      <c r="FO82" t="s">
        <v>181</v>
      </c>
      <c r="FP82" t="s">
        <v>250</v>
      </c>
      <c r="FR82" t="s">
        <v>284</v>
      </c>
      <c r="FS82" t="s">
        <v>274</v>
      </c>
      <c r="FT82" t="s">
        <v>278</v>
      </c>
      <c r="FU82" t="s">
        <v>238</v>
      </c>
      <c r="FV82" t="s">
        <v>300</v>
      </c>
      <c r="FW82" t="s">
        <v>238</v>
      </c>
      <c r="FX82" t="s">
        <v>929</v>
      </c>
      <c r="FY82" t="s">
        <v>238</v>
      </c>
      <c r="FZ82" t="s">
        <v>930</v>
      </c>
      <c r="GA82" t="s">
        <v>242</v>
      </c>
      <c r="GB82" t="s">
        <v>931</v>
      </c>
      <c r="GC82" t="s">
        <v>232</v>
      </c>
      <c r="GD82" t="s">
        <v>932</v>
      </c>
    </row>
    <row r="83" spans="1:186" hidden="1" x14ac:dyDescent="0.25">
      <c r="A83" s="1">
        <v>46134.632201134264</v>
      </c>
      <c r="B83" s="1">
        <v>46134.641081226851</v>
      </c>
      <c r="C83" t="s">
        <v>176</v>
      </c>
      <c r="D83">
        <v>82</v>
      </c>
      <c r="E83">
        <v>82</v>
      </c>
      <c r="F83" t="b">
        <f t="shared" si="1"/>
        <v>1</v>
      </c>
      <c r="G83" s="1">
        <v>46131</v>
      </c>
      <c r="H83">
        <v>2</v>
      </c>
      <c r="I83" t="s">
        <v>452</v>
      </c>
      <c r="J83" t="s">
        <v>451</v>
      </c>
      <c r="K83" t="s">
        <v>943</v>
      </c>
      <c r="L83" t="s">
        <v>944</v>
      </c>
      <c r="M83" t="s">
        <v>181</v>
      </c>
      <c r="N83" t="s">
        <v>182</v>
      </c>
      <c r="O83">
        <v>15</v>
      </c>
      <c r="P83" t="s">
        <v>183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184</v>
      </c>
      <c r="W83">
        <v>40</v>
      </c>
      <c r="X83" t="s">
        <v>181</v>
      </c>
      <c r="Z83" t="s">
        <v>270</v>
      </c>
      <c r="AB83" t="s">
        <v>186</v>
      </c>
      <c r="AC83" t="s">
        <v>257</v>
      </c>
      <c r="AD83" t="s">
        <v>188</v>
      </c>
      <c r="AE83" t="s">
        <v>189</v>
      </c>
      <c r="AF83" t="s">
        <v>190</v>
      </c>
      <c r="AW83" t="s">
        <v>516</v>
      </c>
      <c r="AX83">
        <v>1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K83" t="s">
        <v>224</v>
      </c>
      <c r="BL83" t="s">
        <v>192</v>
      </c>
      <c r="BM83">
        <v>0</v>
      </c>
      <c r="BN83">
        <v>1</v>
      </c>
      <c r="BO83">
        <v>1</v>
      </c>
      <c r="BP83">
        <v>0</v>
      </c>
      <c r="BQ83">
        <v>0</v>
      </c>
      <c r="BR83" t="s">
        <v>193</v>
      </c>
      <c r="BS83" t="s">
        <v>194</v>
      </c>
      <c r="BT83" t="s">
        <v>181</v>
      </c>
      <c r="BU83" t="s">
        <v>181</v>
      </c>
      <c r="BV83" t="s">
        <v>195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 t="s">
        <v>922</v>
      </c>
      <c r="CD83" t="s">
        <v>181</v>
      </c>
      <c r="CE83" t="s">
        <v>277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Q83" t="s">
        <v>181</v>
      </c>
      <c r="CZ83" t="s">
        <v>181</v>
      </c>
      <c r="DA83" t="s">
        <v>197</v>
      </c>
      <c r="DB83" t="s">
        <v>194</v>
      </c>
      <c r="DD83" t="s">
        <v>181</v>
      </c>
      <c r="DE83" t="s">
        <v>215</v>
      </c>
      <c r="DF83" t="s">
        <v>181</v>
      </c>
      <c r="DG83" t="s">
        <v>215</v>
      </c>
      <c r="DH83" t="s">
        <v>181</v>
      </c>
      <c r="DI83" t="s">
        <v>199</v>
      </c>
      <c r="DJ83" t="s">
        <v>194</v>
      </c>
      <c r="DL83" t="s">
        <v>181</v>
      </c>
      <c r="DM83" t="s">
        <v>197</v>
      </c>
      <c r="DN83" t="s">
        <v>181</v>
      </c>
      <c r="DO83" t="s">
        <v>197</v>
      </c>
      <c r="DP83" t="s">
        <v>194</v>
      </c>
      <c r="DR83" t="s">
        <v>181</v>
      </c>
      <c r="DS83" t="s">
        <v>199</v>
      </c>
      <c r="DT83" t="s">
        <v>181</v>
      </c>
      <c r="DU83" t="s">
        <v>199</v>
      </c>
      <c r="DV83" t="s">
        <v>194</v>
      </c>
      <c r="DX83" t="s">
        <v>194</v>
      </c>
      <c r="DZ83" t="s">
        <v>181</v>
      </c>
      <c r="EA83" t="s">
        <v>197</v>
      </c>
      <c r="EB83" t="s">
        <v>194</v>
      </c>
      <c r="ED83" t="s">
        <v>181</v>
      </c>
      <c r="EE83" t="s">
        <v>199</v>
      </c>
      <c r="EF83" t="s">
        <v>181</v>
      </c>
      <c r="EG83" t="s">
        <v>945</v>
      </c>
      <c r="EH83" t="s">
        <v>199</v>
      </c>
      <c r="EI83" t="s">
        <v>181</v>
      </c>
      <c r="EJ83" t="s">
        <v>199</v>
      </c>
      <c r="EK83" t="s">
        <v>194</v>
      </c>
      <c r="EM83" t="s">
        <v>181</v>
      </c>
      <c r="EN83" t="s">
        <v>181</v>
      </c>
      <c r="EO83" t="s">
        <v>250</v>
      </c>
      <c r="EP83" t="s">
        <v>181</v>
      </c>
      <c r="EQ83" t="s">
        <v>181</v>
      </c>
      <c r="ER83" t="s">
        <v>250</v>
      </c>
      <c r="ES83" t="s">
        <v>194</v>
      </c>
      <c r="EV83" t="s">
        <v>181</v>
      </c>
      <c r="EW83" t="s">
        <v>181</v>
      </c>
      <c r="EX83" t="s">
        <v>250</v>
      </c>
      <c r="EY83" t="s">
        <v>181</v>
      </c>
      <c r="EZ83" t="s">
        <v>194</v>
      </c>
      <c r="FB83" t="s">
        <v>194</v>
      </c>
      <c r="FE83" t="s">
        <v>181</v>
      </c>
      <c r="FF83" t="s">
        <v>181</v>
      </c>
      <c r="FG83" t="s">
        <v>229</v>
      </c>
      <c r="FH83" t="s">
        <v>181</v>
      </c>
      <c r="FI83" t="s">
        <v>181</v>
      </c>
      <c r="FJ83" t="s">
        <v>229</v>
      </c>
      <c r="FK83" t="s">
        <v>181</v>
      </c>
      <c r="FL83" t="s">
        <v>194</v>
      </c>
      <c r="FN83" t="s">
        <v>181</v>
      </c>
      <c r="FO83" t="s">
        <v>194</v>
      </c>
      <c r="FR83" t="s">
        <v>946</v>
      </c>
      <c r="FS83" t="s">
        <v>353</v>
      </c>
      <c r="FU83" t="s">
        <v>238</v>
      </c>
      <c r="FV83" t="s">
        <v>239</v>
      </c>
      <c r="FW83" t="s">
        <v>238</v>
      </c>
      <c r="FX83" t="s">
        <v>947</v>
      </c>
      <c r="FY83" t="s">
        <v>238</v>
      </c>
      <c r="FZ83" t="s">
        <v>948</v>
      </c>
      <c r="GA83" t="s">
        <v>242</v>
      </c>
      <c r="GB83" t="s">
        <v>949</v>
      </c>
      <c r="GC83" t="s">
        <v>941</v>
      </c>
      <c r="GD83" t="s">
        <v>950</v>
      </c>
    </row>
    <row r="84" spans="1:186" hidden="1" x14ac:dyDescent="0.25">
      <c r="A84" s="1">
        <v>46134.641081979164</v>
      </c>
      <c r="B84" s="1">
        <v>46134.646080648148</v>
      </c>
      <c r="C84" t="s">
        <v>176</v>
      </c>
      <c r="D84">
        <v>83</v>
      </c>
      <c r="E84">
        <v>83</v>
      </c>
      <c r="F84" t="b">
        <f t="shared" si="1"/>
        <v>1</v>
      </c>
      <c r="G84" s="1">
        <v>46131</v>
      </c>
      <c r="H84">
        <v>2</v>
      </c>
      <c r="I84" t="s">
        <v>518</v>
      </c>
      <c r="J84" t="s">
        <v>451</v>
      </c>
      <c r="K84" t="s">
        <v>958</v>
      </c>
      <c r="L84" t="s">
        <v>959</v>
      </c>
      <c r="M84" t="s">
        <v>181</v>
      </c>
      <c r="N84" t="s">
        <v>182</v>
      </c>
      <c r="O84">
        <v>10</v>
      </c>
      <c r="P84" t="s">
        <v>183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222</v>
      </c>
      <c r="W84">
        <v>23</v>
      </c>
      <c r="X84" t="s">
        <v>181</v>
      </c>
      <c r="Z84" t="s">
        <v>185</v>
      </c>
      <c r="AB84" t="s">
        <v>223</v>
      </c>
      <c r="AC84" t="s">
        <v>257</v>
      </c>
      <c r="AD84" t="s">
        <v>188</v>
      </c>
      <c r="AE84" t="s">
        <v>265</v>
      </c>
      <c r="AF84" t="s">
        <v>224</v>
      </c>
      <c r="AG84" t="s">
        <v>527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BK84" t="s">
        <v>224</v>
      </c>
      <c r="BL84" t="s">
        <v>192</v>
      </c>
      <c r="BM84">
        <v>0</v>
      </c>
      <c r="BN84">
        <v>1</v>
      </c>
      <c r="BO84">
        <v>1</v>
      </c>
      <c r="BP84">
        <v>0</v>
      </c>
      <c r="BQ84">
        <v>0</v>
      </c>
      <c r="BR84" t="s">
        <v>193</v>
      </c>
      <c r="BS84" t="s">
        <v>194</v>
      </c>
      <c r="BT84" t="s">
        <v>194</v>
      </c>
      <c r="BU84" t="s">
        <v>194</v>
      </c>
      <c r="CD84" t="s">
        <v>194</v>
      </c>
      <c r="CZ84" t="s">
        <v>194</v>
      </c>
      <c r="DB84" t="s">
        <v>181</v>
      </c>
      <c r="DC84" t="s">
        <v>215</v>
      </c>
      <c r="DD84" t="s">
        <v>181</v>
      </c>
      <c r="DE84" t="s">
        <v>215</v>
      </c>
      <c r="DF84" t="s">
        <v>181</v>
      </c>
      <c r="DG84" t="s">
        <v>215</v>
      </c>
      <c r="DH84" t="s">
        <v>181</v>
      </c>
      <c r="DI84" t="s">
        <v>215</v>
      </c>
      <c r="DJ84" t="s">
        <v>181</v>
      </c>
      <c r="DK84" t="s">
        <v>215</v>
      </c>
      <c r="DL84" t="s">
        <v>181</v>
      </c>
      <c r="DM84" t="s">
        <v>215</v>
      </c>
      <c r="DN84" t="s">
        <v>194</v>
      </c>
      <c r="DP84" t="s">
        <v>194</v>
      </c>
      <c r="DR84" t="s">
        <v>181</v>
      </c>
      <c r="DS84" t="s">
        <v>215</v>
      </c>
      <c r="DT84" t="s">
        <v>194</v>
      </c>
      <c r="DV84" t="s">
        <v>181</v>
      </c>
      <c r="DW84" t="s">
        <v>199</v>
      </c>
      <c r="DX84" t="s">
        <v>181</v>
      </c>
      <c r="DY84" t="s">
        <v>215</v>
      </c>
      <c r="DZ84" t="s">
        <v>181</v>
      </c>
      <c r="EA84" t="s">
        <v>215</v>
      </c>
      <c r="EB84" t="s">
        <v>194</v>
      </c>
      <c r="ED84" t="s">
        <v>181</v>
      </c>
      <c r="EE84" t="s">
        <v>215</v>
      </c>
      <c r="EF84" t="s">
        <v>194</v>
      </c>
      <c r="EI84" t="s">
        <v>181</v>
      </c>
      <c r="EJ84" t="s">
        <v>215</v>
      </c>
      <c r="EK84" t="s">
        <v>194</v>
      </c>
      <c r="EM84" t="s">
        <v>181</v>
      </c>
      <c r="EN84" t="s">
        <v>194</v>
      </c>
      <c r="EP84" t="s">
        <v>181</v>
      </c>
      <c r="EQ84" t="s">
        <v>181</v>
      </c>
      <c r="ER84" t="s">
        <v>250</v>
      </c>
      <c r="ES84" t="s">
        <v>194</v>
      </c>
      <c r="EV84" t="s">
        <v>181</v>
      </c>
      <c r="EW84" t="s">
        <v>194</v>
      </c>
      <c r="EY84" t="s">
        <v>181</v>
      </c>
      <c r="EZ84" t="s">
        <v>194</v>
      </c>
      <c r="FB84" t="s">
        <v>194</v>
      </c>
      <c r="FE84" t="s">
        <v>181</v>
      </c>
      <c r="FF84" t="s">
        <v>181</v>
      </c>
      <c r="FG84" t="s">
        <v>250</v>
      </c>
      <c r="FH84" t="s">
        <v>181</v>
      </c>
      <c r="FI84" t="s">
        <v>194</v>
      </c>
      <c r="FK84" t="s">
        <v>181</v>
      </c>
      <c r="FL84" t="s">
        <v>194</v>
      </c>
      <c r="FN84" t="s">
        <v>194</v>
      </c>
      <c r="FR84" t="s">
        <v>363</v>
      </c>
      <c r="FU84" t="s">
        <v>238</v>
      </c>
      <c r="FV84" t="s">
        <v>239</v>
      </c>
      <c r="FW84" t="s">
        <v>241</v>
      </c>
      <c r="FX84" t="s">
        <v>960</v>
      </c>
      <c r="FY84" t="s">
        <v>241</v>
      </c>
      <c r="GA84" t="s">
        <v>242</v>
      </c>
      <c r="GB84" t="s">
        <v>961</v>
      </c>
      <c r="GC84" t="s">
        <v>373</v>
      </c>
    </row>
    <row r="85" spans="1:186" hidden="1" x14ac:dyDescent="0.25">
      <c r="A85" s="1">
        <v>46134.646081527782</v>
      </c>
      <c r="B85" s="1">
        <v>46134.653188090277</v>
      </c>
      <c r="C85" t="s">
        <v>176</v>
      </c>
      <c r="D85">
        <v>84</v>
      </c>
      <c r="E85">
        <v>84</v>
      </c>
      <c r="F85" t="b">
        <f t="shared" si="1"/>
        <v>1</v>
      </c>
      <c r="G85" s="1">
        <v>46131</v>
      </c>
      <c r="H85">
        <v>2</v>
      </c>
      <c r="I85" t="s">
        <v>518</v>
      </c>
      <c r="J85" t="s">
        <v>451</v>
      </c>
      <c r="K85" t="s">
        <v>962</v>
      </c>
      <c r="L85" t="s">
        <v>963</v>
      </c>
      <c r="M85" t="s">
        <v>181</v>
      </c>
      <c r="N85" t="s">
        <v>182</v>
      </c>
      <c r="O85">
        <v>12</v>
      </c>
      <c r="P85" t="s">
        <v>183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222</v>
      </c>
      <c r="W85">
        <v>32</v>
      </c>
      <c r="X85" t="s">
        <v>181</v>
      </c>
      <c r="Z85" t="s">
        <v>270</v>
      </c>
      <c r="AB85" t="s">
        <v>186</v>
      </c>
      <c r="AC85" t="s">
        <v>257</v>
      </c>
      <c r="AD85" t="s">
        <v>188</v>
      </c>
      <c r="AE85" t="s">
        <v>189</v>
      </c>
      <c r="AF85" t="s">
        <v>190</v>
      </c>
      <c r="AW85" t="s">
        <v>964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0</v>
      </c>
      <c r="BH85" t="s">
        <v>965</v>
      </c>
      <c r="BK85" t="s">
        <v>224</v>
      </c>
      <c r="BL85" t="s">
        <v>192</v>
      </c>
      <c r="BM85">
        <v>0</v>
      </c>
      <c r="BN85">
        <v>1</v>
      </c>
      <c r="BO85">
        <v>1</v>
      </c>
      <c r="BP85">
        <v>0</v>
      </c>
      <c r="BQ85">
        <v>0</v>
      </c>
      <c r="BR85" t="s">
        <v>227</v>
      </c>
      <c r="BS85" t="s">
        <v>194</v>
      </c>
      <c r="BT85" t="s">
        <v>194</v>
      </c>
      <c r="BU85" t="s">
        <v>194</v>
      </c>
      <c r="CD85" t="s">
        <v>194</v>
      </c>
      <c r="CZ85" t="s">
        <v>194</v>
      </c>
      <c r="DB85" t="s">
        <v>181</v>
      </c>
      <c r="DC85" t="s">
        <v>199</v>
      </c>
      <c r="DD85" t="s">
        <v>181</v>
      </c>
      <c r="DE85" t="s">
        <v>215</v>
      </c>
      <c r="DF85" t="s">
        <v>181</v>
      </c>
      <c r="DG85" t="s">
        <v>215</v>
      </c>
      <c r="DH85" t="s">
        <v>194</v>
      </c>
      <c r="DJ85" t="s">
        <v>181</v>
      </c>
      <c r="DK85" t="s">
        <v>199</v>
      </c>
      <c r="DL85" t="s">
        <v>181</v>
      </c>
      <c r="DM85" t="s">
        <v>215</v>
      </c>
      <c r="DN85" t="s">
        <v>181</v>
      </c>
      <c r="DO85" t="s">
        <v>215</v>
      </c>
      <c r="DP85" t="s">
        <v>181</v>
      </c>
      <c r="DQ85" t="s">
        <v>197</v>
      </c>
      <c r="DR85" t="s">
        <v>181</v>
      </c>
      <c r="DS85" t="s">
        <v>215</v>
      </c>
      <c r="DT85" t="s">
        <v>194</v>
      </c>
      <c r="DV85" t="s">
        <v>181</v>
      </c>
      <c r="DW85" t="s">
        <v>197</v>
      </c>
      <c r="DX85" t="s">
        <v>181</v>
      </c>
      <c r="DY85" t="s">
        <v>199</v>
      </c>
      <c r="DZ85" t="s">
        <v>181</v>
      </c>
      <c r="EA85" t="s">
        <v>199</v>
      </c>
      <c r="EB85" t="s">
        <v>194</v>
      </c>
      <c r="ED85" t="s">
        <v>181</v>
      </c>
      <c r="EE85" t="s">
        <v>199</v>
      </c>
      <c r="EF85" t="s">
        <v>194</v>
      </c>
      <c r="EI85" t="s">
        <v>181</v>
      </c>
      <c r="EJ85" t="s">
        <v>215</v>
      </c>
      <c r="EK85" t="s">
        <v>181</v>
      </c>
      <c r="EM85" t="s">
        <v>181</v>
      </c>
      <c r="EN85" t="s">
        <v>194</v>
      </c>
      <c r="EP85" t="s">
        <v>181</v>
      </c>
      <c r="EQ85" t="s">
        <v>194</v>
      </c>
      <c r="ES85" t="s">
        <v>194</v>
      </c>
      <c r="EV85" t="s">
        <v>181</v>
      </c>
      <c r="EW85" t="s">
        <v>194</v>
      </c>
      <c r="EY85" t="s">
        <v>181</v>
      </c>
      <c r="EZ85" t="s">
        <v>194</v>
      </c>
      <c r="FB85" t="s">
        <v>194</v>
      </c>
      <c r="FE85" t="s">
        <v>181</v>
      </c>
      <c r="FF85" t="s">
        <v>181</v>
      </c>
      <c r="FG85" t="s">
        <v>250</v>
      </c>
      <c r="FH85" t="s">
        <v>181</v>
      </c>
      <c r="FI85" t="s">
        <v>194</v>
      </c>
      <c r="FK85" t="s">
        <v>181</v>
      </c>
      <c r="FL85" t="s">
        <v>194</v>
      </c>
      <c r="FN85" t="s">
        <v>194</v>
      </c>
      <c r="FR85" t="s">
        <v>218</v>
      </c>
      <c r="FU85" t="s">
        <v>238</v>
      </c>
      <c r="FV85" t="s">
        <v>300</v>
      </c>
      <c r="FW85" t="s">
        <v>238</v>
      </c>
      <c r="FX85" t="s">
        <v>966</v>
      </c>
      <c r="FY85" t="s">
        <v>238</v>
      </c>
      <c r="FZ85" t="s">
        <v>930</v>
      </c>
      <c r="GA85" t="s">
        <v>242</v>
      </c>
      <c r="GB85" t="s">
        <v>476</v>
      </c>
      <c r="GC85" t="s">
        <v>202</v>
      </c>
    </row>
    <row r="86" spans="1:186" x14ac:dyDescent="0.25">
      <c r="A86" s="1">
        <v>46134.653188761571</v>
      </c>
      <c r="B86" s="1">
        <v>46134.657394745373</v>
      </c>
      <c r="C86" t="s">
        <v>176</v>
      </c>
      <c r="D86">
        <v>85</v>
      </c>
      <c r="E86">
        <v>85</v>
      </c>
      <c r="F86" t="b">
        <f t="shared" si="1"/>
        <v>1</v>
      </c>
      <c r="G86" s="1">
        <v>46131</v>
      </c>
      <c r="H86">
        <v>2</v>
      </c>
      <c r="I86" t="s">
        <v>452</v>
      </c>
      <c r="J86" t="s">
        <v>451</v>
      </c>
      <c r="K86" t="s">
        <v>967</v>
      </c>
      <c r="L86" t="s">
        <v>968</v>
      </c>
      <c r="M86" t="s">
        <v>181</v>
      </c>
      <c r="N86" t="s">
        <v>182</v>
      </c>
      <c r="O86">
        <v>16</v>
      </c>
      <c r="P86" t="s">
        <v>183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222</v>
      </c>
      <c r="W86">
        <v>40</v>
      </c>
      <c r="X86" t="s">
        <v>181</v>
      </c>
      <c r="Z86" t="s">
        <v>185</v>
      </c>
      <c r="AB86" t="s">
        <v>256</v>
      </c>
      <c r="AC86" t="s">
        <v>257</v>
      </c>
      <c r="AD86" t="s">
        <v>188</v>
      </c>
      <c r="AE86" t="s">
        <v>189</v>
      </c>
      <c r="AF86" t="s">
        <v>224</v>
      </c>
      <c r="AG86" t="s">
        <v>352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BK86" t="s">
        <v>248</v>
      </c>
      <c r="BL86" t="s">
        <v>226</v>
      </c>
      <c r="BM86">
        <v>0</v>
      </c>
      <c r="BN86">
        <v>1</v>
      </c>
      <c r="BO86">
        <v>0</v>
      </c>
      <c r="BP86">
        <v>0</v>
      </c>
      <c r="BQ86">
        <v>0</v>
      </c>
      <c r="BR86" t="s">
        <v>227</v>
      </c>
      <c r="BS86" t="s">
        <v>194</v>
      </c>
      <c r="BT86" t="s">
        <v>194</v>
      </c>
      <c r="BU86" t="s">
        <v>194</v>
      </c>
      <c r="CD86" t="s">
        <v>194</v>
      </c>
      <c r="CZ86" t="s">
        <v>194</v>
      </c>
      <c r="DB86" t="s">
        <v>194</v>
      </c>
      <c r="DD86" t="s">
        <v>194</v>
      </c>
      <c r="DF86" t="s">
        <v>181</v>
      </c>
      <c r="DG86" t="s">
        <v>215</v>
      </c>
      <c r="DH86" t="s">
        <v>198</v>
      </c>
      <c r="DJ86" t="s">
        <v>194</v>
      </c>
      <c r="DL86" t="s">
        <v>181</v>
      </c>
      <c r="DM86" t="s">
        <v>199</v>
      </c>
      <c r="DN86" t="s">
        <v>194</v>
      </c>
      <c r="DP86" t="s">
        <v>194</v>
      </c>
      <c r="DR86" t="s">
        <v>194</v>
      </c>
      <c r="DT86" t="s">
        <v>194</v>
      </c>
      <c r="DV86" t="s">
        <v>194</v>
      </c>
      <c r="DX86" t="s">
        <v>181</v>
      </c>
      <c r="DY86" t="s">
        <v>199</v>
      </c>
      <c r="DZ86" t="s">
        <v>181</v>
      </c>
      <c r="EA86" t="s">
        <v>197</v>
      </c>
      <c r="EB86" t="s">
        <v>194</v>
      </c>
      <c r="ED86" t="s">
        <v>181</v>
      </c>
      <c r="EE86" t="s">
        <v>199</v>
      </c>
      <c r="EF86" t="s">
        <v>194</v>
      </c>
      <c r="EI86" t="s">
        <v>181</v>
      </c>
      <c r="EJ86" t="s">
        <v>199</v>
      </c>
      <c r="EK86" t="s">
        <v>194</v>
      </c>
      <c r="EM86" t="s">
        <v>181</v>
      </c>
      <c r="EN86" t="s">
        <v>194</v>
      </c>
      <c r="EP86" t="s">
        <v>181</v>
      </c>
      <c r="EQ86" t="s">
        <v>194</v>
      </c>
      <c r="ES86" t="s">
        <v>194</v>
      </c>
      <c r="EV86" t="s">
        <v>181</v>
      </c>
      <c r="EW86" t="s">
        <v>194</v>
      </c>
      <c r="EY86" t="s">
        <v>181</v>
      </c>
      <c r="EZ86" t="s">
        <v>194</v>
      </c>
      <c r="FB86" t="s">
        <v>181</v>
      </c>
      <c r="FC86" t="s">
        <v>194</v>
      </c>
      <c r="FE86" t="s">
        <v>181</v>
      </c>
      <c r="FF86" t="s">
        <v>181</v>
      </c>
      <c r="FG86" t="s">
        <v>229</v>
      </c>
      <c r="FH86" t="s">
        <v>181</v>
      </c>
      <c r="FI86" t="s">
        <v>194</v>
      </c>
      <c r="FK86" t="s">
        <v>181</v>
      </c>
      <c r="FL86" t="s">
        <v>194</v>
      </c>
      <c r="FN86" t="s">
        <v>181</v>
      </c>
      <c r="FO86" t="s">
        <v>194</v>
      </c>
      <c r="FR86" t="s">
        <v>287</v>
      </c>
      <c r="FS86" t="s">
        <v>969</v>
      </c>
      <c r="FT86" t="s">
        <v>363</v>
      </c>
      <c r="FU86" t="s">
        <v>238</v>
      </c>
      <c r="FV86" t="s">
        <v>239</v>
      </c>
      <c r="FW86" t="s">
        <v>238</v>
      </c>
      <c r="FX86" t="s">
        <v>970</v>
      </c>
      <c r="FY86" t="s">
        <v>241</v>
      </c>
      <c r="GA86" t="s">
        <v>242</v>
      </c>
      <c r="GB86" t="s">
        <v>971</v>
      </c>
      <c r="GC86" t="s">
        <v>972</v>
      </c>
    </row>
    <row r="87" spans="1:186" hidden="1" x14ac:dyDescent="0.25">
      <c r="A87" s="1">
        <v>46134.623372326387</v>
      </c>
      <c r="B87" s="1">
        <v>46134.626664050928</v>
      </c>
      <c r="C87" t="s">
        <v>451</v>
      </c>
      <c r="D87">
        <v>86</v>
      </c>
      <c r="E87">
        <v>86</v>
      </c>
      <c r="F87" t="b">
        <f t="shared" si="1"/>
        <v>1</v>
      </c>
      <c r="G87" s="1">
        <v>46131</v>
      </c>
      <c r="H87">
        <v>1</v>
      </c>
      <c r="I87" t="s">
        <v>452</v>
      </c>
      <c r="J87" t="s">
        <v>451</v>
      </c>
      <c r="K87" t="s">
        <v>907</v>
      </c>
      <c r="L87" t="s">
        <v>908</v>
      </c>
      <c r="M87" t="s">
        <v>181</v>
      </c>
      <c r="N87" t="s">
        <v>182</v>
      </c>
      <c r="O87">
        <v>40</v>
      </c>
      <c r="P87" t="s">
        <v>183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184</v>
      </c>
      <c r="W87">
        <v>47</v>
      </c>
      <c r="X87" t="s">
        <v>181</v>
      </c>
      <c r="Z87" t="s">
        <v>185</v>
      </c>
      <c r="AB87" t="s">
        <v>186</v>
      </c>
      <c r="AC87" t="s">
        <v>257</v>
      </c>
      <c r="AD87" t="s">
        <v>188</v>
      </c>
      <c r="AE87" t="s">
        <v>265</v>
      </c>
      <c r="AF87" t="s">
        <v>224</v>
      </c>
      <c r="AG87" t="s">
        <v>388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BK87" t="s">
        <v>224</v>
      </c>
      <c r="BL87" t="s">
        <v>192</v>
      </c>
      <c r="BM87">
        <v>0</v>
      </c>
      <c r="BN87">
        <v>1</v>
      </c>
      <c r="BO87">
        <v>1</v>
      </c>
      <c r="BP87">
        <v>0</v>
      </c>
      <c r="BQ87">
        <v>0</v>
      </c>
      <c r="BR87" t="s">
        <v>227</v>
      </c>
      <c r="BS87" t="s">
        <v>194</v>
      </c>
      <c r="BT87" t="s">
        <v>181</v>
      </c>
      <c r="BU87" t="s">
        <v>181</v>
      </c>
      <c r="BV87" t="s">
        <v>195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 t="s">
        <v>909</v>
      </c>
      <c r="CD87" t="s">
        <v>194</v>
      </c>
      <c r="CZ87" t="s">
        <v>181</v>
      </c>
      <c r="DA87" t="s">
        <v>197</v>
      </c>
      <c r="DB87" t="s">
        <v>194</v>
      </c>
      <c r="DD87" t="s">
        <v>181</v>
      </c>
      <c r="DE87" t="s">
        <v>215</v>
      </c>
      <c r="DF87" t="s">
        <v>181</v>
      </c>
      <c r="DG87" t="s">
        <v>215</v>
      </c>
      <c r="DH87" t="s">
        <v>194</v>
      </c>
      <c r="DJ87" t="s">
        <v>194</v>
      </c>
      <c r="DL87" t="s">
        <v>194</v>
      </c>
      <c r="DN87" t="s">
        <v>181</v>
      </c>
      <c r="DO87" t="s">
        <v>197</v>
      </c>
      <c r="DP87" t="s">
        <v>194</v>
      </c>
      <c r="DR87" t="s">
        <v>194</v>
      </c>
      <c r="DT87" t="s">
        <v>194</v>
      </c>
      <c r="DV87" t="s">
        <v>194</v>
      </c>
      <c r="DX87" t="s">
        <v>194</v>
      </c>
      <c r="DZ87" t="s">
        <v>181</v>
      </c>
      <c r="EA87" t="s">
        <v>197</v>
      </c>
      <c r="EB87" t="s">
        <v>194</v>
      </c>
      <c r="ED87" t="s">
        <v>181</v>
      </c>
      <c r="EE87" t="s">
        <v>197</v>
      </c>
      <c r="EF87" t="s">
        <v>194</v>
      </c>
      <c r="EI87" t="s">
        <v>181</v>
      </c>
      <c r="EJ87" t="s">
        <v>215</v>
      </c>
      <c r="EK87" t="s">
        <v>181</v>
      </c>
      <c r="EM87" t="s">
        <v>181</v>
      </c>
      <c r="EN87" t="s">
        <v>194</v>
      </c>
      <c r="EP87" t="s">
        <v>181</v>
      </c>
      <c r="EQ87" t="s">
        <v>194</v>
      </c>
      <c r="ES87" t="s">
        <v>194</v>
      </c>
      <c r="EV87" t="s">
        <v>181</v>
      </c>
      <c r="EW87" t="s">
        <v>194</v>
      </c>
      <c r="EY87" t="s">
        <v>181</v>
      </c>
      <c r="EZ87" t="s">
        <v>194</v>
      </c>
      <c r="FB87" t="s">
        <v>181</v>
      </c>
      <c r="FC87" t="s">
        <v>194</v>
      </c>
      <c r="FE87" t="s">
        <v>181</v>
      </c>
      <c r="FF87" t="s">
        <v>181</v>
      </c>
      <c r="FG87" t="s">
        <v>250</v>
      </c>
      <c r="FH87" t="s">
        <v>181</v>
      </c>
      <c r="FI87" t="s">
        <v>181</v>
      </c>
      <c r="FJ87" t="s">
        <v>250</v>
      </c>
      <c r="FK87" t="s">
        <v>181</v>
      </c>
      <c r="FL87" t="s">
        <v>194</v>
      </c>
      <c r="FN87" t="s">
        <v>194</v>
      </c>
      <c r="FR87" t="s">
        <v>353</v>
      </c>
      <c r="FS87" t="s">
        <v>910</v>
      </c>
      <c r="FU87" t="s">
        <v>194</v>
      </c>
      <c r="GC87" t="s">
        <v>232</v>
      </c>
    </row>
    <row r="88" spans="1:186" hidden="1" x14ac:dyDescent="0.25">
      <c r="A88" s="1">
        <v>46134.626664814823</v>
      </c>
      <c r="B88" s="1">
        <v>46134.631520590279</v>
      </c>
      <c r="C88" t="s">
        <v>451</v>
      </c>
      <c r="D88">
        <v>87</v>
      </c>
      <c r="E88">
        <v>87</v>
      </c>
      <c r="F88" t="b">
        <f t="shared" si="1"/>
        <v>1</v>
      </c>
      <c r="G88" s="1">
        <v>46131</v>
      </c>
      <c r="H88">
        <v>2</v>
      </c>
      <c r="I88" t="s">
        <v>518</v>
      </c>
      <c r="J88" t="s">
        <v>451</v>
      </c>
      <c r="K88" t="s">
        <v>918</v>
      </c>
      <c r="L88" t="s">
        <v>919</v>
      </c>
      <c r="M88" t="s">
        <v>181</v>
      </c>
      <c r="N88" t="s">
        <v>182</v>
      </c>
      <c r="O88">
        <v>25</v>
      </c>
      <c r="P88" t="s">
        <v>183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222</v>
      </c>
      <c r="W88">
        <v>34</v>
      </c>
      <c r="X88" t="s">
        <v>181</v>
      </c>
      <c r="Z88" t="s">
        <v>185</v>
      </c>
      <c r="AB88" t="s">
        <v>208</v>
      </c>
      <c r="AC88" t="s">
        <v>257</v>
      </c>
      <c r="AD88" t="s">
        <v>188</v>
      </c>
      <c r="AE88" t="s">
        <v>265</v>
      </c>
      <c r="AF88" t="s">
        <v>190</v>
      </c>
      <c r="AW88" t="s">
        <v>920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K88" t="s">
        <v>190</v>
      </c>
      <c r="BL88" t="s">
        <v>389</v>
      </c>
      <c r="BM88">
        <v>0</v>
      </c>
      <c r="BN88">
        <v>0</v>
      </c>
      <c r="BO88">
        <v>0</v>
      </c>
      <c r="BP88">
        <v>0</v>
      </c>
      <c r="BQ88">
        <v>1</v>
      </c>
      <c r="BR88" t="s">
        <v>193</v>
      </c>
      <c r="BS88" t="s">
        <v>194</v>
      </c>
      <c r="BT88" t="s">
        <v>181</v>
      </c>
      <c r="BU88" t="s">
        <v>181</v>
      </c>
      <c r="BV88" t="s">
        <v>921</v>
      </c>
      <c r="BW88">
        <v>1</v>
      </c>
      <c r="BX88">
        <v>0</v>
      </c>
      <c r="BY88">
        <v>1</v>
      </c>
      <c r="BZ88">
        <v>0</v>
      </c>
      <c r="CA88">
        <v>0</v>
      </c>
      <c r="CB88">
        <v>1</v>
      </c>
      <c r="CC88" t="s">
        <v>922</v>
      </c>
      <c r="CD88" t="s">
        <v>194</v>
      </c>
      <c r="CZ88" t="s">
        <v>181</v>
      </c>
      <c r="DA88" t="s">
        <v>197</v>
      </c>
      <c r="DB88" t="s">
        <v>181</v>
      </c>
      <c r="DC88" t="s">
        <v>215</v>
      </c>
      <c r="DD88" t="s">
        <v>181</v>
      </c>
      <c r="DE88" t="s">
        <v>215</v>
      </c>
      <c r="DF88" t="s">
        <v>181</v>
      </c>
      <c r="DG88" t="s">
        <v>199</v>
      </c>
      <c r="DH88" t="s">
        <v>181</v>
      </c>
      <c r="DI88" t="s">
        <v>199</v>
      </c>
      <c r="DJ88" t="s">
        <v>181</v>
      </c>
      <c r="DK88" t="s">
        <v>215</v>
      </c>
      <c r="DL88" t="s">
        <v>181</v>
      </c>
      <c r="DM88" t="s">
        <v>199</v>
      </c>
      <c r="DN88" t="s">
        <v>194</v>
      </c>
      <c r="DP88" t="s">
        <v>181</v>
      </c>
      <c r="DQ88" t="s">
        <v>215</v>
      </c>
      <c r="DR88" t="s">
        <v>194</v>
      </c>
      <c r="DT88" t="s">
        <v>181</v>
      </c>
      <c r="DU88" t="s">
        <v>199</v>
      </c>
      <c r="DV88" t="s">
        <v>181</v>
      </c>
      <c r="DW88" t="s">
        <v>199</v>
      </c>
      <c r="DX88" t="s">
        <v>181</v>
      </c>
      <c r="DY88" t="s">
        <v>199</v>
      </c>
      <c r="DZ88" t="s">
        <v>194</v>
      </c>
      <c r="EB88" t="s">
        <v>194</v>
      </c>
      <c r="ED88" t="s">
        <v>181</v>
      </c>
      <c r="EE88" t="s">
        <v>197</v>
      </c>
      <c r="EF88" t="s">
        <v>181</v>
      </c>
      <c r="EG88" t="s">
        <v>923</v>
      </c>
      <c r="EH88" t="s">
        <v>215</v>
      </c>
      <c r="EI88" t="s">
        <v>181</v>
      </c>
      <c r="EJ88" t="s">
        <v>215</v>
      </c>
      <c r="EK88" t="s">
        <v>181</v>
      </c>
      <c r="EM88" t="s">
        <v>181</v>
      </c>
      <c r="EN88" t="s">
        <v>194</v>
      </c>
      <c r="EP88" t="s">
        <v>181</v>
      </c>
      <c r="EQ88" t="s">
        <v>194</v>
      </c>
      <c r="ES88" t="s">
        <v>194</v>
      </c>
      <c r="EV88" t="s">
        <v>181</v>
      </c>
      <c r="EW88" t="s">
        <v>194</v>
      </c>
      <c r="EY88" t="s">
        <v>181</v>
      </c>
      <c r="EZ88" t="s">
        <v>194</v>
      </c>
      <c r="FB88" t="s">
        <v>181</v>
      </c>
      <c r="FC88" t="s">
        <v>194</v>
      </c>
      <c r="FE88" t="s">
        <v>181</v>
      </c>
      <c r="FF88" t="s">
        <v>181</v>
      </c>
      <c r="FG88" t="s">
        <v>250</v>
      </c>
      <c r="FH88" t="s">
        <v>181</v>
      </c>
      <c r="FI88" t="s">
        <v>181</v>
      </c>
      <c r="FJ88" t="s">
        <v>250</v>
      </c>
      <c r="FK88" t="s">
        <v>181</v>
      </c>
      <c r="FL88" t="s">
        <v>181</v>
      </c>
      <c r="FM88" t="s">
        <v>250</v>
      </c>
      <c r="FN88" t="s">
        <v>194</v>
      </c>
      <c r="FR88" t="s">
        <v>924</v>
      </c>
      <c r="FS88" t="s">
        <v>278</v>
      </c>
      <c r="FU88" t="s">
        <v>194</v>
      </c>
      <c r="GC88" t="s">
        <v>202</v>
      </c>
    </row>
    <row r="89" spans="1:186" hidden="1" x14ac:dyDescent="0.25">
      <c r="A89" s="1">
        <v>46134.631521226853</v>
      </c>
      <c r="B89" s="1">
        <v>46134.63562429398</v>
      </c>
      <c r="C89" t="s">
        <v>451</v>
      </c>
      <c r="D89">
        <v>88</v>
      </c>
      <c r="E89">
        <v>88</v>
      </c>
      <c r="F89" t="b">
        <f t="shared" si="1"/>
        <v>1</v>
      </c>
      <c r="G89" s="1">
        <v>46131</v>
      </c>
      <c r="H89">
        <v>3</v>
      </c>
      <c r="I89" t="s">
        <v>505</v>
      </c>
      <c r="J89" t="s">
        <v>176</v>
      </c>
      <c r="K89" t="s">
        <v>933</v>
      </c>
      <c r="L89" t="s">
        <v>934</v>
      </c>
      <c r="M89" t="s">
        <v>181</v>
      </c>
      <c r="N89" t="s">
        <v>182</v>
      </c>
      <c r="O89">
        <v>10</v>
      </c>
      <c r="P89" t="s">
        <v>183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184</v>
      </c>
      <c r="W89">
        <v>23</v>
      </c>
      <c r="X89" t="s">
        <v>181</v>
      </c>
      <c r="Z89" t="s">
        <v>185</v>
      </c>
      <c r="AB89" t="s">
        <v>223</v>
      </c>
      <c r="AC89" t="s">
        <v>187</v>
      </c>
      <c r="AD89" t="s">
        <v>210</v>
      </c>
      <c r="AE89" t="s">
        <v>198</v>
      </c>
      <c r="AF89" t="s">
        <v>224</v>
      </c>
      <c r="AG89" t="s">
        <v>621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BK89" t="s">
        <v>224</v>
      </c>
      <c r="BL89" t="s">
        <v>192</v>
      </c>
      <c r="BM89">
        <v>0</v>
      </c>
      <c r="BN89">
        <v>1</v>
      </c>
      <c r="BO89">
        <v>1</v>
      </c>
      <c r="BP89">
        <v>0</v>
      </c>
      <c r="BQ89">
        <v>0</v>
      </c>
      <c r="BR89" t="s">
        <v>212</v>
      </c>
      <c r="BS89" t="s">
        <v>194</v>
      </c>
      <c r="BT89" t="s">
        <v>194</v>
      </c>
      <c r="BU89" t="s">
        <v>194</v>
      </c>
      <c r="CD89" t="s">
        <v>194</v>
      </c>
      <c r="CZ89" t="s">
        <v>194</v>
      </c>
      <c r="DB89" t="s">
        <v>194</v>
      </c>
      <c r="DD89" t="s">
        <v>181</v>
      </c>
      <c r="DE89" t="s">
        <v>199</v>
      </c>
      <c r="DF89" t="s">
        <v>194</v>
      </c>
      <c r="DH89" t="s">
        <v>198</v>
      </c>
      <c r="DJ89" t="s">
        <v>181</v>
      </c>
      <c r="DK89" t="s">
        <v>197</v>
      </c>
      <c r="DL89" t="s">
        <v>194</v>
      </c>
      <c r="DN89" t="s">
        <v>181</v>
      </c>
      <c r="DO89" t="s">
        <v>199</v>
      </c>
      <c r="DP89" t="s">
        <v>194</v>
      </c>
      <c r="DR89" t="s">
        <v>194</v>
      </c>
      <c r="DT89" t="s">
        <v>194</v>
      </c>
      <c r="DV89" t="s">
        <v>194</v>
      </c>
      <c r="DX89" t="s">
        <v>194</v>
      </c>
      <c r="DZ89" t="s">
        <v>194</v>
      </c>
      <c r="EB89" t="s">
        <v>194</v>
      </c>
      <c r="ED89" t="s">
        <v>194</v>
      </c>
      <c r="EF89" t="s">
        <v>194</v>
      </c>
      <c r="EI89" t="s">
        <v>181</v>
      </c>
      <c r="EJ89" t="s">
        <v>215</v>
      </c>
      <c r="EK89" t="s">
        <v>194</v>
      </c>
      <c r="EM89" t="s">
        <v>181</v>
      </c>
      <c r="EN89" t="s">
        <v>194</v>
      </c>
      <c r="EP89" t="s">
        <v>194</v>
      </c>
      <c r="ES89" t="s">
        <v>194</v>
      </c>
      <c r="EV89" t="s">
        <v>181</v>
      </c>
      <c r="EW89" t="s">
        <v>194</v>
      </c>
      <c r="EY89" t="s">
        <v>181</v>
      </c>
      <c r="EZ89" t="s">
        <v>194</v>
      </c>
      <c r="FB89" t="s">
        <v>194</v>
      </c>
      <c r="FE89" t="s">
        <v>181</v>
      </c>
      <c r="FF89" t="s">
        <v>194</v>
      </c>
      <c r="FH89" t="s">
        <v>181</v>
      </c>
      <c r="FI89" t="s">
        <v>194</v>
      </c>
      <c r="FK89" t="s">
        <v>181</v>
      </c>
      <c r="FL89" t="s">
        <v>194</v>
      </c>
      <c r="FN89" t="s">
        <v>194</v>
      </c>
      <c r="FR89" t="s">
        <v>467</v>
      </c>
      <c r="FU89" t="s">
        <v>238</v>
      </c>
      <c r="FV89" t="s">
        <v>239</v>
      </c>
      <c r="FW89" t="s">
        <v>241</v>
      </c>
      <c r="FX89" t="s">
        <v>935</v>
      </c>
      <c r="FY89" t="s">
        <v>241</v>
      </c>
      <c r="GA89" t="s">
        <v>194</v>
      </c>
      <c r="GB89" t="s">
        <v>936</v>
      </c>
      <c r="GC89" t="s">
        <v>1072</v>
      </c>
    </row>
    <row r="90" spans="1:186" hidden="1" x14ac:dyDescent="0.25">
      <c r="A90" s="1">
        <v>46134.635624918978</v>
      </c>
      <c r="B90" s="1">
        <v>46134.640307256937</v>
      </c>
      <c r="C90" t="s">
        <v>451</v>
      </c>
      <c r="D90">
        <v>89</v>
      </c>
      <c r="E90">
        <v>89</v>
      </c>
      <c r="F90" t="b">
        <f t="shared" si="1"/>
        <v>1</v>
      </c>
      <c r="G90" s="1">
        <v>46131</v>
      </c>
      <c r="H90">
        <v>2</v>
      </c>
      <c r="I90" t="s">
        <v>518</v>
      </c>
      <c r="J90" t="s">
        <v>451</v>
      </c>
      <c r="K90" t="s">
        <v>937</v>
      </c>
      <c r="L90" t="s">
        <v>938</v>
      </c>
      <c r="M90" t="s">
        <v>181</v>
      </c>
      <c r="N90" t="s">
        <v>182</v>
      </c>
      <c r="O90">
        <v>14</v>
      </c>
      <c r="P90" t="s">
        <v>183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222</v>
      </c>
      <c r="W90">
        <v>53</v>
      </c>
      <c r="X90" t="s">
        <v>181</v>
      </c>
      <c r="Z90" t="s">
        <v>270</v>
      </c>
      <c r="AB90" t="s">
        <v>186</v>
      </c>
      <c r="AC90" t="s">
        <v>209</v>
      </c>
      <c r="AD90" t="s">
        <v>188</v>
      </c>
      <c r="AE90" t="s">
        <v>265</v>
      </c>
      <c r="AF90" t="s">
        <v>224</v>
      </c>
      <c r="AG90" t="s">
        <v>425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BK90" t="s">
        <v>224</v>
      </c>
      <c r="BL90" t="s">
        <v>192</v>
      </c>
      <c r="BM90">
        <v>0</v>
      </c>
      <c r="BN90">
        <v>1</v>
      </c>
      <c r="BO90">
        <v>1</v>
      </c>
      <c r="BP90">
        <v>0</v>
      </c>
      <c r="BQ90">
        <v>0</v>
      </c>
      <c r="BR90" t="s">
        <v>227</v>
      </c>
      <c r="BS90" t="s">
        <v>194</v>
      </c>
      <c r="BT90" t="s">
        <v>194</v>
      </c>
      <c r="BU90" t="s">
        <v>194</v>
      </c>
      <c r="CD90" t="s">
        <v>194</v>
      </c>
      <c r="CZ90" t="s">
        <v>194</v>
      </c>
      <c r="DB90" t="s">
        <v>194</v>
      </c>
      <c r="DD90" t="s">
        <v>181</v>
      </c>
      <c r="DE90" t="s">
        <v>199</v>
      </c>
      <c r="DF90" t="s">
        <v>181</v>
      </c>
      <c r="DG90" t="s">
        <v>199</v>
      </c>
      <c r="DH90" t="s">
        <v>181</v>
      </c>
      <c r="DI90" t="s">
        <v>215</v>
      </c>
      <c r="DJ90" t="s">
        <v>194</v>
      </c>
      <c r="DL90" t="s">
        <v>194</v>
      </c>
      <c r="DN90" t="s">
        <v>194</v>
      </c>
      <c r="DP90" t="s">
        <v>194</v>
      </c>
      <c r="DR90" t="s">
        <v>194</v>
      </c>
      <c r="DT90" t="s">
        <v>194</v>
      </c>
      <c r="DV90" t="s">
        <v>194</v>
      </c>
      <c r="DX90" t="s">
        <v>194</v>
      </c>
      <c r="DZ90" t="s">
        <v>194</v>
      </c>
      <c r="EB90" t="s">
        <v>194</v>
      </c>
      <c r="ED90" t="s">
        <v>194</v>
      </c>
      <c r="EF90" t="s">
        <v>194</v>
      </c>
      <c r="EI90" t="s">
        <v>181</v>
      </c>
      <c r="EJ90" t="s">
        <v>199</v>
      </c>
      <c r="EK90" t="s">
        <v>181</v>
      </c>
      <c r="EM90" t="s">
        <v>181</v>
      </c>
      <c r="EN90" t="s">
        <v>194</v>
      </c>
      <c r="EP90" t="s">
        <v>181</v>
      </c>
      <c r="EQ90" t="s">
        <v>194</v>
      </c>
      <c r="ES90" t="s">
        <v>194</v>
      </c>
      <c r="EV90" t="s">
        <v>181</v>
      </c>
      <c r="EW90" t="s">
        <v>181</v>
      </c>
      <c r="EX90" t="s">
        <v>250</v>
      </c>
      <c r="EY90" t="s">
        <v>194</v>
      </c>
      <c r="FB90" t="s">
        <v>194</v>
      </c>
      <c r="FE90" t="s">
        <v>194</v>
      </c>
      <c r="FH90" t="s">
        <v>194</v>
      </c>
      <c r="FK90" t="s">
        <v>181</v>
      </c>
      <c r="FL90" t="s">
        <v>194</v>
      </c>
      <c r="FN90" t="s">
        <v>194</v>
      </c>
      <c r="FR90" t="s">
        <v>218</v>
      </c>
      <c r="FU90" t="s">
        <v>238</v>
      </c>
      <c r="FV90" t="s">
        <v>300</v>
      </c>
      <c r="FW90" t="s">
        <v>238</v>
      </c>
      <c r="FX90" t="s">
        <v>939</v>
      </c>
      <c r="FY90" t="s">
        <v>238</v>
      </c>
      <c r="FZ90" t="s">
        <v>529</v>
      </c>
      <c r="GA90" t="s">
        <v>194</v>
      </c>
      <c r="GB90" t="s">
        <v>940</v>
      </c>
      <c r="GC90" t="s">
        <v>941</v>
      </c>
      <c r="GD90" t="s">
        <v>942</v>
      </c>
    </row>
    <row r="91" spans="1:186" x14ac:dyDescent="0.25">
      <c r="A91" s="1">
        <v>46134.640307824076</v>
      </c>
      <c r="B91" s="1">
        <v>46134.644313993063</v>
      </c>
      <c r="C91" t="s">
        <v>451</v>
      </c>
      <c r="D91">
        <v>90</v>
      </c>
      <c r="E91">
        <v>90</v>
      </c>
      <c r="F91" t="b">
        <f t="shared" si="1"/>
        <v>1</v>
      </c>
      <c r="G91" s="1">
        <v>46131</v>
      </c>
      <c r="H91">
        <v>2</v>
      </c>
      <c r="I91" t="s">
        <v>452</v>
      </c>
      <c r="J91" t="s">
        <v>451</v>
      </c>
      <c r="K91" t="s">
        <v>951</v>
      </c>
      <c r="L91" t="s">
        <v>952</v>
      </c>
      <c r="M91" t="s">
        <v>181</v>
      </c>
      <c r="N91" t="s">
        <v>455</v>
      </c>
      <c r="O91">
        <v>11</v>
      </c>
      <c r="P91" t="s">
        <v>183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222</v>
      </c>
      <c r="W91">
        <v>22</v>
      </c>
      <c r="X91" t="s">
        <v>181</v>
      </c>
      <c r="Z91" t="s">
        <v>185</v>
      </c>
      <c r="AB91" t="s">
        <v>186</v>
      </c>
      <c r="AC91" t="s">
        <v>257</v>
      </c>
      <c r="AD91" t="s">
        <v>188</v>
      </c>
      <c r="AE91" t="s">
        <v>189</v>
      </c>
      <c r="AF91" t="s">
        <v>248</v>
      </c>
      <c r="AG91" t="s">
        <v>953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BK91" t="s">
        <v>248</v>
      </c>
      <c r="BL91" t="s">
        <v>192</v>
      </c>
      <c r="BM91">
        <v>0</v>
      </c>
      <c r="BN91">
        <v>1</v>
      </c>
      <c r="BO91">
        <v>1</v>
      </c>
      <c r="BP91">
        <v>0</v>
      </c>
      <c r="BQ91">
        <v>0</v>
      </c>
      <c r="BR91" t="s">
        <v>227</v>
      </c>
      <c r="BS91" t="s">
        <v>194</v>
      </c>
      <c r="BT91" t="s">
        <v>194</v>
      </c>
      <c r="BU91" t="s">
        <v>194</v>
      </c>
      <c r="CD91" t="s">
        <v>194</v>
      </c>
      <c r="CZ91" t="s">
        <v>194</v>
      </c>
      <c r="DB91" t="s">
        <v>194</v>
      </c>
      <c r="DD91" t="s">
        <v>181</v>
      </c>
      <c r="DE91" t="s">
        <v>197</v>
      </c>
      <c r="DF91" t="s">
        <v>194</v>
      </c>
      <c r="DH91" t="s">
        <v>194</v>
      </c>
      <c r="DJ91" t="s">
        <v>194</v>
      </c>
      <c r="DL91" t="s">
        <v>194</v>
      </c>
      <c r="DN91" t="s">
        <v>194</v>
      </c>
      <c r="DP91" t="s">
        <v>194</v>
      </c>
      <c r="DR91" t="s">
        <v>194</v>
      </c>
      <c r="DT91" t="s">
        <v>194</v>
      </c>
      <c r="DV91" t="s">
        <v>194</v>
      </c>
      <c r="DX91" t="s">
        <v>194</v>
      </c>
      <c r="DZ91" t="s">
        <v>194</v>
      </c>
      <c r="EB91" t="s">
        <v>194</v>
      </c>
      <c r="ED91" t="s">
        <v>181</v>
      </c>
      <c r="EE91" t="s">
        <v>199</v>
      </c>
      <c r="EF91" t="s">
        <v>194</v>
      </c>
      <c r="EI91" t="s">
        <v>181</v>
      </c>
      <c r="EJ91" t="s">
        <v>199</v>
      </c>
      <c r="EK91" t="s">
        <v>194</v>
      </c>
      <c r="EM91" t="s">
        <v>181</v>
      </c>
      <c r="EN91" t="s">
        <v>194</v>
      </c>
      <c r="EP91" t="s">
        <v>194</v>
      </c>
      <c r="ES91" t="s">
        <v>181</v>
      </c>
      <c r="ET91" t="s">
        <v>181</v>
      </c>
      <c r="EU91" t="s">
        <v>250</v>
      </c>
      <c r="EV91" t="s">
        <v>181</v>
      </c>
      <c r="EW91" t="s">
        <v>194</v>
      </c>
      <c r="EY91" t="s">
        <v>194</v>
      </c>
      <c r="FB91" t="s">
        <v>194</v>
      </c>
      <c r="FE91" t="s">
        <v>181</v>
      </c>
      <c r="FF91" t="s">
        <v>181</v>
      </c>
      <c r="FG91" t="s">
        <v>250</v>
      </c>
      <c r="FH91" t="s">
        <v>181</v>
      </c>
      <c r="FI91" t="s">
        <v>194</v>
      </c>
      <c r="FK91" t="s">
        <v>181</v>
      </c>
      <c r="FL91" t="s">
        <v>181</v>
      </c>
      <c r="FM91" t="s">
        <v>229</v>
      </c>
      <c r="FN91" t="s">
        <v>194</v>
      </c>
      <c r="FR91" t="s">
        <v>363</v>
      </c>
      <c r="FS91" t="s">
        <v>954</v>
      </c>
      <c r="FT91" t="s">
        <v>797</v>
      </c>
      <c r="FU91" t="s">
        <v>238</v>
      </c>
      <c r="FV91" t="s">
        <v>383</v>
      </c>
      <c r="FW91" t="s">
        <v>241</v>
      </c>
      <c r="FX91" t="s">
        <v>955</v>
      </c>
      <c r="FY91" t="s">
        <v>241</v>
      </c>
      <c r="GA91" t="s">
        <v>242</v>
      </c>
      <c r="GB91" t="s">
        <v>956</v>
      </c>
      <c r="GC91" t="s">
        <v>202</v>
      </c>
      <c r="GD91" t="s">
        <v>957</v>
      </c>
    </row>
    <row r="92" spans="1:186" x14ac:dyDescent="0.25">
      <c r="A92" s="1">
        <v>46133.496294409721</v>
      </c>
      <c r="B92" s="1">
        <v>46133.512570208331</v>
      </c>
      <c r="C92" t="s">
        <v>451</v>
      </c>
      <c r="D92">
        <v>91</v>
      </c>
      <c r="E92">
        <v>91</v>
      </c>
      <c r="F92" t="b">
        <f t="shared" si="1"/>
        <v>1</v>
      </c>
      <c r="G92" s="1">
        <v>46129</v>
      </c>
      <c r="H92">
        <v>3</v>
      </c>
      <c r="I92" t="s">
        <v>452</v>
      </c>
      <c r="J92" t="s">
        <v>176</v>
      </c>
      <c r="K92" t="s">
        <v>453</v>
      </c>
      <c r="L92" t="s">
        <v>454</v>
      </c>
      <c r="M92" t="s">
        <v>181</v>
      </c>
      <c r="N92" t="s">
        <v>455</v>
      </c>
      <c r="O92">
        <v>36</v>
      </c>
      <c r="P92" t="s">
        <v>183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222</v>
      </c>
      <c r="W92">
        <v>56</v>
      </c>
      <c r="X92" t="s">
        <v>181</v>
      </c>
      <c r="Z92" t="s">
        <v>270</v>
      </c>
      <c r="AB92" t="s">
        <v>186</v>
      </c>
      <c r="AC92" t="s">
        <v>209</v>
      </c>
      <c r="AD92" t="s">
        <v>188</v>
      </c>
      <c r="AE92" t="s">
        <v>265</v>
      </c>
      <c r="AF92" t="s">
        <v>190</v>
      </c>
      <c r="AW92" t="s">
        <v>191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K92" t="s">
        <v>190</v>
      </c>
      <c r="BL92" t="s">
        <v>226</v>
      </c>
      <c r="BM92">
        <v>0</v>
      </c>
      <c r="BN92">
        <v>1</v>
      </c>
      <c r="BO92">
        <v>0</v>
      </c>
      <c r="BP92">
        <v>0</v>
      </c>
      <c r="BQ92">
        <v>0</v>
      </c>
      <c r="BR92" t="s">
        <v>212</v>
      </c>
      <c r="BS92" t="s">
        <v>194</v>
      </c>
      <c r="BT92" t="s">
        <v>194</v>
      </c>
      <c r="BU92" t="s">
        <v>194</v>
      </c>
      <c r="CD92" t="s">
        <v>194</v>
      </c>
      <c r="CZ92" t="s">
        <v>194</v>
      </c>
      <c r="DB92" t="s">
        <v>194</v>
      </c>
      <c r="DD92" t="s">
        <v>181</v>
      </c>
      <c r="DE92" t="s">
        <v>197</v>
      </c>
      <c r="DF92" t="s">
        <v>181</v>
      </c>
      <c r="DG92" t="s">
        <v>199</v>
      </c>
      <c r="DH92" t="s">
        <v>198</v>
      </c>
      <c r="DJ92" t="s">
        <v>181</v>
      </c>
      <c r="DK92" t="s">
        <v>197</v>
      </c>
      <c r="DL92" t="s">
        <v>181</v>
      </c>
      <c r="DM92" t="s">
        <v>197</v>
      </c>
      <c r="DN92" t="s">
        <v>181</v>
      </c>
      <c r="DO92" t="s">
        <v>199</v>
      </c>
      <c r="DP92" t="s">
        <v>194</v>
      </c>
      <c r="DR92" t="s">
        <v>181</v>
      </c>
      <c r="DS92" t="s">
        <v>199</v>
      </c>
      <c r="DT92" t="s">
        <v>181</v>
      </c>
      <c r="DU92" t="s">
        <v>199</v>
      </c>
      <c r="DV92" t="s">
        <v>194</v>
      </c>
      <c r="DX92" t="s">
        <v>194</v>
      </c>
      <c r="DZ92" t="s">
        <v>181</v>
      </c>
      <c r="EA92" t="s">
        <v>197</v>
      </c>
      <c r="EB92" t="s">
        <v>194</v>
      </c>
      <c r="ED92" t="s">
        <v>181</v>
      </c>
      <c r="EE92" t="s">
        <v>197</v>
      </c>
      <c r="EF92" t="s">
        <v>181</v>
      </c>
      <c r="EG92" t="s">
        <v>456</v>
      </c>
      <c r="EH92" t="s">
        <v>199</v>
      </c>
      <c r="EI92" t="s">
        <v>181</v>
      </c>
      <c r="EJ92" t="s">
        <v>215</v>
      </c>
      <c r="EK92" t="s">
        <v>194</v>
      </c>
      <c r="EM92" t="s">
        <v>181</v>
      </c>
      <c r="EN92" t="s">
        <v>194</v>
      </c>
      <c r="EP92" t="s">
        <v>181</v>
      </c>
      <c r="EQ92" t="s">
        <v>181</v>
      </c>
      <c r="ER92" t="s">
        <v>250</v>
      </c>
      <c r="ES92" t="s">
        <v>194</v>
      </c>
      <c r="EV92" t="s">
        <v>181</v>
      </c>
      <c r="EW92" t="s">
        <v>181</v>
      </c>
      <c r="EX92" t="s">
        <v>250</v>
      </c>
      <c r="EY92" t="s">
        <v>194</v>
      </c>
      <c r="FB92" t="s">
        <v>181</v>
      </c>
      <c r="FC92" t="s">
        <v>194</v>
      </c>
      <c r="FE92" t="s">
        <v>181</v>
      </c>
      <c r="FF92" t="s">
        <v>181</v>
      </c>
      <c r="FG92" t="s">
        <v>250</v>
      </c>
      <c r="FH92" t="s">
        <v>181</v>
      </c>
      <c r="FI92" t="s">
        <v>181</v>
      </c>
      <c r="FJ92" t="s">
        <v>250</v>
      </c>
      <c r="FK92" t="s">
        <v>181</v>
      </c>
      <c r="FL92" t="s">
        <v>194</v>
      </c>
      <c r="FN92" t="s">
        <v>181</v>
      </c>
      <c r="FO92" t="s">
        <v>181</v>
      </c>
      <c r="FP92" t="s">
        <v>250</v>
      </c>
      <c r="FR92" t="s">
        <v>287</v>
      </c>
      <c r="FS92" t="s">
        <v>457</v>
      </c>
      <c r="FT92" t="s">
        <v>288</v>
      </c>
      <c r="FU92" t="s">
        <v>238</v>
      </c>
      <c r="FV92" t="s">
        <v>239</v>
      </c>
      <c r="FW92" t="s">
        <v>238</v>
      </c>
      <c r="FX92" t="s">
        <v>458</v>
      </c>
      <c r="FY92" t="s">
        <v>238</v>
      </c>
      <c r="FZ92" t="s">
        <v>459</v>
      </c>
      <c r="GA92" t="s">
        <v>242</v>
      </c>
      <c r="GB92" t="s">
        <v>460</v>
      </c>
      <c r="GC92" t="s">
        <v>1072</v>
      </c>
    </row>
    <row r="93" spans="1:186" hidden="1" x14ac:dyDescent="0.25">
      <c r="A93" s="1">
        <v>46133.51257107639</v>
      </c>
      <c r="B93" s="1">
        <v>46133.517517430562</v>
      </c>
      <c r="C93" t="s">
        <v>451</v>
      </c>
      <c r="D93">
        <v>92</v>
      </c>
      <c r="E93">
        <v>92</v>
      </c>
      <c r="F93" t="b">
        <f t="shared" si="1"/>
        <v>1</v>
      </c>
      <c r="G93" s="1">
        <v>46129</v>
      </c>
      <c r="H93">
        <v>3</v>
      </c>
      <c r="I93" t="s">
        <v>463</v>
      </c>
      <c r="J93" t="s">
        <v>176</v>
      </c>
      <c r="K93" t="s">
        <v>464</v>
      </c>
      <c r="L93" t="s">
        <v>465</v>
      </c>
      <c r="M93" t="s">
        <v>181</v>
      </c>
      <c r="N93" t="s">
        <v>182</v>
      </c>
      <c r="O93">
        <v>15</v>
      </c>
      <c r="P93" t="s">
        <v>183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184</v>
      </c>
      <c r="W93">
        <v>33</v>
      </c>
      <c r="X93" t="s">
        <v>181</v>
      </c>
      <c r="Z93" t="s">
        <v>264</v>
      </c>
      <c r="AA93" t="s">
        <v>466</v>
      </c>
      <c r="AB93" t="s">
        <v>256</v>
      </c>
      <c r="AC93" t="s">
        <v>209</v>
      </c>
      <c r="AD93" t="s">
        <v>188</v>
      </c>
      <c r="AE93" t="s">
        <v>189</v>
      </c>
      <c r="AF93" t="s">
        <v>190</v>
      </c>
      <c r="AW93" t="s">
        <v>191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K93" t="s">
        <v>190</v>
      </c>
      <c r="BL93" t="s">
        <v>362</v>
      </c>
      <c r="BM93">
        <v>0</v>
      </c>
      <c r="BN93">
        <v>0</v>
      </c>
      <c r="BO93">
        <v>1</v>
      </c>
      <c r="BP93">
        <v>0</v>
      </c>
      <c r="BQ93">
        <v>0</v>
      </c>
      <c r="BR93" t="s">
        <v>193</v>
      </c>
      <c r="BS93" t="s">
        <v>194</v>
      </c>
      <c r="BT93" t="s">
        <v>181</v>
      </c>
      <c r="BU93" t="s">
        <v>194</v>
      </c>
      <c r="CD93" t="s">
        <v>181</v>
      </c>
      <c r="CE93" t="s">
        <v>214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R93" t="s">
        <v>194</v>
      </c>
      <c r="CZ93" t="s">
        <v>194</v>
      </c>
      <c r="DB93" t="s">
        <v>194</v>
      </c>
      <c r="DD93" t="s">
        <v>181</v>
      </c>
      <c r="DE93" t="s">
        <v>199</v>
      </c>
      <c r="DF93" t="s">
        <v>181</v>
      </c>
      <c r="DG93" t="s">
        <v>197</v>
      </c>
      <c r="DH93" t="s">
        <v>181</v>
      </c>
      <c r="DI93" t="s">
        <v>197</v>
      </c>
      <c r="DJ93" t="s">
        <v>181</v>
      </c>
      <c r="DK93" t="s">
        <v>197</v>
      </c>
      <c r="DL93" t="s">
        <v>194</v>
      </c>
      <c r="DN93" t="s">
        <v>181</v>
      </c>
      <c r="DO93" t="s">
        <v>199</v>
      </c>
      <c r="DP93" t="s">
        <v>181</v>
      </c>
      <c r="DQ93" t="s">
        <v>199</v>
      </c>
      <c r="DR93" t="s">
        <v>181</v>
      </c>
      <c r="DS93" t="s">
        <v>215</v>
      </c>
      <c r="DT93" t="s">
        <v>194</v>
      </c>
      <c r="DV93" t="s">
        <v>194</v>
      </c>
      <c r="DX93" t="s">
        <v>194</v>
      </c>
      <c r="DZ93" t="s">
        <v>194</v>
      </c>
      <c r="EB93" t="s">
        <v>194</v>
      </c>
      <c r="ED93" t="s">
        <v>194</v>
      </c>
      <c r="EF93" t="s">
        <v>194</v>
      </c>
      <c r="EI93" t="s">
        <v>181</v>
      </c>
      <c r="EJ93" t="s">
        <v>215</v>
      </c>
      <c r="EK93" t="s">
        <v>181</v>
      </c>
      <c r="EM93" t="s">
        <v>181</v>
      </c>
      <c r="EN93" t="s">
        <v>181</v>
      </c>
      <c r="EO93" t="s">
        <v>250</v>
      </c>
      <c r="EP93" t="s">
        <v>181</v>
      </c>
      <c r="EQ93" t="s">
        <v>181</v>
      </c>
      <c r="ER93" t="s">
        <v>250</v>
      </c>
      <c r="ES93" t="s">
        <v>181</v>
      </c>
      <c r="ET93" t="s">
        <v>181</v>
      </c>
      <c r="EU93" t="s">
        <v>250</v>
      </c>
      <c r="EV93" t="s">
        <v>181</v>
      </c>
      <c r="EW93" t="s">
        <v>181</v>
      </c>
      <c r="EX93" t="s">
        <v>250</v>
      </c>
      <c r="EY93" t="s">
        <v>181</v>
      </c>
      <c r="EZ93" t="s">
        <v>181</v>
      </c>
      <c r="FA93" t="s">
        <v>250</v>
      </c>
      <c r="FB93" t="s">
        <v>181</v>
      </c>
      <c r="FC93" t="s">
        <v>181</v>
      </c>
      <c r="FD93" t="s">
        <v>250</v>
      </c>
      <c r="FE93" t="s">
        <v>181</v>
      </c>
      <c r="FF93" t="s">
        <v>181</v>
      </c>
      <c r="FG93" t="s">
        <v>250</v>
      </c>
      <c r="FH93" t="s">
        <v>181</v>
      </c>
      <c r="FI93" t="s">
        <v>181</v>
      </c>
      <c r="FJ93" t="s">
        <v>250</v>
      </c>
      <c r="FK93" t="s">
        <v>181</v>
      </c>
      <c r="FL93" t="s">
        <v>181</v>
      </c>
      <c r="FM93" t="s">
        <v>250</v>
      </c>
      <c r="FN93" t="s">
        <v>181</v>
      </c>
      <c r="FO93" t="s">
        <v>181</v>
      </c>
      <c r="FP93" t="s">
        <v>250</v>
      </c>
      <c r="FR93" t="s">
        <v>467</v>
      </c>
      <c r="FU93" t="s">
        <v>238</v>
      </c>
      <c r="FV93" t="s">
        <v>300</v>
      </c>
      <c r="FW93" t="s">
        <v>238</v>
      </c>
      <c r="FX93" t="s">
        <v>468</v>
      </c>
      <c r="FY93" t="s">
        <v>241</v>
      </c>
      <c r="GA93" t="s">
        <v>242</v>
      </c>
      <c r="GB93" t="s">
        <v>469</v>
      </c>
      <c r="GC93" t="s">
        <v>1074</v>
      </c>
    </row>
    <row r="94" spans="1:186" hidden="1" x14ac:dyDescent="0.25">
      <c r="A94" s="1">
        <v>46133.517518009263</v>
      </c>
      <c r="B94" s="1">
        <v>46133.526643634257</v>
      </c>
      <c r="C94" t="s">
        <v>451</v>
      </c>
      <c r="D94">
        <v>93</v>
      </c>
      <c r="E94">
        <v>93</v>
      </c>
      <c r="F94" t="b">
        <f t="shared" si="1"/>
        <v>1</v>
      </c>
      <c r="G94" s="1">
        <v>46129</v>
      </c>
      <c r="H94">
        <v>2</v>
      </c>
      <c r="I94" t="s">
        <v>463</v>
      </c>
      <c r="J94" t="s">
        <v>176</v>
      </c>
      <c r="K94" t="s">
        <v>477</v>
      </c>
      <c r="L94" t="s">
        <v>478</v>
      </c>
      <c r="M94" t="s">
        <v>181</v>
      </c>
      <c r="N94" t="s">
        <v>182</v>
      </c>
      <c r="O94">
        <v>28</v>
      </c>
      <c r="P94" t="s">
        <v>183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184</v>
      </c>
      <c r="W94">
        <v>63</v>
      </c>
      <c r="X94" t="s">
        <v>181</v>
      </c>
      <c r="Z94" t="s">
        <v>479</v>
      </c>
      <c r="AB94" t="s">
        <v>186</v>
      </c>
      <c r="AC94" t="s">
        <v>209</v>
      </c>
      <c r="AD94" t="s">
        <v>188</v>
      </c>
      <c r="AE94" t="s">
        <v>265</v>
      </c>
      <c r="AF94" t="s">
        <v>190</v>
      </c>
      <c r="AW94" t="s">
        <v>480</v>
      </c>
      <c r="AX94">
        <v>1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K94" t="s">
        <v>224</v>
      </c>
      <c r="BL94" t="s">
        <v>192</v>
      </c>
      <c r="BM94">
        <v>0</v>
      </c>
      <c r="BN94">
        <v>1</v>
      </c>
      <c r="BO94">
        <v>1</v>
      </c>
      <c r="BP94">
        <v>0</v>
      </c>
      <c r="BQ94">
        <v>0</v>
      </c>
      <c r="BR94" t="s">
        <v>193</v>
      </c>
      <c r="BS94" t="s">
        <v>194</v>
      </c>
      <c r="BT94" t="s">
        <v>181</v>
      </c>
      <c r="BU94" t="s">
        <v>181</v>
      </c>
      <c r="BV94" t="s">
        <v>195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 t="s">
        <v>481</v>
      </c>
      <c r="CD94" t="s">
        <v>181</v>
      </c>
      <c r="CE94" t="s">
        <v>214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R94" t="s">
        <v>194</v>
      </c>
      <c r="CZ94" t="s">
        <v>194</v>
      </c>
      <c r="DB94" t="s">
        <v>181</v>
      </c>
      <c r="DC94" t="s">
        <v>197</v>
      </c>
      <c r="DD94" t="s">
        <v>181</v>
      </c>
      <c r="DE94" t="s">
        <v>215</v>
      </c>
      <c r="DF94" t="s">
        <v>181</v>
      </c>
      <c r="DG94" t="s">
        <v>215</v>
      </c>
      <c r="DH94" t="s">
        <v>181</v>
      </c>
      <c r="DI94" t="s">
        <v>197</v>
      </c>
      <c r="DJ94" t="s">
        <v>194</v>
      </c>
      <c r="DL94" t="s">
        <v>181</v>
      </c>
      <c r="DM94" t="s">
        <v>215</v>
      </c>
      <c r="DN94" t="s">
        <v>181</v>
      </c>
      <c r="DO94" t="s">
        <v>215</v>
      </c>
      <c r="DP94" t="s">
        <v>194</v>
      </c>
      <c r="DR94" t="s">
        <v>181</v>
      </c>
      <c r="DS94" t="s">
        <v>215</v>
      </c>
      <c r="DT94" t="s">
        <v>181</v>
      </c>
      <c r="DU94" t="s">
        <v>199</v>
      </c>
      <c r="DV94" t="s">
        <v>194</v>
      </c>
      <c r="DX94" t="s">
        <v>194</v>
      </c>
      <c r="DZ94" t="s">
        <v>181</v>
      </c>
      <c r="EA94" t="s">
        <v>215</v>
      </c>
      <c r="EB94" t="s">
        <v>194</v>
      </c>
      <c r="ED94" t="s">
        <v>194</v>
      </c>
      <c r="EF94" t="s">
        <v>194</v>
      </c>
      <c r="EI94" t="s">
        <v>181</v>
      </c>
      <c r="EJ94" t="s">
        <v>215</v>
      </c>
      <c r="EK94" t="s">
        <v>194</v>
      </c>
      <c r="EM94" t="s">
        <v>181</v>
      </c>
      <c r="EN94" t="s">
        <v>194</v>
      </c>
      <c r="EP94" t="s">
        <v>194</v>
      </c>
      <c r="ES94" t="s">
        <v>194</v>
      </c>
      <c r="EV94" t="s">
        <v>181</v>
      </c>
      <c r="EW94" t="s">
        <v>181</v>
      </c>
      <c r="EX94" t="s">
        <v>250</v>
      </c>
      <c r="EY94" t="s">
        <v>194</v>
      </c>
      <c r="FB94" t="s">
        <v>181</v>
      </c>
      <c r="FC94" t="s">
        <v>181</v>
      </c>
      <c r="FD94" t="s">
        <v>250</v>
      </c>
      <c r="FE94" t="s">
        <v>181</v>
      </c>
      <c r="FF94" t="s">
        <v>181</v>
      </c>
      <c r="FG94" t="s">
        <v>250</v>
      </c>
      <c r="FH94" t="s">
        <v>181</v>
      </c>
      <c r="FI94" t="s">
        <v>181</v>
      </c>
      <c r="FJ94" t="s">
        <v>250</v>
      </c>
      <c r="FK94" t="s">
        <v>181</v>
      </c>
      <c r="FL94" t="s">
        <v>181</v>
      </c>
      <c r="FM94" t="s">
        <v>250</v>
      </c>
      <c r="FN94" t="s">
        <v>194</v>
      </c>
      <c r="FR94" t="s">
        <v>467</v>
      </c>
      <c r="FU94" t="s">
        <v>238</v>
      </c>
      <c r="FV94" t="s">
        <v>239</v>
      </c>
      <c r="FW94" t="s">
        <v>238</v>
      </c>
      <c r="FX94" t="s">
        <v>482</v>
      </c>
      <c r="FY94" t="s">
        <v>241</v>
      </c>
      <c r="GA94" t="s">
        <v>242</v>
      </c>
      <c r="GB94" t="s">
        <v>240</v>
      </c>
      <c r="GC94" t="s">
        <v>483</v>
      </c>
      <c r="GD94" t="s">
        <v>484</v>
      </c>
    </row>
    <row r="95" spans="1:186" hidden="1" x14ac:dyDescent="0.25">
      <c r="A95" s="1">
        <v>46133.526644247693</v>
      </c>
      <c r="B95" s="1">
        <v>46133.540106782413</v>
      </c>
      <c r="C95" t="s">
        <v>451</v>
      </c>
      <c r="D95">
        <v>94</v>
      </c>
      <c r="E95">
        <v>94</v>
      </c>
      <c r="F95" t="b">
        <f t="shared" si="1"/>
        <v>1</v>
      </c>
      <c r="G95" s="1">
        <v>46129</v>
      </c>
      <c r="H95">
        <v>3</v>
      </c>
      <c r="I95" t="s">
        <v>463</v>
      </c>
      <c r="J95" t="s">
        <v>176</v>
      </c>
      <c r="K95" t="s">
        <v>485</v>
      </c>
      <c r="L95" t="s">
        <v>486</v>
      </c>
      <c r="M95" t="s">
        <v>181</v>
      </c>
      <c r="N95" t="s">
        <v>182</v>
      </c>
      <c r="O95">
        <v>6</v>
      </c>
      <c r="P95" t="s">
        <v>346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184</v>
      </c>
      <c r="W95">
        <v>20</v>
      </c>
      <c r="X95" t="s">
        <v>181</v>
      </c>
      <c r="Z95" t="s">
        <v>185</v>
      </c>
      <c r="AB95" t="s">
        <v>223</v>
      </c>
      <c r="AC95" t="s">
        <v>257</v>
      </c>
      <c r="AD95" t="s">
        <v>188</v>
      </c>
      <c r="AE95" t="s">
        <v>189</v>
      </c>
      <c r="AF95" t="s">
        <v>190</v>
      </c>
      <c r="AW95" t="s">
        <v>191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K95" t="s">
        <v>224</v>
      </c>
      <c r="BL95" t="s">
        <v>362</v>
      </c>
      <c r="BM95">
        <v>0</v>
      </c>
      <c r="BN95">
        <v>0</v>
      </c>
      <c r="BO95">
        <v>1</v>
      </c>
      <c r="BP95">
        <v>0</v>
      </c>
      <c r="BQ95">
        <v>0</v>
      </c>
      <c r="BR95" t="s">
        <v>212</v>
      </c>
      <c r="BS95" t="s">
        <v>181</v>
      </c>
      <c r="BT95" t="s">
        <v>181</v>
      </c>
      <c r="BU95" t="s">
        <v>181</v>
      </c>
      <c r="BV95" t="s">
        <v>195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 t="s">
        <v>487</v>
      </c>
      <c r="CD95" t="s">
        <v>194</v>
      </c>
      <c r="CZ95" t="s">
        <v>194</v>
      </c>
      <c r="DB95" t="s">
        <v>194</v>
      </c>
      <c r="DD95" t="s">
        <v>181</v>
      </c>
      <c r="DE95" t="s">
        <v>197</v>
      </c>
      <c r="DF95" t="s">
        <v>181</v>
      </c>
      <c r="DG95" t="s">
        <v>197</v>
      </c>
      <c r="DH95" t="s">
        <v>194</v>
      </c>
      <c r="DJ95" t="s">
        <v>194</v>
      </c>
      <c r="DL95" t="s">
        <v>194</v>
      </c>
      <c r="DN95" t="s">
        <v>194</v>
      </c>
      <c r="DP95" t="s">
        <v>194</v>
      </c>
      <c r="DR95" t="s">
        <v>181</v>
      </c>
      <c r="DS95" t="s">
        <v>199</v>
      </c>
      <c r="DT95" t="s">
        <v>194</v>
      </c>
      <c r="DV95" t="s">
        <v>194</v>
      </c>
      <c r="DX95" t="s">
        <v>194</v>
      </c>
      <c r="DZ95" t="s">
        <v>194</v>
      </c>
      <c r="EB95" t="s">
        <v>194</v>
      </c>
      <c r="ED95" t="s">
        <v>194</v>
      </c>
      <c r="EF95" t="s">
        <v>194</v>
      </c>
      <c r="EI95" t="s">
        <v>181</v>
      </c>
      <c r="EJ95" t="s">
        <v>197</v>
      </c>
      <c r="EK95" t="s">
        <v>181</v>
      </c>
      <c r="EM95" t="s">
        <v>181</v>
      </c>
      <c r="EN95" t="s">
        <v>194</v>
      </c>
      <c r="EP95" t="s">
        <v>181</v>
      </c>
      <c r="EQ95" t="s">
        <v>194</v>
      </c>
      <c r="ES95" t="s">
        <v>194</v>
      </c>
      <c r="EV95" t="s">
        <v>194</v>
      </c>
      <c r="EY95" t="s">
        <v>194</v>
      </c>
      <c r="FB95" t="s">
        <v>194</v>
      </c>
      <c r="FE95" t="s">
        <v>181</v>
      </c>
      <c r="FF95" t="s">
        <v>181</v>
      </c>
      <c r="FG95" t="s">
        <v>229</v>
      </c>
      <c r="FH95" t="s">
        <v>181</v>
      </c>
      <c r="FI95" t="s">
        <v>194</v>
      </c>
      <c r="FK95" t="s">
        <v>181</v>
      </c>
      <c r="FL95" t="s">
        <v>194</v>
      </c>
      <c r="FN95" t="s">
        <v>194</v>
      </c>
      <c r="FR95" t="s">
        <v>488</v>
      </c>
      <c r="FS95" t="s">
        <v>278</v>
      </c>
      <c r="FU95" t="s">
        <v>194</v>
      </c>
      <c r="GC95" t="s">
        <v>483</v>
      </c>
    </row>
    <row r="96" spans="1:186" x14ac:dyDescent="0.25">
      <c r="A96" s="1">
        <v>46133.540107418979</v>
      </c>
      <c r="B96" s="1">
        <v>46133.546397615741</v>
      </c>
      <c r="C96" t="s">
        <v>451</v>
      </c>
      <c r="D96">
        <v>95</v>
      </c>
      <c r="E96">
        <v>95</v>
      </c>
      <c r="F96" t="b">
        <f t="shared" si="1"/>
        <v>1</v>
      </c>
      <c r="G96" s="1">
        <v>46129</v>
      </c>
      <c r="H96">
        <v>3</v>
      </c>
      <c r="I96" t="s">
        <v>452</v>
      </c>
      <c r="J96" t="s">
        <v>176</v>
      </c>
      <c r="K96" t="s">
        <v>489</v>
      </c>
      <c r="L96" t="s">
        <v>490</v>
      </c>
      <c r="M96" t="s">
        <v>181</v>
      </c>
      <c r="N96" t="s">
        <v>182</v>
      </c>
      <c r="O96">
        <v>10</v>
      </c>
      <c r="P96" t="s">
        <v>183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184</v>
      </c>
      <c r="W96">
        <v>29</v>
      </c>
      <c r="X96" t="s">
        <v>181</v>
      </c>
      <c r="Z96" t="s">
        <v>185</v>
      </c>
      <c r="AB96" t="s">
        <v>223</v>
      </c>
      <c r="AC96" t="s">
        <v>187</v>
      </c>
      <c r="AD96" t="s">
        <v>188</v>
      </c>
      <c r="AE96" t="s">
        <v>235</v>
      </c>
      <c r="AF96" t="s">
        <v>190</v>
      </c>
      <c r="AW96" t="s">
        <v>191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K96" t="s">
        <v>224</v>
      </c>
      <c r="BL96" t="s">
        <v>192</v>
      </c>
      <c r="BM96">
        <v>0</v>
      </c>
      <c r="BN96">
        <v>1</v>
      </c>
      <c r="BO96">
        <v>1</v>
      </c>
      <c r="BP96">
        <v>0</v>
      </c>
      <c r="BQ96">
        <v>0</v>
      </c>
      <c r="BR96" t="s">
        <v>193</v>
      </c>
      <c r="BS96" t="s">
        <v>194</v>
      </c>
      <c r="BT96" t="s">
        <v>194</v>
      </c>
      <c r="BU96" t="s">
        <v>181</v>
      </c>
      <c r="BV96" t="s">
        <v>195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 t="s">
        <v>487</v>
      </c>
      <c r="CD96" t="s">
        <v>181</v>
      </c>
      <c r="CE96" t="s">
        <v>214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R96" t="s">
        <v>194</v>
      </c>
      <c r="CZ96" t="s">
        <v>194</v>
      </c>
      <c r="DB96" t="s">
        <v>194</v>
      </c>
      <c r="DD96" t="s">
        <v>181</v>
      </c>
      <c r="DE96" t="s">
        <v>199</v>
      </c>
      <c r="DF96" t="s">
        <v>181</v>
      </c>
      <c r="DG96" t="s">
        <v>215</v>
      </c>
      <c r="DH96" t="s">
        <v>181</v>
      </c>
      <c r="DI96" t="s">
        <v>215</v>
      </c>
      <c r="DJ96" t="s">
        <v>194</v>
      </c>
      <c r="DL96" t="s">
        <v>181</v>
      </c>
      <c r="DM96" t="s">
        <v>215</v>
      </c>
      <c r="DN96" t="s">
        <v>194</v>
      </c>
      <c r="DP96" t="s">
        <v>194</v>
      </c>
      <c r="DR96" t="s">
        <v>194</v>
      </c>
      <c r="DT96" t="s">
        <v>194</v>
      </c>
      <c r="DV96" t="s">
        <v>181</v>
      </c>
      <c r="DW96" t="s">
        <v>199</v>
      </c>
      <c r="DX96" t="s">
        <v>181</v>
      </c>
      <c r="DY96" t="s">
        <v>199</v>
      </c>
      <c r="DZ96" t="s">
        <v>181</v>
      </c>
      <c r="EA96" t="s">
        <v>215</v>
      </c>
      <c r="EB96" t="s">
        <v>194</v>
      </c>
      <c r="ED96" t="s">
        <v>181</v>
      </c>
      <c r="EE96" t="s">
        <v>215</v>
      </c>
      <c r="EF96" t="s">
        <v>181</v>
      </c>
      <c r="EG96" t="s">
        <v>491</v>
      </c>
      <c r="EH96" t="s">
        <v>215</v>
      </c>
      <c r="EI96" t="s">
        <v>181</v>
      </c>
      <c r="EJ96" t="s">
        <v>215</v>
      </c>
      <c r="EK96" t="s">
        <v>194</v>
      </c>
      <c r="EM96" t="s">
        <v>181</v>
      </c>
      <c r="EN96" t="s">
        <v>194</v>
      </c>
      <c r="EP96" t="s">
        <v>194</v>
      </c>
      <c r="ES96" t="s">
        <v>194</v>
      </c>
      <c r="EV96" t="s">
        <v>181</v>
      </c>
      <c r="EW96" t="s">
        <v>194</v>
      </c>
      <c r="EY96" t="s">
        <v>194</v>
      </c>
      <c r="FB96" t="s">
        <v>194</v>
      </c>
      <c r="FE96" t="s">
        <v>181</v>
      </c>
      <c r="FF96" t="s">
        <v>181</v>
      </c>
      <c r="FG96" t="s">
        <v>250</v>
      </c>
      <c r="FH96" t="s">
        <v>181</v>
      </c>
      <c r="FI96" t="s">
        <v>181</v>
      </c>
      <c r="FJ96" t="s">
        <v>250</v>
      </c>
      <c r="FK96" t="s">
        <v>181</v>
      </c>
      <c r="FL96" t="s">
        <v>194</v>
      </c>
      <c r="FN96" t="s">
        <v>194</v>
      </c>
      <c r="FR96" t="s">
        <v>237</v>
      </c>
      <c r="FS96" t="s">
        <v>278</v>
      </c>
      <c r="FT96" t="s">
        <v>284</v>
      </c>
      <c r="FU96" t="s">
        <v>238</v>
      </c>
      <c r="FV96" t="s">
        <v>492</v>
      </c>
      <c r="FW96" t="s">
        <v>241</v>
      </c>
      <c r="FX96" t="s">
        <v>493</v>
      </c>
      <c r="FY96" t="s">
        <v>241</v>
      </c>
      <c r="GA96" t="s">
        <v>242</v>
      </c>
      <c r="GB96" t="s">
        <v>494</v>
      </c>
      <c r="GC96" t="s">
        <v>409</v>
      </c>
    </row>
    <row r="97" spans="1:186" x14ac:dyDescent="0.25">
      <c r="A97" s="1">
        <v>46133.546398298611</v>
      </c>
      <c r="B97" s="1">
        <v>46133.552073969913</v>
      </c>
      <c r="C97" t="s">
        <v>451</v>
      </c>
      <c r="D97">
        <v>96</v>
      </c>
      <c r="E97">
        <v>96</v>
      </c>
      <c r="F97" t="b">
        <f t="shared" si="1"/>
        <v>1</v>
      </c>
      <c r="G97" s="1">
        <v>46129</v>
      </c>
      <c r="H97">
        <v>2</v>
      </c>
      <c r="I97" t="s">
        <v>452</v>
      </c>
      <c r="J97" t="s">
        <v>176</v>
      </c>
      <c r="K97" t="s">
        <v>495</v>
      </c>
      <c r="L97" t="s">
        <v>496</v>
      </c>
      <c r="M97" t="s">
        <v>181</v>
      </c>
      <c r="N97" t="s">
        <v>182</v>
      </c>
      <c r="O97">
        <v>19</v>
      </c>
      <c r="P97" t="s">
        <v>183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184</v>
      </c>
      <c r="W97">
        <v>56</v>
      </c>
      <c r="X97" t="s">
        <v>181</v>
      </c>
      <c r="Z97" t="s">
        <v>185</v>
      </c>
      <c r="AB97" t="s">
        <v>223</v>
      </c>
      <c r="AC97" t="s">
        <v>209</v>
      </c>
      <c r="AD97" t="s">
        <v>188</v>
      </c>
      <c r="AE97" t="s">
        <v>265</v>
      </c>
      <c r="AF97" t="s">
        <v>190</v>
      </c>
      <c r="AW97" t="s">
        <v>480</v>
      </c>
      <c r="AX97">
        <v>1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K97" t="s">
        <v>190</v>
      </c>
      <c r="BL97" t="s">
        <v>226</v>
      </c>
      <c r="BM97">
        <v>0</v>
      </c>
      <c r="BN97">
        <v>1</v>
      </c>
      <c r="BO97">
        <v>0</v>
      </c>
      <c r="BP97">
        <v>0</v>
      </c>
      <c r="BQ97">
        <v>0</v>
      </c>
      <c r="BR97" t="s">
        <v>193</v>
      </c>
      <c r="BS97" t="s">
        <v>194</v>
      </c>
      <c r="BT97" t="s">
        <v>181</v>
      </c>
      <c r="BU97" t="s">
        <v>194</v>
      </c>
      <c r="CD97" t="s">
        <v>181</v>
      </c>
      <c r="CE97" t="s">
        <v>416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 t="s">
        <v>497</v>
      </c>
      <c r="CP97" t="s">
        <v>194</v>
      </c>
      <c r="CR97" t="s">
        <v>194</v>
      </c>
      <c r="CZ97" t="s">
        <v>194</v>
      </c>
      <c r="DB97" t="s">
        <v>194</v>
      </c>
      <c r="DD97" t="s">
        <v>181</v>
      </c>
      <c r="DE97" t="s">
        <v>215</v>
      </c>
      <c r="DF97" t="s">
        <v>181</v>
      </c>
      <c r="DG97" t="s">
        <v>215</v>
      </c>
      <c r="DH97" t="s">
        <v>194</v>
      </c>
      <c r="DJ97" t="s">
        <v>181</v>
      </c>
      <c r="DK97" t="s">
        <v>199</v>
      </c>
      <c r="DL97" t="s">
        <v>194</v>
      </c>
      <c r="DN97" t="s">
        <v>181</v>
      </c>
      <c r="DO97" t="s">
        <v>215</v>
      </c>
      <c r="DP97" t="s">
        <v>181</v>
      </c>
      <c r="DQ97" t="s">
        <v>215</v>
      </c>
      <c r="DR97" t="s">
        <v>181</v>
      </c>
      <c r="DS97" t="s">
        <v>215</v>
      </c>
      <c r="DT97" t="s">
        <v>181</v>
      </c>
      <c r="DU97" t="s">
        <v>215</v>
      </c>
      <c r="DV97" t="s">
        <v>194</v>
      </c>
      <c r="DX97" t="s">
        <v>181</v>
      </c>
      <c r="DY97" t="s">
        <v>197</v>
      </c>
      <c r="DZ97" t="s">
        <v>181</v>
      </c>
      <c r="EA97" t="s">
        <v>215</v>
      </c>
      <c r="EB97" t="s">
        <v>194</v>
      </c>
      <c r="ED97" t="s">
        <v>181</v>
      </c>
      <c r="EE97" t="s">
        <v>215</v>
      </c>
      <c r="EF97" t="s">
        <v>194</v>
      </c>
      <c r="EI97" t="s">
        <v>181</v>
      </c>
      <c r="EJ97" t="s">
        <v>215</v>
      </c>
      <c r="EK97" t="s">
        <v>181</v>
      </c>
      <c r="EM97" t="s">
        <v>181</v>
      </c>
      <c r="EN97" t="s">
        <v>181</v>
      </c>
      <c r="EO97" t="s">
        <v>250</v>
      </c>
      <c r="EP97" t="s">
        <v>181</v>
      </c>
      <c r="EQ97" t="s">
        <v>194</v>
      </c>
      <c r="ES97" t="s">
        <v>194</v>
      </c>
      <c r="EV97" t="s">
        <v>181</v>
      </c>
      <c r="EW97" t="s">
        <v>181</v>
      </c>
      <c r="EX97" t="s">
        <v>229</v>
      </c>
      <c r="EY97" t="s">
        <v>194</v>
      </c>
      <c r="FB97" t="s">
        <v>194</v>
      </c>
      <c r="FE97" t="s">
        <v>181</v>
      </c>
      <c r="FF97" t="s">
        <v>181</v>
      </c>
      <c r="FG97" t="s">
        <v>250</v>
      </c>
      <c r="FH97" t="s">
        <v>181</v>
      </c>
      <c r="FI97" t="s">
        <v>194</v>
      </c>
      <c r="FK97" t="s">
        <v>181</v>
      </c>
      <c r="FL97" t="s">
        <v>194</v>
      </c>
      <c r="FN97" t="s">
        <v>194</v>
      </c>
      <c r="FR97" t="s">
        <v>218</v>
      </c>
      <c r="FS97" t="s">
        <v>201</v>
      </c>
      <c r="FT97" t="s">
        <v>498</v>
      </c>
      <c r="FU97" t="s">
        <v>238</v>
      </c>
      <c r="FV97" t="s">
        <v>300</v>
      </c>
      <c r="FW97" t="s">
        <v>238</v>
      </c>
      <c r="FX97" t="s">
        <v>499</v>
      </c>
      <c r="FY97" t="s">
        <v>241</v>
      </c>
      <c r="GA97" t="s">
        <v>194</v>
      </c>
      <c r="GB97" t="s">
        <v>500</v>
      </c>
      <c r="GC97" t="s">
        <v>1073</v>
      </c>
    </row>
    <row r="98" spans="1:186" hidden="1" x14ac:dyDescent="0.25">
      <c r="A98" s="1">
        <v>46133.554041701391</v>
      </c>
      <c r="B98" s="1">
        <v>46133.557036550927</v>
      </c>
      <c r="C98" t="s">
        <v>451</v>
      </c>
      <c r="D98">
        <v>97</v>
      </c>
      <c r="E98">
        <v>97</v>
      </c>
      <c r="F98" t="b">
        <f t="shared" si="1"/>
        <v>1</v>
      </c>
      <c r="G98" s="1">
        <v>46129</v>
      </c>
      <c r="H98">
        <v>3</v>
      </c>
      <c r="I98" t="s">
        <v>505</v>
      </c>
      <c r="J98" t="s">
        <v>176</v>
      </c>
      <c r="K98" t="s">
        <v>506</v>
      </c>
      <c r="L98" t="s">
        <v>507</v>
      </c>
      <c r="M98" t="s">
        <v>181</v>
      </c>
      <c r="N98" t="s">
        <v>182</v>
      </c>
      <c r="O98">
        <v>3</v>
      </c>
      <c r="P98" t="s">
        <v>183</v>
      </c>
      <c r="Q98">
        <v>1</v>
      </c>
      <c r="R98">
        <v>0</v>
      </c>
      <c r="S98">
        <v>0</v>
      </c>
      <c r="T98">
        <v>0</v>
      </c>
      <c r="U98">
        <v>0</v>
      </c>
      <c r="V98" t="s">
        <v>184</v>
      </c>
      <c r="W98">
        <v>40</v>
      </c>
      <c r="X98" t="s">
        <v>181</v>
      </c>
      <c r="Z98" t="s">
        <v>185</v>
      </c>
      <c r="AB98" t="s">
        <v>186</v>
      </c>
      <c r="AC98" t="s">
        <v>257</v>
      </c>
      <c r="AD98" t="s">
        <v>210</v>
      </c>
      <c r="AE98" t="s">
        <v>198</v>
      </c>
      <c r="AF98" t="s">
        <v>224</v>
      </c>
      <c r="AG98" t="s">
        <v>225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BK98" t="s">
        <v>224</v>
      </c>
      <c r="BL98" t="s">
        <v>192</v>
      </c>
      <c r="BM98">
        <v>0</v>
      </c>
      <c r="BN98">
        <v>1</v>
      </c>
      <c r="BO98">
        <v>1</v>
      </c>
      <c r="BP98">
        <v>0</v>
      </c>
      <c r="BQ98">
        <v>0</v>
      </c>
      <c r="BR98" t="s">
        <v>227</v>
      </c>
      <c r="BS98" t="s">
        <v>194</v>
      </c>
      <c r="BT98" t="s">
        <v>194</v>
      </c>
      <c r="BU98" t="s">
        <v>194</v>
      </c>
      <c r="CD98" t="s">
        <v>194</v>
      </c>
      <c r="CZ98" t="s">
        <v>194</v>
      </c>
      <c r="DB98" t="s">
        <v>194</v>
      </c>
      <c r="DD98" t="s">
        <v>181</v>
      </c>
      <c r="DE98" t="s">
        <v>199</v>
      </c>
      <c r="DF98" t="s">
        <v>194</v>
      </c>
      <c r="DH98" t="s">
        <v>194</v>
      </c>
      <c r="DJ98" t="s">
        <v>194</v>
      </c>
      <c r="DL98" t="s">
        <v>194</v>
      </c>
      <c r="DN98" t="s">
        <v>181</v>
      </c>
      <c r="DO98" t="s">
        <v>199</v>
      </c>
      <c r="DP98" t="s">
        <v>194</v>
      </c>
      <c r="DR98" t="s">
        <v>181</v>
      </c>
      <c r="DS98" t="s">
        <v>199</v>
      </c>
      <c r="DT98" t="s">
        <v>194</v>
      </c>
      <c r="DV98" t="s">
        <v>194</v>
      </c>
      <c r="DX98" t="s">
        <v>194</v>
      </c>
      <c r="DZ98" t="s">
        <v>194</v>
      </c>
      <c r="EB98" t="s">
        <v>194</v>
      </c>
      <c r="ED98" t="s">
        <v>194</v>
      </c>
      <c r="EF98" t="s">
        <v>194</v>
      </c>
      <c r="EI98" t="s">
        <v>181</v>
      </c>
      <c r="EJ98" t="s">
        <v>215</v>
      </c>
      <c r="EK98" t="s">
        <v>181</v>
      </c>
      <c r="EM98" t="s">
        <v>181</v>
      </c>
      <c r="EN98" t="s">
        <v>194</v>
      </c>
      <c r="EP98" t="s">
        <v>194</v>
      </c>
      <c r="ES98" t="s">
        <v>194</v>
      </c>
      <c r="EV98" t="s">
        <v>181</v>
      </c>
      <c r="EW98" t="s">
        <v>194</v>
      </c>
      <c r="EY98" t="s">
        <v>194</v>
      </c>
      <c r="FB98" t="s">
        <v>194</v>
      </c>
      <c r="FE98" t="s">
        <v>181</v>
      </c>
      <c r="FF98" t="s">
        <v>194</v>
      </c>
      <c r="FH98" t="s">
        <v>181</v>
      </c>
      <c r="FI98" t="s">
        <v>194</v>
      </c>
      <c r="FK98" t="s">
        <v>194</v>
      </c>
      <c r="FN98" t="s">
        <v>194</v>
      </c>
      <c r="FR98" t="s">
        <v>309</v>
      </c>
      <c r="FU98" t="s">
        <v>194</v>
      </c>
      <c r="GC98" t="s">
        <v>232</v>
      </c>
    </row>
    <row r="99" spans="1:186" hidden="1" x14ac:dyDescent="0.25">
      <c r="A99" s="1">
        <v>46133.557037164363</v>
      </c>
      <c r="B99" s="1">
        <v>46133.560536261582</v>
      </c>
      <c r="C99" t="s">
        <v>451</v>
      </c>
      <c r="D99">
        <v>98</v>
      </c>
      <c r="E99">
        <v>98</v>
      </c>
      <c r="F99" t="b">
        <f t="shared" si="1"/>
        <v>1</v>
      </c>
      <c r="G99" s="1">
        <v>46129</v>
      </c>
      <c r="H99">
        <v>2</v>
      </c>
      <c r="I99" t="s">
        <v>505</v>
      </c>
      <c r="J99" t="s">
        <v>176</v>
      </c>
      <c r="K99" t="s">
        <v>512</v>
      </c>
      <c r="L99" t="s">
        <v>513</v>
      </c>
      <c r="M99" t="s">
        <v>181</v>
      </c>
      <c r="N99" t="s">
        <v>246</v>
      </c>
      <c r="O99">
        <v>17</v>
      </c>
      <c r="P99" t="s">
        <v>183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222</v>
      </c>
      <c r="W99">
        <v>50</v>
      </c>
      <c r="X99" t="s">
        <v>181</v>
      </c>
      <c r="Z99" t="s">
        <v>185</v>
      </c>
      <c r="AB99" t="s">
        <v>208</v>
      </c>
      <c r="AC99" t="s">
        <v>257</v>
      </c>
      <c r="AD99" t="s">
        <v>188</v>
      </c>
      <c r="AE99" t="s">
        <v>198</v>
      </c>
      <c r="AF99" t="s">
        <v>224</v>
      </c>
      <c r="AG99" t="s">
        <v>225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BK99" t="s">
        <v>224</v>
      </c>
      <c r="BL99" t="s">
        <v>192</v>
      </c>
      <c r="BM99">
        <v>0</v>
      </c>
      <c r="BN99">
        <v>1</v>
      </c>
      <c r="BO99">
        <v>1</v>
      </c>
      <c r="BP99">
        <v>0</v>
      </c>
      <c r="BQ99">
        <v>0</v>
      </c>
      <c r="BR99" t="s">
        <v>227</v>
      </c>
      <c r="BS99" t="s">
        <v>194</v>
      </c>
      <c r="BT99" t="s">
        <v>194</v>
      </c>
      <c r="BU99" t="s">
        <v>194</v>
      </c>
      <c r="CD99" t="s">
        <v>194</v>
      </c>
      <c r="CZ99" t="s">
        <v>194</v>
      </c>
      <c r="DB99" t="s">
        <v>194</v>
      </c>
      <c r="DD99" t="s">
        <v>194</v>
      </c>
      <c r="DF99" t="s">
        <v>194</v>
      </c>
      <c r="DH99" t="s">
        <v>194</v>
      </c>
      <c r="DJ99" t="s">
        <v>194</v>
      </c>
      <c r="DL99" t="s">
        <v>194</v>
      </c>
      <c r="DN99" t="s">
        <v>194</v>
      </c>
      <c r="DP99" t="s">
        <v>194</v>
      </c>
      <c r="DR99" t="s">
        <v>194</v>
      </c>
      <c r="DT99" t="s">
        <v>194</v>
      </c>
      <c r="DV99" t="s">
        <v>194</v>
      </c>
      <c r="DX99" t="s">
        <v>194</v>
      </c>
      <c r="DZ99" t="s">
        <v>194</v>
      </c>
      <c r="EB99" t="s">
        <v>194</v>
      </c>
      <c r="ED99" t="s">
        <v>194</v>
      </c>
      <c r="EF99" t="s">
        <v>194</v>
      </c>
      <c r="EI99" t="s">
        <v>181</v>
      </c>
      <c r="EJ99" t="s">
        <v>215</v>
      </c>
      <c r="EK99" t="s">
        <v>181</v>
      </c>
      <c r="EM99" t="s">
        <v>194</v>
      </c>
      <c r="EP99" t="s">
        <v>194</v>
      </c>
      <c r="ES99" t="s">
        <v>194</v>
      </c>
      <c r="EV99" t="s">
        <v>194</v>
      </c>
      <c r="EY99" t="s">
        <v>194</v>
      </c>
      <c r="FB99" t="s">
        <v>194</v>
      </c>
      <c r="FE99" t="s">
        <v>181</v>
      </c>
      <c r="FF99" t="s">
        <v>194</v>
      </c>
      <c r="FH99" t="s">
        <v>181</v>
      </c>
      <c r="FI99" t="s">
        <v>194</v>
      </c>
      <c r="FK99" t="s">
        <v>181</v>
      </c>
      <c r="FL99" t="s">
        <v>194</v>
      </c>
      <c r="FN99" t="s">
        <v>194</v>
      </c>
      <c r="FR99" t="s">
        <v>309</v>
      </c>
      <c r="FU99" t="s">
        <v>194</v>
      </c>
      <c r="GC99" t="s">
        <v>232</v>
      </c>
      <c r="GD99" t="s">
        <v>514</v>
      </c>
    </row>
    <row r="100" spans="1:186" hidden="1" x14ac:dyDescent="0.25">
      <c r="A100" s="1">
        <v>46133.560536817131</v>
      </c>
      <c r="B100" s="1">
        <v>46133.564381203701</v>
      </c>
      <c r="C100" t="s">
        <v>451</v>
      </c>
      <c r="D100">
        <v>99</v>
      </c>
      <c r="E100">
        <v>99</v>
      </c>
      <c r="F100" t="b">
        <f t="shared" si="1"/>
        <v>1</v>
      </c>
      <c r="G100" s="1">
        <v>46129</v>
      </c>
      <c r="H100">
        <v>3</v>
      </c>
      <c r="I100" t="s">
        <v>518</v>
      </c>
      <c r="J100" t="s">
        <v>176</v>
      </c>
      <c r="K100" t="s">
        <v>477</v>
      </c>
      <c r="L100" t="s">
        <v>478</v>
      </c>
      <c r="M100" t="s">
        <v>181</v>
      </c>
      <c r="N100" t="s">
        <v>182</v>
      </c>
      <c r="O100">
        <v>9</v>
      </c>
      <c r="P100" t="s">
        <v>183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222</v>
      </c>
      <c r="W100">
        <v>58</v>
      </c>
      <c r="X100" t="s">
        <v>194</v>
      </c>
      <c r="Y100" t="s">
        <v>519</v>
      </c>
      <c r="Z100" t="s">
        <v>185</v>
      </c>
      <c r="AB100" t="s">
        <v>256</v>
      </c>
      <c r="AC100" t="s">
        <v>257</v>
      </c>
      <c r="AD100" t="s">
        <v>188</v>
      </c>
      <c r="AE100" t="s">
        <v>189</v>
      </c>
      <c r="AF100" t="s">
        <v>190</v>
      </c>
      <c r="AW100" t="s">
        <v>520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K100" t="s">
        <v>190</v>
      </c>
      <c r="BL100" t="s">
        <v>521</v>
      </c>
      <c r="BM100">
        <v>1</v>
      </c>
      <c r="BN100">
        <v>1</v>
      </c>
      <c r="BO100">
        <v>0</v>
      </c>
      <c r="BP100">
        <v>0</v>
      </c>
      <c r="BQ100">
        <v>0</v>
      </c>
      <c r="BR100" t="s">
        <v>227</v>
      </c>
      <c r="BS100" t="s">
        <v>181</v>
      </c>
      <c r="BT100" t="s">
        <v>181</v>
      </c>
      <c r="BU100" t="s">
        <v>194</v>
      </c>
      <c r="CD100" t="s">
        <v>194</v>
      </c>
      <c r="CZ100" t="s">
        <v>194</v>
      </c>
      <c r="DB100" t="s">
        <v>194</v>
      </c>
      <c r="DD100" t="s">
        <v>181</v>
      </c>
      <c r="DE100" t="s">
        <v>215</v>
      </c>
      <c r="DF100" t="s">
        <v>181</v>
      </c>
      <c r="DG100" t="s">
        <v>215</v>
      </c>
      <c r="DH100" t="s">
        <v>181</v>
      </c>
      <c r="DI100" t="s">
        <v>215</v>
      </c>
      <c r="DJ100" t="s">
        <v>194</v>
      </c>
      <c r="DL100" t="s">
        <v>181</v>
      </c>
      <c r="DM100" t="s">
        <v>215</v>
      </c>
      <c r="DN100" t="s">
        <v>181</v>
      </c>
      <c r="DO100" t="s">
        <v>215</v>
      </c>
      <c r="DP100" t="s">
        <v>194</v>
      </c>
      <c r="DR100" t="s">
        <v>181</v>
      </c>
      <c r="DS100" t="s">
        <v>215</v>
      </c>
      <c r="DT100" t="s">
        <v>194</v>
      </c>
      <c r="DV100" t="s">
        <v>194</v>
      </c>
      <c r="DX100" t="s">
        <v>181</v>
      </c>
      <c r="DY100" t="s">
        <v>199</v>
      </c>
      <c r="DZ100" t="s">
        <v>194</v>
      </c>
      <c r="EB100" t="s">
        <v>194</v>
      </c>
      <c r="ED100" t="s">
        <v>194</v>
      </c>
      <c r="EF100" t="s">
        <v>194</v>
      </c>
      <c r="EI100" t="s">
        <v>181</v>
      </c>
      <c r="EJ100" t="s">
        <v>215</v>
      </c>
      <c r="EK100" t="s">
        <v>181</v>
      </c>
      <c r="EM100" t="s">
        <v>181</v>
      </c>
      <c r="EN100" t="s">
        <v>194</v>
      </c>
      <c r="EP100" t="s">
        <v>181</v>
      </c>
      <c r="EQ100" t="s">
        <v>194</v>
      </c>
      <c r="ES100" t="s">
        <v>194</v>
      </c>
      <c r="EV100" t="s">
        <v>181</v>
      </c>
      <c r="EW100" t="s">
        <v>194</v>
      </c>
      <c r="EY100" t="s">
        <v>181</v>
      </c>
      <c r="EZ100" t="s">
        <v>194</v>
      </c>
      <c r="FB100" t="s">
        <v>194</v>
      </c>
      <c r="FE100" t="s">
        <v>194</v>
      </c>
      <c r="FH100" t="s">
        <v>181</v>
      </c>
      <c r="FI100" t="s">
        <v>181</v>
      </c>
      <c r="FJ100" t="s">
        <v>217</v>
      </c>
      <c r="FK100" t="s">
        <v>181</v>
      </c>
      <c r="FL100" t="s">
        <v>181</v>
      </c>
      <c r="FM100" t="s">
        <v>229</v>
      </c>
      <c r="FN100" t="s">
        <v>181</v>
      </c>
      <c r="FO100" t="s">
        <v>194</v>
      </c>
      <c r="FR100" t="s">
        <v>287</v>
      </c>
      <c r="FU100" t="s">
        <v>194</v>
      </c>
      <c r="GC100" t="s">
        <v>232</v>
      </c>
      <c r="GD100" t="s">
        <v>522</v>
      </c>
    </row>
    <row r="101" spans="1:186" hidden="1" x14ac:dyDescent="0.25">
      <c r="A101" s="1">
        <v>46133.564381956021</v>
      </c>
      <c r="B101" s="1">
        <v>46133.569469780086</v>
      </c>
      <c r="C101" t="s">
        <v>451</v>
      </c>
      <c r="D101">
        <v>100</v>
      </c>
      <c r="E101">
        <v>100</v>
      </c>
      <c r="F101" t="b">
        <f t="shared" si="1"/>
        <v>1</v>
      </c>
      <c r="G101" s="1">
        <v>46129</v>
      </c>
      <c r="H101">
        <v>3</v>
      </c>
      <c r="I101" t="s">
        <v>518</v>
      </c>
      <c r="J101" t="s">
        <v>176</v>
      </c>
      <c r="K101" t="s">
        <v>524</v>
      </c>
      <c r="L101" t="s">
        <v>525</v>
      </c>
      <c r="M101" t="s">
        <v>181</v>
      </c>
      <c r="N101" t="s">
        <v>182</v>
      </c>
      <c r="O101">
        <v>17</v>
      </c>
      <c r="P101" t="s">
        <v>183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184</v>
      </c>
      <c r="W101">
        <v>50</v>
      </c>
      <c r="X101" t="s">
        <v>181</v>
      </c>
      <c r="Z101" t="s">
        <v>526</v>
      </c>
      <c r="AB101" t="s">
        <v>223</v>
      </c>
      <c r="AC101" t="s">
        <v>209</v>
      </c>
      <c r="AD101" t="s">
        <v>188</v>
      </c>
      <c r="AE101" t="s">
        <v>265</v>
      </c>
      <c r="AF101" t="s">
        <v>224</v>
      </c>
      <c r="AG101" t="s">
        <v>527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BK101" t="s">
        <v>224</v>
      </c>
      <c r="BL101" t="s">
        <v>389</v>
      </c>
      <c r="BM101">
        <v>0</v>
      </c>
      <c r="BN101">
        <v>0</v>
      </c>
      <c r="BO101">
        <v>0</v>
      </c>
      <c r="BP101">
        <v>0</v>
      </c>
      <c r="BQ101">
        <v>1</v>
      </c>
      <c r="BR101" t="s">
        <v>212</v>
      </c>
      <c r="BS101" t="s">
        <v>194</v>
      </c>
      <c r="BT101" t="s">
        <v>194</v>
      </c>
      <c r="BU101" t="s">
        <v>181</v>
      </c>
      <c r="BV101" t="s">
        <v>213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0</v>
      </c>
      <c r="CD101" t="s">
        <v>194</v>
      </c>
      <c r="CZ101" t="s">
        <v>194</v>
      </c>
      <c r="DB101" t="s">
        <v>194</v>
      </c>
      <c r="DD101" t="s">
        <v>181</v>
      </c>
      <c r="DE101" t="s">
        <v>215</v>
      </c>
      <c r="DF101" t="s">
        <v>181</v>
      </c>
      <c r="DG101" t="s">
        <v>215</v>
      </c>
      <c r="DH101" t="s">
        <v>194</v>
      </c>
      <c r="DJ101" t="s">
        <v>194</v>
      </c>
      <c r="DL101" t="s">
        <v>194</v>
      </c>
      <c r="DN101" t="s">
        <v>181</v>
      </c>
      <c r="DO101" t="s">
        <v>215</v>
      </c>
      <c r="DP101" t="s">
        <v>194</v>
      </c>
      <c r="DR101" t="s">
        <v>194</v>
      </c>
      <c r="DT101" t="s">
        <v>194</v>
      </c>
      <c r="DV101" t="s">
        <v>194</v>
      </c>
      <c r="DX101" t="s">
        <v>194</v>
      </c>
      <c r="DZ101" t="s">
        <v>181</v>
      </c>
      <c r="EA101" t="s">
        <v>215</v>
      </c>
      <c r="EB101" t="s">
        <v>194</v>
      </c>
      <c r="ED101" t="s">
        <v>194</v>
      </c>
      <c r="EF101" t="s">
        <v>194</v>
      </c>
      <c r="EI101" t="s">
        <v>181</v>
      </c>
      <c r="EJ101" t="s">
        <v>215</v>
      </c>
      <c r="EK101" t="s">
        <v>194</v>
      </c>
      <c r="EM101" t="s">
        <v>181</v>
      </c>
      <c r="EN101" t="s">
        <v>194</v>
      </c>
      <c r="EP101" t="s">
        <v>181</v>
      </c>
      <c r="EQ101" t="s">
        <v>194</v>
      </c>
      <c r="ES101" t="s">
        <v>194</v>
      </c>
      <c r="EV101" t="s">
        <v>181</v>
      </c>
      <c r="EW101" t="s">
        <v>194</v>
      </c>
      <c r="EY101" t="s">
        <v>181</v>
      </c>
      <c r="EZ101" t="s">
        <v>194</v>
      </c>
      <c r="FB101" t="s">
        <v>181</v>
      </c>
      <c r="FC101" t="s">
        <v>194</v>
      </c>
      <c r="FE101" t="s">
        <v>181</v>
      </c>
      <c r="FF101" t="s">
        <v>181</v>
      </c>
      <c r="FG101" t="s">
        <v>250</v>
      </c>
      <c r="FH101" t="s">
        <v>181</v>
      </c>
      <c r="FI101" t="s">
        <v>181</v>
      </c>
      <c r="FJ101" t="s">
        <v>250</v>
      </c>
      <c r="FK101" t="s">
        <v>181</v>
      </c>
      <c r="FL101" t="s">
        <v>181</v>
      </c>
      <c r="FM101" t="s">
        <v>250</v>
      </c>
      <c r="FN101" t="s">
        <v>181</v>
      </c>
      <c r="FO101" t="s">
        <v>194</v>
      </c>
      <c r="FR101" t="s">
        <v>218</v>
      </c>
      <c r="FU101" t="s">
        <v>238</v>
      </c>
      <c r="FV101" t="s">
        <v>239</v>
      </c>
      <c r="FW101" t="s">
        <v>238</v>
      </c>
      <c r="FX101" t="s">
        <v>528</v>
      </c>
      <c r="FY101" t="s">
        <v>238</v>
      </c>
      <c r="FZ101" t="s">
        <v>529</v>
      </c>
      <c r="GA101" t="s">
        <v>242</v>
      </c>
      <c r="GB101" t="s">
        <v>530</v>
      </c>
      <c r="GC101" t="s">
        <v>483</v>
      </c>
      <c r="GD101" t="s">
        <v>531</v>
      </c>
    </row>
    <row r="102" spans="1:186" hidden="1" x14ac:dyDescent="0.25">
      <c r="A102" s="1">
        <v>46133.569470439812</v>
      </c>
      <c r="B102" s="1">
        <v>46133.599168738423</v>
      </c>
      <c r="C102" t="s">
        <v>572</v>
      </c>
      <c r="D102">
        <v>101</v>
      </c>
      <c r="E102">
        <v>101</v>
      </c>
      <c r="F102" t="b">
        <f t="shared" si="1"/>
        <v>1</v>
      </c>
      <c r="G102" s="1">
        <v>46131</v>
      </c>
      <c r="H102">
        <v>3</v>
      </c>
      <c r="I102" t="s">
        <v>505</v>
      </c>
      <c r="J102" t="s">
        <v>176</v>
      </c>
      <c r="K102" t="s">
        <v>573</v>
      </c>
      <c r="L102" t="s">
        <v>574</v>
      </c>
      <c r="M102" t="s">
        <v>181</v>
      </c>
      <c r="N102" t="s">
        <v>182</v>
      </c>
      <c r="O102">
        <v>25</v>
      </c>
      <c r="P102" t="s">
        <v>183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184</v>
      </c>
      <c r="W102">
        <v>39</v>
      </c>
      <c r="X102" t="s">
        <v>181</v>
      </c>
      <c r="Z102" t="s">
        <v>185</v>
      </c>
      <c r="AB102" t="s">
        <v>223</v>
      </c>
      <c r="AC102" t="s">
        <v>257</v>
      </c>
      <c r="AD102" t="s">
        <v>188</v>
      </c>
      <c r="AE102" t="s">
        <v>265</v>
      </c>
      <c r="AF102" t="s">
        <v>224</v>
      </c>
      <c r="AG102" t="s">
        <v>225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BK102" t="s">
        <v>224</v>
      </c>
      <c r="BL102" t="s">
        <v>389</v>
      </c>
      <c r="BM102">
        <v>0</v>
      </c>
      <c r="BN102">
        <v>0</v>
      </c>
      <c r="BO102">
        <v>0</v>
      </c>
      <c r="BP102">
        <v>0</v>
      </c>
      <c r="BQ102">
        <v>1</v>
      </c>
      <c r="BR102" t="s">
        <v>212</v>
      </c>
      <c r="BS102" t="s">
        <v>194</v>
      </c>
      <c r="BT102" t="s">
        <v>194</v>
      </c>
      <c r="BU102" t="s">
        <v>194</v>
      </c>
      <c r="CD102" t="s">
        <v>194</v>
      </c>
      <c r="CZ102" t="s">
        <v>194</v>
      </c>
      <c r="DB102" t="s">
        <v>194</v>
      </c>
      <c r="DD102" t="s">
        <v>181</v>
      </c>
      <c r="DE102" t="s">
        <v>199</v>
      </c>
      <c r="DF102" t="s">
        <v>181</v>
      </c>
      <c r="DG102" t="s">
        <v>199</v>
      </c>
      <c r="DH102" t="s">
        <v>181</v>
      </c>
      <c r="DI102" t="s">
        <v>199</v>
      </c>
      <c r="DJ102" t="s">
        <v>194</v>
      </c>
      <c r="DL102" t="s">
        <v>194</v>
      </c>
      <c r="DN102" t="s">
        <v>194</v>
      </c>
      <c r="DP102" t="s">
        <v>194</v>
      </c>
      <c r="DR102" t="s">
        <v>181</v>
      </c>
      <c r="DS102" t="s">
        <v>199</v>
      </c>
      <c r="DT102" t="s">
        <v>181</v>
      </c>
      <c r="DU102" t="s">
        <v>199</v>
      </c>
      <c r="DV102" t="s">
        <v>194</v>
      </c>
      <c r="DX102" t="s">
        <v>194</v>
      </c>
      <c r="DZ102" t="s">
        <v>194</v>
      </c>
      <c r="EB102" t="s">
        <v>194</v>
      </c>
      <c r="ED102" t="s">
        <v>194</v>
      </c>
      <c r="EF102" t="s">
        <v>194</v>
      </c>
      <c r="EI102" t="s">
        <v>181</v>
      </c>
      <c r="EJ102" t="s">
        <v>215</v>
      </c>
      <c r="EK102" t="s">
        <v>181</v>
      </c>
      <c r="EM102" t="s">
        <v>181</v>
      </c>
      <c r="EN102" t="s">
        <v>194</v>
      </c>
      <c r="EP102" t="s">
        <v>181</v>
      </c>
      <c r="EQ102" t="s">
        <v>194</v>
      </c>
      <c r="ES102" t="s">
        <v>194</v>
      </c>
      <c r="EV102" t="s">
        <v>181</v>
      </c>
      <c r="EW102" t="s">
        <v>181</v>
      </c>
      <c r="EX102" t="s">
        <v>250</v>
      </c>
      <c r="EY102" t="s">
        <v>181</v>
      </c>
      <c r="EZ102" t="s">
        <v>194</v>
      </c>
      <c r="FB102" t="s">
        <v>181</v>
      </c>
      <c r="FC102" t="s">
        <v>194</v>
      </c>
      <c r="FE102" t="s">
        <v>181</v>
      </c>
      <c r="FF102" t="s">
        <v>194</v>
      </c>
      <c r="FH102" t="s">
        <v>181</v>
      </c>
      <c r="FI102" t="s">
        <v>194</v>
      </c>
      <c r="FK102" t="s">
        <v>181</v>
      </c>
      <c r="FL102" t="s">
        <v>194</v>
      </c>
      <c r="FN102" t="s">
        <v>194</v>
      </c>
      <c r="FR102" t="s">
        <v>363</v>
      </c>
      <c r="FU102" t="s">
        <v>194</v>
      </c>
      <c r="GC102" t="s">
        <v>1072</v>
      </c>
    </row>
    <row r="103" spans="1:186" hidden="1" x14ac:dyDescent="0.25">
      <c r="A103" s="1">
        <v>46133.599169317131</v>
      </c>
      <c r="B103" s="1">
        <v>46133.603191956019</v>
      </c>
      <c r="C103" t="s">
        <v>451</v>
      </c>
      <c r="D103">
        <v>102</v>
      </c>
      <c r="E103">
        <v>102</v>
      </c>
      <c r="F103" t="b">
        <f t="shared" si="1"/>
        <v>1</v>
      </c>
      <c r="G103" s="1">
        <v>46129</v>
      </c>
      <c r="H103">
        <v>3</v>
      </c>
      <c r="I103" t="s">
        <v>463</v>
      </c>
      <c r="J103" t="s">
        <v>176</v>
      </c>
      <c r="K103" t="s">
        <v>586</v>
      </c>
      <c r="L103" t="s">
        <v>587</v>
      </c>
      <c r="M103" t="s">
        <v>181</v>
      </c>
      <c r="N103" t="s">
        <v>182</v>
      </c>
      <c r="O103">
        <v>9</v>
      </c>
      <c r="P103" t="s">
        <v>183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184</v>
      </c>
      <c r="W103">
        <v>30</v>
      </c>
      <c r="X103" t="s">
        <v>181</v>
      </c>
      <c r="Z103" t="s">
        <v>185</v>
      </c>
      <c r="AB103" t="s">
        <v>223</v>
      </c>
      <c r="AC103" t="s">
        <v>257</v>
      </c>
      <c r="AD103" t="s">
        <v>188</v>
      </c>
      <c r="AE103" t="s">
        <v>265</v>
      </c>
      <c r="AF103" t="s">
        <v>190</v>
      </c>
      <c r="AW103" t="s">
        <v>191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K103" t="s">
        <v>224</v>
      </c>
      <c r="BL103" t="s">
        <v>192</v>
      </c>
      <c r="BM103">
        <v>0</v>
      </c>
      <c r="BN103">
        <v>1</v>
      </c>
      <c r="BO103">
        <v>1</v>
      </c>
      <c r="BP103">
        <v>0</v>
      </c>
      <c r="BQ103">
        <v>0</v>
      </c>
      <c r="BR103" t="s">
        <v>227</v>
      </c>
      <c r="BS103" t="s">
        <v>194</v>
      </c>
      <c r="BT103" t="s">
        <v>194</v>
      </c>
      <c r="BU103" t="s">
        <v>194</v>
      </c>
      <c r="CD103" t="s">
        <v>181</v>
      </c>
      <c r="CE103" t="s">
        <v>214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R103" t="s">
        <v>194</v>
      </c>
      <c r="CZ103" t="s">
        <v>194</v>
      </c>
      <c r="DB103" t="s">
        <v>194</v>
      </c>
      <c r="DD103" t="s">
        <v>194</v>
      </c>
      <c r="DF103" t="s">
        <v>194</v>
      </c>
      <c r="DH103" t="s">
        <v>181</v>
      </c>
      <c r="DI103" t="s">
        <v>197</v>
      </c>
      <c r="DJ103" t="s">
        <v>194</v>
      </c>
      <c r="DL103" t="s">
        <v>181</v>
      </c>
      <c r="DM103" t="s">
        <v>197</v>
      </c>
      <c r="DN103" t="s">
        <v>194</v>
      </c>
      <c r="DP103" t="s">
        <v>194</v>
      </c>
      <c r="DR103" t="s">
        <v>181</v>
      </c>
      <c r="DS103" t="s">
        <v>197</v>
      </c>
      <c r="DT103" t="s">
        <v>194</v>
      </c>
      <c r="DV103" t="s">
        <v>181</v>
      </c>
      <c r="DW103" t="s">
        <v>199</v>
      </c>
      <c r="DX103" t="s">
        <v>194</v>
      </c>
      <c r="DZ103" t="s">
        <v>194</v>
      </c>
      <c r="EB103" t="s">
        <v>194</v>
      </c>
      <c r="ED103" t="s">
        <v>194</v>
      </c>
      <c r="EF103" t="s">
        <v>194</v>
      </c>
      <c r="EI103" t="s">
        <v>181</v>
      </c>
      <c r="EJ103" t="s">
        <v>215</v>
      </c>
      <c r="EK103" t="s">
        <v>181</v>
      </c>
      <c r="EM103" t="s">
        <v>181</v>
      </c>
      <c r="EN103" t="s">
        <v>194</v>
      </c>
      <c r="EP103" t="s">
        <v>181</v>
      </c>
      <c r="EQ103" t="s">
        <v>194</v>
      </c>
      <c r="ES103" t="s">
        <v>181</v>
      </c>
      <c r="ET103" t="s">
        <v>181</v>
      </c>
      <c r="EU103" t="s">
        <v>250</v>
      </c>
      <c r="EV103" t="s">
        <v>181</v>
      </c>
      <c r="EW103" t="s">
        <v>194</v>
      </c>
      <c r="EY103" t="s">
        <v>194</v>
      </c>
      <c r="FB103" t="s">
        <v>194</v>
      </c>
      <c r="FE103" t="s">
        <v>181</v>
      </c>
      <c r="FF103" t="s">
        <v>181</v>
      </c>
      <c r="FG103" t="s">
        <v>250</v>
      </c>
      <c r="FH103" t="s">
        <v>181</v>
      </c>
      <c r="FI103" t="s">
        <v>181</v>
      </c>
      <c r="FJ103" t="s">
        <v>250</v>
      </c>
      <c r="FK103" t="s">
        <v>181</v>
      </c>
      <c r="FL103" t="s">
        <v>181</v>
      </c>
      <c r="FM103" t="s">
        <v>250</v>
      </c>
      <c r="FN103" t="s">
        <v>194</v>
      </c>
      <c r="FR103" t="s">
        <v>278</v>
      </c>
      <c r="FU103" t="s">
        <v>238</v>
      </c>
      <c r="FV103" t="s">
        <v>239</v>
      </c>
      <c r="FW103" t="s">
        <v>238</v>
      </c>
      <c r="FX103" t="s">
        <v>588</v>
      </c>
      <c r="FY103" t="s">
        <v>241</v>
      </c>
      <c r="GA103" t="s">
        <v>242</v>
      </c>
      <c r="GB103" t="s">
        <v>589</v>
      </c>
      <c r="GC103" t="s">
        <v>232</v>
      </c>
      <c r="GD103" t="s">
        <v>590</v>
      </c>
    </row>
    <row r="104" spans="1:186" x14ac:dyDescent="0.25">
      <c r="A104" s="1">
        <v>46133.603192511568</v>
      </c>
      <c r="B104" s="1">
        <v>46133.608109537039</v>
      </c>
      <c r="C104" t="s">
        <v>451</v>
      </c>
      <c r="D104">
        <v>103</v>
      </c>
      <c r="E104">
        <v>103</v>
      </c>
      <c r="F104" t="b">
        <f t="shared" si="1"/>
        <v>1</v>
      </c>
      <c r="G104" s="1">
        <v>46129</v>
      </c>
      <c r="H104">
        <v>3</v>
      </c>
      <c r="I104" t="s">
        <v>452</v>
      </c>
      <c r="J104" t="s">
        <v>176</v>
      </c>
      <c r="K104" t="s">
        <v>597</v>
      </c>
      <c r="L104" t="s">
        <v>598</v>
      </c>
      <c r="M104" t="s">
        <v>181</v>
      </c>
      <c r="N104" t="s">
        <v>455</v>
      </c>
      <c r="O104">
        <v>5</v>
      </c>
      <c r="P104" t="s">
        <v>183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222</v>
      </c>
      <c r="W104">
        <v>43</v>
      </c>
      <c r="X104" t="s">
        <v>181</v>
      </c>
      <c r="Z104" t="s">
        <v>185</v>
      </c>
      <c r="AB104" t="s">
        <v>223</v>
      </c>
      <c r="AC104" t="s">
        <v>187</v>
      </c>
      <c r="AD104" t="s">
        <v>210</v>
      </c>
      <c r="AE104" t="s">
        <v>198</v>
      </c>
      <c r="AF104" t="s">
        <v>190</v>
      </c>
      <c r="AW104" t="s">
        <v>191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K104" t="s">
        <v>224</v>
      </c>
      <c r="BL104" t="s">
        <v>226</v>
      </c>
      <c r="BM104">
        <v>0</v>
      </c>
      <c r="BN104">
        <v>1</v>
      </c>
      <c r="BO104">
        <v>0</v>
      </c>
      <c r="BP104">
        <v>0</v>
      </c>
      <c r="BQ104">
        <v>0</v>
      </c>
      <c r="BR104" t="s">
        <v>227</v>
      </c>
      <c r="BS104" t="s">
        <v>194</v>
      </c>
      <c r="BT104" t="s">
        <v>194</v>
      </c>
      <c r="BU104" t="s">
        <v>194</v>
      </c>
      <c r="CD104" t="s">
        <v>194</v>
      </c>
      <c r="CZ104" t="s">
        <v>194</v>
      </c>
      <c r="DB104" t="s">
        <v>181</v>
      </c>
      <c r="DC104" t="s">
        <v>197</v>
      </c>
      <c r="DD104" t="s">
        <v>181</v>
      </c>
      <c r="DE104" t="s">
        <v>215</v>
      </c>
      <c r="DF104" t="s">
        <v>181</v>
      </c>
      <c r="DG104" t="s">
        <v>197</v>
      </c>
      <c r="DH104" t="s">
        <v>198</v>
      </c>
      <c r="DJ104" t="s">
        <v>181</v>
      </c>
      <c r="DK104" t="s">
        <v>199</v>
      </c>
      <c r="DL104" t="s">
        <v>181</v>
      </c>
      <c r="DM104" t="s">
        <v>199</v>
      </c>
      <c r="DN104" t="s">
        <v>181</v>
      </c>
      <c r="DO104" t="s">
        <v>197</v>
      </c>
      <c r="DP104" t="s">
        <v>194</v>
      </c>
      <c r="DR104" t="s">
        <v>194</v>
      </c>
      <c r="DT104" t="s">
        <v>194</v>
      </c>
      <c r="DV104" t="s">
        <v>194</v>
      </c>
      <c r="DX104" t="s">
        <v>194</v>
      </c>
      <c r="DZ104" t="s">
        <v>181</v>
      </c>
      <c r="EA104" t="s">
        <v>197</v>
      </c>
      <c r="EB104" t="s">
        <v>194</v>
      </c>
      <c r="ED104" t="s">
        <v>181</v>
      </c>
      <c r="EE104" t="s">
        <v>199</v>
      </c>
      <c r="EF104" t="s">
        <v>181</v>
      </c>
      <c r="EG104" t="s">
        <v>599</v>
      </c>
      <c r="EH104" t="s">
        <v>199</v>
      </c>
      <c r="EI104" t="s">
        <v>181</v>
      </c>
      <c r="EJ104" t="s">
        <v>199</v>
      </c>
      <c r="EK104" t="s">
        <v>181</v>
      </c>
      <c r="EM104" t="s">
        <v>181</v>
      </c>
      <c r="EN104" t="s">
        <v>194</v>
      </c>
      <c r="EP104" t="s">
        <v>194</v>
      </c>
      <c r="ES104" t="s">
        <v>181</v>
      </c>
      <c r="ET104" t="s">
        <v>194</v>
      </c>
      <c r="EV104" t="s">
        <v>194</v>
      </c>
      <c r="EY104" t="s">
        <v>181</v>
      </c>
      <c r="EZ104" t="s">
        <v>194</v>
      </c>
      <c r="FB104" t="s">
        <v>181</v>
      </c>
      <c r="FC104" t="s">
        <v>194</v>
      </c>
      <c r="FE104" t="s">
        <v>181</v>
      </c>
      <c r="FF104" t="s">
        <v>194</v>
      </c>
      <c r="FH104" t="s">
        <v>181</v>
      </c>
      <c r="FI104" t="s">
        <v>181</v>
      </c>
      <c r="FJ104" t="s">
        <v>250</v>
      </c>
      <c r="FK104" t="s">
        <v>181</v>
      </c>
      <c r="FL104" t="s">
        <v>194</v>
      </c>
      <c r="FN104" t="s">
        <v>194</v>
      </c>
      <c r="FR104" t="s">
        <v>338</v>
      </c>
      <c r="FS104" t="s">
        <v>498</v>
      </c>
      <c r="FT104" t="s">
        <v>600</v>
      </c>
      <c r="FU104" t="s">
        <v>238</v>
      </c>
      <c r="FV104" t="s">
        <v>383</v>
      </c>
      <c r="FW104" t="s">
        <v>238</v>
      </c>
      <c r="FX104" t="s">
        <v>601</v>
      </c>
      <c r="FY104" t="s">
        <v>241</v>
      </c>
      <c r="GA104" t="s">
        <v>242</v>
      </c>
      <c r="GB104" t="s">
        <v>602</v>
      </c>
      <c r="GC104" t="s">
        <v>312</v>
      </c>
    </row>
    <row r="105" spans="1:186" hidden="1" x14ac:dyDescent="0.25">
      <c r="A105" s="1">
        <v>46133.608110127323</v>
      </c>
      <c r="B105" s="1">
        <v>46133.661673229173</v>
      </c>
      <c r="C105" t="s">
        <v>451</v>
      </c>
      <c r="D105">
        <v>104</v>
      </c>
      <c r="E105">
        <v>104</v>
      </c>
      <c r="F105" t="b">
        <f t="shared" si="1"/>
        <v>1</v>
      </c>
      <c r="G105" s="1">
        <v>46129</v>
      </c>
      <c r="H105">
        <v>3</v>
      </c>
      <c r="I105" t="s">
        <v>463</v>
      </c>
      <c r="J105" t="s">
        <v>176</v>
      </c>
      <c r="K105" t="s">
        <v>693</v>
      </c>
      <c r="L105" t="s">
        <v>694</v>
      </c>
      <c r="M105" t="s">
        <v>181</v>
      </c>
      <c r="N105" t="s">
        <v>182</v>
      </c>
      <c r="O105">
        <v>45</v>
      </c>
      <c r="P105" t="s">
        <v>183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184</v>
      </c>
      <c r="W105">
        <v>48</v>
      </c>
      <c r="X105" t="s">
        <v>181</v>
      </c>
      <c r="Z105" t="s">
        <v>185</v>
      </c>
      <c r="AB105" t="s">
        <v>223</v>
      </c>
      <c r="AC105" t="s">
        <v>257</v>
      </c>
      <c r="AD105" t="s">
        <v>210</v>
      </c>
      <c r="AE105" t="s">
        <v>265</v>
      </c>
      <c r="AF105" t="s">
        <v>211</v>
      </c>
      <c r="AW105" t="s">
        <v>191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K105" t="s">
        <v>190</v>
      </c>
      <c r="BL105" t="s">
        <v>362</v>
      </c>
      <c r="BM105">
        <v>0</v>
      </c>
      <c r="BN105">
        <v>0</v>
      </c>
      <c r="BO105">
        <v>1</v>
      </c>
      <c r="BP105">
        <v>0</v>
      </c>
      <c r="BQ105">
        <v>0</v>
      </c>
      <c r="BR105" t="s">
        <v>193</v>
      </c>
      <c r="BS105" t="s">
        <v>181</v>
      </c>
      <c r="BT105" t="s">
        <v>181</v>
      </c>
      <c r="BU105" t="s">
        <v>194</v>
      </c>
      <c r="CD105" t="s">
        <v>194</v>
      </c>
      <c r="CZ105" t="s">
        <v>181</v>
      </c>
      <c r="DA105" t="s">
        <v>199</v>
      </c>
      <c r="DB105" t="s">
        <v>194</v>
      </c>
      <c r="DD105" t="s">
        <v>181</v>
      </c>
      <c r="DE105" t="s">
        <v>199</v>
      </c>
      <c r="DF105" t="s">
        <v>181</v>
      </c>
      <c r="DG105" t="s">
        <v>199</v>
      </c>
      <c r="DH105" t="s">
        <v>181</v>
      </c>
      <c r="DI105" t="s">
        <v>197</v>
      </c>
      <c r="DJ105" t="s">
        <v>194</v>
      </c>
      <c r="DL105" t="s">
        <v>181</v>
      </c>
      <c r="DM105" t="s">
        <v>199</v>
      </c>
      <c r="DN105" t="s">
        <v>181</v>
      </c>
      <c r="DO105" t="s">
        <v>215</v>
      </c>
      <c r="DP105" t="s">
        <v>194</v>
      </c>
      <c r="DR105" t="s">
        <v>181</v>
      </c>
      <c r="DS105" t="s">
        <v>215</v>
      </c>
      <c r="DT105" t="s">
        <v>181</v>
      </c>
      <c r="DU105" t="s">
        <v>215</v>
      </c>
      <c r="DV105" t="s">
        <v>181</v>
      </c>
      <c r="DW105" t="s">
        <v>197</v>
      </c>
      <c r="DX105" t="s">
        <v>181</v>
      </c>
      <c r="DY105" t="s">
        <v>215</v>
      </c>
      <c r="DZ105" t="s">
        <v>181</v>
      </c>
      <c r="EA105" t="s">
        <v>215</v>
      </c>
      <c r="EB105" t="s">
        <v>194</v>
      </c>
      <c r="ED105" t="s">
        <v>194</v>
      </c>
      <c r="EF105" t="s">
        <v>194</v>
      </c>
      <c r="EI105" t="s">
        <v>181</v>
      </c>
      <c r="EJ105" t="s">
        <v>215</v>
      </c>
      <c r="EK105" t="s">
        <v>194</v>
      </c>
      <c r="EM105" t="s">
        <v>181</v>
      </c>
      <c r="EN105" t="s">
        <v>194</v>
      </c>
      <c r="EP105" t="s">
        <v>181</v>
      </c>
      <c r="EQ105" t="s">
        <v>194</v>
      </c>
      <c r="ES105" t="s">
        <v>194</v>
      </c>
      <c r="EV105" t="s">
        <v>181</v>
      </c>
      <c r="EW105" t="s">
        <v>194</v>
      </c>
      <c r="EY105" t="s">
        <v>181</v>
      </c>
      <c r="EZ105" t="s">
        <v>194</v>
      </c>
      <c r="FB105" t="s">
        <v>194</v>
      </c>
      <c r="FE105" t="s">
        <v>181</v>
      </c>
      <c r="FF105" t="s">
        <v>181</v>
      </c>
      <c r="FG105" t="s">
        <v>217</v>
      </c>
      <c r="FH105" t="s">
        <v>194</v>
      </c>
      <c r="FK105" t="s">
        <v>194</v>
      </c>
      <c r="FN105" t="s">
        <v>194</v>
      </c>
      <c r="FR105" t="s">
        <v>467</v>
      </c>
      <c r="FU105" t="s">
        <v>194</v>
      </c>
      <c r="GC105" t="s">
        <v>232</v>
      </c>
      <c r="GD105" t="s">
        <v>695</v>
      </c>
    </row>
    <row r="106" spans="1:186" hidden="1" x14ac:dyDescent="0.25">
      <c r="A106" s="1">
        <v>46133.661673969909</v>
      </c>
      <c r="B106" s="1">
        <v>46133.665462638892</v>
      </c>
      <c r="C106" t="s">
        <v>451</v>
      </c>
      <c r="D106">
        <v>105</v>
      </c>
      <c r="E106">
        <v>105</v>
      </c>
      <c r="F106" t="b">
        <f t="shared" si="1"/>
        <v>1</v>
      </c>
      <c r="G106" s="1">
        <v>46129</v>
      </c>
      <c r="H106">
        <v>3</v>
      </c>
      <c r="I106" t="s">
        <v>505</v>
      </c>
      <c r="J106" t="s">
        <v>176</v>
      </c>
      <c r="K106" t="s">
        <v>704</v>
      </c>
      <c r="L106" t="s">
        <v>705</v>
      </c>
      <c r="M106" t="s">
        <v>181</v>
      </c>
      <c r="N106" t="s">
        <v>182</v>
      </c>
      <c r="O106">
        <v>21</v>
      </c>
      <c r="P106" t="s">
        <v>183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222</v>
      </c>
      <c r="W106">
        <v>49</v>
      </c>
      <c r="X106" t="s">
        <v>181</v>
      </c>
      <c r="Z106" t="s">
        <v>185</v>
      </c>
      <c r="AB106" t="s">
        <v>186</v>
      </c>
      <c r="AC106" t="s">
        <v>209</v>
      </c>
      <c r="AD106" t="s">
        <v>188</v>
      </c>
      <c r="AE106" t="s">
        <v>198</v>
      </c>
      <c r="AF106" t="s">
        <v>211</v>
      </c>
      <c r="AW106" t="s">
        <v>191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K106" t="s">
        <v>211</v>
      </c>
      <c r="BL106" t="s">
        <v>362</v>
      </c>
      <c r="BM106">
        <v>0</v>
      </c>
      <c r="BN106">
        <v>0</v>
      </c>
      <c r="BO106">
        <v>1</v>
      </c>
      <c r="BP106">
        <v>0</v>
      </c>
      <c r="BQ106">
        <v>0</v>
      </c>
      <c r="BR106" t="s">
        <v>193</v>
      </c>
      <c r="BS106" t="s">
        <v>194</v>
      </c>
      <c r="BT106" t="s">
        <v>194</v>
      </c>
      <c r="BU106" t="s">
        <v>194</v>
      </c>
      <c r="CD106" t="s">
        <v>194</v>
      </c>
      <c r="CZ106" t="s">
        <v>194</v>
      </c>
      <c r="DB106" t="s">
        <v>194</v>
      </c>
      <c r="DD106" t="s">
        <v>181</v>
      </c>
      <c r="DE106" t="s">
        <v>199</v>
      </c>
      <c r="DF106" t="s">
        <v>181</v>
      </c>
      <c r="DG106" t="s">
        <v>199</v>
      </c>
      <c r="DH106" t="s">
        <v>194</v>
      </c>
      <c r="DJ106" t="s">
        <v>181</v>
      </c>
      <c r="DK106" t="s">
        <v>199</v>
      </c>
      <c r="DL106" t="s">
        <v>194</v>
      </c>
      <c r="DN106" t="s">
        <v>181</v>
      </c>
      <c r="DO106" t="s">
        <v>199</v>
      </c>
      <c r="DP106" t="s">
        <v>194</v>
      </c>
      <c r="DR106" t="s">
        <v>181</v>
      </c>
      <c r="DS106" t="s">
        <v>199</v>
      </c>
      <c r="DT106" t="s">
        <v>194</v>
      </c>
      <c r="DV106" t="s">
        <v>194</v>
      </c>
      <c r="DX106" t="s">
        <v>194</v>
      </c>
      <c r="DZ106" t="s">
        <v>194</v>
      </c>
      <c r="EB106" t="s">
        <v>194</v>
      </c>
      <c r="ED106" t="s">
        <v>181</v>
      </c>
      <c r="EE106" t="s">
        <v>197</v>
      </c>
      <c r="EF106" t="s">
        <v>194</v>
      </c>
      <c r="EI106" t="s">
        <v>181</v>
      </c>
      <c r="EJ106" t="s">
        <v>215</v>
      </c>
      <c r="EK106" t="s">
        <v>181</v>
      </c>
      <c r="EM106" t="s">
        <v>181</v>
      </c>
      <c r="EN106" t="s">
        <v>194</v>
      </c>
      <c r="EP106" t="s">
        <v>194</v>
      </c>
      <c r="ES106" t="s">
        <v>194</v>
      </c>
      <c r="EV106" t="s">
        <v>181</v>
      </c>
      <c r="EW106" t="s">
        <v>194</v>
      </c>
      <c r="EY106" t="s">
        <v>194</v>
      </c>
      <c r="FB106" t="s">
        <v>194</v>
      </c>
      <c r="FE106" t="s">
        <v>181</v>
      </c>
      <c r="FF106" t="s">
        <v>194</v>
      </c>
      <c r="FH106" t="s">
        <v>194</v>
      </c>
      <c r="FK106" t="s">
        <v>194</v>
      </c>
      <c r="FN106" t="s">
        <v>194</v>
      </c>
      <c r="FR106" t="s">
        <v>309</v>
      </c>
      <c r="FS106" t="s">
        <v>706</v>
      </c>
      <c r="FU106" t="s">
        <v>238</v>
      </c>
      <c r="FV106" t="s">
        <v>492</v>
      </c>
      <c r="FW106" t="s">
        <v>241</v>
      </c>
      <c r="FX106" t="s">
        <v>707</v>
      </c>
      <c r="FY106" t="s">
        <v>241</v>
      </c>
      <c r="GA106" t="s">
        <v>194</v>
      </c>
      <c r="GB106" t="s">
        <v>708</v>
      </c>
      <c r="GC106" t="s">
        <v>373</v>
      </c>
    </row>
    <row r="107" spans="1:186" hidden="1" x14ac:dyDescent="0.25">
      <c r="A107" s="1">
        <v>46133.665463287027</v>
      </c>
      <c r="B107" s="1">
        <v>46133.669578842593</v>
      </c>
      <c r="C107" t="s">
        <v>572</v>
      </c>
      <c r="D107">
        <v>106</v>
      </c>
      <c r="E107">
        <v>106</v>
      </c>
      <c r="F107" t="b">
        <f t="shared" si="1"/>
        <v>1</v>
      </c>
      <c r="G107" s="1">
        <v>46129</v>
      </c>
      <c r="H107">
        <v>3</v>
      </c>
      <c r="I107" t="s">
        <v>505</v>
      </c>
      <c r="J107" t="s">
        <v>176</v>
      </c>
      <c r="K107" t="s">
        <v>720</v>
      </c>
      <c r="L107" t="s">
        <v>721</v>
      </c>
      <c r="M107" t="s">
        <v>181</v>
      </c>
      <c r="N107" t="s">
        <v>182</v>
      </c>
      <c r="O107">
        <v>22</v>
      </c>
      <c r="P107" t="s">
        <v>183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184</v>
      </c>
      <c r="W107">
        <v>48</v>
      </c>
      <c r="X107" t="s">
        <v>181</v>
      </c>
      <c r="Z107" t="s">
        <v>185</v>
      </c>
      <c r="AB107" t="s">
        <v>186</v>
      </c>
      <c r="AC107" t="s">
        <v>209</v>
      </c>
      <c r="AD107" t="s">
        <v>188</v>
      </c>
      <c r="AE107" t="s">
        <v>198</v>
      </c>
      <c r="AF107" t="s">
        <v>190</v>
      </c>
      <c r="AW107" t="s">
        <v>191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K107" t="s">
        <v>190</v>
      </c>
      <c r="BL107" t="s">
        <v>362</v>
      </c>
      <c r="BM107">
        <v>0</v>
      </c>
      <c r="BN107">
        <v>0</v>
      </c>
      <c r="BO107">
        <v>1</v>
      </c>
      <c r="BP107">
        <v>0</v>
      </c>
      <c r="BQ107">
        <v>0</v>
      </c>
      <c r="BR107" t="s">
        <v>193</v>
      </c>
      <c r="BS107" t="s">
        <v>194</v>
      </c>
      <c r="BT107" t="s">
        <v>194</v>
      </c>
      <c r="BU107" t="s">
        <v>194</v>
      </c>
      <c r="CD107" t="s">
        <v>181</v>
      </c>
      <c r="CE107" t="s">
        <v>214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R107" t="s">
        <v>194</v>
      </c>
      <c r="CZ107" t="s">
        <v>194</v>
      </c>
      <c r="DB107" t="s">
        <v>194</v>
      </c>
      <c r="DD107" t="s">
        <v>181</v>
      </c>
      <c r="DE107" t="s">
        <v>199</v>
      </c>
      <c r="DF107" t="s">
        <v>181</v>
      </c>
      <c r="DG107" t="s">
        <v>199</v>
      </c>
      <c r="DH107" t="s">
        <v>194</v>
      </c>
      <c r="DJ107" t="s">
        <v>181</v>
      </c>
      <c r="DK107" t="s">
        <v>199</v>
      </c>
      <c r="DL107" t="s">
        <v>194</v>
      </c>
      <c r="DN107" t="s">
        <v>181</v>
      </c>
      <c r="DO107" t="s">
        <v>199</v>
      </c>
      <c r="DP107" t="s">
        <v>194</v>
      </c>
      <c r="DR107" t="s">
        <v>181</v>
      </c>
      <c r="DS107" t="s">
        <v>199</v>
      </c>
      <c r="DT107" t="s">
        <v>194</v>
      </c>
      <c r="DV107" t="s">
        <v>194</v>
      </c>
      <c r="DX107" t="s">
        <v>194</v>
      </c>
      <c r="DZ107" t="s">
        <v>194</v>
      </c>
      <c r="EB107" t="s">
        <v>194</v>
      </c>
      <c r="ED107" t="s">
        <v>181</v>
      </c>
      <c r="EE107" t="s">
        <v>197</v>
      </c>
      <c r="EF107" t="s">
        <v>194</v>
      </c>
      <c r="EI107" t="s">
        <v>181</v>
      </c>
      <c r="EJ107" t="s">
        <v>215</v>
      </c>
      <c r="EK107" t="s">
        <v>181</v>
      </c>
      <c r="EM107" t="s">
        <v>181</v>
      </c>
      <c r="EN107" t="s">
        <v>194</v>
      </c>
      <c r="EP107" t="s">
        <v>194</v>
      </c>
      <c r="ES107" t="s">
        <v>194</v>
      </c>
      <c r="EV107" t="s">
        <v>181</v>
      </c>
      <c r="EW107" t="s">
        <v>194</v>
      </c>
      <c r="EY107" t="s">
        <v>194</v>
      </c>
      <c r="FB107" t="s">
        <v>194</v>
      </c>
      <c r="FE107" t="s">
        <v>181</v>
      </c>
      <c r="FF107" t="s">
        <v>194</v>
      </c>
      <c r="FH107" t="s">
        <v>194</v>
      </c>
      <c r="FK107" t="s">
        <v>194</v>
      </c>
      <c r="FN107" t="s">
        <v>194</v>
      </c>
      <c r="FR107" t="s">
        <v>706</v>
      </c>
      <c r="FS107" t="s">
        <v>722</v>
      </c>
      <c r="FU107" t="s">
        <v>238</v>
      </c>
      <c r="FV107" t="s">
        <v>300</v>
      </c>
      <c r="FW107" t="s">
        <v>241</v>
      </c>
      <c r="FX107" t="s">
        <v>723</v>
      </c>
      <c r="FY107" t="s">
        <v>241</v>
      </c>
      <c r="GA107" t="s">
        <v>194</v>
      </c>
      <c r="GB107" t="s">
        <v>724</v>
      </c>
      <c r="GC107" t="s">
        <v>409</v>
      </c>
      <c r="GD107" t="s">
        <v>725</v>
      </c>
    </row>
    <row r="108" spans="1:186" x14ac:dyDescent="0.25">
      <c r="A108" s="1">
        <v>46133.669579652778</v>
      </c>
      <c r="B108" s="1">
        <v>46133.673502002312</v>
      </c>
      <c r="C108" t="s">
        <v>572</v>
      </c>
      <c r="D108">
        <v>107</v>
      </c>
      <c r="E108">
        <v>107</v>
      </c>
      <c r="F108" t="b">
        <f t="shared" si="1"/>
        <v>1</v>
      </c>
      <c r="G108" s="1">
        <v>46129</v>
      </c>
      <c r="H108">
        <v>3</v>
      </c>
      <c r="I108" t="s">
        <v>505</v>
      </c>
      <c r="J108" t="s">
        <v>176</v>
      </c>
      <c r="K108">
        <v>-0.17918999999999999</v>
      </c>
      <c r="L108" t="s">
        <v>736</v>
      </c>
      <c r="M108" t="s">
        <v>181</v>
      </c>
      <c r="N108" t="s">
        <v>182</v>
      </c>
      <c r="O108">
        <v>30</v>
      </c>
      <c r="P108" t="s">
        <v>183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184</v>
      </c>
      <c r="W108">
        <v>53</v>
      </c>
      <c r="X108" t="s">
        <v>181</v>
      </c>
      <c r="Z108" t="s">
        <v>185</v>
      </c>
      <c r="AB108" t="s">
        <v>186</v>
      </c>
      <c r="AC108" t="s">
        <v>257</v>
      </c>
      <c r="AD108" t="s">
        <v>188</v>
      </c>
      <c r="AE108" t="s">
        <v>198</v>
      </c>
      <c r="AF108" t="s">
        <v>190</v>
      </c>
      <c r="AW108" t="s">
        <v>398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K108" t="s">
        <v>190</v>
      </c>
      <c r="BL108" t="s">
        <v>362</v>
      </c>
      <c r="BM108">
        <v>0</v>
      </c>
      <c r="BN108">
        <v>0</v>
      </c>
      <c r="BO108">
        <v>1</v>
      </c>
      <c r="BP108">
        <v>0</v>
      </c>
      <c r="BQ108">
        <v>0</v>
      </c>
      <c r="BR108" t="s">
        <v>227</v>
      </c>
      <c r="BS108" t="s">
        <v>194</v>
      </c>
      <c r="BT108" t="s">
        <v>194</v>
      </c>
      <c r="BU108" t="s">
        <v>194</v>
      </c>
      <c r="CD108" t="s">
        <v>181</v>
      </c>
      <c r="CE108" t="s">
        <v>214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R108" t="s">
        <v>194</v>
      </c>
      <c r="CZ108" t="s">
        <v>194</v>
      </c>
      <c r="DB108" t="s">
        <v>181</v>
      </c>
      <c r="DC108" t="s">
        <v>199</v>
      </c>
      <c r="DD108" t="s">
        <v>181</v>
      </c>
      <c r="DE108" t="s">
        <v>215</v>
      </c>
      <c r="DF108" t="s">
        <v>181</v>
      </c>
      <c r="DG108" t="s">
        <v>197</v>
      </c>
      <c r="DH108" t="s">
        <v>194</v>
      </c>
      <c r="DJ108" t="s">
        <v>194</v>
      </c>
      <c r="DL108" t="s">
        <v>194</v>
      </c>
      <c r="DN108" t="s">
        <v>194</v>
      </c>
      <c r="DP108" t="s">
        <v>194</v>
      </c>
      <c r="DR108" t="s">
        <v>181</v>
      </c>
      <c r="DS108" t="s">
        <v>197</v>
      </c>
      <c r="DT108" t="s">
        <v>194</v>
      </c>
      <c r="DV108" t="s">
        <v>194</v>
      </c>
      <c r="DX108" t="s">
        <v>194</v>
      </c>
      <c r="DZ108" t="s">
        <v>181</v>
      </c>
      <c r="EA108" t="s">
        <v>199</v>
      </c>
      <c r="EB108" t="s">
        <v>194</v>
      </c>
      <c r="ED108" t="s">
        <v>194</v>
      </c>
      <c r="EF108" t="s">
        <v>194</v>
      </c>
      <c r="EI108" t="s">
        <v>181</v>
      </c>
      <c r="EJ108" t="s">
        <v>215</v>
      </c>
      <c r="EK108" t="s">
        <v>181</v>
      </c>
      <c r="EM108" t="s">
        <v>181</v>
      </c>
      <c r="EN108" t="s">
        <v>194</v>
      </c>
      <c r="EP108" t="s">
        <v>194</v>
      </c>
      <c r="ES108" t="s">
        <v>194</v>
      </c>
      <c r="EV108" t="s">
        <v>194</v>
      </c>
      <c r="EY108" t="s">
        <v>194</v>
      </c>
      <c r="FB108" t="s">
        <v>194</v>
      </c>
      <c r="FE108" t="s">
        <v>181</v>
      </c>
      <c r="FF108" t="s">
        <v>194</v>
      </c>
      <c r="FH108" t="s">
        <v>194</v>
      </c>
      <c r="FK108" t="s">
        <v>181</v>
      </c>
      <c r="FL108" t="s">
        <v>194</v>
      </c>
      <c r="FN108" t="s">
        <v>194</v>
      </c>
      <c r="FR108" t="s">
        <v>353</v>
      </c>
      <c r="FS108" t="s">
        <v>737</v>
      </c>
      <c r="FT108" t="s">
        <v>426</v>
      </c>
      <c r="FU108" t="s">
        <v>238</v>
      </c>
      <c r="FV108" t="s">
        <v>239</v>
      </c>
      <c r="FW108" t="s">
        <v>238</v>
      </c>
      <c r="FX108" t="s">
        <v>738</v>
      </c>
      <c r="FY108" t="s">
        <v>241</v>
      </c>
      <c r="GA108" t="s">
        <v>242</v>
      </c>
      <c r="GB108" t="s">
        <v>739</v>
      </c>
      <c r="GC108" t="s">
        <v>409</v>
      </c>
      <c r="GD108" t="s">
        <v>740</v>
      </c>
    </row>
    <row r="109" spans="1:186" hidden="1" x14ac:dyDescent="0.25">
      <c r="A109" s="1">
        <v>46133.673502743048</v>
      </c>
      <c r="B109" s="1">
        <v>46133.677427002323</v>
      </c>
      <c r="C109" t="s">
        <v>572</v>
      </c>
      <c r="D109">
        <v>108</v>
      </c>
      <c r="E109">
        <v>108</v>
      </c>
      <c r="F109" t="b">
        <f t="shared" si="1"/>
        <v>1</v>
      </c>
      <c r="G109" s="1">
        <v>46129</v>
      </c>
      <c r="H109">
        <v>3</v>
      </c>
      <c r="I109" t="s">
        <v>463</v>
      </c>
      <c r="J109" t="s">
        <v>176</v>
      </c>
      <c r="K109" t="s">
        <v>741</v>
      </c>
      <c r="L109" t="s">
        <v>742</v>
      </c>
      <c r="M109" t="s">
        <v>181</v>
      </c>
      <c r="N109" t="s">
        <v>246</v>
      </c>
      <c r="O109">
        <v>20</v>
      </c>
      <c r="P109" t="s">
        <v>183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222</v>
      </c>
      <c r="W109">
        <v>27</v>
      </c>
      <c r="X109" t="s">
        <v>181</v>
      </c>
      <c r="Z109" t="s">
        <v>185</v>
      </c>
      <c r="AB109" t="s">
        <v>223</v>
      </c>
      <c r="AC109" t="s">
        <v>257</v>
      </c>
      <c r="AD109" t="s">
        <v>188</v>
      </c>
      <c r="AE109" t="s">
        <v>265</v>
      </c>
      <c r="AF109" t="s">
        <v>224</v>
      </c>
      <c r="AG109" t="s">
        <v>319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 t="s">
        <v>743</v>
      </c>
      <c r="BK109" t="s">
        <v>224</v>
      </c>
      <c r="BL109" t="s">
        <v>389</v>
      </c>
      <c r="BM109">
        <v>0</v>
      </c>
      <c r="BN109">
        <v>0</v>
      </c>
      <c r="BO109">
        <v>0</v>
      </c>
      <c r="BP109">
        <v>0</v>
      </c>
      <c r="BQ109">
        <v>1</v>
      </c>
      <c r="BR109" t="s">
        <v>227</v>
      </c>
      <c r="BS109" t="s">
        <v>194</v>
      </c>
      <c r="BT109" t="s">
        <v>181</v>
      </c>
      <c r="BU109" t="s">
        <v>181</v>
      </c>
      <c r="BV109" t="s">
        <v>195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 t="s">
        <v>744</v>
      </c>
      <c r="CD109" t="s">
        <v>194</v>
      </c>
      <c r="CZ109" t="s">
        <v>194</v>
      </c>
      <c r="DB109" t="s">
        <v>194</v>
      </c>
      <c r="DD109" t="s">
        <v>181</v>
      </c>
      <c r="DE109" t="s">
        <v>199</v>
      </c>
      <c r="DF109" t="s">
        <v>181</v>
      </c>
      <c r="DG109" t="s">
        <v>197</v>
      </c>
      <c r="DH109" t="s">
        <v>194</v>
      </c>
      <c r="DJ109" t="s">
        <v>181</v>
      </c>
      <c r="DK109" t="s">
        <v>197</v>
      </c>
      <c r="DL109" t="s">
        <v>194</v>
      </c>
      <c r="DN109" t="s">
        <v>194</v>
      </c>
      <c r="DP109" t="s">
        <v>194</v>
      </c>
      <c r="DR109" t="s">
        <v>194</v>
      </c>
      <c r="DT109" t="s">
        <v>194</v>
      </c>
      <c r="DV109" t="s">
        <v>194</v>
      </c>
      <c r="DX109" t="s">
        <v>181</v>
      </c>
      <c r="DY109" t="s">
        <v>197</v>
      </c>
      <c r="DZ109" t="s">
        <v>181</v>
      </c>
      <c r="EA109" t="s">
        <v>197</v>
      </c>
      <c r="EB109" t="s">
        <v>194</v>
      </c>
      <c r="ED109" t="s">
        <v>194</v>
      </c>
      <c r="EF109" t="s">
        <v>194</v>
      </c>
      <c r="EI109" t="s">
        <v>181</v>
      </c>
      <c r="EJ109" t="s">
        <v>199</v>
      </c>
      <c r="EK109" t="s">
        <v>194</v>
      </c>
      <c r="EM109" t="s">
        <v>181</v>
      </c>
      <c r="EN109" t="s">
        <v>181</v>
      </c>
      <c r="EO109" t="s">
        <v>250</v>
      </c>
      <c r="EP109" t="s">
        <v>194</v>
      </c>
      <c r="ES109" t="s">
        <v>181</v>
      </c>
      <c r="ET109" t="s">
        <v>181</v>
      </c>
      <c r="EU109" t="s">
        <v>250</v>
      </c>
      <c r="EV109" t="s">
        <v>181</v>
      </c>
      <c r="EW109" t="s">
        <v>181</v>
      </c>
      <c r="EX109" t="s">
        <v>250</v>
      </c>
      <c r="EY109" t="s">
        <v>194</v>
      </c>
      <c r="FB109" t="s">
        <v>194</v>
      </c>
      <c r="FE109" t="s">
        <v>181</v>
      </c>
      <c r="FF109" t="s">
        <v>181</v>
      </c>
      <c r="FG109" t="s">
        <v>250</v>
      </c>
      <c r="FH109" t="s">
        <v>181</v>
      </c>
      <c r="FI109" t="s">
        <v>181</v>
      </c>
      <c r="FJ109" t="s">
        <v>250</v>
      </c>
      <c r="FK109" t="s">
        <v>181</v>
      </c>
      <c r="FL109" t="s">
        <v>181</v>
      </c>
      <c r="FM109" t="s">
        <v>250</v>
      </c>
      <c r="FN109" t="s">
        <v>181</v>
      </c>
      <c r="FO109" t="s">
        <v>181</v>
      </c>
      <c r="FP109" t="s">
        <v>250</v>
      </c>
      <c r="FR109" t="s">
        <v>218</v>
      </c>
      <c r="FU109" t="s">
        <v>238</v>
      </c>
      <c r="FV109" t="s">
        <v>239</v>
      </c>
      <c r="FW109" t="s">
        <v>238</v>
      </c>
      <c r="FX109" t="s">
        <v>588</v>
      </c>
      <c r="FY109" t="s">
        <v>241</v>
      </c>
      <c r="GA109" t="s">
        <v>242</v>
      </c>
      <c r="GB109" t="s">
        <v>745</v>
      </c>
      <c r="GC109" t="s">
        <v>770</v>
      </c>
    </row>
    <row r="110" spans="1:186" hidden="1" x14ac:dyDescent="0.25">
      <c r="A110" s="1">
        <v>46133.677427696763</v>
      </c>
      <c r="B110" s="1">
        <v>46133.680551736114</v>
      </c>
      <c r="C110" t="s">
        <v>451</v>
      </c>
      <c r="D110">
        <v>109</v>
      </c>
      <c r="E110">
        <v>109</v>
      </c>
      <c r="F110" t="b">
        <f t="shared" si="1"/>
        <v>1</v>
      </c>
      <c r="G110" s="1">
        <v>46129</v>
      </c>
      <c r="H110">
        <v>2</v>
      </c>
      <c r="I110" t="s">
        <v>505</v>
      </c>
      <c r="J110" t="s">
        <v>176</v>
      </c>
      <c r="K110" t="s">
        <v>746</v>
      </c>
      <c r="L110" t="s">
        <v>747</v>
      </c>
      <c r="M110" t="s">
        <v>181</v>
      </c>
      <c r="N110" t="s">
        <v>182</v>
      </c>
      <c r="O110">
        <v>26</v>
      </c>
      <c r="P110" t="s">
        <v>183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184</v>
      </c>
      <c r="W110">
        <v>59</v>
      </c>
      <c r="X110" t="s">
        <v>181</v>
      </c>
      <c r="Z110" t="s">
        <v>185</v>
      </c>
      <c r="AB110" t="s">
        <v>186</v>
      </c>
      <c r="AC110" t="s">
        <v>209</v>
      </c>
      <c r="AD110" t="s">
        <v>188</v>
      </c>
      <c r="AE110" t="s">
        <v>198</v>
      </c>
      <c r="AF110" t="s">
        <v>190</v>
      </c>
      <c r="AW110" t="s">
        <v>191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K110" t="s">
        <v>224</v>
      </c>
      <c r="BL110" t="s">
        <v>362</v>
      </c>
      <c r="BM110">
        <v>0</v>
      </c>
      <c r="BN110">
        <v>0</v>
      </c>
      <c r="BO110">
        <v>1</v>
      </c>
      <c r="BP110">
        <v>0</v>
      </c>
      <c r="BQ110">
        <v>0</v>
      </c>
      <c r="BR110" t="s">
        <v>212</v>
      </c>
      <c r="BS110" t="s">
        <v>194</v>
      </c>
      <c r="BT110" t="s">
        <v>194</v>
      </c>
      <c r="BU110" t="s">
        <v>194</v>
      </c>
      <c r="CD110" t="s">
        <v>194</v>
      </c>
      <c r="CZ110" t="s">
        <v>194</v>
      </c>
      <c r="DB110" t="s">
        <v>194</v>
      </c>
      <c r="DD110" t="s">
        <v>181</v>
      </c>
      <c r="DE110" t="s">
        <v>215</v>
      </c>
      <c r="DF110" t="s">
        <v>181</v>
      </c>
      <c r="DG110" t="s">
        <v>197</v>
      </c>
      <c r="DH110" t="s">
        <v>181</v>
      </c>
      <c r="DI110" t="s">
        <v>197</v>
      </c>
      <c r="DJ110" t="s">
        <v>194</v>
      </c>
      <c r="DL110" t="s">
        <v>181</v>
      </c>
      <c r="DM110" t="s">
        <v>197</v>
      </c>
      <c r="DN110" t="s">
        <v>181</v>
      </c>
      <c r="DO110" t="s">
        <v>215</v>
      </c>
      <c r="DP110" t="s">
        <v>194</v>
      </c>
      <c r="DR110" t="s">
        <v>194</v>
      </c>
      <c r="DT110" t="s">
        <v>194</v>
      </c>
      <c r="DV110" t="s">
        <v>194</v>
      </c>
      <c r="DX110" t="s">
        <v>194</v>
      </c>
      <c r="DZ110" t="s">
        <v>194</v>
      </c>
      <c r="EB110" t="s">
        <v>194</v>
      </c>
      <c r="ED110" t="s">
        <v>194</v>
      </c>
      <c r="EF110" t="s">
        <v>194</v>
      </c>
      <c r="EI110" t="s">
        <v>181</v>
      </c>
      <c r="EJ110" t="s">
        <v>215</v>
      </c>
      <c r="EK110" t="s">
        <v>181</v>
      </c>
      <c r="EM110" t="s">
        <v>181</v>
      </c>
      <c r="EN110" t="s">
        <v>194</v>
      </c>
      <c r="EP110" t="s">
        <v>194</v>
      </c>
      <c r="ES110" t="s">
        <v>194</v>
      </c>
      <c r="EV110" t="s">
        <v>181</v>
      </c>
      <c r="EW110" t="s">
        <v>194</v>
      </c>
      <c r="EY110" t="s">
        <v>181</v>
      </c>
      <c r="EZ110" t="s">
        <v>194</v>
      </c>
      <c r="FB110" t="s">
        <v>194</v>
      </c>
      <c r="FE110" t="s">
        <v>181</v>
      </c>
      <c r="FF110" t="s">
        <v>194</v>
      </c>
      <c r="FH110" t="s">
        <v>181</v>
      </c>
      <c r="FI110" t="s">
        <v>194</v>
      </c>
      <c r="FK110" t="s">
        <v>181</v>
      </c>
      <c r="FL110" t="s">
        <v>194</v>
      </c>
      <c r="FN110" t="s">
        <v>194</v>
      </c>
      <c r="FR110" t="s">
        <v>287</v>
      </c>
      <c r="FS110" t="s">
        <v>748</v>
      </c>
      <c r="FU110" t="s">
        <v>238</v>
      </c>
      <c r="FV110" t="s">
        <v>300</v>
      </c>
      <c r="FW110" t="s">
        <v>238</v>
      </c>
      <c r="FX110" t="s">
        <v>749</v>
      </c>
      <c r="FY110" t="s">
        <v>241</v>
      </c>
      <c r="GA110" t="s">
        <v>242</v>
      </c>
      <c r="GB110" t="s">
        <v>750</v>
      </c>
      <c r="GC110" t="s">
        <v>232</v>
      </c>
    </row>
    <row r="111" spans="1:186" x14ac:dyDescent="0.25">
      <c r="A111" s="1">
        <v>46133.680552465281</v>
      </c>
      <c r="B111" s="1">
        <v>46133.684375659723</v>
      </c>
      <c r="C111" t="s">
        <v>451</v>
      </c>
      <c r="D111">
        <v>110</v>
      </c>
      <c r="E111">
        <v>110</v>
      </c>
      <c r="F111" t="b">
        <f t="shared" si="1"/>
        <v>1</v>
      </c>
      <c r="G111" s="1">
        <v>46129</v>
      </c>
      <c r="H111">
        <v>3</v>
      </c>
      <c r="I111" t="s">
        <v>452</v>
      </c>
      <c r="J111" t="s">
        <v>176</v>
      </c>
      <c r="K111" t="s">
        <v>751</v>
      </c>
      <c r="L111" t="s">
        <v>752</v>
      </c>
      <c r="M111" t="s">
        <v>181</v>
      </c>
      <c r="N111" t="s">
        <v>455</v>
      </c>
      <c r="O111">
        <v>16</v>
      </c>
      <c r="P111" t="s">
        <v>183</v>
      </c>
      <c r="Q111">
        <v>1</v>
      </c>
      <c r="R111">
        <v>0</v>
      </c>
      <c r="S111">
        <v>0</v>
      </c>
      <c r="T111">
        <v>0</v>
      </c>
      <c r="U111">
        <v>0</v>
      </c>
      <c r="V111" t="s">
        <v>184</v>
      </c>
      <c r="W111">
        <v>42</v>
      </c>
      <c r="X111" t="s">
        <v>181</v>
      </c>
      <c r="Z111" t="s">
        <v>185</v>
      </c>
      <c r="AB111" t="s">
        <v>186</v>
      </c>
      <c r="AC111" t="s">
        <v>209</v>
      </c>
      <c r="AD111" t="s">
        <v>188</v>
      </c>
      <c r="AE111" t="s">
        <v>198</v>
      </c>
      <c r="AF111" t="s">
        <v>190</v>
      </c>
      <c r="AW111" t="s">
        <v>405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K111" t="s">
        <v>224</v>
      </c>
      <c r="BL111" t="s">
        <v>226</v>
      </c>
      <c r="BM111">
        <v>0</v>
      </c>
      <c r="BN111">
        <v>1</v>
      </c>
      <c r="BO111">
        <v>0</v>
      </c>
      <c r="BP111">
        <v>0</v>
      </c>
      <c r="BQ111">
        <v>0</v>
      </c>
      <c r="BR111" t="s">
        <v>227</v>
      </c>
      <c r="BS111" t="s">
        <v>194</v>
      </c>
      <c r="BT111" t="s">
        <v>194</v>
      </c>
      <c r="BU111" t="s">
        <v>194</v>
      </c>
      <c r="CD111" t="s">
        <v>194</v>
      </c>
      <c r="CZ111" t="s">
        <v>194</v>
      </c>
      <c r="DB111" t="s">
        <v>194</v>
      </c>
      <c r="DD111" t="s">
        <v>181</v>
      </c>
      <c r="DE111" t="s">
        <v>197</v>
      </c>
      <c r="DF111" t="s">
        <v>181</v>
      </c>
      <c r="DG111" t="s">
        <v>197</v>
      </c>
      <c r="DH111" t="s">
        <v>194</v>
      </c>
      <c r="DJ111" t="s">
        <v>181</v>
      </c>
      <c r="DK111" t="s">
        <v>199</v>
      </c>
      <c r="DL111" t="s">
        <v>181</v>
      </c>
      <c r="DM111" t="s">
        <v>199</v>
      </c>
      <c r="DN111" t="s">
        <v>181</v>
      </c>
      <c r="DO111" t="s">
        <v>215</v>
      </c>
      <c r="DP111" t="s">
        <v>194</v>
      </c>
      <c r="DR111" t="s">
        <v>194</v>
      </c>
      <c r="DT111" t="s">
        <v>194</v>
      </c>
      <c r="DV111" t="s">
        <v>194</v>
      </c>
      <c r="DX111" t="s">
        <v>194</v>
      </c>
      <c r="DZ111" t="s">
        <v>181</v>
      </c>
      <c r="EA111" t="s">
        <v>199</v>
      </c>
      <c r="EB111" t="s">
        <v>194</v>
      </c>
      <c r="ED111" t="s">
        <v>181</v>
      </c>
      <c r="EE111" t="s">
        <v>199</v>
      </c>
      <c r="EF111" t="s">
        <v>181</v>
      </c>
      <c r="EG111" t="s">
        <v>753</v>
      </c>
      <c r="EH111" t="s">
        <v>215</v>
      </c>
      <c r="EI111" t="s">
        <v>181</v>
      </c>
      <c r="EJ111" t="s">
        <v>215</v>
      </c>
      <c r="EK111" t="s">
        <v>194</v>
      </c>
      <c r="EM111" t="s">
        <v>181</v>
      </c>
      <c r="EN111" t="s">
        <v>181</v>
      </c>
      <c r="EO111" t="s">
        <v>217</v>
      </c>
      <c r="EP111" t="s">
        <v>181</v>
      </c>
      <c r="EQ111" t="s">
        <v>194</v>
      </c>
      <c r="ES111" t="s">
        <v>194</v>
      </c>
      <c r="EV111" t="s">
        <v>181</v>
      </c>
      <c r="EW111" t="s">
        <v>181</v>
      </c>
      <c r="EX111" t="s">
        <v>250</v>
      </c>
      <c r="EY111" t="s">
        <v>194</v>
      </c>
      <c r="FB111" t="s">
        <v>194</v>
      </c>
      <c r="FE111" t="s">
        <v>181</v>
      </c>
      <c r="FF111" t="s">
        <v>181</v>
      </c>
      <c r="FG111" t="s">
        <v>250</v>
      </c>
      <c r="FH111" t="s">
        <v>194</v>
      </c>
      <c r="FK111" t="s">
        <v>194</v>
      </c>
      <c r="FN111" t="s">
        <v>194</v>
      </c>
      <c r="FR111" t="s">
        <v>288</v>
      </c>
      <c r="FS111" t="s">
        <v>488</v>
      </c>
      <c r="FT111" t="s">
        <v>201</v>
      </c>
      <c r="FU111" t="s">
        <v>238</v>
      </c>
      <c r="FV111" t="s">
        <v>383</v>
      </c>
      <c r="FW111" t="s">
        <v>238</v>
      </c>
      <c r="FX111" t="s">
        <v>754</v>
      </c>
      <c r="FY111" t="s">
        <v>241</v>
      </c>
      <c r="GA111" t="s">
        <v>194</v>
      </c>
      <c r="GB111" t="s">
        <v>755</v>
      </c>
      <c r="GC111" t="s">
        <v>232</v>
      </c>
    </row>
    <row r="112" spans="1:186" hidden="1" x14ac:dyDescent="0.25">
      <c r="A112" s="1">
        <v>46134.568452071762</v>
      </c>
      <c r="B112" s="1">
        <v>46134.573570416673</v>
      </c>
      <c r="C112" t="s">
        <v>451</v>
      </c>
      <c r="D112">
        <v>111</v>
      </c>
      <c r="E112">
        <v>111</v>
      </c>
      <c r="F112" t="b">
        <f t="shared" si="1"/>
        <v>1</v>
      </c>
      <c r="G112" s="1">
        <v>46129</v>
      </c>
      <c r="H112">
        <v>3</v>
      </c>
      <c r="I112" t="s">
        <v>463</v>
      </c>
      <c r="J112" t="s">
        <v>176</v>
      </c>
      <c r="K112" t="s">
        <v>828</v>
      </c>
      <c r="L112" t="s">
        <v>829</v>
      </c>
      <c r="M112" t="s">
        <v>181</v>
      </c>
      <c r="N112" t="s">
        <v>246</v>
      </c>
      <c r="O112">
        <v>2</v>
      </c>
      <c r="P112" t="s">
        <v>183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184</v>
      </c>
      <c r="W112">
        <v>59</v>
      </c>
      <c r="X112" t="s">
        <v>181</v>
      </c>
      <c r="Z112" t="s">
        <v>185</v>
      </c>
      <c r="AB112" t="s">
        <v>208</v>
      </c>
      <c r="AC112" t="s">
        <v>209</v>
      </c>
      <c r="AD112" t="s">
        <v>188</v>
      </c>
      <c r="AE112" t="s">
        <v>265</v>
      </c>
      <c r="AF112" t="s">
        <v>190</v>
      </c>
      <c r="AW112" t="s">
        <v>420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 t="s">
        <v>830</v>
      </c>
      <c r="BK112" t="s">
        <v>224</v>
      </c>
      <c r="BL112" t="s">
        <v>192</v>
      </c>
      <c r="BM112">
        <v>0</v>
      </c>
      <c r="BN112">
        <v>1</v>
      </c>
      <c r="BO112">
        <v>1</v>
      </c>
      <c r="BP112">
        <v>0</v>
      </c>
      <c r="BQ112">
        <v>0</v>
      </c>
      <c r="BR112" t="s">
        <v>193</v>
      </c>
      <c r="BS112" t="s">
        <v>194</v>
      </c>
      <c r="BT112" t="s">
        <v>194</v>
      </c>
      <c r="BU112" t="s">
        <v>194</v>
      </c>
      <c r="CD112" t="s">
        <v>181</v>
      </c>
      <c r="CE112" t="s">
        <v>283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T112" t="s">
        <v>194</v>
      </c>
      <c r="CZ112" t="s">
        <v>194</v>
      </c>
      <c r="DB112" t="s">
        <v>194</v>
      </c>
      <c r="DD112" t="s">
        <v>181</v>
      </c>
      <c r="DE112" t="s">
        <v>199</v>
      </c>
      <c r="DF112" t="s">
        <v>181</v>
      </c>
      <c r="DG112" t="s">
        <v>197</v>
      </c>
      <c r="DH112" t="s">
        <v>181</v>
      </c>
      <c r="DI112" t="s">
        <v>199</v>
      </c>
      <c r="DJ112" t="s">
        <v>194</v>
      </c>
      <c r="DL112" t="s">
        <v>181</v>
      </c>
      <c r="DM112" t="s">
        <v>199</v>
      </c>
      <c r="DN112" t="s">
        <v>181</v>
      </c>
      <c r="DO112" t="s">
        <v>199</v>
      </c>
      <c r="DP112" t="s">
        <v>194</v>
      </c>
      <c r="DR112" t="s">
        <v>181</v>
      </c>
      <c r="DS112" t="s">
        <v>199</v>
      </c>
      <c r="DT112" t="s">
        <v>181</v>
      </c>
      <c r="DU112" t="s">
        <v>199</v>
      </c>
      <c r="DV112" t="s">
        <v>194</v>
      </c>
      <c r="DX112" t="s">
        <v>194</v>
      </c>
      <c r="DZ112" t="s">
        <v>181</v>
      </c>
      <c r="EA112" t="s">
        <v>197</v>
      </c>
      <c r="EB112" t="s">
        <v>194</v>
      </c>
      <c r="ED112" t="s">
        <v>194</v>
      </c>
      <c r="EF112" t="s">
        <v>194</v>
      </c>
      <c r="EI112" t="s">
        <v>181</v>
      </c>
      <c r="EJ112" t="s">
        <v>199</v>
      </c>
      <c r="EK112" t="s">
        <v>194</v>
      </c>
      <c r="EM112" t="s">
        <v>181</v>
      </c>
      <c r="EN112" t="s">
        <v>194</v>
      </c>
      <c r="EP112" t="s">
        <v>181</v>
      </c>
      <c r="EQ112" t="s">
        <v>194</v>
      </c>
      <c r="ES112" t="s">
        <v>181</v>
      </c>
      <c r="ET112" t="s">
        <v>194</v>
      </c>
      <c r="EV112" t="s">
        <v>181</v>
      </c>
      <c r="EW112" t="s">
        <v>181</v>
      </c>
      <c r="EX112" t="s">
        <v>250</v>
      </c>
      <c r="EY112" t="s">
        <v>194</v>
      </c>
      <c r="FB112" t="s">
        <v>181</v>
      </c>
      <c r="FC112" t="s">
        <v>181</v>
      </c>
      <c r="FD112" t="s">
        <v>250</v>
      </c>
      <c r="FE112" t="s">
        <v>194</v>
      </c>
      <c r="FH112" t="s">
        <v>181</v>
      </c>
      <c r="FI112" t="s">
        <v>181</v>
      </c>
      <c r="FJ112" t="s">
        <v>250</v>
      </c>
      <c r="FK112" t="s">
        <v>181</v>
      </c>
      <c r="FL112" t="s">
        <v>181</v>
      </c>
      <c r="FM112" t="s">
        <v>250</v>
      </c>
      <c r="FN112" t="s">
        <v>194</v>
      </c>
      <c r="FR112" t="s">
        <v>831</v>
      </c>
      <c r="FS112" t="s">
        <v>364</v>
      </c>
      <c r="FU112" t="s">
        <v>238</v>
      </c>
      <c r="FV112" t="s">
        <v>239</v>
      </c>
      <c r="FW112" t="s">
        <v>238</v>
      </c>
      <c r="FX112" t="s">
        <v>588</v>
      </c>
      <c r="FY112" t="s">
        <v>241</v>
      </c>
      <c r="GA112" t="s">
        <v>242</v>
      </c>
      <c r="GB112" t="s">
        <v>832</v>
      </c>
      <c r="GC112" t="s">
        <v>1072</v>
      </c>
    </row>
    <row r="113" spans="1:186" hidden="1" x14ac:dyDescent="0.25">
      <c r="A113" s="1">
        <v>46134.573571122688</v>
      </c>
      <c r="B113" s="1">
        <v>46134.578070046293</v>
      </c>
      <c r="C113" t="s">
        <v>451</v>
      </c>
      <c r="D113">
        <v>112</v>
      </c>
      <c r="E113">
        <v>112</v>
      </c>
      <c r="F113" t="b">
        <f t="shared" si="1"/>
        <v>1</v>
      </c>
      <c r="G113" s="1">
        <v>46129</v>
      </c>
      <c r="H113">
        <v>3</v>
      </c>
      <c r="I113" t="s">
        <v>463</v>
      </c>
      <c r="J113" t="s">
        <v>176</v>
      </c>
      <c r="K113" t="s">
        <v>833</v>
      </c>
      <c r="L113" t="s">
        <v>834</v>
      </c>
      <c r="M113" t="s">
        <v>181</v>
      </c>
      <c r="N113" t="s">
        <v>182</v>
      </c>
      <c r="O113">
        <v>30</v>
      </c>
      <c r="P113" t="s">
        <v>183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184</v>
      </c>
      <c r="W113">
        <v>58</v>
      </c>
      <c r="X113" t="s">
        <v>181</v>
      </c>
      <c r="Z113" t="s">
        <v>185</v>
      </c>
      <c r="AB113" t="s">
        <v>208</v>
      </c>
      <c r="AC113" t="s">
        <v>257</v>
      </c>
      <c r="AD113" t="s">
        <v>188</v>
      </c>
      <c r="AE113" t="s">
        <v>189</v>
      </c>
      <c r="AF113" t="s">
        <v>224</v>
      </c>
      <c r="AG113" t="s">
        <v>762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BK113" t="s">
        <v>224</v>
      </c>
      <c r="BL113" t="s">
        <v>192</v>
      </c>
      <c r="BM113">
        <v>0</v>
      </c>
      <c r="BN113">
        <v>1</v>
      </c>
      <c r="BO113">
        <v>1</v>
      </c>
      <c r="BP113">
        <v>0</v>
      </c>
      <c r="BQ113">
        <v>0</v>
      </c>
      <c r="BR113" t="s">
        <v>212</v>
      </c>
      <c r="BS113" t="s">
        <v>194</v>
      </c>
      <c r="BT113" t="s">
        <v>194</v>
      </c>
      <c r="BU113" t="s">
        <v>194</v>
      </c>
      <c r="CD113" t="s">
        <v>194</v>
      </c>
      <c r="CZ113" t="s">
        <v>194</v>
      </c>
      <c r="DB113" t="s">
        <v>194</v>
      </c>
      <c r="DD113" t="s">
        <v>181</v>
      </c>
      <c r="DE113" t="s">
        <v>199</v>
      </c>
      <c r="DF113" t="s">
        <v>181</v>
      </c>
      <c r="DG113" t="s">
        <v>199</v>
      </c>
      <c r="DH113" t="s">
        <v>194</v>
      </c>
      <c r="DJ113" t="s">
        <v>194</v>
      </c>
      <c r="DL113" t="s">
        <v>181</v>
      </c>
      <c r="DM113" t="s">
        <v>197</v>
      </c>
      <c r="DN113" t="s">
        <v>194</v>
      </c>
      <c r="DP113" t="s">
        <v>194</v>
      </c>
      <c r="DR113" t="s">
        <v>181</v>
      </c>
      <c r="DS113" t="s">
        <v>199</v>
      </c>
      <c r="DT113" t="s">
        <v>194</v>
      </c>
      <c r="DV113" t="s">
        <v>181</v>
      </c>
      <c r="DW113" t="s">
        <v>197</v>
      </c>
      <c r="DX113" t="s">
        <v>194</v>
      </c>
      <c r="DZ113" t="s">
        <v>194</v>
      </c>
      <c r="EB113" t="s">
        <v>194</v>
      </c>
      <c r="ED113" t="s">
        <v>194</v>
      </c>
      <c r="EF113" t="s">
        <v>194</v>
      </c>
      <c r="EI113" t="s">
        <v>181</v>
      </c>
      <c r="EJ113" t="s">
        <v>215</v>
      </c>
      <c r="EK113" t="s">
        <v>181</v>
      </c>
      <c r="EM113" t="s">
        <v>181</v>
      </c>
      <c r="EN113" t="s">
        <v>194</v>
      </c>
      <c r="EP113" t="s">
        <v>194</v>
      </c>
      <c r="ES113" t="s">
        <v>194</v>
      </c>
      <c r="EV113" t="s">
        <v>181</v>
      </c>
      <c r="EW113" t="s">
        <v>181</v>
      </c>
      <c r="EX113" t="s">
        <v>250</v>
      </c>
      <c r="EY113" t="s">
        <v>181</v>
      </c>
      <c r="EZ113" t="s">
        <v>181</v>
      </c>
      <c r="FA113" t="s">
        <v>250</v>
      </c>
      <c r="FB113" t="s">
        <v>181</v>
      </c>
      <c r="FC113" t="s">
        <v>181</v>
      </c>
      <c r="FD113" t="s">
        <v>250</v>
      </c>
      <c r="FE113" t="s">
        <v>181</v>
      </c>
      <c r="FF113" t="s">
        <v>181</v>
      </c>
      <c r="FG113" t="s">
        <v>250</v>
      </c>
      <c r="FH113" t="s">
        <v>181</v>
      </c>
      <c r="FI113" t="s">
        <v>181</v>
      </c>
      <c r="FJ113" t="s">
        <v>250</v>
      </c>
      <c r="FK113" t="s">
        <v>181</v>
      </c>
      <c r="FL113" t="s">
        <v>181</v>
      </c>
      <c r="FM113" t="s">
        <v>250</v>
      </c>
      <c r="FN113" t="s">
        <v>181</v>
      </c>
      <c r="FO113" t="s">
        <v>181</v>
      </c>
      <c r="FP113" t="s">
        <v>250</v>
      </c>
      <c r="FR113" t="s">
        <v>287</v>
      </c>
      <c r="FU113" t="s">
        <v>238</v>
      </c>
      <c r="FV113" t="s">
        <v>300</v>
      </c>
      <c r="FW113" t="s">
        <v>238</v>
      </c>
      <c r="FX113" t="s">
        <v>835</v>
      </c>
      <c r="FY113" t="s">
        <v>241</v>
      </c>
      <c r="GA113" t="s">
        <v>242</v>
      </c>
      <c r="GB113" t="s">
        <v>836</v>
      </c>
      <c r="GC113" t="s">
        <v>373</v>
      </c>
    </row>
    <row r="114" spans="1:186" x14ac:dyDescent="0.25">
      <c r="A114" s="1">
        <v>46134.578070729163</v>
      </c>
      <c r="B114" s="1">
        <v>46134.584420856481</v>
      </c>
      <c r="C114" t="s">
        <v>451</v>
      </c>
      <c r="D114">
        <v>113</v>
      </c>
      <c r="E114">
        <v>113</v>
      </c>
      <c r="F114" t="b">
        <f t="shared" si="1"/>
        <v>1</v>
      </c>
      <c r="G114" s="1">
        <v>46129</v>
      </c>
      <c r="H114">
        <v>1</v>
      </c>
      <c r="I114" t="s">
        <v>177</v>
      </c>
      <c r="J114" t="s">
        <v>451</v>
      </c>
      <c r="K114" t="s">
        <v>837</v>
      </c>
      <c r="L114" t="s">
        <v>838</v>
      </c>
      <c r="M114" t="s">
        <v>181</v>
      </c>
      <c r="N114" t="s">
        <v>182</v>
      </c>
      <c r="O114">
        <v>28</v>
      </c>
      <c r="P114" t="s">
        <v>183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184</v>
      </c>
      <c r="W114">
        <v>70</v>
      </c>
      <c r="X114" t="s">
        <v>181</v>
      </c>
      <c r="Z114" t="s">
        <v>185</v>
      </c>
      <c r="AB114" t="s">
        <v>223</v>
      </c>
      <c r="AC114" t="s">
        <v>209</v>
      </c>
      <c r="AD114" t="s">
        <v>210</v>
      </c>
      <c r="AE114" t="s">
        <v>265</v>
      </c>
      <c r="AF114" t="s">
        <v>224</v>
      </c>
      <c r="AG114" t="s">
        <v>225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BK114" t="s">
        <v>224</v>
      </c>
      <c r="BL114" t="s">
        <v>192</v>
      </c>
      <c r="BM114">
        <v>0</v>
      </c>
      <c r="BN114">
        <v>1</v>
      </c>
      <c r="BO114">
        <v>1</v>
      </c>
      <c r="BP114">
        <v>0</v>
      </c>
      <c r="BQ114">
        <v>0</v>
      </c>
      <c r="BR114" t="s">
        <v>193</v>
      </c>
      <c r="BS114" t="s">
        <v>194</v>
      </c>
      <c r="BT114" t="s">
        <v>181</v>
      </c>
      <c r="BU114" t="s">
        <v>181</v>
      </c>
      <c r="BV114" t="s">
        <v>638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1</v>
      </c>
      <c r="CC114" t="s">
        <v>308</v>
      </c>
      <c r="CD114" t="s">
        <v>181</v>
      </c>
      <c r="CE114" t="s">
        <v>277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Q114" t="s">
        <v>194</v>
      </c>
      <c r="CZ114" t="s">
        <v>194</v>
      </c>
      <c r="DB114" t="s">
        <v>181</v>
      </c>
      <c r="DC114" t="s">
        <v>197</v>
      </c>
      <c r="DD114" t="s">
        <v>181</v>
      </c>
      <c r="DE114" t="s">
        <v>197</v>
      </c>
      <c r="DF114" t="s">
        <v>181</v>
      </c>
      <c r="DG114" t="s">
        <v>197</v>
      </c>
      <c r="DH114" t="s">
        <v>181</v>
      </c>
      <c r="DI114" t="s">
        <v>197</v>
      </c>
      <c r="DJ114" t="s">
        <v>194</v>
      </c>
      <c r="DL114" t="s">
        <v>194</v>
      </c>
      <c r="DN114" t="s">
        <v>194</v>
      </c>
      <c r="DP114" t="s">
        <v>194</v>
      </c>
      <c r="DR114" t="s">
        <v>181</v>
      </c>
      <c r="DS114" t="s">
        <v>199</v>
      </c>
      <c r="DT114" t="s">
        <v>181</v>
      </c>
      <c r="DU114" t="s">
        <v>199</v>
      </c>
      <c r="DV114" t="s">
        <v>181</v>
      </c>
      <c r="DW114" t="s">
        <v>199</v>
      </c>
      <c r="DX114" t="s">
        <v>181</v>
      </c>
      <c r="DY114" t="s">
        <v>197</v>
      </c>
      <c r="DZ114" t="s">
        <v>181</v>
      </c>
      <c r="EA114" t="s">
        <v>197</v>
      </c>
      <c r="EB114" t="s">
        <v>194</v>
      </c>
      <c r="ED114" t="s">
        <v>181</v>
      </c>
      <c r="EE114" t="s">
        <v>197</v>
      </c>
      <c r="EF114" t="s">
        <v>194</v>
      </c>
      <c r="EI114" t="s">
        <v>181</v>
      </c>
      <c r="EJ114" t="s">
        <v>197</v>
      </c>
      <c r="EK114" t="s">
        <v>181</v>
      </c>
      <c r="EM114" t="s">
        <v>181</v>
      </c>
      <c r="EN114" t="s">
        <v>194</v>
      </c>
      <c r="EP114" t="s">
        <v>181</v>
      </c>
      <c r="EQ114" t="s">
        <v>194</v>
      </c>
      <c r="ES114" t="s">
        <v>181</v>
      </c>
      <c r="ET114" t="s">
        <v>194</v>
      </c>
      <c r="EV114" t="s">
        <v>181</v>
      </c>
      <c r="EW114" t="s">
        <v>194</v>
      </c>
      <c r="EY114" t="s">
        <v>181</v>
      </c>
      <c r="EZ114" t="s">
        <v>194</v>
      </c>
      <c r="FB114" t="s">
        <v>181</v>
      </c>
      <c r="FC114" t="s">
        <v>194</v>
      </c>
      <c r="FE114" t="s">
        <v>181</v>
      </c>
      <c r="FF114" t="s">
        <v>194</v>
      </c>
      <c r="FH114" t="s">
        <v>181</v>
      </c>
      <c r="FI114" t="s">
        <v>194</v>
      </c>
      <c r="FK114" t="s">
        <v>194</v>
      </c>
      <c r="FN114" t="s">
        <v>194</v>
      </c>
      <c r="FR114" t="s">
        <v>353</v>
      </c>
      <c r="FS114" t="s">
        <v>685</v>
      </c>
      <c r="FT114" t="s">
        <v>287</v>
      </c>
      <c r="FU114" t="s">
        <v>238</v>
      </c>
      <c r="FV114" t="s">
        <v>239</v>
      </c>
      <c r="FW114" t="s">
        <v>241</v>
      </c>
      <c r="FX114" t="s">
        <v>839</v>
      </c>
      <c r="FY114" t="s">
        <v>238</v>
      </c>
      <c r="FZ114" t="s">
        <v>840</v>
      </c>
      <c r="GA114" t="s">
        <v>242</v>
      </c>
      <c r="GB114" t="s">
        <v>841</v>
      </c>
      <c r="GC114" t="s">
        <v>312</v>
      </c>
    </row>
    <row r="115" spans="1:186" hidden="1" x14ac:dyDescent="0.25">
      <c r="A115" s="1">
        <v>46134.584421527783</v>
      </c>
      <c r="B115" s="1">
        <v>46134.589068611109</v>
      </c>
      <c r="C115" t="s">
        <v>451</v>
      </c>
      <c r="D115">
        <v>114</v>
      </c>
      <c r="E115">
        <v>114</v>
      </c>
      <c r="F115" t="b">
        <f t="shared" si="1"/>
        <v>1</v>
      </c>
      <c r="G115" s="1">
        <v>46129</v>
      </c>
      <c r="H115">
        <v>2</v>
      </c>
      <c r="I115" t="s">
        <v>518</v>
      </c>
      <c r="J115" t="s">
        <v>451</v>
      </c>
      <c r="K115" t="s">
        <v>848</v>
      </c>
      <c r="L115" t="s">
        <v>849</v>
      </c>
      <c r="M115" t="s">
        <v>181</v>
      </c>
      <c r="N115" t="s">
        <v>182</v>
      </c>
      <c r="O115">
        <v>8</v>
      </c>
      <c r="P115" t="s">
        <v>183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184</v>
      </c>
      <c r="W115">
        <v>26</v>
      </c>
      <c r="X115" t="s">
        <v>181</v>
      </c>
      <c r="Z115" t="s">
        <v>185</v>
      </c>
      <c r="AB115" t="s">
        <v>223</v>
      </c>
      <c r="AC115" t="s">
        <v>448</v>
      </c>
      <c r="AD115" t="s">
        <v>188</v>
      </c>
      <c r="AE115" t="s">
        <v>265</v>
      </c>
      <c r="AF115" t="s">
        <v>224</v>
      </c>
      <c r="AG115" t="s">
        <v>762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BK115" t="s">
        <v>224</v>
      </c>
      <c r="BL115" t="s">
        <v>226</v>
      </c>
      <c r="BM115">
        <v>0</v>
      </c>
      <c r="BN115">
        <v>1</v>
      </c>
      <c r="BO115">
        <v>0</v>
      </c>
      <c r="BP115">
        <v>0</v>
      </c>
      <c r="BQ115">
        <v>0</v>
      </c>
      <c r="BR115" t="s">
        <v>227</v>
      </c>
      <c r="BS115" t="s">
        <v>181</v>
      </c>
      <c r="BT115" t="s">
        <v>194</v>
      </c>
      <c r="BU115" t="s">
        <v>181</v>
      </c>
      <c r="BV115" t="s">
        <v>850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1</v>
      </c>
      <c r="CC115" t="s">
        <v>308</v>
      </c>
      <c r="CD115" t="s">
        <v>194</v>
      </c>
      <c r="CZ115" t="s">
        <v>194</v>
      </c>
      <c r="DB115" t="s">
        <v>181</v>
      </c>
      <c r="DC115" t="s">
        <v>199</v>
      </c>
      <c r="DD115" t="s">
        <v>181</v>
      </c>
      <c r="DE115" t="s">
        <v>199</v>
      </c>
      <c r="DF115" t="s">
        <v>181</v>
      </c>
      <c r="DG115" t="s">
        <v>197</v>
      </c>
      <c r="DH115" t="s">
        <v>194</v>
      </c>
      <c r="DJ115" t="s">
        <v>181</v>
      </c>
      <c r="DK115" t="s">
        <v>199</v>
      </c>
      <c r="DL115" t="s">
        <v>181</v>
      </c>
      <c r="DM115" t="s">
        <v>197</v>
      </c>
      <c r="DN115" t="s">
        <v>181</v>
      </c>
      <c r="DO115" t="s">
        <v>197</v>
      </c>
      <c r="DP115" t="s">
        <v>194</v>
      </c>
      <c r="DR115" t="s">
        <v>181</v>
      </c>
      <c r="DS115" t="s">
        <v>197</v>
      </c>
      <c r="DT115" t="s">
        <v>194</v>
      </c>
      <c r="DV115" t="s">
        <v>181</v>
      </c>
      <c r="DW115" t="s">
        <v>199</v>
      </c>
      <c r="DX115" t="s">
        <v>181</v>
      </c>
      <c r="DY115" t="s">
        <v>197</v>
      </c>
      <c r="DZ115" t="s">
        <v>181</v>
      </c>
      <c r="EA115" t="s">
        <v>197</v>
      </c>
      <c r="EB115" t="s">
        <v>194</v>
      </c>
      <c r="ED115" t="s">
        <v>194</v>
      </c>
      <c r="EF115" t="s">
        <v>194</v>
      </c>
      <c r="EI115" t="s">
        <v>181</v>
      </c>
      <c r="EJ115" t="s">
        <v>199</v>
      </c>
      <c r="EK115" t="s">
        <v>194</v>
      </c>
      <c r="EM115" t="s">
        <v>181</v>
      </c>
      <c r="EN115" t="s">
        <v>194</v>
      </c>
      <c r="EP115" t="s">
        <v>194</v>
      </c>
      <c r="ES115" t="s">
        <v>181</v>
      </c>
      <c r="ET115" t="s">
        <v>181</v>
      </c>
      <c r="EU115" t="s">
        <v>250</v>
      </c>
      <c r="EV115" t="s">
        <v>194</v>
      </c>
      <c r="EY115" t="s">
        <v>194</v>
      </c>
      <c r="FB115" t="s">
        <v>194</v>
      </c>
      <c r="FE115" t="s">
        <v>181</v>
      </c>
      <c r="FF115" t="s">
        <v>181</v>
      </c>
      <c r="FG115" t="s">
        <v>250</v>
      </c>
      <c r="FH115" t="s">
        <v>194</v>
      </c>
      <c r="FK115" t="s">
        <v>194</v>
      </c>
      <c r="FN115" t="s">
        <v>194</v>
      </c>
      <c r="FR115" t="s">
        <v>278</v>
      </c>
      <c r="FS115" t="s">
        <v>218</v>
      </c>
      <c r="FU115" t="s">
        <v>194</v>
      </c>
      <c r="GC115" t="s">
        <v>483</v>
      </c>
    </row>
    <row r="116" spans="1:186" hidden="1" x14ac:dyDescent="0.25">
      <c r="A116" s="1">
        <v>46134.589069131936</v>
      </c>
      <c r="B116" s="1">
        <v>46134.593183194447</v>
      </c>
      <c r="C116" t="s">
        <v>451</v>
      </c>
      <c r="D116">
        <v>115</v>
      </c>
      <c r="E116">
        <v>115</v>
      </c>
      <c r="F116" t="b">
        <f t="shared" si="1"/>
        <v>1</v>
      </c>
      <c r="G116" s="1">
        <v>46129</v>
      </c>
      <c r="H116">
        <v>1</v>
      </c>
      <c r="I116" t="s">
        <v>204</v>
      </c>
      <c r="J116" t="s">
        <v>451</v>
      </c>
      <c r="K116" t="s">
        <v>859</v>
      </c>
      <c r="L116" t="s">
        <v>860</v>
      </c>
      <c r="M116" t="s">
        <v>181</v>
      </c>
      <c r="N116" t="s">
        <v>182</v>
      </c>
      <c r="O116">
        <v>25</v>
      </c>
      <c r="P116" t="s">
        <v>183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222</v>
      </c>
      <c r="W116">
        <v>27</v>
      </c>
      <c r="X116" t="s">
        <v>181</v>
      </c>
      <c r="Z116" t="s">
        <v>185</v>
      </c>
      <c r="AB116" t="s">
        <v>223</v>
      </c>
      <c r="AC116" t="s">
        <v>209</v>
      </c>
      <c r="AD116" t="s">
        <v>188</v>
      </c>
      <c r="AE116" t="s">
        <v>198</v>
      </c>
      <c r="AF116" t="s">
        <v>224</v>
      </c>
      <c r="AG116" t="s">
        <v>621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BK116" t="s">
        <v>224</v>
      </c>
      <c r="BL116" t="s">
        <v>192</v>
      </c>
      <c r="BM116">
        <v>0</v>
      </c>
      <c r="BN116">
        <v>1</v>
      </c>
      <c r="BO116">
        <v>1</v>
      </c>
      <c r="BP116">
        <v>0</v>
      </c>
      <c r="BQ116">
        <v>0</v>
      </c>
      <c r="BR116" t="s">
        <v>227</v>
      </c>
      <c r="BS116" t="s">
        <v>194</v>
      </c>
      <c r="BT116" t="s">
        <v>194</v>
      </c>
      <c r="BU116" t="s">
        <v>194</v>
      </c>
      <c r="CD116" t="s">
        <v>194</v>
      </c>
      <c r="CZ116" t="s">
        <v>194</v>
      </c>
      <c r="DB116" t="s">
        <v>194</v>
      </c>
      <c r="DD116" t="s">
        <v>181</v>
      </c>
      <c r="DE116" t="s">
        <v>197</v>
      </c>
      <c r="DF116" t="s">
        <v>181</v>
      </c>
      <c r="DG116" t="s">
        <v>197</v>
      </c>
      <c r="DH116" t="s">
        <v>194</v>
      </c>
      <c r="DJ116" t="s">
        <v>194</v>
      </c>
      <c r="DL116" t="s">
        <v>181</v>
      </c>
      <c r="DM116" t="s">
        <v>199</v>
      </c>
      <c r="DN116" t="s">
        <v>194</v>
      </c>
      <c r="DP116" t="s">
        <v>194</v>
      </c>
      <c r="DR116" t="s">
        <v>181</v>
      </c>
      <c r="DS116" t="s">
        <v>215</v>
      </c>
      <c r="DT116" t="s">
        <v>181</v>
      </c>
      <c r="DU116" t="s">
        <v>199</v>
      </c>
      <c r="DV116" t="s">
        <v>181</v>
      </c>
      <c r="DW116" t="s">
        <v>197</v>
      </c>
      <c r="DX116" t="s">
        <v>181</v>
      </c>
      <c r="DY116" t="s">
        <v>197</v>
      </c>
      <c r="DZ116" t="s">
        <v>194</v>
      </c>
      <c r="EB116" t="s">
        <v>194</v>
      </c>
      <c r="ED116" t="s">
        <v>194</v>
      </c>
      <c r="EF116" t="s">
        <v>194</v>
      </c>
      <c r="EI116" t="s">
        <v>181</v>
      </c>
      <c r="EJ116" t="s">
        <v>199</v>
      </c>
      <c r="EK116" t="s">
        <v>181</v>
      </c>
      <c r="EM116" t="s">
        <v>181</v>
      </c>
      <c r="EN116" t="s">
        <v>194</v>
      </c>
      <c r="EP116" t="s">
        <v>194</v>
      </c>
      <c r="ES116" t="s">
        <v>194</v>
      </c>
      <c r="EV116" t="s">
        <v>181</v>
      </c>
      <c r="EW116" t="s">
        <v>181</v>
      </c>
      <c r="EX116" t="s">
        <v>250</v>
      </c>
      <c r="EY116" t="s">
        <v>194</v>
      </c>
      <c r="FB116" t="s">
        <v>181</v>
      </c>
      <c r="FC116" t="s">
        <v>194</v>
      </c>
      <c r="FE116" t="s">
        <v>181</v>
      </c>
      <c r="FF116" t="s">
        <v>181</v>
      </c>
      <c r="FG116" t="s">
        <v>250</v>
      </c>
      <c r="FH116" t="s">
        <v>181</v>
      </c>
      <c r="FI116" t="s">
        <v>181</v>
      </c>
      <c r="FJ116" t="s">
        <v>250</v>
      </c>
      <c r="FK116" t="s">
        <v>194</v>
      </c>
      <c r="FN116" t="s">
        <v>194</v>
      </c>
      <c r="FR116" t="s">
        <v>218</v>
      </c>
      <c r="FU116" t="s">
        <v>194</v>
      </c>
      <c r="GC116" t="s">
        <v>232</v>
      </c>
    </row>
    <row r="117" spans="1:186" hidden="1" x14ac:dyDescent="0.25">
      <c r="A117" s="1">
        <v>46134.593183819437</v>
      </c>
      <c r="B117" s="1">
        <v>46134.603454363423</v>
      </c>
      <c r="C117" t="s">
        <v>451</v>
      </c>
      <c r="D117">
        <v>116</v>
      </c>
      <c r="E117">
        <v>116</v>
      </c>
      <c r="F117" t="b">
        <f t="shared" si="1"/>
        <v>1</v>
      </c>
      <c r="G117" s="1">
        <v>46129</v>
      </c>
      <c r="H117">
        <v>2</v>
      </c>
      <c r="I117" t="s">
        <v>518</v>
      </c>
      <c r="J117" t="s">
        <v>451</v>
      </c>
      <c r="K117" t="s">
        <v>866</v>
      </c>
      <c r="L117" t="s">
        <v>867</v>
      </c>
      <c r="M117" t="s">
        <v>181</v>
      </c>
      <c r="N117" t="s">
        <v>182</v>
      </c>
      <c r="O117">
        <v>33</v>
      </c>
      <c r="P117" t="s">
        <v>183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222</v>
      </c>
      <c r="W117">
        <v>73</v>
      </c>
      <c r="X117" t="s">
        <v>181</v>
      </c>
      <c r="Z117" t="s">
        <v>185</v>
      </c>
      <c r="AB117" t="s">
        <v>315</v>
      </c>
      <c r="AC117" t="s">
        <v>257</v>
      </c>
      <c r="AD117" t="s">
        <v>188</v>
      </c>
      <c r="AE117" t="s">
        <v>265</v>
      </c>
      <c r="AF117" t="s">
        <v>190</v>
      </c>
      <c r="AW117" t="s">
        <v>868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K117" t="s">
        <v>190</v>
      </c>
      <c r="BL117" t="s">
        <v>362</v>
      </c>
      <c r="BM117">
        <v>0</v>
      </c>
      <c r="BN117">
        <v>0</v>
      </c>
      <c r="BO117">
        <v>1</v>
      </c>
      <c r="BP117">
        <v>0</v>
      </c>
      <c r="BQ117">
        <v>0</v>
      </c>
      <c r="BR117" t="s">
        <v>193</v>
      </c>
      <c r="BS117" t="s">
        <v>194</v>
      </c>
      <c r="BT117" t="s">
        <v>181</v>
      </c>
      <c r="BU117" t="s">
        <v>181</v>
      </c>
      <c r="BV117" t="s">
        <v>850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1</v>
      </c>
      <c r="CC117" t="s">
        <v>869</v>
      </c>
      <c r="CD117" t="s">
        <v>194</v>
      </c>
      <c r="CZ117" t="s">
        <v>181</v>
      </c>
      <c r="DA117" t="s">
        <v>215</v>
      </c>
      <c r="DB117" t="s">
        <v>194</v>
      </c>
      <c r="DD117" t="s">
        <v>181</v>
      </c>
      <c r="DE117" t="s">
        <v>215</v>
      </c>
      <c r="DF117" t="s">
        <v>194</v>
      </c>
      <c r="DH117" t="s">
        <v>181</v>
      </c>
      <c r="DI117" t="s">
        <v>199</v>
      </c>
      <c r="DJ117" t="s">
        <v>181</v>
      </c>
      <c r="DK117" t="s">
        <v>199</v>
      </c>
      <c r="DL117" t="s">
        <v>194</v>
      </c>
      <c r="DN117" t="s">
        <v>194</v>
      </c>
      <c r="DP117" t="s">
        <v>194</v>
      </c>
      <c r="DR117" t="s">
        <v>181</v>
      </c>
      <c r="DS117" t="s">
        <v>215</v>
      </c>
      <c r="DT117" t="s">
        <v>194</v>
      </c>
      <c r="DV117" t="s">
        <v>181</v>
      </c>
      <c r="DW117" t="s">
        <v>199</v>
      </c>
      <c r="DX117" t="s">
        <v>181</v>
      </c>
      <c r="DY117" t="s">
        <v>197</v>
      </c>
      <c r="DZ117" t="s">
        <v>181</v>
      </c>
      <c r="EA117" t="s">
        <v>197</v>
      </c>
      <c r="EB117" t="s">
        <v>194</v>
      </c>
      <c r="ED117" t="s">
        <v>194</v>
      </c>
      <c r="EF117" t="s">
        <v>194</v>
      </c>
      <c r="EI117" t="s">
        <v>181</v>
      </c>
      <c r="EJ117" t="s">
        <v>215</v>
      </c>
      <c r="EK117" t="s">
        <v>181</v>
      </c>
      <c r="EM117" t="s">
        <v>181</v>
      </c>
      <c r="EN117" t="s">
        <v>194</v>
      </c>
      <c r="EP117" t="s">
        <v>181</v>
      </c>
      <c r="EQ117" t="s">
        <v>194</v>
      </c>
      <c r="ES117" t="s">
        <v>194</v>
      </c>
      <c r="EV117" t="s">
        <v>181</v>
      </c>
      <c r="EW117" t="s">
        <v>181</v>
      </c>
      <c r="EX117" t="s">
        <v>250</v>
      </c>
      <c r="EY117" t="s">
        <v>194</v>
      </c>
      <c r="FB117" t="s">
        <v>194</v>
      </c>
      <c r="FE117" t="s">
        <v>181</v>
      </c>
      <c r="FF117" t="s">
        <v>181</v>
      </c>
      <c r="FG117" t="s">
        <v>250</v>
      </c>
      <c r="FH117" t="s">
        <v>181</v>
      </c>
      <c r="FI117" t="s">
        <v>181</v>
      </c>
      <c r="FJ117" t="s">
        <v>217</v>
      </c>
      <c r="FK117" t="s">
        <v>181</v>
      </c>
      <c r="FL117" t="s">
        <v>181</v>
      </c>
      <c r="FM117" t="s">
        <v>250</v>
      </c>
      <c r="FN117" t="s">
        <v>194</v>
      </c>
      <c r="FR117" t="s">
        <v>278</v>
      </c>
      <c r="FU117" t="s">
        <v>238</v>
      </c>
      <c r="FV117" t="s">
        <v>383</v>
      </c>
      <c r="FW117" t="s">
        <v>241</v>
      </c>
      <c r="FX117" t="s">
        <v>870</v>
      </c>
      <c r="FY117" t="s">
        <v>238</v>
      </c>
      <c r="FZ117" t="s">
        <v>871</v>
      </c>
      <c r="GA117" t="s">
        <v>194</v>
      </c>
      <c r="GB117" t="s">
        <v>872</v>
      </c>
      <c r="GC117" t="s">
        <v>232</v>
      </c>
      <c r="GD117" t="s">
        <v>873</v>
      </c>
    </row>
    <row r="118" spans="1:186" hidden="1" x14ac:dyDescent="0.25">
      <c r="A118" s="1">
        <v>46134.603454918979</v>
      </c>
      <c r="B118" s="1">
        <v>46134.611008078697</v>
      </c>
      <c r="C118" t="s">
        <v>451</v>
      </c>
      <c r="D118">
        <v>117</v>
      </c>
      <c r="E118">
        <v>117</v>
      </c>
      <c r="F118" t="b">
        <f t="shared" si="1"/>
        <v>1</v>
      </c>
      <c r="G118" s="1">
        <v>46129</v>
      </c>
      <c r="H118">
        <v>2</v>
      </c>
      <c r="I118" t="s">
        <v>177</v>
      </c>
      <c r="J118" t="s">
        <v>451</v>
      </c>
      <c r="K118" t="s">
        <v>874</v>
      </c>
      <c r="L118" t="s">
        <v>875</v>
      </c>
      <c r="M118" t="s">
        <v>181</v>
      </c>
      <c r="N118" t="s">
        <v>182</v>
      </c>
      <c r="O118">
        <v>30</v>
      </c>
      <c r="P118" t="s">
        <v>183</v>
      </c>
      <c r="Q118">
        <v>0</v>
      </c>
      <c r="R118">
        <v>0</v>
      </c>
      <c r="S118">
        <v>0</v>
      </c>
      <c r="T118">
        <v>0</v>
      </c>
      <c r="U118">
        <v>1</v>
      </c>
      <c r="V118" t="s">
        <v>184</v>
      </c>
      <c r="W118">
        <v>42</v>
      </c>
      <c r="X118" t="s">
        <v>181</v>
      </c>
      <c r="Z118" t="s">
        <v>185</v>
      </c>
      <c r="AB118" t="s">
        <v>223</v>
      </c>
      <c r="AC118" t="s">
        <v>187</v>
      </c>
      <c r="AD118" t="s">
        <v>188</v>
      </c>
      <c r="AE118" t="s">
        <v>265</v>
      </c>
      <c r="AF118" t="s">
        <v>190</v>
      </c>
      <c r="AW118" t="s">
        <v>420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 t="s">
        <v>876</v>
      </c>
      <c r="BK118" t="s">
        <v>224</v>
      </c>
      <c r="BL118" t="s">
        <v>192</v>
      </c>
      <c r="BM118">
        <v>0</v>
      </c>
      <c r="BN118">
        <v>1</v>
      </c>
      <c r="BO118">
        <v>1</v>
      </c>
      <c r="BP118">
        <v>0</v>
      </c>
      <c r="BQ118">
        <v>0</v>
      </c>
      <c r="BR118" t="s">
        <v>193</v>
      </c>
      <c r="BS118" t="s">
        <v>194</v>
      </c>
      <c r="BT118" t="s">
        <v>194</v>
      </c>
      <c r="BU118" t="s">
        <v>181</v>
      </c>
      <c r="BV118" t="s">
        <v>195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 t="s">
        <v>308</v>
      </c>
      <c r="CD118" t="s">
        <v>181</v>
      </c>
      <c r="CE118" t="s">
        <v>277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Q118" t="s">
        <v>181</v>
      </c>
      <c r="CZ118" t="s">
        <v>181</v>
      </c>
      <c r="DA118" t="s">
        <v>215</v>
      </c>
      <c r="DB118" t="s">
        <v>194</v>
      </c>
      <c r="DD118" t="s">
        <v>181</v>
      </c>
      <c r="DE118" t="s">
        <v>199</v>
      </c>
      <c r="DF118" t="s">
        <v>181</v>
      </c>
      <c r="DG118" t="s">
        <v>197</v>
      </c>
      <c r="DH118" t="s">
        <v>181</v>
      </c>
      <c r="DI118" t="s">
        <v>197</v>
      </c>
      <c r="DJ118" t="s">
        <v>181</v>
      </c>
      <c r="DK118" t="s">
        <v>215</v>
      </c>
      <c r="DL118" t="s">
        <v>181</v>
      </c>
      <c r="DM118" t="s">
        <v>215</v>
      </c>
      <c r="DN118" t="s">
        <v>181</v>
      </c>
      <c r="DO118" t="s">
        <v>215</v>
      </c>
      <c r="DP118" t="s">
        <v>194</v>
      </c>
      <c r="DR118" t="s">
        <v>181</v>
      </c>
      <c r="DS118" t="s">
        <v>199</v>
      </c>
      <c r="DT118" t="s">
        <v>181</v>
      </c>
      <c r="DU118" t="s">
        <v>199</v>
      </c>
      <c r="DV118" t="s">
        <v>181</v>
      </c>
      <c r="DW118" t="s">
        <v>215</v>
      </c>
      <c r="DX118" t="s">
        <v>181</v>
      </c>
      <c r="DY118" t="s">
        <v>215</v>
      </c>
      <c r="DZ118" t="s">
        <v>181</v>
      </c>
      <c r="EA118" t="s">
        <v>199</v>
      </c>
      <c r="EB118" t="s">
        <v>194</v>
      </c>
      <c r="ED118" t="s">
        <v>181</v>
      </c>
      <c r="EE118" t="s">
        <v>199</v>
      </c>
      <c r="EF118" t="s">
        <v>194</v>
      </c>
      <c r="EI118" t="s">
        <v>181</v>
      </c>
      <c r="EJ118" t="s">
        <v>215</v>
      </c>
      <c r="EK118" t="s">
        <v>181</v>
      </c>
      <c r="EM118" t="s">
        <v>181</v>
      </c>
      <c r="EN118" t="s">
        <v>194</v>
      </c>
      <c r="EP118" t="s">
        <v>194</v>
      </c>
      <c r="ES118" t="s">
        <v>194</v>
      </c>
      <c r="EV118" t="s">
        <v>194</v>
      </c>
      <c r="EY118" t="s">
        <v>194</v>
      </c>
      <c r="FB118" t="s">
        <v>194</v>
      </c>
      <c r="FE118" t="s">
        <v>181</v>
      </c>
      <c r="FF118" t="s">
        <v>181</v>
      </c>
      <c r="FG118" t="s">
        <v>250</v>
      </c>
      <c r="FH118" t="s">
        <v>181</v>
      </c>
      <c r="FI118" t="s">
        <v>181</v>
      </c>
      <c r="FJ118" t="s">
        <v>250</v>
      </c>
      <c r="FK118" t="s">
        <v>194</v>
      </c>
      <c r="FN118" t="s">
        <v>194</v>
      </c>
      <c r="FR118" t="s">
        <v>218</v>
      </c>
      <c r="FS118" t="s">
        <v>353</v>
      </c>
      <c r="FU118" t="s">
        <v>238</v>
      </c>
      <c r="FV118" t="s">
        <v>492</v>
      </c>
      <c r="FW118" t="s">
        <v>241</v>
      </c>
      <c r="FX118" t="s">
        <v>877</v>
      </c>
      <c r="FY118" t="s">
        <v>241</v>
      </c>
      <c r="GA118" t="s">
        <v>194</v>
      </c>
      <c r="GB118" t="s">
        <v>878</v>
      </c>
      <c r="GC118" t="s">
        <v>202</v>
      </c>
    </row>
    <row r="119" spans="1:186" hidden="1" x14ac:dyDescent="0.25">
      <c r="A119" s="1">
        <v>46134.611008761567</v>
      </c>
      <c r="B119" s="1">
        <v>46134.61622059028</v>
      </c>
      <c r="C119" t="s">
        <v>451</v>
      </c>
      <c r="D119">
        <v>118</v>
      </c>
      <c r="E119">
        <v>118</v>
      </c>
      <c r="F119" t="b">
        <f t="shared" si="1"/>
        <v>1</v>
      </c>
      <c r="G119" s="1">
        <v>46129</v>
      </c>
      <c r="H119">
        <v>2</v>
      </c>
      <c r="I119" t="s">
        <v>204</v>
      </c>
      <c r="J119" t="s">
        <v>451</v>
      </c>
      <c r="K119" t="s">
        <v>886</v>
      </c>
      <c r="L119" t="s">
        <v>887</v>
      </c>
      <c r="M119" t="s">
        <v>181</v>
      </c>
      <c r="N119" t="s">
        <v>182</v>
      </c>
      <c r="O119">
        <v>15</v>
      </c>
      <c r="P119" t="s">
        <v>183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184</v>
      </c>
      <c r="W119">
        <v>57</v>
      </c>
      <c r="X119" t="s">
        <v>181</v>
      </c>
      <c r="Z119" t="s">
        <v>270</v>
      </c>
      <c r="AB119" t="s">
        <v>186</v>
      </c>
      <c r="AC119" t="s">
        <v>257</v>
      </c>
      <c r="AD119" t="s">
        <v>188</v>
      </c>
      <c r="AE119" t="s">
        <v>198</v>
      </c>
      <c r="AF119" t="s">
        <v>224</v>
      </c>
      <c r="AG119" t="s">
        <v>247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BK119" t="s">
        <v>224</v>
      </c>
      <c r="BL119" t="s">
        <v>192</v>
      </c>
      <c r="BM119">
        <v>0</v>
      </c>
      <c r="BN119">
        <v>1</v>
      </c>
      <c r="BO119">
        <v>1</v>
      </c>
      <c r="BP119">
        <v>0</v>
      </c>
      <c r="BQ119">
        <v>0</v>
      </c>
      <c r="BR119" t="s">
        <v>193</v>
      </c>
      <c r="BS119" t="s">
        <v>194</v>
      </c>
      <c r="BT119" t="s">
        <v>194</v>
      </c>
      <c r="BU119" t="s">
        <v>181</v>
      </c>
      <c r="BV119" t="s">
        <v>195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 t="s">
        <v>888</v>
      </c>
      <c r="CD119" t="s">
        <v>181</v>
      </c>
      <c r="CE119" t="s">
        <v>889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 t="s">
        <v>890</v>
      </c>
      <c r="CP119" t="s">
        <v>181</v>
      </c>
      <c r="CQ119" t="s">
        <v>181</v>
      </c>
      <c r="CZ119" t="s">
        <v>194</v>
      </c>
      <c r="DB119" t="s">
        <v>194</v>
      </c>
      <c r="DD119" t="s">
        <v>181</v>
      </c>
      <c r="DE119" t="s">
        <v>199</v>
      </c>
      <c r="DF119" t="s">
        <v>181</v>
      </c>
      <c r="DG119" t="s">
        <v>199</v>
      </c>
      <c r="DH119" t="s">
        <v>181</v>
      </c>
      <c r="DI119" t="s">
        <v>215</v>
      </c>
      <c r="DJ119" t="s">
        <v>194</v>
      </c>
      <c r="DL119" t="s">
        <v>181</v>
      </c>
      <c r="DM119" t="s">
        <v>199</v>
      </c>
      <c r="DN119" t="s">
        <v>194</v>
      </c>
      <c r="DP119" t="s">
        <v>181</v>
      </c>
      <c r="DQ119" t="s">
        <v>197</v>
      </c>
      <c r="DR119" t="s">
        <v>194</v>
      </c>
      <c r="DT119" t="s">
        <v>194</v>
      </c>
      <c r="DV119" t="s">
        <v>194</v>
      </c>
      <c r="DX119" t="s">
        <v>194</v>
      </c>
      <c r="DZ119" t="s">
        <v>194</v>
      </c>
      <c r="EB119" t="s">
        <v>194</v>
      </c>
      <c r="ED119" t="s">
        <v>198</v>
      </c>
      <c r="EF119" t="s">
        <v>194</v>
      </c>
      <c r="EI119" t="s">
        <v>181</v>
      </c>
      <c r="EJ119" t="s">
        <v>199</v>
      </c>
      <c r="EK119" t="s">
        <v>181</v>
      </c>
      <c r="EM119" t="s">
        <v>181</v>
      </c>
      <c r="EN119" t="s">
        <v>181</v>
      </c>
      <c r="EO119" t="s">
        <v>250</v>
      </c>
      <c r="EP119" t="s">
        <v>181</v>
      </c>
      <c r="EQ119" t="s">
        <v>181</v>
      </c>
      <c r="ER119" t="s">
        <v>250</v>
      </c>
      <c r="ES119" t="s">
        <v>194</v>
      </c>
      <c r="EV119" t="s">
        <v>181</v>
      </c>
      <c r="EW119" t="s">
        <v>194</v>
      </c>
      <c r="EY119" t="s">
        <v>181</v>
      </c>
      <c r="EZ119" t="s">
        <v>194</v>
      </c>
      <c r="FB119" t="s">
        <v>181</v>
      </c>
      <c r="FC119" t="s">
        <v>194</v>
      </c>
      <c r="FE119" t="s">
        <v>181</v>
      </c>
      <c r="FF119" t="s">
        <v>181</v>
      </c>
      <c r="FG119" t="s">
        <v>250</v>
      </c>
      <c r="FH119" t="s">
        <v>181</v>
      </c>
      <c r="FI119" t="s">
        <v>194</v>
      </c>
      <c r="FK119" t="s">
        <v>181</v>
      </c>
      <c r="FL119" t="s">
        <v>194</v>
      </c>
      <c r="FN119" t="s">
        <v>194</v>
      </c>
      <c r="FR119" t="s">
        <v>218</v>
      </c>
      <c r="FU119" t="s">
        <v>194</v>
      </c>
      <c r="GC119" t="s">
        <v>232</v>
      </c>
      <c r="GD119" t="s">
        <v>891</v>
      </c>
    </row>
    <row r="120" spans="1:186" hidden="1" x14ac:dyDescent="0.25">
      <c r="A120" s="1">
        <v>46134.616221319448</v>
      </c>
      <c r="B120" s="1">
        <v>46134.619667037026</v>
      </c>
      <c r="C120" t="s">
        <v>451</v>
      </c>
      <c r="D120">
        <v>119</v>
      </c>
      <c r="E120">
        <v>119</v>
      </c>
      <c r="F120" t="b">
        <f t="shared" si="1"/>
        <v>1</v>
      </c>
      <c r="G120" s="1">
        <v>46129</v>
      </c>
      <c r="H120">
        <v>1</v>
      </c>
      <c r="I120" t="s">
        <v>518</v>
      </c>
      <c r="J120" t="s">
        <v>451</v>
      </c>
      <c r="K120" t="s">
        <v>892</v>
      </c>
      <c r="L120" t="s">
        <v>893</v>
      </c>
      <c r="M120" t="s">
        <v>181</v>
      </c>
      <c r="N120" t="s">
        <v>182</v>
      </c>
      <c r="O120">
        <v>1</v>
      </c>
      <c r="P120" t="s">
        <v>183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184</v>
      </c>
      <c r="W120">
        <v>24</v>
      </c>
      <c r="X120" t="s">
        <v>181</v>
      </c>
      <c r="Z120" t="s">
        <v>185</v>
      </c>
      <c r="AB120" t="s">
        <v>223</v>
      </c>
      <c r="AC120" t="s">
        <v>257</v>
      </c>
      <c r="AD120" t="s">
        <v>188</v>
      </c>
      <c r="AE120" t="s">
        <v>265</v>
      </c>
      <c r="AF120" t="s">
        <v>224</v>
      </c>
      <c r="AG120" t="s">
        <v>225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BK120" t="s">
        <v>190</v>
      </c>
      <c r="BL120" t="s">
        <v>362</v>
      </c>
      <c r="BM120">
        <v>0</v>
      </c>
      <c r="BN120">
        <v>0</v>
      </c>
      <c r="BO120">
        <v>1</v>
      </c>
      <c r="BP120">
        <v>0</v>
      </c>
      <c r="BQ120">
        <v>0</v>
      </c>
      <c r="BR120" t="s">
        <v>227</v>
      </c>
      <c r="BS120" t="s">
        <v>194</v>
      </c>
      <c r="BT120" t="s">
        <v>181</v>
      </c>
      <c r="BU120" t="s">
        <v>194</v>
      </c>
      <c r="CD120" t="s">
        <v>194</v>
      </c>
      <c r="CZ120" t="s">
        <v>194</v>
      </c>
      <c r="DB120" t="s">
        <v>194</v>
      </c>
      <c r="DD120" t="s">
        <v>181</v>
      </c>
      <c r="DE120" t="s">
        <v>215</v>
      </c>
      <c r="DF120" t="s">
        <v>194</v>
      </c>
      <c r="DH120" t="s">
        <v>181</v>
      </c>
      <c r="DI120" t="s">
        <v>197</v>
      </c>
      <c r="DJ120" t="s">
        <v>194</v>
      </c>
      <c r="DL120" t="s">
        <v>181</v>
      </c>
      <c r="DM120" t="s">
        <v>197</v>
      </c>
      <c r="DN120" t="s">
        <v>194</v>
      </c>
      <c r="DP120" t="s">
        <v>194</v>
      </c>
      <c r="DR120" t="s">
        <v>194</v>
      </c>
      <c r="DT120" t="s">
        <v>194</v>
      </c>
      <c r="DV120" t="s">
        <v>181</v>
      </c>
      <c r="DW120" t="s">
        <v>197</v>
      </c>
      <c r="DX120" t="s">
        <v>194</v>
      </c>
      <c r="DZ120" t="s">
        <v>181</v>
      </c>
      <c r="EA120" t="s">
        <v>197</v>
      </c>
      <c r="EB120" t="s">
        <v>194</v>
      </c>
      <c r="ED120" t="s">
        <v>194</v>
      </c>
      <c r="EF120" t="s">
        <v>194</v>
      </c>
      <c r="EI120" t="s">
        <v>181</v>
      </c>
      <c r="EJ120" t="s">
        <v>197</v>
      </c>
      <c r="EK120" t="s">
        <v>194</v>
      </c>
      <c r="EM120" t="s">
        <v>181</v>
      </c>
      <c r="EN120" t="s">
        <v>194</v>
      </c>
      <c r="EP120" t="s">
        <v>194</v>
      </c>
      <c r="ES120" t="s">
        <v>194</v>
      </c>
      <c r="EV120" t="s">
        <v>181</v>
      </c>
      <c r="EW120" t="s">
        <v>194</v>
      </c>
      <c r="EY120" t="s">
        <v>181</v>
      </c>
      <c r="EZ120" t="s">
        <v>194</v>
      </c>
      <c r="FB120" t="s">
        <v>181</v>
      </c>
      <c r="FC120" t="s">
        <v>194</v>
      </c>
      <c r="FE120" t="s">
        <v>181</v>
      </c>
      <c r="FF120" t="s">
        <v>194</v>
      </c>
      <c r="FH120" t="s">
        <v>181</v>
      </c>
      <c r="FI120" t="s">
        <v>194</v>
      </c>
      <c r="FK120" t="s">
        <v>181</v>
      </c>
      <c r="FL120" t="s">
        <v>194</v>
      </c>
      <c r="FN120" t="s">
        <v>194</v>
      </c>
      <c r="FR120" t="s">
        <v>410</v>
      </c>
      <c r="FS120" t="s">
        <v>218</v>
      </c>
      <c r="FU120" t="s">
        <v>194</v>
      </c>
      <c r="GC120" t="s">
        <v>483</v>
      </c>
    </row>
    <row r="121" spans="1:186" x14ac:dyDescent="0.25">
      <c r="A121" s="1">
        <v>46134.619667557869</v>
      </c>
      <c r="B121" s="1">
        <v>46134.623371550922</v>
      </c>
      <c r="C121" t="s">
        <v>451</v>
      </c>
      <c r="D121">
        <v>120</v>
      </c>
      <c r="E121">
        <v>120</v>
      </c>
      <c r="F121" t="b">
        <f t="shared" si="1"/>
        <v>1</v>
      </c>
      <c r="G121" s="1">
        <v>46129</v>
      </c>
      <c r="H121">
        <v>1</v>
      </c>
      <c r="I121" t="s">
        <v>177</v>
      </c>
      <c r="J121" t="s">
        <v>451</v>
      </c>
      <c r="K121" t="s">
        <v>901</v>
      </c>
      <c r="L121" t="s">
        <v>902</v>
      </c>
      <c r="M121" t="s">
        <v>181</v>
      </c>
      <c r="N121" t="s">
        <v>182</v>
      </c>
      <c r="O121">
        <v>39</v>
      </c>
      <c r="P121" t="s">
        <v>183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222</v>
      </c>
      <c r="W121">
        <v>61</v>
      </c>
      <c r="X121" t="s">
        <v>181</v>
      </c>
      <c r="Z121" t="s">
        <v>185</v>
      </c>
      <c r="AB121" t="s">
        <v>186</v>
      </c>
      <c r="AC121" t="s">
        <v>209</v>
      </c>
      <c r="AD121" t="s">
        <v>210</v>
      </c>
      <c r="AE121" t="s">
        <v>265</v>
      </c>
      <c r="AF121" t="s">
        <v>190</v>
      </c>
      <c r="AW121" t="s">
        <v>191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K121" t="s">
        <v>224</v>
      </c>
      <c r="BL121" t="s">
        <v>192</v>
      </c>
      <c r="BM121">
        <v>0</v>
      </c>
      <c r="BN121">
        <v>1</v>
      </c>
      <c r="BO121">
        <v>1</v>
      </c>
      <c r="BP121">
        <v>0</v>
      </c>
      <c r="BQ121">
        <v>0</v>
      </c>
      <c r="BR121" t="s">
        <v>227</v>
      </c>
      <c r="BS121" t="s">
        <v>194</v>
      </c>
      <c r="BT121" t="s">
        <v>194</v>
      </c>
      <c r="BU121" t="s">
        <v>181</v>
      </c>
      <c r="BV121" t="s">
        <v>903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1</v>
      </c>
      <c r="CC121" t="s">
        <v>904</v>
      </c>
      <c r="CD121" t="s">
        <v>181</v>
      </c>
      <c r="CE121" t="s">
        <v>905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U121" t="s">
        <v>181</v>
      </c>
      <c r="CZ121" t="s">
        <v>194</v>
      </c>
      <c r="DB121" t="s">
        <v>194</v>
      </c>
      <c r="DD121" t="s">
        <v>181</v>
      </c>
      <c r="DE121" t="s">
        <v>197</v>
      </c>
      <c r="DF121" t="s">
        <v>181</v>
      </c>
      <c r="DG121" t="s">
        <v>197</v>
      </c>
      <c r="DH121" t="s">
        <v>194</v>
      </c>
      <c r="DJ121" t="s">
        <v>194</v>
      </c>
      <c r="DL121" t="s">
        <v>194</v>
      </c>
      <c r="DN121" t="s">
        <v>194</v>
      </c>
      <c r="DP121" t="s">
        <v>194</v>
      </c>
      <c r="DR121" t="s">
        <v>181</v>
      </c>
      <c r="DS121" t="s">
        <v>197</v>
      </c>
      <c r="DT121" t="s">
        <v>194</v>
      </c>
      <c r="DV121" t="s">
        <v>194</v>
      </c>
      <c r="DX121" t="s">
        <v>194</v>
      </c>
      <c r="DZ121" t="s">
        <v>194</v>
      </c>
      <c r="EB121" t="s">
        <v>194</v>
      </c>
      <c r="ED121" t="s">
        <v>181</v>
      </c>
      <c r="EE121" t="s">
        <v>197</v>
      </c>
      <c r="EF121" t="s">
        <v>194</v>
      </c>
      <c r="EI121" t="s">
        <v>181</v>
      </c>
      <c r="EJ121" t="s">
        <v>199</v>
      </c>
      <c r="EK121" t="s">
        <v>194</v>
      </c>
      <c r="EM121" t="s">
        <v>181</v>
      </c>
      <c r="EN121" t="s">
        <v>194</v>
      </c>
      <c r="EP121" t="s">
        <v>194</v>
      </c>
      <c r="ES121" t="s">
        <v>181</v>
      </c>
      <c r="ET121" t="s">
        <v>194</v>
      </c>
      <c r="EV121" t="s">
        <v>181</v>
      </c>
      <c r="EW121" t="s">
        <v>194</v>
      </c>
      <c r="EY121" t="s">
        <v>181</v>
      </c>
      <c r="EZ121" t="s">
        <v>194</v>
      </c>
      <c r="FB121" t="s">
        <v>181</v>
      </c>
      <c r="FC121" t="s">
        <v>194</v>
      </c>
      <c r="FE121" t="s">
        <v>181</v>
      </c>
      <c r="FF121" t="s">
        <v>194</v>
      </c>
      <c r="FH121" t="s">
        <v>194</v>
      </c>
      <c r="FK121" t="s">
        <v>194</v>
      </c>
      <c r="FN121" t="s">
        <v>194</v>
      </c>
      <c r="FR121" t="s">
        <v>218</v>
      </c>
      <c r="FS121" t="s">
        <v>640</v>
      </c>
      <c r="FT121" t="s">
        <v>410</v>
      </c>
      <c r="FU121" t="s">
        <v>238</v>
      </c>
      <c r="FV121" t="s">
        <v>239</v>
      </c>
      <c r="FW121" t="s">
        <v>238</v>
      </c>
      <c r="FX121" t="s">
        <v>739</v>
      </c>
      <c r="FY121" t="s">
        <v>241</v>
      </c>
      <c r="GA121" t="s">
        <v>242</v>
      </c>
      <c r="GB121" t="s">
        <v>906</v>
      </c>
      <c r="GC121" t="s">
        <v>312</v>
      </c>
    </row>
    <row r="122" spans="1:186" hidden="1" x14ac:dyDescent="0.25">
      <c r="A122" s="1">
        <v>46134.511658692129</v>
      </c>
      <c r="B122" s="1">
        <v>46134.675760914353</v>
      </c>
      <c r="C122" t="s">
        <v>261</v>
      </c>
      <c r="D122">
        <v>121</v>
      </c>
      <c r="E122">
        <v>121</v>
      </c>
      <c r="F122" t="b">
        <f t="shared" si="1"/>
        <v>1</v>
      </c>
      <c r="G122" s="1">
        <v>46129</v>
      </c>
      <c r="H122">
        <v>2</v>
      </c>
      <c r="I122" t="s">
        <v>204</v>
      </c>
      <c r="J122" t="s">
        <v>178</v>
      </c>
      <c r="K122" t="s">
        <v>973</v>
      </c>
      <c r="L122" t="s">
        <v>974</v>
      </c>
      <c r="M122" t="s">
        <v>181</v>
      </c>
      <c r="N122" t="s">
        <v>182</v>
      </c>
      <c r="O122">
        <v>40</v>
      </c>
      <c r="P122" t="s">
        <v>183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222</v>
      </c>
      <c r="W122">
        <v>62</v>
      </c>
      <c r="X122" t="s">
        <v>181</v>
      </c>
      <c r="Z122" t="s">
        <v>185</v>
      </c>
      <c r="AB122" t="s">
        <v>223</v>
      </c>
      <c r="AC122" t="s">
        <v>209</v>
      </c>
      <c r="AD122" t="s">
        <v>188</v>
      </c>
      <c r="AE122" t="s">
        <v>198</v>
      </c>
      <c r="AF122" t="s">
        <v>224</v>
      </c>
      <c r="AG122" t="s">
        <v>225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BK122" t="s">
        <v>224</v>
      </c>
      <c r="BL122" t="s">
        <v>192</v>
      </c>
      <c r="BM122">
        <v>0</v>
      </c>
      <c r="BN122">
        <v>1</v>
      </c>
      <c r="BO122">
        <v>1</v>
      </c>
      <c r="BP122">
        <v>0</v>
      </c>
      <c r="BQ122">
        <v>0</v>
      </c>
      <c r="BR122" t="s">
        <v>212</v>
      </c>
      <c r="BS122" t="s">
        <v>194</v>
      </c>
      <c r="BT122" t="s">
        <v>194</v>
      </c>
      <c r="BU122" t="s">
        <v>194</v>
      </c>
      <c r="CD122" t="s">
        <v>194</v>
      </c>
      <c r="CZ122" t="s">
        <v>194</v>
      </c>
      <c r="DB122" t="s">
        <v>194</v>
      </c>
      <c r="DD122" t="s">
        <v>181</v>
      </c>
      <c r="DE122" t="s">
        <v>197</v>
      </c>
      <c r="DF122" t="s">
        <v>194</v>
      </c>
      <c r="DH122" t="s">
        <v>194</v>
      </c>
      <c r="DJ122" t="s">
        <v>181</v>
      </c>
      <c r="DK122" t="s">
        <v>199</v>
      </c>
      <c r="DL122" t="s">
        <v>181</v>
      </c>
      <c r="DM122" t="s">
        <v>199</v>
      </c>
      <c r="DN122" t="s">
        <v>181</v>
      </c>
      <c r="DO122" t="s">
        <v>215</v>
      </c>
      <c r="DP122" t="s">
        <v>194</v>
      </c>
      <c r="DR122" t="s">
        <v>181</v>
      </c>
      <c r="DS122" t="s">
        <v>197</v>
      </c>
      <c r="DT122" t="s">
        <v>194</v>
      </c>
      <c r="DV122" t="s">
        <v>194</v>
      </c>
      <c r="DX122" t="s">
        <v>181</v>
      </c>
      <c r="DY122" t="s">
        <v>215</v>
      </c>
      <c r="DZ122" t="s">
        <v>194</v>
      </c>
      <c r="EB122" t="s">
        <v>194</v>
      </c>
      <c r="ED122" t="s">
        <v>194</v>
      </c>
      <c r="EF122" t="s">
        <v>194</v>
      </c>
      <c r="EI122" t="s">
        <v>181</v>
      </c>
      <c r="EJ122" t="s">
        <v>199</v>
      </c>
      <c r="EK122" t="s">
        <v>181</v>
      </c>
      <c r="EM122" t="s">
        <v>181</v>
      </c>
      <c r="EN122" t="s">
        <v>194</v>
      </c>
      <c r="EP122" t="s">
        <v>194</v>
      </c>
      <c r="ES122" t="s">
        <v>181</v>
      </c>
      <c r="ET122" t="s">
        <v>194</v>
      </c>
      <c r="EV122" t="s">
        <v>181</v>
      </c>
      <c r="EW122" t="s">
        <v>181</v>
      </c>
      <c r="EX122" t="s">
        <v>250</v>
      </c>
      <c r="EY122" t="s">
        <v>181</v>
      </c>
      <c r="EZ122" t="s">
        <v>181</v>
      </c>
      <c r="FA122" t="s">
        <v>250</v>
      </c>
      <c r="FB122" t="s">
        <v>181</v>
      </c>
      <c r="FC122" t="s">
        <v>194</v>
      </c>
      <c r="FE122" t="s">
        <v>181</v>
      </c>
      <c r="FF122" t="s">
        <v>181</v>
      </c>
      <c r="FG122" t="s">
        <v>250</v>
      </c>
      <c r="FH122" t="s">
        <v>181</v>
      </c>
      <c r="FI122" t="s">
        <v>181</v>
      </c>
      <c r="FJ122" t="s">
        <v>250</v>
      </c>
      <c r="FK122" t="s">
        <v>181</v>
      </c>
      <c r="FL122" t="s">
        <v>194</v>
      </c>
      <c r="FN122" t="s">
        <v>194</v>
      </c>
      <c r="FR122" t="s">
        <v>975</v>
      </c>
      <c r="FU122" t="s">
        <v>194</v>
      </c>
      <c r="GC122" t="s">
        <v>232</v>
      </c>
    </row>
    <row r="123" spans="1:186" hidden="1" x14ac:dyDescent="0.25">
      <c r="A123" s="1">
        <v>46134.675761550927</v>
      </c>
      <c r="B123" s="1">
        <v>46134.679485277768</v>
      </c>
      <c r="C123" t="s">
        <v>261</v>
      </c>
      <c r="D123">
        <v>122</v>
      </c>
      <c r="E123">
        <v>122</v>
      </c>
      <c r="F123" t="b">
        <f t="shared" si="1"/>
        <v>1</v>
      </c>
      <c r="G123" s="1">
        <v>46129</v>
      </c>
      <c r="H123">
        <v>2</v>
      </c>
      <c r="I123" t="s">
        <v>204</v>
      </c>
      <c r="J123" t="s">
        <v>178</v>
      </c>
      <c r="K123" t="s">
        <v>976</v>
      </c>
      <c r="L123" t="s">
        <v>977</v>
      </c>
      <c r="M123" t="s">
        <v>181</v>
      </c>
      <c r="N123" t="s">
        <v>182</v>
      </c>
      <c r="O123">
        <v>39</v>
      </c>
      <c r="P123" t="s">
        <v>183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222</v>
      </c>
      <c r="W123">
        <v>50</v>
      </c>
      <c r="X123" t="s">
        <v>181</v>
      </c>
      <c r="Z123" t="s">
        <v>185</v>
      </c>
      <c r="AB123" t="s">
        <v>186</v>
      </c>
      <c r="AC123" t="s">
        <v>187</v>
      </c>
      <c r="AD123" t="s">
        <v>188</v>
      </c>
      <c r="AE123" t="s">
        <v>198</v>
      </c>
      <c r="AF123" t="s">
        <v>224</v>
      </c>
      <c r="AG123" t="s">
        <v>295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BK123" t="s">
        <v>224</v>
      </c>
      <c r="BL123" t="s">
        <v>258</v>
      </c>
      <c r="BM123">
        <v>0</v>
      </c>
      <c r="BN123">
        <v>0</v>
      </c>
      <c r="BO123">
        <v>0</v>
      </c>
      <c r="BP123">
        <v>1</v>
      </c>
      <c r="BQ123">
        <v>0</v>
      </c>
      <c r="BR123" t="s">
        <v>212</v>
      </c>
      <c r="BS123" t="s">
        <v>194</v>
      </c>
      <c r="BT123" t="s">
        <v>181</v>
      </c>
      <c r="BU123" t="s">
        <v>181</v>
      </c>
      <c r="BV123" t="s">
        <v>195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 t="s">
        <v>978</v>
      </c>
      <c r="CD123" t="s">
        <v>181</v>
      </c>
      <c r="CE123" t="s">
        <v>979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 t="s">
        <v>980</v>
      </c>
      <c r="CP123" t="s">
        <v>194</v>
      </c>
      <c r="CZ123" t="s">
        <v>194</v>
      </c>
      <c r="DB123" t="s">
        <v>181</v>
      </c>
      <c r="DC123" t="s">
        <v>197</v>
      </c>
      <c r="DD123" t="s">
        <v>181</v>
      </c>
      <c r="DE123" t="s">
        <v>215</v>
      </c>
      <c r="DF123" t="s">
        <v>194</v>
      </c>
      <c r="DH123" t="s">
        <v>194</v>
      </c>
      <c r="DJ123" t="s">
        <v>194</v>
      </c>
      <c r="DL123" t="s">
        <v>181</v>
      </c>
      <c r="DM123" t="s">
        <v>197</v>
      </c>
      <c r="DN123" t="s">
        <v>194</v>
      </c>
      <c r="DP123" t="s">
        <v>194</v>
      </c>
      <c r="DR123" t="s">
        <v>194</v>
      </c>
      <c r="DT123" t="s">
        <v>194</v>
      </c>
      <c r="DV123" t="s">
        <v>194</v>
      </c>
      <c r="DX123" t="s">
        <v>194</v>
      </c>
      <c r="DZ123" t="s">
        <v>194</v>
      </c>
      <c r="EB123" t="s">
        <v>194</v>
      </c>
      <c r="ED123" t="s">
        <v>194</v>
      </c>
      <c r="EF123" t="s">
        <v>194</v>
      </c>
      <c r="EI123" t="s">
        <v>181</v>
      </c>
      <c r="EJ123" t="s">
        <v>215</v>
      </c>
      <c r="EK123" t="s">
        <v>181</v>
      </c>
      <c r="EM123" t="s">
        <v>181</v>
      </c>
      <c r="EN123" t="s">
        <v>181</v>
      </c>
      <c r="EO123" t="s">
        <v>229</v>
      </c>
      <c r="EP123" t="s">
        <v>194</v>
      </c>
      <c r="ES123" t="s">
        <v>194</v>
      </c>
      <c r="EV123" t="s">
        <v>181</v>
      </c>
      <c r="EW123" t="s">
        <v>194</v>
      </c>
      <c r="EY123" t="s">
        <v>194</v>
      </c>
      <c r="FB123" t="s">
        <v>194</v>
      </c>
      <c r="FE123" t="s">
        <v>181</v>
      </c>
      <c r="FF123" t="s">
        <v>181</v>
      </c>
      <c r="FG123" t="s">
        <v>250</v>
      </c>
      <c r="FH123" t="s">
        <v>181</v>
      </c>
      <c r="FI123" t="s">
        <v>181</v>
      </c>
      <c r="FJ123" t="s">
        <v>250</v>
      </c>
      <c r="FK123" t="s">
        <v>181</v>
      </c>
      <c r="FL123" t="s">
        <v>194</v>
      </c>
      <c r="FN123" t="s">
        <v>194</v>
      </c>
      <c r="FR123" t="s">
        <v>363</v>
      </c>
      <c r="FS123" t="s">
        <v>218</v>
      </c>
      <c r="FU123" t="s">
        <v>194</v>
      </c>
      <c r="GC123" t="s">
        <v>312</v>
      </c>
      <c r="GD123" t="s">
        <v>981</v>
      </c>
    </row>
    <row r="124" spans="1:186" hidden="1" x14ac:dyDescent="0.25">
      <c r="A124" s="1">
        <v>46135.325962256953</v>
      </c>
      <c r="B124" s="1">
        <v>46135.344369664352</v>
      </c>
      <c r="C124" t="s">
        <v>261</v>
      </c>
      <c r="D124">
        <v>123</v>
      </c>
      <c r="E124">
        <v>123</v>
      </c>
      <c r="F124" t="b">
        <f t="shared" si="1"/>
        <v>1</v>
      </c>
      <c r="G124" s="1">
        <v>46129</v>
      </c>
      <c r="H124">
        <v>2</v>
      </c>
      <c r="I124" t="s">
        <v>518</v>
      </c>
      <c r="J124" t="s">
        <v>178</v>
      </c>
      <c r="K124" t="s">
        <v>982</v>
      </c>
      <c r="L124" t="s">
        <v>983</v>
      </c>
      <c r="M124" t="s">
        <v>181</v>
      </c>
      <c r="N124" t="s">
        <v>182</v>
      </c>
      <c r="O124">
        <v>46</v>
      </c>
      <c r="P124" t="s">
        <v>183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222</v>
      </c>
      <c r="W124">
        <v>60</v>
      </c>
      <c r="X124" t="s">
        <v>181</v>
      </c>
      <c r="Z124" t="s">
        <v>185</v>
      </c>
      <c r="AB124" t="s">
        <v>186</v>
      </c>
      <c r="AC124" t="s">
        <v>257</v>
      </c>
      <c r="AD124" t="s">
        <v>210</v>
      </c>
      <c r="AE124" t="s">
        <v>189</v>
      </c>
      <c r="AF124" t="s">
        <v>224</v>
      </c>
      <c r="AG124" t="s">
        <v>984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1</v>
      </c>
      <c r="AR124">
        <v>0</v>
      </c>
      <c r="AS124">
        <v>0</v>
      </c>
      <c r="AT124" t="s">
        <v>985</v>
      </c>
      <c r="BK124" t="s">
        <v>224</v>
      </c>
      <c r="BL124" t="s">
        <v>249</v>
      </c>
      <c r="BM124">
        <v>0</v>
      </c>
      <c r="BN124">
        <v>1</v>
      </c>
      <c r="BO124">
        <v>1</v>
      </c>
      <c r="BP124">
        <v>1</v>
      </c>
      <c r="BQ124">
        <v>0</v>
      </c>
      <c r="BR124" t="s">
        <v>212</v>
      </c>
      <c r="BS124" t="s">
        <v>194</v>
      </c>
      <c r="BT124" t="s">
        <v>194</v>
      </c>
      <c r="BU124" t="s">
        <v>181</v>
      </c>
      <c r="BV124" t="s">
        <v>195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 t="s">
        <v>888</v>
      </c>
      <c r="CD124" t="s">
        <v>194</v>
      </c>
      <c r="CZ124" t="s">
        <v>194</v>
      </c>
      <c r="DB124" t="s">
        <v>194</v>
      </c>
      <c r="DD124" t="s">
        <v>181</v>
      </c>
      <c r="DE124" t="s">
        <v>215</v>
      </c>
      <c r="DF124" t="s">
        <v>194</v>
      </c>
      <c r="DH124" t="s">
        <v>194</v>
      </c>
      <c r="DJ124" t="s">
        <v>194</v>
      </c>
      <c r="DL124" t="s">
        <v>181</v>
      </c>
      <c r="DM124" t="s">
        <v>215</v>
      </c>
      <c r="DN124" t="s">
        <v>194</v>
      </c>
      <c r="DP124" t="s">
        <v>194</v>
      </c>
      <c r="DR124" t="s">
        <v>194</v>
      </c>
      <c r="DT124" t="s">
        <v>194</v>
      </c>
      <c r="DV124" t="s">
        <v>194</v>
      </c>
      <c r="DX124" t="s">
        <v>181</v>
      </c>
      <c r="DY124" t="s">
        <v>197</v>
      </c>
      <c r="DZ124" t="s">
        <v>181</v>
      </c>
      <c r="EA124" t="s">
        <v>197</v>
      </c>
      <c r="EB124" t="s">
        <v>194</v>
      </c>
      <c r="ED124" t="s">
        <v>194</v>
      </c>
      <c r="EF124" t="s">
        <v>194</v>
      </c>
      <c r="EI124" t="s">
        <v>181</v>
      </c>
      <c r="EJ124" t="s">
        <v>197</v>
      </c>
      <c r="EK124" t="s">
        <v>194</v>
      </c>
      <c r="EM124" t="s">
        <v>181</v>
      </c>
      <c r="EN124" t="s">
        <v>181</v>
      </c>
      <c r="EO124" t="s">
        <v>250</v>
      </c>
      <c r="EP124" t="s">
        <v>181</v>
      </c>
      <c r="EQ124" t="s">
        <v>194</v>
      </c>
      <c r="ES124" t="s">
        <v>181</v>
      </c>
      <c r="ET124" t="s">
        <v>181</v>
      </c>
      <c r="EU124" t="s">
        <v>250</v>
      </c>
      <c r="EV124" t="s">
        <v>181</v>
      </c>
      <c r="EW124" t="s">
        <v>194</v>
      </c>
      <c r="EY124" t="s">
        <v>181</v>
      </c>
      <c r="EZ124" t="s">
        <v>194</v>
      </c>
      <c r="FB124" t="s">
        <v>181</v>
      </c>
      <c r="FC124" t="s">
        <v>194</v>
      </c>
      <c r="FE124" t="s">
        <v>181</v>
      </c>
      <c r="FF124" t="s">
        <v>181</v>
      </c>
      <c r="FG124" t="s">
        <v>229</v>
      </c>
      <c r="FH124" t="s">
        <v>181</v>
      </c>
      <c r="FI124" t="s">
        <v>194</v>
      </c>
      <c r="FK124" t="s">
        <v>181</v>
      </c>
      <c r="FL124" t="s">
        <v>194</v>
      </c>
      <c r="FN124" t="s">
        <v>181</v>
      </c>
      <c r="FO124" t="s">
        <v>181</v>
      </c>
      <c r="FP124" t="s">
        <v>250</v>
      </c>
      <c r="FR124" t="s">
        <v>986</v>
      </c>
      <c r="FS124" t="s">
        <v>987</v>
      </c>
      <c r="FU124" t="s">
        <v>238</v>
      </c>
      <c r="FV124" t="s">
        <v>300</v>
      </c>
      <c r="FW124" t="s">
        <v>238</v>
      </c>
      <c r="FX124" t="s">
        <v>988</v>
      </c>
      <c r="FY124" t="s">
        <v>238</v>
      </c>
      <c r="FZ124" t="s">
        <v>529</v>
      </c>
      <c r="GA124" t="s">
        <v>242</v>
      </c>
      <c r="GB124" t="s">
        <v>989</v>
      </c>
      <c r="GC124" t="s">
        <v>232</v>
      </c>
    </row>
    <row r="125" spans="1:186" x14ac:dyDescent="0.25">
      <c r="A125" s="1">
        <v>46135.344370358798</v>
      </c>
      <c r="B125" s="1">
        <v>46135.372448530092</v>
      </c>
      <c r="C125" t="s">
        <v>261</v>
      </c>
      <c r="D125">
        <v>124</v>
      </c>
      <c r="E125">
        <v>124</v>
      </c>
      <c r="F125" t="b">
        <f t="shared" si="1"/>
        <v>1</v>
      </c>
      <c r="G125" s="1">
        <v>46129</v>
      </c>
      <c r="H125">
        <v>2</v>
      </c>
      <c r="I125" t="s">
        <v>177</v>
      </c>
      <c r="J125" t="s">
        <v>451</v>
      </c>
      <c r="K125" t="s">
        <v>976</v>
      </c>
      <c r="L125" t="s">
        <v>977</v>
      </c>
      <c r="M125" t="s">
        <v>181</v>
      </c>
      <c r="N125" t="s">
        <v>182</v>
      </c>
      <c r="O125">
        <v>29</v>
      </c>
      <c r="P125" t="s">
        <v>183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222</v>
      </c>
      <c r="W125">
        <v>65</v>
      </c>
      <c r="X125" t="s">
        <v>181</v>
      </c>
      <c r="Z125" t="s">
        <v>185</v>
      </c>
      <c r="AB125" t="s">
        <v>186</v>
      </c>
      <c r="AC125" t="s">
        <v>257</v>
      </c>
      <c r="AD125" t="s">
        <v>188</v>
      </c>
      <c r="AE125" t="s">
        <v>235</v>
      </c>
      <c r="AF125" t="s">
        <v>224</v>
      </c>
      <c r="AG125" t="s">
        <v>236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BK125" t="s">
        <v>224</v>
      </c>
      <c r="BL125" t="s">
        <v>226</v>
      </c>
      <c r="BM125">
        <v>0</v>
      </c>
      <c r="BN125">
        <v>1</v>
      </c>
      <c r="BO125">
        <v>0</v>
      </c>
      <c r="BP125">
        <v>0</v>
      </c>
      <c r="BQ125">
        <v>0</v>
      </c>
      <c r="BR125" t="s">
        <v>212</v>
      </c>
      <c r="BS125" t="s">
        <v>181</v>
      </c>
      <c r="BT125" t="s">
        <v>194</v>
      </c>
      <c r="BU125" t="s">
        <v>181</v>
      </c>
      <c r="BV125" t="s">
        <v>195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 t="s">
        <v>990</v>
      </c>
      <c r="CD125" t="s">
        <v>194</v>
      </c>
      <c r="CZ125" t="s">
        <v>181</v>
      </c>
      <c r="DA125" t="s">
        <v>199</v>
      </c>
      <c r="DB125" t="s">
        <v>181</v>
      </c>
      <c r="DC125" t="s">
        <v>215</v>
      </c>
      <c r="DD125" t="s">
        <v>181</v>
      </c>
      <c r="DE125" t="s">
        <v>215</v>
      </c>
      <c r="DF125" t="s">
        <v>181</v>
      </c>
      <c r="DG125" t="s">
        <v>197</v>
      </c>
      <c r="DH125" t="s">
        <v>194</v>
      </c>
      <c r="DJ125" t="s">
        <v>194</v>
      </c>
      <c r="DL125" t="s">
        <v>194</v>
      </c>
      <c r="DN125" t="s">
        <v>194</v>
      </c>
      <c r="DP125" t="s">
        <v>194</v>
      </c>
      <c r="DR125" t="s">
        <v>194</v>
      </c>
      <c r="DT125" t="s">
        <v>194</v>
      </c>
      <c r="DV125" t="s">
        <v>181</v>
      </c>
      <c r="DW125" t="s">
        <v>215</v>
      </c>
      <c r="DX125" t="s">
        <v>194</v>
      </c>
      <c r="DZ125" t="s">
        <v>181</v>
      </c>
      <c r="EA125" t="s">
        <v>197</v>
      </c>
      <c r="EB125" t="s">
        <v>194</v>
      </c>
      <c r="ED125" t="s">
        <v>181</v>
      </c>
      <c r="EE125" t="s">
        <v>199</v>
      </c>
      <c r="EF125" t="s">
        <v>194</v>
      </c>
      <c r="EI125" t="s">
        <v>181</v>
      </c>
      <c r="EJ125" t="s">
        <v>215</v>
      </c>
      <c r="EK125" t="s">
        <v>194</v>
      </c>
      <c r="EM125" t="s">
        <v>181</v>
      </c>
      <c r="EN125" t="s">
        <v>194</v>
      </c>
      <c r="EP125" t="s">
        <v>194</v>
      </c>
      <c r="ES125" t="s">
        <v>194</v>
      </c>
      <c r="EV125" t="s">
        <v>181</v>
      </c>
      <c r="EW125" t="s">
        <v>194</v>
      </c>
      <c r="EY125" t="s">
        <v>194</v>
      </c>
      <c r="FB125" t="s">
        <v>194</v>
      </c>
      <c r="FE125" t="s">
        <v>181</v>
      </c>
      <c r="FF125" t="s">
        <v>181</v>
      </c>
      <c r="FG125" t="s">
        <v>250</v>
      </c>
      <c r="FH125" t="s">
        <v>181</v>
      </c>
      <c r="FI125" t="s">
        <v>194</v>
      </c>
      <c r="FK125" t="s">
        <v>181</v>
      </c>
      <c r="FL125" t="s">
        <v>194</v>
      </c>
      <c r="FN125" t="s">
        <v>194</v>
      </c>
      <c r="FR125" t="s">
        <v>218</v>
      </c>
      <c r="FS125" t="s">
        <v>488</v>
      </c>
      <c r="FT125" t="s">
        <v>419</v>
      </c>
      <c r="FU125" t="s">
        <v>238</v>
      </c>
      <c r="FV125" t="s">
        <v>239</v>
      </c>
      <c r="FW125" t="s">
        <v>241</v>
      </c>
      <c r="FX125" t="s">
        <v>991</v>
      </c>
      <c r="FY125" t="s">
        <v>241</v>
      </c>
      <c r="GA125" t="s">
        <v>242</v>
      </c>
      <c r="GB125" t="s">
        <v>739</v>
      </c>
      <c r="GC125" t="s">
        <v>202</v>
      </c>
    </row>
    <row r="126" spans="1:186" hidden="1" x14ac:dyDescent="0.25">
      <c r="A126" s="1">
        <v>46135.372449131937</v>
      </c>
      <c r="B126" s="1">
        <v>46135.38196082176</v>
      </c>
      <c r="C126" t="s">
        <v>261</v>
      </c>
      <c r="D126">
        <v>125</v>
      </c>
      <c r="E126">
        <v>125</v>
      </c>
      <c r="F126" t="b">
        <f t="shared" si="1"/>
        <v>1</v>
      </c>
      <c r="G126" s="1">
        <v>46131</v>
      </c>
      <c r="H126">
        <v>3</v>
      </c>
      <c r="I126" t="s">
        <v>618</v>
      </c>
      <c r="J126" t="s">
        <v>176</v>
      </c>
      <c r="K126" t="s">
        <v>992</v>
      </c>
      <c r="L126" t="s">
        <v>993</v>
      </c>
      <c r="M126" t="s">
        <v>181</v>
      </c>
      <c r="N126" t="s">
        <v>182</v>
      </c>
      <c r="O126">
        <v>32</v>
      </c>
      <c r="P126" t="s">
        <v>183</v>
      </c>
      <c r="Q126">
        <v>2</v>
      </c>
      <c r="R126">
        <v>0</v>
      </c>
      <c r="S126">
        <v>0</v>
      </c>
      <c r="T126">
        <v>0</v>
      </c>
      <c r="U126">
        <v>0</v>
      </c>
      <c r="V126" t="s">
        <v>222</v>
      </c>
      <c r="W126">
        <v>49</v>
      </c>
      <c r="X126" t="s">
        <v>181</v>
      </c>
      <c r="Z126" t="s">
        <v>185</v>
      </c>
      <c r="AB126" t="s">
        <v>186</v>
      </c>
      <c r="AC126" t="s">
        <v>257</v>
      </c>
      <c r="AD126" t="s">
        <v>188</v>
      </c>
      <c r="AE126" t="s">
        <v>198</v>
      </c>
      <c r="AF126" t="s">
        <v>190</v>
      </c>
      <c r="AW126" t="s">
        <v>307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K126" t="s">
        <v>224</v>
      </c>
      <c r="BL126" t="s">
        <v>389</v>
      </c>
      <c r="BM126">
        <v>0</v>
      </c>
      <c r="BN126">
        <v>0</v>
      </c>
      <c r="BO126">
        <v>0</v>
      </c>
      <c r="BP126">
        <v>0</v>
      </c>
      <c r="BQ126">
        <v>1</v>
      </c>
      <c r="BR126" t="s">
        <v>227</v>
      </c>
      <c r="BS126" t="s">
        <v>194</v>
      </c>
      <c r="BT126" t="s">
        <v>194</v>
      </c>
      <c r="BU126" t="s">
        <v>194</v>
      </c>
      <c r="CD126" t="s">
        <v>194</v>
      </c>
      <c r="CZ126" t="s">
        <v>194</v>
      </c>
      <c r="DB126" t="s">
        <v>194</v>
      </c>
      <c r="DD126" t="s">
        <v>194</v>
      </c>
      <c r="DF126" t="s">
        <v>194</v>
      </c>
      <c r="DH126" t="s">
        <v>194</v>
      </c>
      <c r="DJ126" t="s">
        <v>194</v>
      </c>
      <c r="DL126" t="s">
        <v>194</v>
      </c>
      <c r="DN126" t="s">
        <v>194</v>
      </c>
      <c r="DP126" t="s">
        <v>194</v>
      </c>
      <c r="DR126" t="s">
        <v>194</v>
      </c>
      <c r="DT126" t="s">
        <v>194</v>
      </c>
      <c r="DV126" t="s">
        <v>194</v>
      </c>
      <c r="DX126" t="s">
        <v>194</v>
      </c>
      <c r="DZ126" t="s">
        <v>194</v>
      </c>
      <c r="EB126" t="s">
        <v>194</v>
      </c>
      <c r="ED126" t="s">
        <v>194</v>
      </c>
      <c r="EF126" t="s">
        <v>194</v>
      </c>
      <c r="EI126" t="s">
        <v>181</v>
      </c>
      <c r="EJ126" t="s">
        <v>215</v>
      </c>
      <c r="EK126" t="s">
        <v>181</v>
      </c>
      <c r="EM126" t="s">
        <v>181</v>
      </c>
      <c r="EN126" t="s">
        <v>181</v>
      </c>
      <c r="EO126" t="s">
        <v>250</v>
      </c>
      <c r="EP126" t="s">
        <v>181</v>
      </c>
      <c r="EQ126" t="s">
        <v>194</v>
      </c>
      <c r="ES126" t="s">
        <v>194</v>
      </c>
      <c r="EV126" t="s">
        <v>181</v>
      </c>
      <c r="EW126" t="s">
        <v>181</v>
      </c>
      <c r="EX126" t="s">
        <v>250</v>
      </c>
      <c r="EY126" t="s">
        <v>181</v>
      </c>
      <c r="EZ126" t="s">
        <v>194</v>
      </c>
      <c r="FB126" t="s">
        <v>181</v>
      </c>
      <c r="FC126" t="s">
        <v>194</v>
      </c>
      <c r="FE126" t="s">
        <v>181</v>
      </c>
      <c r="FF126" t="s">
        <v>181</v>
      </c>
      <c r="FG126" t="s">
        <v>217</v>
      </c>
      <c r="FH126" t="s">
        <v>181</v>
      </c>
      <c r="FI126" t="s">
        <v>181</v>
      </c>
      <c r="FJ126" t="s">
        <v>250</v>
      </c>
      <c r="FK126" t="s">
        <v>181</v>
      </c>
      <c r="FL126" t="s">
        <v>194</v>
      </c>
      <c r="FN126" t="s">
        <v>194</v>
      </c>
      <c r="FR126" t="s">
        <v>218</v>
      </c>
      <c r="FU126" t="s">
        <v>194</v>
      </c>
      <c r="GC126" t="s">
        <v>1072</v>
      </c>
    </row>
    <row r="127" spans="1:186" hidden="1" x14ac:dyDescent="0.25">
      <c r="A127" s="1">
        <v>46135.381961377323</v>
      </c>
      <c r="B127" s="1">
        <v>46135.387656354163</v>
      </c>
      <c r="C127" t="s">
        <v>261</v>
      </c>
      <c r="D127">
        <v>126</v>
      </c>
      <c r="E127">
        <v>126</v>
      </c>
      <c r="F127" t="b">
        <f t="shared" si="1"/>
        <v>1</v>
      </c>
      <c r="G127" s="1">
        <v>46131</v>
      </c>
      <c r="H127">
        <v>3</v>
      </c>
      <c r="I127" t="s">
        <v>505</v>
      </c>
      <c r="J127" t="s">
        <v>176</v>
      </c>
      <c r="K127" t="s">
        <v>994</v>
      </c>
      <c r="L127" t="s">
        <v>995</v>
      </c>
      <c r="M127" t="s">
        <v>181</v>
      </c>
      <c r="N127" t="s">
        <v>182</v>
      </c>
      <c r="O127">
        <v>33</v>
      </c>
      <c r="P127" t="s">
        <v>183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184</v>
      </c>
      <c r="W127">
        <v>70</v>
      </c>
      <c r="X127" t="s">
        <v>181</v>
      </c>
      <c r="Z127" t="s">
        <v>185</v>
      </c>
      <c r="AB127" t="s">
        <v>223</v>
      </c>
      <c r="AC127" t="s">
        <v>209</v>
      </c>
      <c r="AD127" t="s">
        <v>188</v>
      </c>
      <c r="AE127" t="s">
        <v>198</v>
      </c>
      <c r="AF127" t="s">
        <v>224</v>
      </c>
      <c r="AG127" t="s">
        <v>621</v>
      </c>
      <c r="AH127">
        <v>1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BK127" t="s">
        <v>224</v>
      </c>
      <c r="BL127" t="s">
        <v>192</v>
      </c>
      <c r="BM127">
        <v>0</v>
      </c>
      <c r="BN127">
        <v>1</v>
      </c>
      <c r="BO127">
        <v>1</v>
      </c>
      <c r="BP127">
        <v>0</v>
      </c>
      <c r="BQ127">
        <v>0</v>
      </c>
      <c r="BR127" t="s">
        <v>212</v>
      </c>
      <c r="BS127" t="s">
        <v>194</v>
      </c>
      <c r="BT127" t="s">
        <v>194</v>
      </c>
      <c r="BU127" t="s">
        <v>194</v>
      </c>
      <c r="CD127" t="s">
        <v>194</v>
      </c>
      <c r="CZ127" t="s">
        <v>194</v>
      </c>
      <c r="DB127" t="s">
        <v>194</v>
      </c>
      <c r="DD127" t="s">
        <v>194</v>
      </c>
      <c r="DF127" t="s">
        <v>194</v>
      </c>
      <c r="DH127" t="s">
        <v>194</v>
      </c>
      <c r="DJ127" t="s">
        <v>181</v>
      </c>
      <c r="DK127" t="s">
        <v>199</v>
      </c>
      <c r="DL127" t="s">
        <v>181</v>
      </c>
      <c r="DM127" t="s">
        <v>197</v>
      </c>
      <c r="DN127" t="s">
        <v>194</v>
      </c>
      <c r="DP127" t="s">
        <v>194</v>
      </c>
      <c r="DR127" t="s">
        <v>181</v>
      </c>
      <c r="DS127" t="s">
        <v>199</v>
      </c>
      <c r="DT127" t="s">
        <v>194</v>
      </c>
      <c r="DV127" t="s">
        <v>194</v>
      </c>
      <c r="DX127" t="s">
        <v>194</v>
      </c>
      <c r="DZ127" t="s">
        <v>194</v>
      </c>
      <c r="EB127" t="s">
        <v>194</v>
      </c>
      <c r="ED127" t="s">
        <v>194</v>
      </c>
      <c r="EF127" t="s">
        <v>194</v>
      </c>
      <c r="EI127" t="s">
        <v>181</v>
      </c>
      <c r="EJ127" t="s">
        <v>215</v>
      </c>
      <c r="EK127" t="s">
        <v>181</v>
      </c>
      <c r="EM127" t="s">
        <v>181</v>
      </c>
      <c r="EN127" t="s">
        <v>194</v>
      </c>
      <c r="EP127" t="s">
        <v>194</v>
      </c>
      <c r="ES127" t="s">
        <v>194</v>
      </c>
      <c r="EV127" t="s">
        <v>181</v>
      </c>
      <c r="EW127" t="s">
        <v>194</v>
      </c>
      <c r="EY127" t="s">
        <v>181</v>
      </c>
      <c r="EZ127" t="s">
        <v>194</v>
      </c>
      <c r="FB127" t="s">
        <v>194</v>
      </c>
      <c r="FE127" t="s">
        <v>181</v>
      </c>
      <c r="FF127" t="s">
        <v>194</v>
      </c>
      <c r="FH127" t="s">
        <v>194</v>
      </c>
      <c r="FK127" t="s">
        <v>181</v>
      </c>
      <c r="FL127" t="s">
        <v>194</v>
      </c>
      <c r="FN127" t="s">
        <v>194</v>
      </c>
      <c r="FR127" t="s">
        <v>287</v>
      </c>
      <c r="FU127" t="s">
        <v>238</v>
      </c>
      <c r="FV127" t="s">
        <v>239</v>
      </c>
      <c r="FW127" t="s">
        <v>241</v>
      </c>
      <c r="FX127" t="s">
        <v>882</v>
      </c>
      <c r="FY127" t="s">
        <v>241</v>
      </c>
      <c r="GA127" t="s">
        <v>242</v>
      </c>
      <c r="GB127" t="s">
        <v>996</v>
      </c>
      <c r="GC127" t="s">
        <v>232</v>
      </c>
    </row>
    <row r="128" spans="1:186" hidden="1" x14ac:dyDescent="0.25">
      <c r="A128" s="1">
        <v>46135.387657164349</v>
      </c>
      <c r="B128" s="1">
        <v>46135.391572800923</v>
      </c>
      <c r="C128" t="s">
        <v>261</v>
      </c>
      <c r="D128">
        <v>127</v>
      </c>
      <c r="E128">
        <v>127</v>
      </c>
      <c r="F128" t="b">
        <f t="shared" si="1"/>
        <v>1</v>
      </c>
      <c r="G128" s="1">
        <v>46131</v>
      </c>
      <c r="H128">
        <v>3</v>
      </c>
      <c r="I128" t="s">
        <v>618</v>
      </c>
      <c r="J128" t="s">
        <v>176</v>
      </c>
      <c r="K128" t="s">
        <v>997</v>
      </c>
      <c r="L128" t="s">
        <v>998</v>
      </c>
      <c r="M128" t="s">
        <v>181</v>
      </c>
      <c r="N128" t="s">
        <v>182</v>
      </c>
      <c r="O128">
        <v>34</v>
      </c>
      <c r="P128" t="s">
        <v>183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184</v>
      </c>
      <c r="W128">
        <v>26</v>
      </c>
      <c r="X128" t="s">
        <v>181</v>
      </c>
      <c r="Z128" t="s">
        <v>185</v>
      </c>
      <c r="AB128" t="s">
        <v>315</v>
      </c>
      <c r="AC128" t="s">
        <v>187</v>
      </c>
      <c r="AD128" t="s">
        <v>210</v>
      </c>
      <c r="AE128" t="s">
        <v>189</v>
      </c>
      <c r="AF128" t="s">
        <v>224</v>
      </c>
      <c r="AG128" t="s">
        <v>768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BK128" t="s">
        <v>224</v>
      </c>
      <c r="BL128" t="s">
        <v>389</v>
      </c>
      <c r="BM128">
        <v>0</v>
      </c>
      <c r="BN128">
        <v>0</v>
      </c>
      <c r="BO128">
        <v>0</v>
      </c>
      <c r="BP128">
        <v>0</v>
      </c>
      <c r="BQ128">
        <v>1</v>
      </c>
      <c r="BR128" t="s">
        <v>227</v>
      </c>
      <c r="BS128" t="s">
        <v>194</v>
      </c>
      <c r="BT128" t="s">
        <v>194</v>
      </c>
      <c r="BU128" t="s">
        <v>194</v>
      </c>
      <c r="CD128" t="s">
        <v>194</v>
      </c>
      <c r="CZ128" t="s">
        <v>194</v>
      </c>
      <c r="DB128" t="s">
        <v>194</v>
      </c>
      <c r="DD128" t="s">
        <v>181</v>
      </c>
      <c r="DE128" t="s">
        <v>199</v>
      </c>
      <c r="DF128" t="s">
        <v>194</v>
      </c>
      <c r="DH128" t="s">
        <v>181</v>
      </c>
      <c r="DI128" t="s">
        <v>199</v>
      </c>
      <c r="DJ128" t="s">
        <v>194</v>
      </c>
      <c r="DL128" t="s">
        <v>181</v>
      </c>
      <c r="DM128" t="s">
        <v>197</v>
      </c>
      <c r="DN128" t="s">
        <v>194</v>
      </c>
      <c r="DP128" t="s">
        <v>194</v>
      </c>
      <c r="DR128" t="s">
        <v>194</v>
      </c>
      <c r="DT128" t="s">
        <v>194</v>
      </c>
      <c r="DV128" t="s">
        <v>194</v>
      </c>
      <c r="DX128" t="s">
        <v>181</v>
      </c>
      <c r="DY128" t="s">
        <v>197</v>
      </c>
      <c r="DZ128" t="s">
        <v>194</v>
      </c>
      <c r="EB128" t="s">
        <v>194</v>
      </c>
      <c r="ED128" t="s">
        <v>194</v>
      </c>
      <c r="EF128" t="s">
        <v>194</v>
      </c>
      <c r="EI128" t="s">
        <v>181</v>
      </c>
      <c r="EJ128" t="s">
        <v>215</v>
      </c>
      <c r="EK128" t="s">
        <v>181</v>
      </c>
      <c r="EM128" t="s">
        <v>181</v>
      </c>
      <c r="EN128" t="s">
        <v>181</v>
      </c>
      <c r="EO128" t="s">
        <v>250</v>
      </c>
      <c r="EP128" t="s">
        <v>194</v>
      </c>
      <c r="ES128" t="s">
        <v>194</v>
      </c>
      <c r="EV128" t="s">
        <v>181</v>
      </c>
      <c r="EW128" t="s">
        <v>181</v>
      </c>
      <c r="EX128" t="s">
        <v>229</v>
      </c>
      <c r="EY128" t="s">
        <v>194</v>
      </c>
      <c r="FB128" t="s">
        <v>194</v>
      </c>
      <c r="FE128" t="s">
        <v>194</v>
      </c>
      <c r="FH128" t="s">
        <v>181</v>
      </c>
      <c r="FI128" t="s">
        <v>181</v>
      </c>
      <c r="FJ128" t="s">
        <v>229</v>
      </c>
      <c r="FK128" t="s">
        <v>181</v>
      </c>
      <c r="FL128" t="s">
        <v>181</v>
      </c>
      <c r="FM128" t="s">
        <v>229</v>
      </c>
      <c r="FN128" t="s">
        <v>194</v>
      </c>
      <c r="FR128" t="s">
        <v>218</v>
      </c>
      <c r="FS128" t="s">
        <v>575</v>
      </c>
      <c r="FU128" t="s">
        <v>194</v>
      </c>
      <c r="GC128" t="s">
        <v>202</v>
      </c>
    </row>
    <row r="129" spans="1:186" hidden="1" x14ac:dyDescent="0.25">
      <c r="A129" s="1">
        <v>46135.391573356479</v>
      </c>
      <c r="B129" s="1">
        <v>46135.397495740741</v>
      </c>
      <c r="C129" t="s">
        <v>261</v>
      </c>
      <c r="D129">
        <v>128</v>
      </c>
      <c r="E129">
        <v>128</v>
      </c>
      <c r="F129" t="b">
        <f t="shared" si="1"/>
        <v>1</v>
      </c>
      <c r="G129" s="1">
        <v>46131</v>
      </c>
      <c r="H129">
        <v>3</v>
      </c>
      <c r="I129" t="s">
        <v>505</v>
      </c>
      <c r="J129" t="s">
        <v>176</v>
      </c>
      <c r="K129" t="s">
        <v>999</v>
      </c>
      <c r="L129" t="s">
        <v>1000</v>
      </c>
      <c r="M129" t="s">
        <v>181</v>
      </c>
      <c r="N129" t="s">
        <v>182</v>
      </c>
      <c r="O129">
        <v>30</v>
      </c>
      <c r="P129" t="s">
        <v>183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184</v>
      </c>
      <c r="W129">
        <v>58</v>
      </c>
      <c r="X129" t="s">
        <v>181</v>
      </c>
      <c r="Z129" t="s">
        <v>185</v>
      </c>
      <c r="AB129" t="s">
        <v>186</v>
      </c>
      <c r="AC129" t="s">
        <v>209</v>
      </c>
      <c r="AD129" t="s">
        <v>188</v>
      </c>
      <c r="AE129" t="s">
        <v>198</v>
      </c>
      <c r="AF129" t="s">
        <v>190</v>
      </c>
      <c r="AW129" t="s">
        <v>405</v>
      </c>
      <c r="AX129">
        <v>1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K129" t="s">
        <v>224</v>
      </c>
      <c r="BL129" t="s">
        <v>192</v>
      </c>
      <c r="BM129">
        <v>0</v>
      </c>
      <c r="BN129">
        <v>1</v>
      </c>
      <c r="BO129">
        <v>1</v>
      </c>
      <c r="BP129">
        <v>0</v>
      </c>
      <c r="BQ129">
        <v>0</v>
      </c>
      <c r="BR129" t="s">
        <v>227</v>
      </c>
      <c r="BS129" t="s">
        <v>194</v>
      </c>
      <c r="BT129" t="s">
        <v>194</v>
      </c>
      <c r="BU129" t="s">
        <v>194</v>
      </c>
      <c r="CD129" t="s">
        <v>194</v>
      </c>
      <c r="CZ129" t="s">
        <v>194</v>
      </c>
      <c r="DB129" t="s">
        <v>194</v>
      </c>
      <c r="DD129" t="s">
        <v>181</v>
      </c>
      <c r="DE129" t="s">
        <v>199</v>
      </c>
      <c r="DF129" t="s">
        <v>181</v>
      </c>
      <c r="DG129" t="s">
        <v>199</v>
      </c>
      <c r="DH129" t="s">
        <v>194</v>
      </c>
      <c r="DJ129" t="s">
        <v>181</v>
      </c>
      <c r="DK129" t="s">
        <v>199</v>
      </c>
      <c r="DL129" t="s">
        <v>181</v>
      </c>
      <c r="DM129" t="s">
        <v>197</v>
      </c>
      <c r="DN129" t="s">
        <v>181</v>
      </c>
      <c r="DO129" t="s">
        <v>199</v>
      </c>
      <c r="DP129" t="s">
        <v>194</v>
      </c>
      <c r="DR129" t="s">
        <v>194</v>
      </c>
      <c r="DT129" t="s">
        <v>194</v>
      </c>
      <c r="DV129" t="s">
        <v>194</v>
      </c>
      <c r="DX129" t="s">
        <v>181</v>
      </c>
      <c r="DY129" t="s">
        <v>197</v>
      </c>
      <c r="DZ129" t="s">
        <v>194</v>
      </c>
      <c r="EB129" t="s">
        <v>194</v>
      </c>
      <c r="ED129" t="s">
        <v>194</v>
      </c>
      <c r="EF129" t="s">
        <v>194</v>
      </c>
      <c r="EI129" t="s">
        <v>181</v>
      </c>
      <c r="EJ129" t="s">
        <v>215</v>
      </c>
      <c r="EK129" t="s">
        <v>181</v>
      </c>
      <c r="EM129" t="s">
        <v>181</v>
      </c>
      <c r="EN129" t="s">
        <v>194</v>
      </c>
      <c r="EP129" t="s">
        <v>194</v>
      </c>
      <c r="ES129" t="s">
        <v>194</v>
      </c>
      <c r="EV129" t="s">
        <v>181</v>
      </c>
      <c r="EW129" t="s">
        <v>194</v>
      </c>
      <c r="EY129" t="s">
        <v>194</v>
      </c>
      <c r="FB129" t="s">
        <v>194</v>
      </c>
      <c r="FE129" t="s">
        <v>181</v>
      </c>
      <c r="FF129" t="s">
        <v>194</v>
      </c>
      <c r="FH129" t="s">
        <v>181</v>
      </c>
      <c r="FI129" t="s">
        <v>194</v>
      </c>
      <c r="FK129" t="s">
        <v>181</v>
      </c>
      <c r="FL129" t="s">
        <v>194</v>
      </c>
      <c r="FN129" t="s">
        <v>194</v>
      </c>
      <c r="FR129" t="s">
        <v>309</v>
      </c>
      <c r="FS129" t="s">
        <v>1159</v>
      </c>
      <c r="FU129" t="s">
        <v>238</v>
      </c>
      <c r="FV129" t="s">
        <v>383</v>
      </c>
      <c r="FW129" t="s">
        <v>241</v>
      </c>
      <c r="FX129" t="s">
        <v>1001</v>
      </c>
      <c r="FY129" t="s">
        <v>241</v>
      </c>
      <c r="GA129" t="s">
        <v>194</v>
      </c>
      <c r="GB129" t="s">
        <v>1002</v>
      </c>
      <c r="GC129" t="s">
        <v>941</v>
      </c>
    </row>
    <row r="130" spans="1:186" hidden="1" x14ac:dyDescent="0.25">
      <c r="A130" s="1">
        <v>46135.397496435187</v>
      </c>
      <c r="B130" s="1">
        <v>46135.408320856477</v>
      </c>
      <c r="C130" t="s">
        <v>261</v>
      </c>
      <c r="D130">
        <v>129</v>
      </c>
      <c r="E130">
        <v>129</v>
      </c>
      <c r="F130" t="b">
        <f t="shared" si="1"/>
        <v>1</v>
      </c>
      <c r="G130" s="1">
        <v>46131</v>
      </c>
      <c r="H130">
        <v>3</v>
      </c>
      <c r="I130" t="s">
        <v>463</v>
      </c>
      <c r="J130" t="s">
        <v>176</v>
      </c>
      <c r="K130" t="s">
        <v>1003</v>
      </c>
      <c r="L130" t="s">
        <v>1004</v>
      </c>
      <c r="M130" t="s">
        <v>181</v>
      </c>
      <c r="N130" t="s">
        <v>182</v>
      </c>
      <c r="O130">
        <v>20</v>
      </c>
      <c r="P130" t="s">
        <v>183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184</v>
      </c>
      <c r="W130">
        <v>18</v>
      </c>
      <c r="X130" t="s">
        <v>181</v>
      </c>
      <c r="Z130" t="s">
        <v>185</v>
      </c>
      <c r="AB130" t="s">
        <v>223</v>
      </c>
      <c r="AC130" t="s">
        <v>257</v>
      </c>
      <c r="AD130" t="s">
        <v>188</v>
      </c>
      <c r="AE130" t="s">
        <v>265</v>
      </c>
      <c r="AF130" t="s">
        <v>190</v>
      </c>
      <c r="AW130" t="s">
        <v>191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K130" t="s">
        <v>224</v>
      </c>
      <c r="BL130" t="s">
        <v>226</v>
      </c>
      <c r="BM130">
        <v>0</v>
      </c>
      <c r="BN130">
        <v>1</v>
      </c>
      <c r="BO130">
        <v>0</v>
      </c>
      <c r="BP130">
        <v>0</v>
      </c>
      <c r="BQ130">
        <v>0</v>
      </c>
      <c r="BR130" t="s">
        <v>193</v>
      </c>
      <c r="BS130" t="s">
        <v>194</v>
      </c>
      <c r="BT130" t="s">
        <v>181</v>
      </c>
      <c r="BU130" t="s">
        <v>194</v>
      </c>
      <c r="CD130" t="s">
        <v>194</v>
      </c>
      <c r="CZ130" t="s">
        <v>181</v>
      </c>
      <c r="DA130" t="s">
        <v>199</v>
      </c>
      <c r="DB130" t="s">
        <v>194</v>
      </c>
      <c r="DD130" t="s">
        <v>181</v>
      </c>
      <c r="DE130" t="s">
        <v>199</v>
      </c>
      <c r="DF130" t="s">
        <v>181</v>
      </c>
      <c r="DG130" t="s">
        <v>199</v>
      </c>
      <c r="DH130" t="s">
        <v>181</v>
      </c>
      <c r="DI130" t="s">
        <v>199</v>
      </c>
      <c r="DJ130" t="s">
        <v>181</v>
      </c>
      <c r="DK130" t="s">
        <v>197</v>
      </c>
      <c r="DL130" t="s">
        <v>181</v>
      </c>
      <c r="DM130" t="s">
        <v>199</v>
      </c>
      <c r="DN130" t="s">
        <v>181</v>
      </c>
      <c r="DO130" t="s">
        <v>199</v>
      </c>
      <c r="DP130" t="s">
        <v>194</v>
      </c>
      <c r="DR130" t="s">
        <v>181</v>
      </c>
      <c r="DS130" t="s">
        <v>199</v>
      </c>
      <c r="DT130" t="s">
        <v>194</v>
      </c>
      <c r="DV130" t="s">
        <v>181</v>
      </c>
      <c r="DW130" t="s">
        <v>199</v>
      </c>
      <c r="DX130" t="s">
        <v>181</v>
      </c>
      <c r="DY130" t="s">
        <v>199</v>
      </c>
      <c r="DZ130" t="s">
        <v>181</v>
      </c>
      <c r="EA130" t="s">
        <v>199</v>
      </c>
      <c r="EB130" t="s">
        <v>194</v>
      </c>
      <c r="ED130" t="s">
        <v>194</v>
      </c>
      <c r="EF130" t="s">
        <v>181</v>
      </c>
      <c r="EG130" t="s">
        <v>1005</v>
      </c>
      <c r="EH130" t="s">
        <v>199</v>
      </c>
      <c r="EI130" t="s">
        <v>181</v>
      </c>
      <c r="EJ130" t="s">
        <v>199</v>
      </c>
      <c r="EK130" t="s">
        <v>181</v>
      </c>
      <c r="EM130" t="s">
        <v>181</v>
      </c>
      <c r="EN130" t="s">
        <v>194</v>
      </c>
      <c r="EP130" t="s">
        <v>181</v>
      </c>
      <c r="EQ130" t="s">
        <v>194</v>
      </c>
      <c r="ES130" t="s">
        <v>194</v>
      </c>
      <c r="EV130" t="s">
        <v>181</v>
      </c>
      <c r="EW130" t="s">
        <v>181</v>
      </c>
      <c r="EX130" t="s">
        <v>250</v>
      </c>
      <c r="EY130" t="s">
        <v>181</v>
      </c>
      <c r="EZ130" t="s">
        <v>194</v>
      </c>
      <c r="FB130" t="s">
        <v>181</v>
      </c>
      <c r="FC130" t="s">
        <v>181</v>
      </c>
      <c r="FD130" t="s">
        <v>250</v>
      </c>
      <c r="FE130" t="s">
        <v>194</v>
      </c>
      <c r="FH130" t="s">
        <v>181</v>
      </c>
      <c r="FI130" t="s">
        <v>181</v>
      </c>
      <c r="FJ130" t="s">
        <v>250</v>
      </c>
      <c r="FK130" t="s">
        <v>181</v>
      </c>
      <c r="FL130" t="s">
        <v>181</v>
      </c>
      <c r="FM130" t="s">
        <v>250</v>
      </c>
      <c r="FN130" t="s">
        <v>181</v>
      </c>
      <c r="FO130" t="s">
        <v>181</v>
      </c>
      <c r="FP130" t="s">
        <v>250</v>
      </c>
      <c r="FR130" t="s">
        <v>237</v>
      </c>
      <c r="FU130" t="s">
        <v>238</v>
      </c>
      <c r="FV130" t="s">
        <v>239</v>
      </c>
      <c r="FW130" t="s">
        <v>241</v>
      </c>
      <c r="FX130" t="s">
        <v>1006</v>
      </c>
      <c r="FY130" t="s">
        <v>241</v>
      </c>
      <c r="GA130" t="s">
        <v>194</v>
      </c>
      <c r="GB130" t="s">
        <v>642</v>
      </c>
      <c r="GC130" t="s">
        <v>202</v>
      </c>
      <c r="GD130" t="s">
        <v>1007</v>
      </c>
    </row>
    <row r="131" spans="1:186" hidden="1" x14ac:dyDescent="0.25">
      <c r="A131" s="1">
        <v>46135.40832159722</v>
      </c>
      <c r="B131" s="1">
        <v>46135.41698263889</v>
      </c>
      <c r="C131" t="s">
        <v>261</v>
      </c>
      <c r="D131">
        <v>130</v>
      </c>
      <c r="E131">
        <v>130</v>
      </c>
      <c r="F131" t="b">
        <f t="shared" ref="F131:F167" si="2">E131=D131</f>
        <v>1</v>
      </c>
      <c r="G131" s="1">
        <v>46131</v>
      </c>
      <c r="H131">
        <v>3</v>
      </c>
      <c r="I131" t="s">
        <v>618</v>
      </c>
      <c r="J131" t="s">
        <v>176</v>
      </c>
      <c r="K131" t="s">
        <v>1008</v>
      </c>
      <c r="L131" t="s">
        <v>631</v>
      </c>
      <c r="M131" t="s">
        <v>181</v>
      </c>
      <c r="N131" t="s">
        <v>182</v>
      </c>
      <c r="O131">
        <v>30</v>
      </c>
      <c r="P131" t="s">
        <v>183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184</v>
      </c>
      <c r="W131">
        <v>66</v>
      </c>
      <c r="X131" t="s">
        <v>181</v>
      </c>
      <c r="Z131" t="s">
        <v>185</v>
      </c>
      <c r="AB131" t="s">
        <v>315</v>
      </c>
      <c r="AC131" t="s">
        <v>209</v>
      </c>
      <c r="AD131" t="s">
        <v>188</v>
      </c>
      <c r="AE131" t="s">
        <v>265</v>
      </c>
      <c r="AF131" t="s">
        <v>224</v>
      </c>
      <c r="AG131" t="s">
        <v>295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BK131" t="s">
        <v>224</v>
      </c>
      <c r="BL131" t="s">
        <v>389</v>
      </c>
      <c r="BM131">
        <v>0</v>
      </c>
      <c r="BN131">
        <v>0</v>
      </c>
      <c r="BO131">
        <v>0</v>
      </c>
      <c r="BP131">
        <v>0</v>
      </c>
      <c r="BQ131">
        <v>1</v>
      </c>
      <c r="BR131" t="s">
        <v>227</v>
      </c>
      <c r="BS131" t="s">
        <v>194</v>
      </c>
      <c r="BT131" t="s">
        <v>194</v>
      </c>
      <c r="BU131" t="s">
        <v>194</v>
      </c>
      <c r="CD131" t="s">
        <v>194</v>
      </c>
      <c r="CZ131" t="s">
        <v>194</v>
      </c>
      <c r="DB131" t="s">
        <v>194</v>
      </c>
      <c r="DD131" t="s">
        <v>194</v>
      </c>
      <c r="DF131" t="s">
        <v>194</v>
      </c>
      <c r="DH131" t="s">
        <v>198</v>
      </c>
      <c r="DJ131" t="s">
        <v>194</v>
      </c>
      <c r="DL131" t="s">
        <v>194</v>
      </c>
      <c r="DN131" t="s">
        <v>194</v>
      </c>
      <c r="DP131" t="s">
        <v>194</v>
      </c>
      <c r="DR131" t="s">
        <v>198</v>
      </c>
      <c r="DT131" t="s">
        <v>198</v>
      </c>
      <c r="DV131" t="s">
        <v>194</v>
      </c>
      <c r="DX131" t="s">
        <v>194</v>
      </c>
      <c r="DZ131" t="s">
        <v>194</v>
      </c>
      <c r="EB131" t="s">
        <v>198</v>
      </c>
      <c r="ED131" t="s">
        <v>194</v>
      </c>
      <c r="EF131" t="s">
        <v>194</v>
      </c>
      <c r="EI131" t="s">
        <v>181</v>
      </c>
      <c r="EJ131" t="s">
        <v>215</v>
      </c>
      <c r="EK131" t="s">
        <v>194</v>
      </c>
      <c r="EM131" t="s">
        <v>181</v>
      </c>
      <c r="EN131" t="s">
        <v>181</v>
      </c>
      <c r="EO131" t="s">
        <v>229</v>
      </c>
      <c r="EP131" t="s">
        <v>194</v>
      </c>
      <c r="ES131" t="s">
        <v>194</v>
      </c>
      <c r="EV131" t="s">
        <v>181</v>
      </c>
      <c r="EW131" t="s">
        <v>181</v>
      </c>
      <c r="EX131" t="s">
        <v>229</v>
      </c>
      <c r="EY131" t="s">
        <v>181</v>
      </c>
      <c r="EZ131" t="s">
        <v>194</v>
      </c>
      <c r="FB131" t="s">
        <v>194</v>
      </c>
      <c r="FE131" t="s">
        <v>181</v>
      </c>
      <c r="FF131" t="s">
        <v>181</v>
      </c>
      <c r="FG131" t="s">
        <v>229</v>
      </c>
      <c r="FH131" t="s">
        <v>181</v>
      </c>
      <c r="FI131" t="s">
        <v>194</v>
      </c>
      <c r="FK131" t="s">
        <v>181</v>
      </c>
      <c r="FL131" t="s">
        <v>194</v>
      </c>
      <c r="FN131" t="s">
        <v>194</v>
      </c>
      <c r="FR131" t="s">
        <v>218</v>
      </c>
      <c r="FS131" t="s">
        <v>759</v>
      </c>
      <c r="FU131" t="s">
        <v>238</v>
      </c>
      <c r="FV131" t="s">
        <v>239</v>
      </c>
      <c r="FW131" t="s">
        <v>238</v>
      </c>
      <c r="FX131" t="s">
        <v>1009</v>
      </c>
      <c r="FY131" t="s">
        <v>241</v>
      </c>
      <c r="GA131" t="s">
        <v>242</v>
      </c>
      <c r="GB131" t="s">
        <v>1010</v>
      </c>
      <c r="GC131" t="s">
        <v>373</v>
      </c>
    </row>
    <row r="132" spans="1:186" hidden="1" x14ac:dyDescent="0.25">
      <c r="A132" s="1">
        <v>46135.416983287039</v>
      </c>
      <c r="B132" s="1">
        <v>46135.421594467603</v>
      </c>
      <c r="C132" t="s">
        <v>261</v>
      </c>
      <c r="D132">
        <v>131</v>
      </c>
      <c r="E132">
        <v>131</v>
      </c>
      <c r="F132" t="b">
        <f t="shared" si="2"/>
        <v>1</v>
      </c>
      <c r="G132" s="1">
        <v>46131</v>
      </c>
      <c r="H132">
        <v>3</v>
      </c>
      <c r="I132" t="s">
        <v>505</v>
      </c>
      <c r="J132" t="s">
        <v>176</v>
      </c>
      <c r="K132" t="s">
        <v>1011</v>
      </c>
      <c r="L132" t="s">
        <v>620</v>
      </c>
      <c r="M132" t="s">
        <v>181</v>
      </c>
      <c r="N132" t="s">
        <v>182</v>
      </c>
      <c r="O132">
        <v>15</v>
      </c>
      <c r="P132" t="s">
        <v>183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222</v>
      </c>
      <c r="W132">
        <v>42</v>
      </c>
      <c r="X132" t="s">
        <v>181</v>
      </c>
      <c r="Z132" t="s">
        <v>185</v>
      </c>
      <c r="AB132" t="s">
        <v>256</v>
      </c>
      <c r="AC132" t="s">
        <v>502</v>
      </c>
      <c r="AD132" t="s">
        <v>188</v>
      </c>
      <c r="AE132" t="s">
        <v>235</v>
      </c>
      <c r="AF132" t="s">
        <v>190</v>
      </c>
      <c r="AW132" t="s">
        <v>405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K132" t="s">
        <v>190</v>
      </c>
      <c r="BL132" t="s">
        <v>258</v>
      </c>
      <c r="BM132">
        <v>0</v>
      </c>
      <c r="BN132">
        <v>0</v>
      </c>
      <c r="BO132">
        <v>0</v>
      </c>
      <c r="BP132">
        <v>1</v>
      </c>
      <c r="BQ132">
        <v>0</v>
      </c>
      <c r="BR132" t="s">
        <v>227</v>
      </c>
      <c r="BS132" t="s">
        <v>194</v>
      </c>
      <c r="BT132" t="s">
        <v>194</v>
      </c>
      <c r="BU132" t="s">
        <v>194</v>
      </c>
      <c r="CD132" t="s">
        <v>194</v>
      </c>
      <c r="CZ132" t="s">
        <v>194</v>
      </c>
      <c r="DB132" t="s">
        <v>194</v>
      </c>
      <c r="DD132" t="s">
        <v>181</v>
      </c>
      <c r="DE132" t="s">
        <v>215</v>
      </c>
      <c r="DF132" t="s">
        <v>181</v>
      </c>
      <c r="DG132" t="s">
        <v>215</v>
      </c>
      <c r="DH132" t="s">
        <v>181</v>
      </c>
      <c r="DI132" t="s">
        <v>199</v>
      </c>
      <c r="DJ132" t="s">
        <v>181</v>
      </c>
      <c r="DK132" t="s">
        <v>197</v>
      </c>
      <c r="DL132" t="s">
        <v>194</v>
      </c>
      <c r="DN132" t="s">
        <v>181</v>
      </c>
      <c r="DO132" t="s">
        <v>199</v>
      </c>
      <c r="DP132" t="s">
        <v>194</v>
      </c>
      <c r="DR132" t="s">
        <v>181</v>
      </c>
      <c r="DS132" t="s">
        <v>199</v>
      </c>
      <c r="DT132" t="s">
        <v>194</v>
      </c>
      <c r="DV132" t="s">
        <v>194</v>
      </c>
      <c r="DX132" t="s">
        <v>194</v>
      </c>
      <c r="DZ132" t="s">
        <v>194</v>
      </c>
      <c r="EB132" t="s">
        <v>194</v>
      </c>
      <c r="ED132" t="s">
        <v>194</v>
      </c>
      <c r="EF132" t="s">
        <v>194</v>
      </c>
      <c r="EI132" t="s">
        <v>181</v>
      </c>
      <c r="EJ132" t="s">
        <v>215</v>
      </c>
      <c r="EK132" t="s">
        <v>181</v>
      </c>
      <c r="EM132" t="s">
        <v>181</v>
      </c>
      <c r="EN132" t="s">
        <v>194</v>
      </c>
      <c r="EP132" t="s">
        <v>194</v>
      </c>
      <c r="ES132" t="s">
        <v>194</v>
      </c>
      <c r="EV132" t="s">
        <v>194</v>
      </c>
      <c r="EY132" t="s">
        <v>181</v>
      </c>
      <c r="EZ132" t="s">
        <v>194</v>
      </c>
      <c r="FB132" t="s">
        <v>194</v>
      </c>
      <c r="FE132" t="s">
        <v>181</v>
      </c>
      <c r="FF132" t="s">
        <v>194</v>
      </c>
      <c r="FH132" t="s">
        <v>181</v>
      </c>
      <c r="FI132" t="s">
        <v>194</v>
      </c>
      <c r="FK132" t="s">
        <v>181</v>
      </c>
      <c r="FL132" t="s">
        <v>194</v>
      </c>
      <c r="FN132" t="s">
        <v>194</v>
      </c>
      <c r="FR132" t="s">
        <v>287</v>
      </c>
      <c r="FS132" t="s">
        <v>218</v>
      </c>
      <c r="FU132" t="s">
        <v>238</v>
      </c>
      <c r="FV132" t="s">
        <v>239</v>
      </c>
      <c r="FW132" t="s">
        <v>238</v>
      </c>
      <c r="FX132" t="s">
        <v>1012</v>
      </c>
      <c r="FY132" t="s">
        <v>241</v>
      </c>
      <c r="GA132" t="s">
        <v>242</v>
      </c>
      <c r="GB132" t="s">
        <v>739</v>
      </c>
      <c r="GC132" t="s">
        <v>373</v>
      </c>
    </row>
    <row r="133" spans="1:186" hidden="1" x14ac:dyDescent="0.25">
      <c r="A133" s="1">
        <v>46135.421595243053</v>
      </c>
      <c r="B133" s="1">
        <v>46135.446431851851</v>
      </c>
      <c r="C133" t="s">
        <v>261</v>
      </c>
      <c r="D133">
        <v>132</v>
      </c>
      <c r="E133">
        <v>132</v>
      </c>
      <c r="F133" t="b">
        <f t="shared" si="2"/>
        <v>1</v>
      </c>
      <c r="G133" s="1">
        <v>46131</v>
      </c>
      <c r="H133">
        <v>3</v>
      </c>
      <c r="I133" t="s">
        <v>463</v>
      </c>
      <c r="J133" t="s">
        <v>176</v>
      </c>
      <c r="K133" t="s">
        <v>1013</v>
      </c>
      <c r="L133" t="s">
        <v>1014</v>
      </c>
      <c r="M133" t="s">
        <v>181</v>
      </c>
      <c r="N133" t="s">
        <v>182</v>
      </c>
      <c r="O133">
        <v>35</v>
      </c>
      <c r="P133" t="s">
        <v>183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222</v>
      </c>
      <c r="W133">
        <v>47</v>
      </c>
      <c r="X133" t="s">
        <v>181</v>
      </c>
      <c r="Z133" t="s">
        <v>185</v>
      </c>
      <c r="AB133" t="s">
        <v>223</v>
      </c>
      <c r="AC133" t="s">
        <v>257</v>
      </c>
      <c r="AD133" t="s">
        <v>188</v>
      </c>
      <c r="AE133" t="s">
        <v>189</v>
      </c>
      <c r="AF133" t="s">
        <v>190</v>
      </c>
      <c r="AW133" t="s">
        <v>191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K133" t="s">
        <v>224</v>
      </c>
      <c r="BL133" t="s">
        <v>192</v>
      </c>
      <c r="BM133">
        <v>0</v>
      </c>
      <c r="BN133">
        <v>1</v>
      </c>
      <c r="BO133">
        <v>1</v>
      </c>
      <c r="BP133">
        <v>0</v>
      </c>
      <c r="BQ133">
        <v>0</v>
      </c>
      <c r="BR133" t="s">
        <v>193</v>
      </c>
      <c r="BS133" t="s">
        <v>194</v>
      </c>
      <c r="BT133" t="s">
        <v>181</v>
      </c>
      <c r="BU133" t="s">
        <v>181</v>
      </c>
      <c r="BV133" t="s">
        <v>195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</v>
      </c>
      <c r="CC133" t="s">
        <v>1015</v>
      </c>
      <c r="CD133" t="s">
        <v>181</v>
      </c>
      <c r="CE133" t="s">
        <v>214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R133" t="s">
        <v>194</v>
      </c>
      <c r="CZ133" t="s">
        <v>194</v>
      </c>
      <c r="DB133" t="s">
        <v>194</v>
      </c>
      <c r="DD133" t="s">
        <v>181</v>
      </c>
      <c r="DE133" t="s">
        <v>215</v>
      </c>
      <c r="DF133" t="s">
        <v>181</v>
      </c>
      <c r="DG133" t="s">
        <v>199</v>
      </c>
      <c r="DH133" t="s">
        <v>181</v>
      </c>
      <c r="DI133" t="s">
        <v>197</v>
      </c>
      <c r="DJ133" t="s">
        <v>194</v>
      </c>
      <c r="DL133" t="s">
        <v>181</v>
      </c>
      <c r="DM133" t="s">
        <v>199</v>
      </c>
      <c r="DN133" t="s">
        <v>181</v>
      </c>
      <c r="DO133" t="s">
        <v>197</v>
      </c>
      <c r="DP133" t="s">
        <v>194</v>
      </c>
      <c r="DR133" t="s">
        <v>181</v>
      </c>
      <c r="DS133" t="s">
        <v>197</v>
      </c>
      <c r="DT133" t="s">
        <v>194</v>
      </c>
      <c r="DV133" t="s">
        <v>181</v>
      </c>
      <c r="DW133" t="s">
        <v>199</v>
      </c>
      <c r="DX133" t="s">
        <v>194</v>
      </c>
      <c r="DZ133" t="s">
        <v>194</v>
      </c>
      <c r="EB133" t="s">
        <v>194</v>
      </c>
      <c r="ED133" t="s">
        <v>194</v>
      </c>
      <c r="EF133" t="s">
        <v>194</v>
      </c>
      <c r="EI133" t="s">
        <v>181</v>
      </c>
      <c r="EJ133" t="s">
        <v>199</v>
      </c>
      <c r="EK133" t="s">
        <v>194</v>
      </c>
      <c r="EM133" t="s">
        <v>181</v>
      </c>
      <c r="EN133" t="s">
        <v>181</v>
      </c>
      <c r="EO133" t="s">
        <v>250</v>
      </c>
      <c r="EP133" t="s">
        <v>181</v>
      </c>
      <c r="EQ133" t="s">
        <v>181</v>
      </c>
      <c r="ER133" t="s">
        <v>250</v>
      </c>
      <c r="ES133" t="s">
        <v>194</v>
      </c>
      <c r="EV133" t="s">
        <v>181</v>
      </c>
      <c r="EW133" t="s">
        <v>194</v>
      </c>
      <c r="EY133" t="s">
        <v>194</v>
      </c>
      <c r="FB133" t="s">
        <v>194</v>
      </c>
      <c r="FE133" t="s">
        <v>181</v>
      </c>
      <c r="FF133" t="s">
        <v>181</v>
      </c>
      <c r="FG133" t="s">
        <v>250</v>
      </c>
      <c r="FH133" t="s">
        <v>181</v>
      </c>
      <c r="FI133" t="s">
        <v>181</v>
      </c>
      <c r="FJ133" t="s">
        <v>250</v>
      </c>
      <c r="FK133" t="s">
        <v>181</v>
      </c>
      <c r="FL133" t="s">
        <v>181</v>
      </c>
      <c r="FM133" t="s">
        <v>250</v>
      </c>
      <c r="FN133" t="s">
        <v>181</v>
      </c>
      <c r="FO133" t="s">
        <v>181</v>
      </c>
      <c r="FP133" t="s">
        <v>250</v>
      </c>
      <c r="FR133" t="s">
        <v>278</v>
      </c>
      <c r="FU133" t="s">
        <v>238</v>
      </c>
      <c r="FV133" t="s">
        <v>239</v>
      </c>
      <c r="FW133" t="s">
        <v>238</v>
      </c>
      <c r="FX133" t="s">
        <v>1017</v>
      </c>
      <c r="FY133" t="s">
        <v>241</v>
      </c>
      <c r="GA133" t="s">
        <v>242</v>
      </c>
      <c r="GB133" t="s">
        <v>1018</v>
      </c>
      <c r="GC133" t="s">
        <v>373</v>
      </c>
      <c r="GD133" t="s">
        <v>1019</v>
      </c>
    </row>
    <row r="134" spans="1:186" hidden="1" x14ac:dyDescent="0.25">
      <c r="A134" s="1">
        <v>46135.44643265046</v>
      </c>
      <c r="B134" s="1">
        <v>46135.449021689812</v>
      </c>
      <c r="C134" t="s">
        <v>261</v>
      </c>
      <c r="D134">
        <v>133</v>
      </c>
      <c r="E134">
        <v>133</v>
      </c>
      <c r="F134" t="b">
        <f t="shared" si="2"/>
        <v>1</v>
      </c>
      <c r="G134" s="1">
        <v>46131</v>
      </c>
      <c r="H134">
        <v>3</v>
      </c>
      <c r="I134" t="s">
        <v>505</v>
      </c>
      <c r="J134" t="s">
        <v>176</v>
      </c>
      <c r="K134" t="s">
        <v>1020</v>
      </c>
      <c r="L134" t="s">
        <v>1021</v>
      </c>
      <c r="M134" t="s">
        <v>181</v>
      </c>
      <c r="N134" t="s">
        <v>182</v>
      </c>
      <c r="O134">
        <v>30</v>
      </c>
      <c r="P134" t="s">
        <v>183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222</v>
      </c>
      <c r="W134">
        <v>76</v>
      </c>
      <c r="X134" t="s">
        <v>181</v>
      </c>
      <c r="Z134" t="s">
        <v>185</v>
      </c>
      <c r="AB134" t="s">
        <v>223</v>
      </c>
      <c r="AC134" t="s">
        <v>257</v>
      </c>
      <c r="AD134" t="s">
        <v>188</v>
      </c>
      <c r="AE134" t="s">
        <v>265</v>
      </c>
      <c r="AF134" t="s">
        <v>190</v>
      </c>
      <c r="AW134" t="s">
        <v>1022</v>
      </c>
      <c r="AX134">
        <v>0</v>
      </c>
      <c r="AY134">
        <v>0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K134" t="s">
        <v>224</v>
      </c>
      <c r="BL134" t="s">
        <v>226</v>
      </c>
      <c r="BM134">
        <v>0</v>
      </c>
      <c r="BN134">
        <v>1</v>
      </c>
      <c r="BO134">
        <v>0</v>
      </c>
      <c r="BP134">
        <v>0</v>
      </c>
      <c r="BQ134">
        <v>0</v>
      </c>
      <c r="BR134" t="s">
        <v>227</v>
      </c>
      <c r="BS134" t="s">
        <v>194</v>
      </c>
      <c r="BT134" t="s">
        <v>194</v>
      </c>
      <c r="BU134" t="s">
        <v>194</v>
      </c>
      <c r="CD134" t="s">
        <v>194</v>
      </c>
      <c r="CZ134" t="s">
        <v>194</v>
      </c>
      <c r="DB134" t="s">
        <v>194</v>
      </c>
      <c r="DD134" t="s">
        <v>181</v>
      </c>
      <c r="DE134" t="s">
        <v>199</v>
      </c>
      <c r="DF134" t="s">
        <v>181</v>
      </c>
      <c r="DG134" t="s">
        <v>199</v>
      </c>
      <c r="DH134" t="s">
        <v>181</v>
      </c>
      <c r="DI134" t="s">
        <v>197</v>
      </c>
      <c r="DJ134" t="s">
        <v>194</v>
      </c>
      <c r="DL134" t="s">
        <v>194</v>
      </c>
      <c r="DN134" t="s">
        <v>181</v>
      </c>
      <c r="DO134" t="s">
        <v>199</v>
      </c>
      <c r="DP134" t="s">
        <v>194</v>
      </c>
      <c r="DR134" t="s">
        <v>181</v>
      </c>
      <c r="DS134" t="s">
        <v>199</v>
      </c>
      <c r="DT134" t="s">
        <v>194</v>
      </c>
      <c r="DV134" t="s">
        <v>194</v>
      </c>
      <c r="DX134" t="s">
        <v>194</v>
      </c>
      <c r="DZ134" t="s">
        <v>194</v>
      </c>
      <c r="EB134" t="s">
        <v>194</v>
      </c>
      <c r="ED134" t="s">
        <v>194</v>
      </c>
      <c r="EF134" t="s">
        <v>194</v>
      </c>
      <c r="EI134" t="s">
        <v>181</v>
      </c>
      <c r="EJ134" t="s">
        <v>215</v>
      </c>
      <c r="EK134" t="s">
        <v>194</v>
      </c>
      <c r="EM134" t="s">
        <v>181</v>
      </c>
      <c r="EN134" t="s">
        <v>194</v>
      </c>
      <c r="EP134" t="s">
        <v>194</v>
      </c>
      <c r="ES134" t="s">
        <v>194</v>
      </c>
      <c r="EV134" t="s">
        <v>181</v>
      </c>
      <c r="EW134" t="s">
        <v>194</v>
      </c>
      <c r="EY134" t="s">
        <v>194</v>
      </c>
      <c r="FB134" t="s">
        <v>194</v>
      </c>
      <c r="FE134" t="s">
        <v>181</v>
      </c>
      <c r="FF134" t="s">
        <v>194</v>
      </c>
      <c r="FH134" t="s">
        <v>181</v>
      </c>
      <c r="FI134" t="s">
        <v>194</v>
      </c>
      <c r="FK134" t="s">
        <v>181</v>
      </c>
      <c r="FL134" t="s">
        <v>194</v>
      </c>
      <c r="FN134" t="s">
        <v>194</v>
      </c>
      <c r="FR134" t="s">
        <v>309</v>
      </c>
      <c r="FU134" t="s">
        <v>194</v>
      </c>
      <c r="GC134" t="s">
        <v>373</v>
      </c>
    </row>
    <row r="135" spans="1:186" hidden="1" x14ac:dyDescent="0.25">
      <c r="A135" s="1">
        <v>46135.449022222223</v>
      </c>
      <c r="B135" s="1">
        <v>46135.457111863427</v>
      </c>
      <c r="C135" t="s">
        <v>261</v>
      </c>
      <c r="D135">
        <v>134</v>
      </c>
      <c r="E135">
        <v>134</v>
      </c>
      <c r="F135" t="b">
        <f t="shared" si="2"/>
        <v>1</v>
      </c>
      <c r="G135" s="1">
        <v>46131</v>
      </c>
      <c r="H135">
        <v>3</v>
      </c>
      <c r="I135" t="s">
        <v>618</v>
      </c>
      <c r="J135" t="s">
        <v>176</v>
      </c>
      <c r="K135" t="s">
        <v>1023</v>
      </c>
      <c r="L135" t="s">
        <v>1024</v>
      </c>
      <c r="M135" t="s">
        <v>181</v>
      </c>
      <c r="N135" t="s">
        <v>182</v>
      </c>
      <c r="O135">
        <v>30</v>
      </c>
      <c r="P135" t="s">
        <v>183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222</v>
      </c>
      <c r="W135">
        <v>62</v>
      </c>
      <c r="X135" t="s">
        <v>181</v>
      </c>
      <c r="Z135" t="s">
        <v>185</v>
      </c>
      <c r="AB135" t="s">
        <v>223</v>
      </c>
      <c r="AC135" t="s">
        <v>257</v>
      </c>
      <c r="AD135" t="s">
        <v>210</v>
      </c>
      <c r="AE135" t="s">
        <v>189</v>
      </c>
      <c r="AF135" t="s">
        <v>190</v>
      </c>
      <c r="AW135" t="s">
        <v>191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K135" t="s">
        <v>190</v>
      </c>
      <c r="BL135" t="s">
        <v>258</v>
      </c>
      <c r="BM135">
        <v>0</v>
      </c>
      <c r="BN135">
        <v>0</v>
      </c>
      <c r="BO135">
        <v>0</v>
      </c>
      <c r="BP135">
        <v>1</v>
      </c>
      <c r="BQ135">
        <v>0</v>
      </c>
      <c r="BR135" t="s">
        <v>193</v>
      </c>
      <c r="BS135" t="s">
        <v>194</v>
      </c>
      <c r="BT135" t="s">
        <v>181</v>
      </c>
      <c r="BU135" t="s">
        <v>181</v>
      </c>
      <c r="BV135" t="s">
        <v>195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 t="s">
        <v>1025</v>
      </c>
      <c r="CD135" t="s">
        <v>194</v>
      </c>
      <c r="CZ135" t="s">
        <v>181</v>
      </c>
      <c r="DA135" t="s">
        <v>215</v>
      </c>
      <c r="DB135" t="s">
        <v>194</v>
      </c>
      <c r="DD135" t="s">
        <v>181</v>
      </c>
      <c r="DE135" t="s">
        <v>199</v>
      </c>
      <c r="DF135" t="s">
        <v>181</v>
      </c>
      <c r="DG135" t="s">
        <v>199</v>
      </c>
      <c r="DH135" t="s">
        <v>194</v>
      </c>
      <c r="DJ135" t="s">
        <v>194</v>
      </c>
      <c r="DL135" t="s">
        <v>198</v>
      </c>
      <c r="DN135" t="s">
        <v>194</v>
      </c>
      <c r="DP135" t="s">
        <v>194</v>
      </c>
      <c r="DR135" t="s">
        <v>181</v>
      </c>
      <c r="DS135" t="s">
        <v>199</v>
      </c>
      <c r="DT135" t="s">
        <v>181</v>
      </c>
      <c r="DU135" t="s">
        <v>199</v>
      </c>
      <c r="DV135" t="s">
        <v>194</v>
      </c>
      <c r="DX135" t="s">
        <v>181</v>
      </c>
      <c r="DY135" t="s">
        <v>197</v>
      </c>
      <c r="DZ135" t="s">
        <v>194</v>
      </c>
      <c r="EB135" t="s">
        <v>194</v>
      </c>
      <c r="ED135" t="s">
        <v>181</v>
      </c>
      <c r="EE135" t="s">
        <v>199</v>
      </c>
      <c r="EF135" t="s">
        <v>194</v>
      </c>
      <c r="EI135" t="s">
        <v>181</v>
      </c>
      <c r="EJ135" t="s">
        <v>199</v>
      </c>
      <c r="EK135" t="s">
        <v>194</v>
      </c>
      <c r="EM135" t="s">
        <v>181</v>
      </c>
      <c r="EN135" t="s">
        <v>194</v>
      </c>
      <c r="EP135" t="s">
        <v>194</v>
      </c>
      <c r="ES135" t="s">
        <v>194</v>
      </c>
      <c r="EV135" t="s">
        <v>181</v>
      </c>
      <c r="EW135" t="s">
        <v>194</v>
      </c>
      <c r="EY135" t="s">
        <v>194</v>
      </c>
      <c r="FB135" t="s">
        <v>194</v>
      </c>
      <c r="FE135" t="s">
        <v>181</v>
      </c>
      <c r="FF135" t="s">
        <v>194</v>
      </c>
      <c r="FH135" t="s">
        <v>181</v>
      </c>
      <c r="FI135" t="s">
        <v>194</v>
      </c>
      <c r="FK135" t="s">
        <v>181</v>
      </c>
      <c r="FL135" t="s">
        <v>194</v>
      </c>
      <c r="FN135" t="s">
        <v>194</v>
      </c>
      <c r="FR135" t="s">
        <v>278</v>
      </c>
      <c r="FS135" t="s">
        <v>769</v>
      </c>
      <c r="FU135" t="s">
        <v>238</v>
      </c>
      <c r="FV135" t="s">
        <v>492</v>
      </c>
      <c r="FW135" t="s">
        <v>241</v>
      </c>
      <c r="FX135" t="s">
        <v>1026</v>
      </c>
      <c r="FY135" t="s">
        <v>241</v>
      </c>
      <c r="GA135" t="s">
        <v>279</v>
      </c>
      <c r="GC135" t="s">
        <v>373</v>
      </c>
    </row>
    <row r="136" spans="1:186" hidden="1" x14ac:dyDescent="0.25">
      <c r="A136" s="1">
        <v>46135.457112523152</v>
      </c>
      <c r="B136" s="1">
        <v>46135.459055798608</v>
      </c>
      <c r="C136" t="s">
        <v>261</v>
      </c>
      <c r="D136">
        <v>135</v>
      </c>
      <c r="E136">
        <v>135</v>
      </c>
      <c r="F136" t="b">
        <f t="shared" si="2"/>
        <v>1</v>
      </c>
      <c r="G136" s="1">
        <v>46131</v>
      </c>
      <c r="H136">
        <v>3</v>
      </c>
      <c r="I136" t="s">
        <v>505</v>
      </c>
      <c r="J136" t="s">
        <v>176</v>
      </c>
      <c r="K136" t="s">
        <v>1027</v>
      </c>
      <c r="L136" t="s">
        <v>1028</v>
      </c>
      <c r="M136" t="s">
        <v>181</v>
      </c>
      <c r="N136" t="s">
        <v>182</v>
      </c>
      <c r="O136">
        <v>35</v>
      </c>
      <c r="P136" t="s">
        <v>183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184</v>
      </c>
      <c r="W136">
        <v>67</v>
      </c>
      <c r="X136" t="s">
        <v>181</v>
      </c>
      <c r="Z136" t="s">
        <v>185</v>
      </c>
      <c r="AB136" t="s">
        <v>186</v>
      </c>
      <c r="AC136" t="s">
        <v>209</v>
      </c>
      <c r="AD136" t="s">
        <v>188</v>
      </c>
      <c r="AE136" t="s">
        <v>198</v>
      </c>
      <c r="AF136" t="s">
        <v>224</v>
      </c>
      <c r="AG136" t="s">
        <v>1029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BK136" t="s">
        <v>224</v>
      </c>
      <c r="BL136" t="s">
        <v>226</v>
      </c>
      <c r="BM136">
        <v>0</v>
      </c>
      <c r="BN136">
        <v>1</v>
      </c>
      <c r="BO136">
        <v>0</v>
      </c>
      <c r="BP136">
        <v>0</v>
      </c>
      <c r="BQ136">
        <v>0</v>
      </c>
      <c r="BR136" t="s">
        <v>227</v>
      </c>
      <c r="BS136" t="s">
        <v>194</v>
      </c>
      <c r="BT136" t="s">
        <v>194</v>
      </c>
      <c r="BU136" t="s">
        <v>194</v>
      </c>
      <c r="CD136" t="s">
        <v>194</v>
      </c>
      <c r="CZ136" t="s">
        <v>194</v>
      </c>
      <c r="DB136" t="s">
        <v>194</v>
      </c>
      <c r="DD136" t="s">
        <v>194</v>
      </c>
      <c r="DF136" t="s">
        <v>194</v>
      </c>
      <c r="DH136" t="s">
        <v>194</v>
      </c>
      <c r="DJ136" t="s">
        <v>194</v>
      </c>
      <c r="DL136" t="s">
        <v>194</v>
      </c>
      <c r="DN136" t="s">
        <v>194</v>
      </c>
      <c r="DP136" t="s">
        <v>194</v>
      </c>
      <c r="DR136" t="s">
        <v>194</v>
      </c>
      <c r="DT136" t="s">
        <v>194</v>
      </c>
      <c r="DV136" t="s">
        <v>194</v>
      </c>
      <c r="DX136" t="s">
        <v>194</v>
      </c>
      <c r="DZ136" t="s">
        <v>194</v>
      </c>
      <c r="EB136" t="s">
        <v>194</v>
      </c>
      <c r="ED136" t="s">
        <v>194</v>
      </c>
      <c r="EF136" t="s">
        <v>194</v>
      </c>
      <c r="EI136" t="s">
        <v>181</v>
      </c>
      <c r="EJ136" t="s">
        <v>215</v>
      </c>
      <c r="EK136" t="s">
        <v>181</v>
      </c>
      <c r="EM136" t="s">
        <v>181</v>
      </c>
      <c r="EN136" t="s">
        <v>194</v>
      </c>
      <c r="EP136" t="s">
        <v>194</v>
      </c>
      <c r="ES136" t="s">
        <v>194</v>
      </c>
      <c r="EV136" t="s">
        <v>181</v>
      </c>
      <c r="EW136" t="s">
        <v>194</v>
      </c>
      <c r="EY136" t="s">
        <v>194</v>
      </c>
      <c r="FB136" t="s">
        <v>194</v>
      </c>
      <c r="FE136" t="s">
        <v>181</v>
      </c>
      <c r="FF136" t="s">
        <v>194</v>
      </c>
      <c r="FH136" t="s">
        <v>181</v>
      </c>
      <c r="FI136" t="s">
        <v>194</v>
      </c>
      <c r="FK136" t="s">
        <v>181</v>
      </c>
      <c r="FL136" t="s">
        <v>194</v>
      </c>
      <c r="FN136" t="s">
        <v>194</v>
      </c>
      <c r="FR136" t="s">
        <v>287</v>
      </c>
      <c r="FS136" t="s">
        <v>309</v>
      </c>
      <c r="FU136" t="s">
        <v>194</v>
      </c>
      <c r="GC136" t="s">
        <v>232</v>
      </c>
    </row>
    <row r="137" spans="1:186" hidden="1" x14ac:dyDescent="0.25">
      <c r="A137" s="1">
        <v>46133.628512083327</v>
      </c>
      <c r="B137" s="1">
        <v>46133.632395833331</v>
      </c>
      <c r="C137" t="s">
        <v>176</v>
      </c>
      <c r="D137">
        <v>136</v>
      </c>
      <c r="E137">
        <v>136</v>
      </c>
      <c r="F137" t="b">
        <f t="shared" si="2"/>
        <v>1</v>
      </c>
      <c r="G137" s="1">
        <v>46131</v>
      </c>
      <c r="H137">
        <v>3</v>
      </c>
      <c r="I137" t="s">
        <v>618</v>
      </c>
      <c r="J137" t="s">
        <v>176</v>
      </c>
      <c r="K137" t="s">
        <v>619</v>
      </c>
      <c r="L137" t="s">
        <v>620</v>
      </c>
      <c r="M137" t="s">
        <v>181</v>
      </c>
      <c r="N137" t="s">
        <v>182</v>
      </c>
      <c r="O137">
        <v>33</v>
      </c>
      <c r="P137" t="s">
        <v>183</v>
      </c>
      <c r="Q137">
        <v>1</v>
      </c>
      <c r="R137">
        <v>0</v>
      </c>
      <c r="S137">
        <v>0</v>
      </c>
      <c r="T137">
        <v>0</v>
      </c>
      <c r="U137">
        <v>0</v>
      </c>
      <c r="V137" t="s">
        <v>222</v>
      </c>
      <c r="W137">
        <v>69</v>
      </c>
      <c r="X137" t="s">
        <v>181</v>
      </c>
      <c r="Z137" t="s">
        <v>185</v>
      </c>
      <c r="AB137" t="s">
        <v>186</v>
      </c>
      <c r="AC137" t="s">
        <v>187</v>
      </c>
      <c r="AD137" t="s">
        <v>188</v>
      </c>
      <c r="AE137" t="s">
        <v>189</v>
      </c>
      <c r="AF137" t="s">
        <v>248</v>
      </c>
      <c r="AG137" t="s">
        <v>621</v>
      </c>
      <c r="AH137">
        <v>1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BK137" t="s">
        <v>248</v>
      </c>
      <c r="BL137" t="s">
        <v>389</v>
      </c>
      <c r="BM137">
        <v>0</v>
      </c>
      <c r="BN137">
        <v>0</v>
      </c>
      <c r="BO137">
        <v>0</v>
      </c>
      <c r="BP137">
        <v>0</v>
      </c>
      <c r="BQ137">
        <v>1</v>
      </c>
      <c r="BR137" t="s">
        <v>212</v>
      </c>
      <c r="BS137" t="s">
        <v>194</v>
      </c>
      <c r="BT137" t="s">
        <v>194</v>
      </c>
      <c r="BU137" t="s">
        <v>194</v>
      </c>
      <c r="CD137" t="s">
        <v>194</v>
      </c>
      <c r="CZ137" t="s">
        <v>194</v>
      </c>
      <c r="DB137" t="s">
        <v>194</v>
      </c>
      <c r="DD137" t="s">
        <v>194</v>
      </c>
      <c r="DF137" t="s">
        <v>181</v>
      </c>
      <c r="DG137" t="s">
        <v>197</v>
      </c>
      <c r="DH137" t="s">
        <v>198</v>
      </c>
      <c r="DJ137" t="s">
        <v>194</v>
      </c>
      <c r="DL137" t="s">
        <v>194</v>
      </c>
      <c r="DN137" t="s">
        <v>194</v>
      </c>
      <c r="DP137" t="s">
        <v>194</v>
      </c>
      <c r="DR137" t="s">
        <v>181</v>
      </c>
      <c r="DS137" t="s">
        <v>197</v>
      </c>
      <c r="DT137" t="s">
        <v>194</v>
      </c>
      <c r="DV137" t="s">
        <v>194</v>
      </c>
      <c r="DX137" t="s">
        <v>181</v>
      </c>
      <c r="DY137" t="s">
        <v>215</v>
      </c>
      <c r="DZ137" t="s">
        <v>194</v>
      </c>
      <c r="EB137" t="s">
        <v>194</v>
      </c>
      <c r="ED137" t="s">
        <v>181</v>
      </c>
      <c r="EE137" t="s">
        <v>197</v>
      </c>
      <c r="EF137" t="s">
        <v>194</v>
      </c>
      <c r="EI137" t="s">
        <v>181</v>
      </c>
      <c r="EJ137" t="s">
        <v>197</v>
      </c>
      <c r="EK137" t="s">
        <v>194</v>
      </c>
      <c r="EM137" t="s">
        <v>181</v>
      </c>
      <c r="EN137" t="s">
        <v>194</v>
      </c>
      <c r="EP137" t="s">
        <v>194</v>
      </c>
      <c r="ES137" t="s">
        <v>194</v>
      </c>
      <c r="EV137" t="s">
        <v>181</v>
      </c>
      <c r="EW137" t="s">
        <v>181</v>
      </c>
      <c r="EX137" t="s">
        <v>229</v>
      </c>
      <c r="EY137" t="s">
        <v>181</v>
      </c>
      <c r="EZ137" t="s">
        <v>194</v>
      </c>
      <c r="FB137" t="s">
        <v>194</v>
      </c>
      <c r="FE137" t="s">
        <v>181</v>
      </c>
      <c r="FF137" t="s">
        <v>181</v>
      </c>
      <c r="FG137" t="s">
        <v>229</v>
      </c>
      <c r="FH137" t="s">
        <v>181</v>
      </c>
      <c r="FI137" t="s">
        <v>181</v>
      </c>
      <c r="FJ137" t="s">
        <v>229</v>
      </c>
      <c r="FK137" t="s">
        <v>181</v>
      </c>
      <c r="FL137" t="s">
        <v>194</v>
      </c>
      <c r="FN137" t="s">
        <v>194</v>
      </c>
      <c r="FR137" t="s">
        <v>218</v>
      </c>
      <c r="FU137" t="s">
        <v>238</v>
      </c>
      <c r="FV137" t="s">
        <v>300</v>
      </c>
      <c r="FW137" t="s">
        <v>238</v>
      </c>
      <c r="FX137" t="s">
        <v>622</v>
      </c>
      <c r="FY137" t="s">
        <v>241</v>
      </c>
      <c r="GA137" t="s">
        <v>242</v>
      </c>
      <c r="GB137" t="s">
        <v>623</v>
      </c>
      <c r="GC137" t="s">
        <v>373</v>
      </c>
      <c r="GD137" t="s">
        <v>624</v>
      </c>
    </row>
    <row r="138" spans="1:186" hidden="1" x14ac:dyDescent="0.25">
      <c r="A138" s="1">
        <v>46133.632396620371</v>
      </c>
      <c r="B138" s="1">
        <v>46133.639789837973</v>
      </c>
      <c r="C138" t="s">
        <v>176</v>
      </c>
      <c r="D138">
        <v>137</v>
      </c>
      <c r="E138">
        <v>137</v>
      </c>
      <c r="F138" t="b">
        <f t="shared" si="2"/>
        <v>1</v>
      </c>
      <c r="G138" s="1">
        <v>46129</v>
      </c>
      <c r="H138">
        <v>3</v>
      </c>
      <c r="I138" t="s">
        <v>463</v>
      </c>
      <c r="J138" t="s">
        <v>176</v>
      </c>
      <c r="K138" t="s">
        <v>630</v>
      </c>
      <c r="L138" t="s">
        <v>631</v>
      </c>
      <c r="M138" t="s">
        <v>181</v>
      </c>
      <c r="N138" t="s">
        <v>182</v>
      </c>
      <c r="O138">
        <v>30</v>
      </c>
      <c r="P138" t="s">
        <v>183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184</v>
      </c>
      <c r="W138">
        <v>21</v>
      </c>
      <c r="X138" t="s">
        <v>181</v>
      </c>
      <c r="Z138" t="s">
        <v>270</v>
      </c>
      <c r="AB138" t="s">
        <v>223</v>
      </c>
      <c r="AC138" t="s">
        <v>187</v>
      </c>
      <c r="AD138" t="s">
        <v>210</v>
      </c>
      <c r="AE138" t="s">
        <v>189</v>
      </c>
      <c r="AF138" t="s">
        <v>190</v>
      </c>
      <c r="AW138" t="s">
        <v>191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K138" t="s">
        <v>190</v>
      </c>
      <c r="BL138" t="s">
        <v>632</v>
      </c>
      <c r="BM138">
        <v>0</v>
      </c>
      <c r="BN138">
        <v>0</v>
      </c>
      <c r="BO138">
        <v>1</v>
      </c>
      <c r="BP138">
        <v>1</v>
      </c>
      <c r="BQ138">
        <v>0</v>
      </c>
      <c r="BR138" t="s">
        <v>227</v>
      </c>
      <c r="BS138" t="s">
        <v>194</v>
      </c>
      <c r="BT138" t="s">
        <v>194</v>
      </c>
      <c r="BU138" t="s">
        <v>194</v>
      </c>
      <c r="CD138" t="s">
        <v>194</v>
      </c>
      <c r="CZ138" t="s">
        <v>194</v>
      </c>
      <c r="DB138" t="s">
        <v>194</v>
      </c>
      <c r="DD138" t="s">
        <v>181</v>
      </c>
      <c r="DE138" t="s">
        <v>199</v>
      </c>
      <c r="DF138" t="s">
        <v>181</v>
      </c>
      <c r="DG138" t="s">
        <v>199</v>
      </c>
      <c r="DH138" t="s">
        <v>181</v>
      </c>
      <c r="DI138" t="s">
        <v>199</v>
      </c>
      <c r="DJ138" t="s">
        <v>194</v>
      </c>
      <c r="DL138" t="s">
        <v>181</v>
      </c>
      <c r="DM138" t="s">
        <v>199</v>
      </c>
      <c r="DN138" t="s">
        <v>181</v>
      </c>
      <c r="DO138" t="s">
        <v>199</v>
      </c>
      <c r="DP138" t="s">
        <v>181</v>
      </c>
      <c r="DQ138" t="s">
        <v>199</v>
      </c>
      <c r="DR138" t="s">
        <v>194</v>
      </c>
      <c r="DT138" t="s">
        <v>194</v>
      </c>
      <c r="DV138" t="s">
        <v>194</v>
      </c>
      <c r="DX138" t="s">
        <v>181</v>
      </c>
      <c r="DY138" t="s">
        <v>199</v>
      </c>
      <c r="DZ138" t="s">
        <v>181</v>
      </c>
      <c r="EA138" t="s">
        <v>199</v>
      </c>
      <c r="EB138" t="s">
        <v>194</v>
      </c>
      <c r="ED138" t="s">
        <v>194</v>
      </c>
      <c r="EF138" t="s">
        <v>194</v>
      </c>
      <c r="EI138" t="s">
        <v>181</v>
      </c>
      <c r="EJ138" t="s">
        <v>215</v>
      </c>
      <c r="EK138" t="s">
        <v>181</v>
      </c>
      <c r="EM138" t="s">
        <v>181</v>
      </c>
      <c r="EN138" t="s">
        <v>194</v>
      </c>
      <c r="EP138" t="s">
        <v>181</v>
      </c>
      <c r="EQ138" t="s">
        <v>194</v>
      </c>
      <c r="ES138" t="s">
        <v>194</v>
      </c>
      <c r="EV138" t="s">
        <v>181</v>
      </c>
      <c r="EW138" t="s">
        <v>194</v>
      </c>
      <c r="EY138" t="s">
        <v>194</v>
      </c>
      <c r="FB138" t="s">
        <v>181</v>
      </c>
      <c r="FC138" t="s">
        <v>194</v>
      </c>
      <c r="FE138" t="s">
        <v>181</v>
      </c>
      <c r="FF138" t="s">
        <v>194</v>
      </c>
      <c r="FH138" t="s">
        <v>181</v>
      </c>
      <c r="FI138" t="s">
        <v>181</v>
      </c>
      <c r="FJ138" t="s">
        <v>250</v>
      </c>
      <c r="FK138" t="s">
        <v>181</v>
      </c>
      <c r="FL138" t="s">
        <v>181</v>
      </c>
      <c r="FM138" t="s">
        <v>250</v>
      </c>
      <c r="FN138" t="s">
        <v>194</v>
      </c>
      <c r="FR138" t="s">
        <v>218</v>
      </c>
      <c r="FU138" t="s">
        <v>194</v>
      </c>
      <c r="GC138" t="s">
        <v>941</v>
      </c>
      <c r="GD138" t="s">
        <v>633</v>
      </c>
    </row>
    <row r="139" spans="1:186" x14ac:dyDescent="0.25">
      <c r="A139" s="1">
        <v>46133.639790555557</v>
      </c>
      <c r="B139" s="1">
        <v>46133.649264490741</v>
      </c>
      <c r="C139" t="s">
        <v>176</v>
      </c>
      <c r="D139">
        <v>138</v>
      </c>
      <c r="E139">
        <v>138</v>
      </c>
      <c r="F139" t="b">
        <f t="shared" si="2"/>
        <v>1</v>
      </c>
      <c r="G139" s="1">
        <v>46131</v>
      </c>
      <c r="H139">
        <v>3</v>
      </c>
      <c r="I139" t="s">
        <v>505</v>
      </c>
      <c r="J139" t="s">
        <v>176</v>
      </c>
      <c r="K139" t="s">
        <v>656</v>
      </c>
      <c r="L139" t="s">
        <v>657</v>
      </c>
      <c r="M139" t="s">
        <v>181</v>
      </c>
      <c r="N139" t="s">
        <v>182</v>
      </c>
      <c r="O139">
        <v>12</v>
      </c>
      <c r="P139" t="s">
        <v>183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184</v>
      </c>
      <c r="W139">
        <v>40</v>
      </c>
      <c r="X139" t="s">
        <v>181</v>
      </c>
      <c r="Z139" t="s">
        <v>185</v>
      </c>
      <c r="AB139" t="s">
        <v>223</v>
      </c>
      <c r="AC139" t="s">
        <v>209</v>
      </c>
      <c r="AD139" t="s">
        <v>188</v>
      </c>
      <c r="AE139" t="s">
        <v>198</v>
      </c>
      <c r="AF139" t="s">
        <v>211</v>
      </c>
      <c r="AW139" t="s">
        <v>516</v>
      </c>
      <c r="AX139">
        <v>1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K139" t="s">
        <v>190</v>
      </c>
      <c r="BL139" t="s">
        <v>389</v>
      </c>
      <c r="BM139">
        <v>0</v>
      </c>
      <c r="BN139">
        <v>0</v>
      </c>
      <c r="BO139">
        <v>0</v>
      </c>
      <c r="BP139">
        <v>0</v>
      </c>
      <c r="BQ139">
        <v>1</v>
      </c>
      <c r="BR139" t="s">
        <v>227</v>
      </c>
      <c r="BS139" t="s">
        <v>194</v>
      </c>
      <c r="BT139" t="s">
        <v>194</v>
      </c>
      <c r="BU139" t="s">
        <v>194</v>
      </c>
      <c r="CD139" t="s">
        <v>181</v>
      </c>
      <c r="CE139" t="s">
        <v>277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Q139" t="s">
        <v>194</v>
      </c>
      <c r="CZ139" t="s">
        <v>194</v>
      </c>
      <c r="DB139" t="s">
        <v>181</v>
      </c>
      <c r="DC139" t="s">
        <v>199</v>
      </c>
      <c r="DD139" t="s">
        <v>181</v>
      </c>
      <c r="DE139" t="s">
        <v>215</v>
      </c>
      <c r="DF139" t="s">
        <v>181</v>
      </c>
      <c r="DG139" t="s">
        <v>199</v>
      </c>
      <c r="DH139" t="s">
        <v>194</v>
      </c>
      <c r="DJ139" t="s">
        <v>181</v>
      </c>
      <c r="DK139" t="s">
        <v>199</v>
      </c>
      <c r="DL139" t="s">
        <v>181</v>
      </c>
      <c r="DM139" t="s">
        <v>197</v>
      </c>
      <c r="DN139" t="s">
        <v>181</v>
      </c>
      <c r="DO139" t="s">
        <v>199</v>
      </c>
      <c r="DP139" t="s">
        <v>194</v>
      </c>
      <c r="DR139" t="s">
        <v>181</v>
      </c>
      <c r="DS139" t="s">
        <v>199</v>
      </c>
      <c r="DT139" t="s">
        <v>194</v>
      </c>
      <c r="DV139" t="s">
        <v>194</v>
      </c>
      <c r="DX139" t="s">
        <v>194</v>
      </c>
      <c r="DZ139" t="s">
        <v>181</v>
      </c>
      <c r="EA139" t="s">
        <v>215</v>
      </c>
      <c r="EB139" t="s">
        <v>194</v>
      </c>
      <c r="ED139" t="s">
        <v>194</v>
      </c>
      <c r="EF139" t="s">
        <v>194</v>
      </c>
      <c r="EI139" t="s">
        <v>181</v>
      </c>
      <c r="EJ139" t="s">
        <v>215</v>
      </c>
      <c r="EK139" t="s">
        <v>181</v>
      </c>
      <c r="EM139" t="s">
        <v>194</v>
      </c>
      <c r="EP139" t="s">
        <v>194</v>
      </c>
      <c r="ES139" t="s">
        <v>194</v>
      </c>
      <c r="EV139" t="s">
        <v>194</v>
      </c>
      <c r="EY139" t="s">
        <v>194</v>
      </c>
      <c r="FB139" t="s">
        <v>194</v>
      </c>
      <c r="FE139" t="s">
        <v>181</v>
      </c>
      <c r="FF139" t="s">
        <v>194</v>
      </c>
      <c r="FH139" t="s">
        <v>194</v>
      </c>
      <c r="FK139" t="s">
        <v>194</v>
      </c>
      <c r="FN139" t="s">
        <v>194</v>
      </c>
      <c r="FR139" t="s">
        <v>822</v>
      </c>
      <c r="FS139" t="s">
        <v>658</v>
      </c>
      <c r="FT139" t="s">
        <v>659</v>
      </c>
      <c r="FU139" t="s">
        <v>194</v>
      </c>
      <c r="GC139" t="s">
        <v>202</v>
      </c>
      <c r="GD139" t="s">
        <v>660</v>
      </c>
    </row>
    <row r="140" spans="1:186" hidden="1" x14ac:dyDescent="0.25">
      <c r="A140" s="1">
        <v>46133.649265069442</v>
      </c>
      <c r="B140" s="1">
        <v>46133.652417025463</v>
      </c>
      <c r="C140" t="s">
        <v>176</v>
      </c>
      <c r="D140">
        <v>139</v>
      </c>
      <c r="E140">
        <v>139</v>
      </c>
      <c r="F140" t="b">
        <f t="shared" si="2"/>
        <v>1</v>
      </c>
      <c r="G140" s="1">
        <v>46131</v>
      </c>
      <c r="H140">
        <v>3</v>
      </c>
      <c r="I140" t="s">
        <v>463</v>
      </c>
      <c r="J140" t="s">
        <v>176</v>
      </c>
      <c r="K140" t="s">
        <v>661</v>
      </c>
      <c r="L140" t="s">
        <v>662</v>
      </c>
      <c r="M140" t="s">
        <v>181</v>
      </c>
      <c r="N140" t="s">
        <v>182</v>
      </c>
      <c r="O140">
        <v>30</v>
      </c>
      <c r="P140" t="s">
        <v>183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222</v>
      </c>
      <c r="W140">
        <v>57</v>
      </c>
      <c r="X140" t="s">
        <v>181</v>
      </c>
      <c r="Z140" t="s">
        <v>185</v>
      </c>
      <c r="AB140" t="s">
        <v>186</v>
      </c>
      <c r="AC140" t="s">
        <v>209</v>
      </c>
      <c r="AD140" t="s">
        <v>188</v>
      </c>
      <c r="AE140" t="s">
        <v>189</v>
      </c>
      <c r="AF140" t="s">
        <v>224</v>
      </c>
      <c r="AG140" t="s">
        <v>527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BK140" t="s">
        <v>224</v>
      </c>
      <c r="BL140" t="s">
        <v>226</v>
      </c>
      <c r="BM140">
        <v>0</v>
      </c>
      <c r="BN140">
        <v>1</v>
      </c>
      <c r="BO140">
        <v>0</v>
      </c>
      <c r="BP140">
        <v>0</v>
      </c>
      <c r="BQ140">
        <v>0</v>
      </c>
      <c r="BR140" t="s">
        <v>212</v>
      </c>
      <c r="BS140" t="s">
        <v>194</v>
      </c>
      <c r="BT140" t="s">
        <v>181</v>
      </c>
      <c r="BU140" t="s">
        <v>194</v>
      </c>
      <c r="CD140" t="s">
        <v>194</v>
      </c>
      <c r="CZ140" t="s">
        <v>181</v>
      </c>
      <c r="DA140" t="s">
        <v>199</v>
      </c>
      <c r="DB140" t="s">
        <v>194</v>
      </c>
      <c r="DD140" t="s">
        <v>181</v>
      </c>
      <c r="DE140" t="s">
        <v>199</v>
      </c>
      <c r="DF140" t="s">
        <v>181</v>
      </c>
      <c r="DG140" t="s">
        <v>199</v>
      </c>
      <c r="DH140" t="s">
        <v>194</v>
      </c>
      <c r="DJ140" t="s">
        <v>194</v>
      </c>
      <c r="DL140" t="s">
        <v>181</v>
      </c>
      <c r="DM140" t="s">
        <v>199</v>
      </c>
      <c r="DN140" t="s">
        <v>194</v>
      </c>
      <c r="DP140" t="s">
        <v>194</v>
      </c>
      <c r="DR140" t="s">
        <v>194</v>
      </c>
      <c r="DT140" t="s">
        <v>194</v>
      </c>
      <c r="DV140" t="s">
        <v>194</v>
      </c>
      <c r="DX140" t="s">
        <v>181</v>
      </c>
      <c r="DY140" t="s">
        <v>197</v>
      </c>
      <c r="DZ140" t="s">
        <v>194</v>
      </c>
      <c r="EB140" t="s">
        <v>194</v>
      </c>
      <c r="ED140" t="s">
        <v>194</v>
      </c>
      <c r="EF140" t="s">
        <v>194</v>
      </c>
      <c r="EI140" t="s">
        <v>181</v>
      </c>
      <c r="EJ140" t="s">
        <v>199</v>
      </c>
      <c r="EK140" t="s">
        <v>181</v>
      </c>
      <c r="EM140" t="s">
        <v>181</v>
      </c>
      <c r="EN140" t="s">
        <v>181</v>
      </c>
      <c r="EO140" t="s">
        <v>250</v>
      </c>
      <c r="EP140" t="s">
        <v>194</v>
      </c>
      <c r="ES140" t="s">
        <v>194</v>
      </c>
      <c r="EV140" t="s">
        <v>181</v>
      </c>
      <c r="EW140" t="s">
        <v>181</v>
      </c>
      <c r="EX140" t="s">
        <v>250</v>
      </c>
      <c r="EY140" t="s">
        <v>194</v>
      </c>
      <c r="FB140" t="s">
        <v>181</v>
      </c>
      <c r="FC140" t="s">
        <v>181</v>
      </c>
      <c r="FD140" t="s">
        <v>250</v>
      </c>
      <c r="FE140" t="s">
        <v>181</v>
      </c>
      <c r="FF140" t="s">
        <v>181</v>
      </c>
      <c r="FG140" t="s">
        <v>250</v>
      </c>
      <c r="FH140" t="s">
        <v>181</v>
      </c>
      <c r="FI140" t="s">
        <v>181</v>
      </c>
      <c r="FJ140" t="s">
        <v>250</v>
      </c>
      <c r="FK140" t="s">
        <v>181</v>
      </c>
      <c r="FL140" t="s">
        <v>181</v>
      </c>
      <c r="FM140" t="s">
        <v>250</v>
      </c>
      <c r="FN140" t="s">
        <v>194</v>
      </c>
      <c r="FR140" t="s">
        <v>287</v>
      </c>
      <c r="FS140" t="s">
        <v>663</v>
      </c>
      <c r="FU140" t="s">
        <v>194</v>
      </c>
      <c r="GC140" t="s">
        <v>1073</v>
      </c>
      <c r="GD140" t="s">
        <v>664</v>
      </c>
    </row>
    <row r="141" spans="1:186" hidden="1" x14ac:dyDescent="0.25">
      <c r="A141" s="1">
        <v>46133.652417569443</v>
      </c>
      <c r="B141" s="1">
        <v>46133.654532881941</v>
      </c>
      <c r="C141" t="s">
        <v>176</v>
      </c>
      <c r="D141">
        <v>140</v>
      </c>
      <c r="E141">
        <v>140</v>
      </c>
      <c r="F141" t="b">
        <f t="shared" si="2"/>
        <v>1</v>
      </c>
      <c r="G141" s="1">
        <v>46131</v>
      </c>
      <c r="H141">
        <v>3</v>
      </c>
      <c r="I141" t="s">
        <v>505</v>
      </c>
      <c r="J141" t="s">
        <v>176</v>
      </c>
      <c r="K141" t="s">
        <v>665</v>
      </c>
      <c r="L141" t="s">
        <v>666</v>
      </c>
      <c r="M141" t="s">
        <v>181</v>
      </c>
      <c r="N141" t="s">
        <v>182</v>
      </c>
      <c r="O141">
        <v>10</v>
      </c>
      <c r="P141" t="s">
        <v>183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222</v>
      </c>
      <c r="W141">
        <v>40</v>
      </c>
      <c r="X141" t="s">
        <v>181</v>
      </c>
      <c r="Z141" t="s">
        <v>185</v>
      </c>
      <c r="AB141" t="s">
        <v>186</v>
      </c>
      <c r="AC141" t="s">
        <v>257</v>
      </c>
      <c r="AD141" t="s">
        <v>188</v>
      </c>
      <c r="AE141" t="s">
        <v>198</v>
      </c>
      <c r="AF141" t="s">
        <v>190</v>
      </c>
      <c r="AW141" t="s">
        <v>405</v>
      </c>
      <c r="AX141">
        <v>1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K141" t="s">
        <v>190</v>
      </c>
      <c r="BL141" t="s">
        <v>192</v>
      </c>
      <c r="BM141">
        <v>0</v>
      </c>
      <c r="BN141">
        <v>1</v>
      </c>
      <c r="BO141">
        <v>1</v>
      </c>
      <c r="BP141">
        <v>0</v>
      </c>
      <c r="BQ141">
        <v>0</v>
      </c>
      <c r="BR141" t="s">
        <v>227</v>
      </c>
      <c r="BS141" t="s">
        <v>194</v>
      </c>
      <c r="BT141" t="s">
        <v>194</v>
      </c>
      <c r="BU141" t="s">
        <v>194</v>
      </c>
      <c r="CD141" t="s">
        <v>194</v>
      </c>
      <c r="CZ141" t="s">
        <v>194</v>
      </c>
      <c r="DB141" t="s">
        <v>194</v>
      </c>
      <c r="DD141" t="s">
        <v>181</v>
      </c>
      <c r="DE141" t="s">
        <v>215</v>
      </c>
      <c r="DF141" t="s">
        <v>181</v>
      </c>
      <c r="DG141" t="s">
        <v>197</v>
      </c>
      <c r="DH141" t="s">
        <v>194</v>
      </c>
      <c r="DJ141" t="s">
        <v>194</v>
      </c>
      <c r="DL141" t="s">
        <v>181</v>
      </c>
      <c r="DM141" t="s">
        <v>197</v>
      </c>
      <c r="DN141" t="s">
        <v>194</v>
      </c>
      <c r="DP141" t="s">
        <v>194</v>
      </c>
      <c r="DR141" t="s">
        <v>194</v>
      </c>
      <c r="DT141" t="s">
        <v>194</v>
      </c>
      <c r="DV141" t="s">
        <v>194</v>
      </c>
      <c r="DX141" t="s">
        <v>194</v>
      </c>
      <c r="DZ141" t="s">
        <v>194</v>
      </c>
      <c r="EB141" t="s">
        <v>194</v>
      </c>
      <c r="ED141" t="s">
        <v>194</v>
      </c>
      <c r="EF141" t="s">
        <v>194</v>
      </c>
      <c r="EI141" t="s">
        <v>181</v>
      </c>
      <c r="EJ141" t="s">
        <v>215</v>
      </c>
      <c r="EK141" t="s">
        <v>194</v>
      </c>
      <c r="EM141" t="s">
        <v>181</v>
      </c>
      <c r="EN141" t="s">
        <v>194</v>
      </c>
      <c r="EP141" t="s">
        <v>194</v>
      </c>
      <c r="ES141" t="s">
        <v>181</v>
      </c>
      <c r="ET141" t="s">
        <v>194</v>
      </c>
      <c r="EV141" t="s">
        <v>181</v>
      </c>
      <c r="EW141" t="s">
        <v>194</v>
      </c>
      <c r="EY141" t="s">
        <v>194</v>
      </c>
      <c r="FB141" t="s">
        <v>194</v>
      </c>
      <c r="FE141" t="s">
        <v>181</v>
      </c>
      <c r="FF141" t="s">
        <v>194</v>
      </c>
      <c r="FH141" t="s">
        <v>181</v>
      </c>
      <c r="FI141" t="s">
        <v>194</v>
      </c>
      <c r="FK141" t="s">
        <v>181</v>
      </c>
      <c r="FL141" t="s">
        <v>194</v>
      </c>
      <c r="FN141" t="s">
        <v>194</v>
      </c>
      <c r="FR141" t="s">
        <v>287</v>
      </c>
      <c r="FS141" t="s">
        <v>309</v>
      </c>
      <c r="FU141" t="s">
        <v>238</v>
      </c>
      <c r="FV141" t="s">
        <v>239</v>
      </c>
      <c r="FW141" t="s">
        <v>238</v>
      </c>
      <c r="FX141" t="s">
        <v>667</v>
      </c>
      <c r="FY141" t="s">
        <v>241</v>
      </c>
      <c r="GA141" t="s">
        <v>242</v>
      </c>
      <c r="GB141" t="s">
        <v>668</v>
      </c>
      <c r="GC141" t="s">
        <v>232</v>
      </c>
    </row>
    <row r="142" spans="1:186" hidden="1" x14ac:dyDescent="0.25">
      <c r="A142" s="1">
        <v>46133.654533414352</v>
      </c>
      <c r="B142" s="1">
        <v>46133.658711886572</v>
      </c>
      <c r="C142" t="s">
        <v>176</v>
      </c>
      <c r="D142">
        <v>141</v>
      </c>
      <c r="E142">
        <v>141</v>
      </c>
      <c r="F142" t="b">
        <f t="shared" si="2"/>
        <v>1</v>
      </c>
      <c r="G142" s="1">
        <v>46131</v>
      </c>
      <c r="H142">
        <v>3</v>
      </c>
      <c r="I142" t="s">
        <v>618</v>
      </c>
      <c r="J142" t="s">
        <v>176</v>
      </c>
      <c r="K142" t="s">
        <v>674</v>
      </c>
      <c r="L142" t="s">
        <v>675</v>
      </c>
      <c r="M142" t="s">
        <v>181</v>
      </c>
      <c r="N142" t="s">
        <v>182</v>
      </c>
      <c r="O142">
        <v>7</v>
      </c>
      <c r="P142" t="s">
        <v>183</v>
      </c>
      <c r="Q142">
        <v>1</v>
      </c>
      <c r="R142">
        <v>0</v>
      </c>
      <c r="S142">
        <v>0</v>
      </c>
      <c r="T142">
        <v>0</v>
      </c>
      <c r="U142">
        <v>0</v>
      </c>
      <c r="V142" t="s">
        <v>184</v>
      </c>
      <c r="W142">
        <v>19</v>
      </c>
      <c r="X142" t="s">
        <v>181</v>
      </c>
      <c r="Z142" t="s">
        <v>185</v>
      </c>
      <c r="AB142" t="s">
        <v>223</v>
      </c>
      <c r="AC142" t="s">
        <v>257</v>
      </c>
      <c r="AD142" t="s">
        <v>188</v>
      </c>
      <c r="AE142" t="s">
        <v>265</v>
      </c>
      <c r="AF142" t="s">
        <v>190</v>
      </c>
      <c r="AW142" t="s">
        <v>341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K142" t="s">
        <v>190</v>
      </c>
      <c r="BL142" t="s">
        <v>389</v>
      </c>
      <c r="BM142">
        <v>0</v>
      </c>
      <c r="BN142">
        <v>0</v>
      </c>
      <c r="BO142">
        <v>0</v>
      </c>
      <c r="BP142">
        <v>0</v>
      </c>
      <c r="BQ142">
        <v>1</v>
      </c>
      <c r="BR142" t="s">
        <v>193</v>
      </c>
      <c r="BS142" t="s">
        <v>181</v>
      </c>
      <c r="BT142" t="s">
        <v>181</v>
      </c>
      <c r="BU142" t="s">
        <v>181</v>
      </c>
      <c r="BV142" t="s">
        <v>195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 t="s">
        <v>676</v>
      </c>
      <c r="CD142" t="s">
        <v>194</v>
      </c>
      <c r="CZ142" t="s">
        <v>181</v>
      </c>
      <c r="DA142" t="s">
        <v>215</v>
      </c>
      <c r="DB142" t="s">
        <v>194</v>
      </c>
      <c r="DD142" t="s">
        <v>181</v>
      </c>
      <c r="DE142" t="s">
        <v>199</v>
      </c>
      <c r="DF142" t="s">
        <v>181</v>
      </c>
      <c r="DG142" t="s">
        <v>199</v>
      </c>
      <c r="DH142" t="s">
        <v>181</v>
      </c>
      <c r="DI142" t="s">
        <v>215</v>
      </c>
      <c r="DJ142" t="s">
        <v>194</v>
      </c>
      <c r="DL142" t="s">
        <v>194</v>
      </c>
      <c r="DN142" t="s">
        <v>194</v>
      </c>
      <c r="DP142" t="s">
        <v>194</v>
      </c>
      <c r="DR142" t="s">
        <v>181</v>
      </c>
      <c r="DS142" t="s">
        <v>215</v>
      </c>
      <c r="DT142" t="s">
        <v>194</v>
      </c>
      <c r="DV142" t="s">
        <v>194</v>
      </c>
      <c r="DX142" t="s">
        <v>181</v>
      </c>
      <c r="DY142" t="s">
        <v>197</v>
      </c>
      <c r="DZ142" t="s">
        <v>181</v>
      </c>
      <c r="EA142" t="s">
        <v>197</v>
      </c>
      <c r="EB142" t="s">
        <v>194</v>
      </c>
      <c r="ED142" t="s">
        <v>181</v>
      </c>
      <c r="EE142" t="s">
        <v>199</v>
      </c>
      <c r="EF142" t="s">
        <v>194</v>
      </c>
      <c r="EI142" t="s">
        <v>181</v>
      </c>
      <c r="EJ142" t="s">
        <v>199</v>
      </c>
      <c r="EK142" t="s">
        <v>181</v>
      </c>
      <c r="EM142" t="s">
        <v>181</v>
      </c>
      <c r="EN142" t="s">
        <v>181</v>
      </c>
      <c r="EO142" t="s">
        <v>229</v>
      </c>
      <c r="EP142" t="s">
        <v>194</v>
      </c>
      <c r="ES142" t="s">
        <v>194</v>
      </c>
      <c r="EV142" t="s">
        <v>181</v>
      </c>
      <c r="EW142" t="s">
        <v>181</v>
      </c>
      <c r="EX142" t="s">
        <v>250</v>
      </c>
      <c r="EY142" t="s">
        <v>181</v>
      </c>
      <c r="EZ142" t="s">
        <v>194</v>
      </c>
      <c r="FB142" t="s">
        <v>181</v>
      </c>
      <c r="FC142" t="s">
        <v>194</v>
      </c>
      <c r="FE142" t="s">
        <v>181</v>
      </c>
      <c r="FF142" t="s">
        <v>181</v>
      </c>
      <c r="FG142" t="s">
        <v>229</v>
      </c>
      <c r="FH142" t="s">
        <v>181</v>
      </c>
      <c r="FI142" t="s">
        <v>181</v>
      </c>
      <c r="FJ142" t="s">
        <v>250</v>
      </c>
      <c r="FK142" t="s">
        <v>181</v>
      </c>
      <c r="FL142" t="s">
        <v>181</v>
      </c>
      <c r="FM142" t="s">
        <v>250</v>
      </c>
      <c r="FN142" t="s">
        <v>194</v>
      </c>
      <c r="FR142" t="s">
        <v>338</v>
      </c>
      <c r="FU142" t="s">
        <v>238</v>
      </c>
      <c r="FV142" t="s">
        <v>383</v>
      </c>
      <c r="FW142" t="s">
        <v>241</v>
      </c>
      <c r="FX142" t="s">
        <v>677</v>
      </c>
      <c r="FY142" t="s">
        <v>241</v>
      </c>
      <c r="GA142" t="s">
        <v>194</v>
      </c>
      <c r="GB142" t="s">
        <v>678</v>
      </c>
      <c r="GC142" t="s">
        <v>312</v>
      </c>
    </row>
    <row r="143" spans="1:186" x14ac:dyDescent="0.25">
      <c r="A143" s="1">
        <v>46133.658712766213</v>
      </c>
      <c r="B143" s="1">
        <v>46133.662703587957</v>
      </c>
      <c r="C143" t="s">
        <v>176</v>
      </c>
      <c r="D143">
        <v>142</v>
      </c>
      <c r="E143">
        <v>142</v>
      </c>
      <c r="F143" t="b">
        <f t="shared" si="2"/>
        <v>1</v>
      </c>
      <c r="G143" s="1">
        <v>46131</v>
      </c>
      <c r="H143">
        <v>3</v>
      </c>
      <c r="I143" t="s">
        <v>505</v>
      </c>
      <c r="J143" t="s">
        <v>176</v>
      </c>
      <c r="K143" t="s">
        <v>696</v>
      </c>
      <c r="L143" t="s">
        <v>697</v>
      </c>
      <c r="M143" t="s">
        <v>181</v>
      </c>
      <c r="N143" t="s">
        <v>182</v>
      </c>
      <c r="O143">
        <v>37</v>
      </c>
      <c r="P143" t="s">
        <v>183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222</v>
      </c>
      <c r="W143">
        <v>67</v>
      </c>
      <c r="X143" t="s">
        <v>181</v>
      </c>
      <c r="Z143" t="s">
        <v>185</v>
      </c>
      <c r="AB143" t="s">
        <v>186</v>
      </c>
      <c r="AC143" t="s">
        <v>209</v>
      </c>
      <c r="AD143" t="s">
        <v>188</v>
      </c>
      <c r="AE143" t="s">
        <v>198</v>
      </c>
      <c r="AF143" t="s">
        <v>224</v>
      </c>
      <c r="AG143" t="s">
        <v>698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BK143" t="s">
        <v>224</v>
      </c>
      <c r="BL143" t="s">
        <v>192</v>
      </c>
      <c r="BM143">
        <v>0</v>
      </c>
      <c r="BN143">
        <v>1</v>
      </c>
      <c r="BO143">
        <v>1</v>
      </c>
      <c r="BP143">
        <v>0</v>
      </c>
      <c r="BQ143">
        <v>0</v>
      </c>
      <c r="BR143" t="s">
        <v>212</v>
      </c>
      <c r="BS143" t="s">
        <v>194</v>
      </c>
      <c r="BT143" t="s">
        <v>194</v>
      </c>
      <c r="BU143" t="s">
        <v>194</v>
      </c>
      <c r="CD143" t="s">
        <v>181</v>
      </c>
      <c r="CE143" t="s">
        <v>277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Q143" t="s">
        <v>181</v>
      </c>
      <c r="CZ143" t="s">
        <v>181</v>
      </c>
      <c r="DA143" t="s">
        <v>199</v>
      </c>
      <c r="DB143" t="s">
        <v>181</v>
      </c>
      <c r="DC143" t="s">
        <v>199</v>
      </c>
      <c r="DD143" t="s">
        <v>194</v>
      </c>
      <c r="DF143" t="s">
        <v>181</v>
      </c>
      <c r="DG143" t="s">
        <v>199</v>
      </c>
      <c r="DH143" t="s">
        <v>181</v>
      </c>
      <c r="DI143" t="s">
        <v>197</v>
      </c>
      <c r="DJ143" t="s">
        <v>194</v>
      </c>
      <c r="DL143" t="s">
        <v>194</v>
      </c>
      <c r="DN143" t="s">
        <v>194</v>
      </c>
      <c r="DP143" t="s">
        <v>194</v>
      </c>
      <c r="DR143" t="s">
        <v>181</v>
      </c>
      <c r="DS143" t="s">
        <v>199</v>
      </c>
      <c r="DT143" t="s">
        <v>194</v>
      </c>
      <c r="DV143" t="s">
        <v>194</v>
      </c>
      <c r="DX143" t="s">
        <v>194</v>
      </c>
      <c r="DZ143" t="s">
        <v>181</v>
      </c>
      <c r="EA143" t="s">
        <v>197</v>
      </c>
      <c r="EB143" t="s">
        <v>194</v>
      </c>
      <c r="ED143" t="s">
        <v>194</v>
      </c>
      <c r="EF143" t="s">
        <v>194</v>
      </c>
      <c r="EI143" t="s">
        <v>181</v>
      </c>
      <c r="EJ143" t="s">
        <v>215</v>
      </c>
      <c r="EK143" t="s">
        <v>181</v>
      </c>
      <c r="EM143" t="s">
        <v>181</v>
      </c>
      <c r="EN143" t="s">
        <v>194</v>
      </c>
      <c r="EP143" t="s">
        <v>194</v>
      </c>
      <c r="ES143" t="s">
        <v>194</v>
      </c>
      <c r="EV143" t="s">
        <v>181</v>
      </c>
      <c r="EW143" t="s">
        <v>194</v>
      </c>
      <c r="EY143" t="s">
        <v>181</v>
      </c>
      <c r="EZ143" t="s">
        <v>194</v>
      </c>
      <c r="FB143" t="s">
        <v>194</v>
      </c>
      <c r="FE143" t="s">
        <v>181</v>
      </c>
      <c r="FF143" t="s">
        <v>194</v>
      </c>
      <c r="FH143" t="s">
        <v>181</v>
      </c>
      <c r="FI143" t="s">
        <v>194</v>
      </c>
      <c r="FK143" t="s">
        <v>181</v>
      </c>
      <c r="FL143" t="s">
        <v>194</v>
      </c>
      <c r="FN143" t="s">
        <v>194</v>
      </c>
      <c r="FR143" t="s">
        <v>353</v>
      </c>
      <c r="FS143" t="s">
        <v>288</v>
      </c>
      <c r="FT143" t="s">
        <v>309</v>
      </c>
      <c r="FU143" t="s">
        <v>238</v>
      </c>
      <c r="FV143" t="s">
        <v>239</v>
      </c>
      <c r="FW143" t="s">
        <v>238</v>
      </c>
      <c r="FX143" t="s">
        <v>699</v>
      </c>
      <c r="FY143" t="s">
        <v>241</v>
      </c>
      <c r="GA143" t="s">
        <v>242</v>
      </c>
      <c r="GB143" t="s">
        <v>700</v>
      </c>
      <c r="GC143" t="s">
        <v>232</v>
      </c>
    </row>
    <row r="144" spans="1:186" hidden="1" x14ac:dyDescent="0.25">
      <c r="A144" s="1">
        <v>46133.662704421287</v>
      </c>
      <c r="B144" s="1">
        <v>46133.668756967592</v>
      </c>
      <c r="C144" t="s">
        <v>176</v>
      </c>
      <c r="D144">
        <v>143</v>
      </c>
      <c r="E144">
        <v>143</v>
      </c>
      <c r="F144" t="b">
        <f t="shared" si="2"/>
        <v>1</v>
      </c>
      <c r="G144" s="1">
        <v>46129</v>
      </c>
      <c r="H144">
        <v>3</v>
      </c>
      <c r="I144" t="s">
        <v>463</v>
      </c>
      <c r="J144" t="s">
        <v>176</v>
      </c>
      <c r="K144" t="s">
        <v>715</v>
      </c>
      <c r="L144" t="s">
        <v>716</v>
      </c>
      <c r="M144" t="s">
        <v>181</v>
      </c>
      <c r="N144" t="s">
        <v>182</v>
      </c>
      <c r="O144">
        <v>34</v>
      </c>
      <c r="P144" t="s">
        <v>183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184</v>
      </c>
      <c r="W144">
        <v>65</v>
      </c>
      <c r="X144" t="s">
        <v>181</v>
      </c>
      <c r="Z144" t="s">
        <v>185</v>
      </c>
      <c r="AB144" t="s">
        <v>186</v>
      </c>
      <c r="AC144" t="s">
        <v>209</v>
      </c>
      <c r="AD144" t="s">
        <v>188</v>
      </c>
      <c r="AE144" t="s">
        <v>265</v>
      </c>
      <c r="AF144" t="s">
        <v>190</v>
      </c>
      <c r="AW144" t="s">
        <v>191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K144" t="s">
        <v>224</v>
      </c>
      <c r="BL144" t="s">
        <v>632</v>
      </c>
      <c r="BM144">
        <v>0</v>
      </c>
      <c r="BN144">
        <v>0</v>
      </c>
      <c r="BO144">
        <v>1</v>
      </c>
      <c r="BP144">
        <v>1</v>
      </c>
      <c r="BQ144">
        <v>0</v>
      </c>
      <c r="BR144" t="s">
        <v>227</v>
      </c>
      <c r="BS144" t="s">
        <v>181</v>
      </c>
      <c r="BT144" t="s">
        <v>181</v>
      </c>
      <c r="BU144" t="s">
        <v>194</v>
      </c>
      <c r="CD144" t="s">
        <v>181</v>
      </c>
      <c r="CE144" t="s">
        <v>214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R144" t="s">
        <v>194</v>
      </c>
      <c r="CZ144" t="s">
        <v>194</v>
      </c>
      <c r="DB144" t="s">
        <v>194</v>
      </c>
      <c r="DD144" t="s">
        <v>181</v>
      </c>
      <c r="DE144" t="s">
        <v>199</v>
      </c>
      <c r="DF144" t="s">
        <v>181</v>
      </c>
      <c r="DG144" t="s">
        <v>199</v>
      </c>
      <c r="DH144" t="s">
        <v>181</v>
      </c>
      <c r="DI144" t="s">
        <v>199</v>
      </c>
      <c r="DJ144" t="s">
        <v>194</v>
      </c>
      <c r="DL144" t="s">
        <v>194</v>
      </c>
      <c r="DN144" t="s">
        <v>181</v>
      </c>
      <c r="DO144" t="s">
        <v>197</v>
      </c>
      <c r="DP144" t="s">
        <v>194</v>
      </c>
      <c r="DR144" t="s">
        <v>181</v>
      </c>
      <c r="DS144" t="s">
        <v>197</v>
      </c>
      <c r="DT144" t="s">
        <v>194</v>
      </c>
      <c r="DV144" t="s">
        <v>194</v>
      </c>
      <c r="DX144" t="s">
        <v>181</v>
      </c>
      <c r="DY144" t="s">
        <v>197</v>
      </c>
      <c r="DZ144" t="s">
        <v>194</v>
      </c>
      <c r="EB144" t="s">
        <v>194</v>
      </c>
      <c r="ED144" t="s">
        <v>194</v>
      </c>
      <c r="EF144" t="s">
        <v>181</v>
      </c>
      <c r="EG144" t="s">
        <v>717</v>
      </c>
      <c r="EH144" t="s">
        <v>215</v>
      </c>
      <c r="EI144" t="s">
        <v>181</v>
      </c>
      <c r="EJ144" t="s">
        <v>215</v>
      </c>
      <c r="EK144" t="s">
        <v>181</v>
      </c>
      <c r="EM144" t="s">
        <v>181</v>
      </c>
      <c r="EN144" t="s">
        <v>194</v>
      </c>
      <c r="EP144" t="s">
        <v>194</v>
      </c>
      <c r="ES144" t="s">
        <v>194</v>
      </c>
      <c r="EV144" t="s">
        <v>181</v>
      </c>
      <c r="EW144" t="s">
        <v>194</v>
      </c>
      <c r="EY144" t="s">
        <v>194</v>
      </c>
      <c r="FB144" t="s">
        <v>194</v>
      </c>
      <c r="FE144" t="s">
        <v>194</v>
      </c>
      <c r="FH144" t="s">
        <v>181</v>
      </c>
      <c r="FI144" t="s">
        <v>194</v>
      </c>
      <c r="FK144" t="s">
        <v>181</v>
      </c>
      <c r="FL144" t="s">
        <v>194</v>
      </c>
      <c r="FN144" t="s">
        <v>194</v>
      </c>
      <c r="FR144" t="s">
        <v>718</v>
      </c>
      <c r="FU144" t="s">
        <v>194</v>
      </c>
      <c r="GC144" t="s">
        <v>232</v>
      </c>
      <c r="GD144" t="s">
        <v>719</v>
      </c>
    </row>
    <row r="145" spans="1:186" x14ac:dyDescent="0.25">
      <c r="A145" s="1">
        <v>46133.668757523148</v>
      </c>
      <c r="B145" s="1">
        <v>46133.67282994213</v>
      </c>
      <c r="C145" t="s">
        <v>176</v>
      </c>
      <c r="D145">
        <v>144</v>
      </c>
      <c r="E145">
        <v>144</v>
      </c>
      <c r="F145" t="b">
        <f t="shared" si="2"/>
        <v>1</v>
      </c>
      <c r="G145" s="1">
        <v>46131</v>
      </c>
      <c r="H145">
        <v>3</v>
      </c>
      <c r="I145" t="s">
        <v>618</v>
      </c>
      <c r="J145" t="s">
        <v>176</v>
      </c>
      <c r="K145" t="s">
        <v>731</v>
      </c>
      <c r="L145" t="s">
        <v>732</v>
      </c>
      <c r="M145" t="s">
        <v>181</v>
      </c>
      <c r="N145" t="s">
        <v>182</v>
      </c>
      <c r="O145">
        <v>12</v>
      </c>
      <c r="P145" t="s">
        <v>183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222</v>
      </c>
      <c r="W145">
        <v>39</v>
      </c>
      <c r="X145" t="s">
        <v>181</v>
      </c>
      <c r="Z145" t="s">
        <v>185</v>
      </c>
      <c r="AB145" t="s">
        <v>186</v>
      </c>
      <c r="AC145" t="s">
        <v>257</v>
      </c>
      <c r="AD145" t="s">
        <v>188</v>
      </c>
      <c r="AE145" t="s">
        <v>265</v>
      </c>
      <c r="AF145" t="s">
        <v>190</v>
      </c>
      <c r="AW145" t="s">
        <v>191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K145" t="s">
        <v>190</v>
      </c>
      <c r="BL145" t="s">
        <v>258</v>
      </c>
      <c r="BM145">
        <v>0</v>
      </c>
      <c r="BN145">
        <v>0</v>
      </c>
      <c r="BO145">
        <v>0</v>
      </c>
      <c r="BP145">
        <v>1</v>
      </c>
      <c r="BQ145">
        <v>0</v>
      </c>
      <c r="BR145" t="s">
        <v>193</v>
      </c>
      <c r="BS145" t="s">
        <v>181</v>
      </c>
      <c r="BT145" t="s">
        <v>181</v>
      </c>
      <c r="BU145" t="s">
        <v>181</v>
      </c>
      <c r="BV145" t="s">
        <v>195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 t="s">
        <v>733</v>
      </c>
      <c r="CD145" t="s">
        <v>194</v>
      </c>
      <c r="CZ145" t="s">
        <v>194</v>
      </c>
      <c r="DB145" t="s">
        <v>194</v>
      </c>
      <c r="DD145" t="s">
        <v>194</v>
      </c>
      <c r="DF145" t="s">
        <v>181</v>
      </c>
      <c r="DG145" t="s">
        <v>199</v>
      </c>
      <c r="DH145" t="s">
        <v>181</v>
      </c>
      <c r="DI145" t="s">
        <v>197</v>
      </c>
      <c r="DJ145" t="s">
        <v>181</v>
      </c>
      <c r="DK145" t="s">
        <v>197</v>
      </c>
      <c r="DL145" t="s">
        <v>181</v>
      </c>
      <c r="DM145" t="s">
        <v>199</v>
      </c>
      <c r="DN145" t="s">
        <v>194</v>
      </c>
      <c r="DP145" t="s">
        <v>194</v>
      </c>
      <c r="DR145" t="s">
        <v>194</v>
      </c>
      <c r="DT145" t="s">
        <v>198</v>
      </c>
      <c r="DV145" t="s">
        <v>194</v>
      </c>
      <c r="DX145" t="s">
        <v>181</v>
      </c>
      <c r="DY145" t="s">
        <v>215</v>
      </c>
      <c r="DZ145" t="s">
        <v>194</v>
      </c>
      <c r="EB145" t="s">
        <v>198</v>
      </c>
      <c r="ED145" t="s">
        <v>181</v>
      </c>
      <c r="EE145" t="s">
        <v>197</v>
      </c>
      <c r="EF145" t="s">
        <v>194</v>
      </c>
      <c r="EI145" t="s">
        <v>181</v>
      </c>
      <c r="EJ145" t="s">
        <v>199</v>
      </c>
      <c r="EK145" t="s">
        <v>181</v>
      </c>
      <c r="EM145" t="s">
        <v>194</v>
      </c>
      <c r="EP145" t="s">
        <v>194</v>
      </c>
      <c r="ES145" t="s">
        <v>194</v>
      </c>
      <c r="EV145" t="s">
        <v>194</v>
      </c>
      <c r="EY145" t="s">
        <v>181</v>
      </c>
      <c r="EZ145" t="s">
        <v>194</v>
      </c>
      <c r="FB145" t="s">
        <v>194</v>
      </c>
      <c r="FE145" t="s">
        <v>181</v>
      </c>
      <c r="FF145" t="s">
        <v>181</v>
      </c>
      <c r="FG145" t="s">
        <v>229</v>
      </c>
      <c r="FH145" t="s">
        <v>181</v>
      </c>
      <c r="FI145" t="s">
        <v>194</v>
      </c>
      <c r="FK145" t="s">
        <v>181</v>
      </c>
      <c r="FL145" t="s">
        <v>194</v>
      </c>
      <c r="FN145" t="s">
        <v>194</v>
      </c>
      <c r="FR145" t="s">
        <v>377</v>
      </c>
      <c r="FS145" t="s">
        <v>342</v>
      </c>
      <c r="FT145" t="s">
        <v>769</v>
      </c>
      <c r="FU145" t="s">
        <v>238</v>
      </c>
      <c r="FV145" t="s">
        <v>239</v>
      </c>
      <c r="FW145" t="s">
        <v>241</v>
      </c>
      <c r="FX145" t="s">
        <v>734</v>
      </c>
      <c r="FY145" t="s">
        <v>241</v>
      </c>
      <c r="GA145" t="s">
        <v>194</v>
      </c>
      <c r="GB145" t="s">
        <v>735</v>
      </c>
      <c r="GC145" t="s">
        <v>409</v>
      </c>
    </row>
    <row r="146" spans="1:186" hidden="1" x14ac:dyDescent="0.25">
      <c r="A146" s="1">
        <v>46133.672830856478</v>
      </c>
      <c r="B146" s="1">
        <v>46134.519453668981</v>
      </c>
      <c r="C146" t="s">
        <v>176</v>
      </c>
      <c r="D146">
        <v>145</v>
      </c>
      <c r="E146">
        <v>145</v>
      </c>
      <c r="F146" t="b">
        <f t="shared" si="2"/>
        <v>1</v>
      </c>
      <c r="G146" s="1">
        <v>46131</v>
      </c>
      <c r="H146">
        <v>3</v>
      </c>
      <c r="I146" t="s">
        <v>505</v>
      </c>
      <c r="J146" t="s">
        <v>176</v>
      </c>
      <c r="K146" t="s">
        <v>820</v>
      </c>
      <c r="L146" t="s">
        <v>821</v>
      </c>
      <c r="M146" t="s">
        <v>181</v>
      </c>
      <c r="N146" t="s">
        <v>182</v>
      </c>
      <c r="O146">
        <v>8</v>
      </c>
      <c r="P146" t="s">
        <v>183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184</v>
      </c>
      <c r="W146">
        <v>29</v>
      </c>
      <c r="X146" t="s">
        <v>181</v>
      </c>
      <c r="Z146" t="s">
        <v>185</v>
      </c>
      <c r="AB146" t="s">
        <v>256</v>
      </c>
      <c r="AC146" t="s">
        <v>187</v>
      </c>
      <c r="AD146" t="s">
        <v>210</v>
      </c>
      <c r="AE146" t="s">
        <v>198</v>
      </c>
      <c r="AF146" t="s">
        <v>190</v>
      </c>
      <c r="AW146" t="s">
        <v>516</v>
      </c>
      <c r="AX146">
        <v>1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K146" t="s">
        <v>224</v>
      </c>
      <c r="BL146" t="s">
        <v>192</v>
      </c>
      <c r="BM146">
        <v>0</v>
      </c>
      <c r="BN146">
        <v>1</v>
      </c>
      <c r="BO146">
        <v>1</v>
      </c>
      <c r="BP146">
        <v>0</v>
      </c>
      <c r="BQ146">
        <v>0</v>
      </c>
      <c r="BR146" t="s">
        <v>227</v>
      </c>
      <c r="BS146" t="s">
        <v>194</v>
      </c>
      <c r="BT146" t="s">
        <v>194</v>
      </c>
      <c r="BU146" t="s">
        <v>194</v>
      </c>
      <c r="CD146" t="s">
        <v>194</v>
      </c>
      <c r="CZ146" t="s">
        <v>181</v>
      </c>
      <c r="DA146" t="s">
        <v>199</v>
      </c>
      <c r="DB146" t="s">
        <v>194</v>
      </c>
      <c r="DD146" t="s">
        <v>181</v>
      </c>
      <c r="DE146" t="s">
        <v>199</v>
      </c>
      <c r="DF146" t="s">
        <v>181</v>
      </c>
      <c r="DG146" t="s">
        <v>197</v>
      </c>
      <c r="DH146" t="s">
        <v>194</v>
      </c>
      <c r="DJ146" t="s">
        <v>181</v>
      </c>
      <c r="DK146" t="s">
        <v>197</v>
      </c>
      <c r="DL146" t="s">
        <v>181</v>
      </c>
      <c r="DM146" t="s">
        <v>197</v>
      </c>
      <c r="DN146" t="s">
        <v>181</v>
      </c>
      <c r="DO146" t="s">
        <v>199</v>
      </c>
      <c r="DP146" t="s">
        <v>194</v>
      </c>
      <c r="DR146" t="s">
        <v>181</v>
      </c>
      <c r="DS146" t="s">
        <v>199</v>
      </c>
      <c r="DT146" t="s">
        <v>194</v>
      </c>
      <c r="DV146" t="s">
        <v>194</v>
      </c>
      <c r="DX146" t="s">
        <v>194</v>
      </c>
      <c r="DZ146" t="s">
        <v>181</v>
      </c>
      <c r="EA146" t="s">
        <v>197</v>
      </c>
      <c r="EB146" t="s">
        <v>194</v>
      </c>
      <c r="ED146" t="s">
        <v>194</v>
      </c>
      <c r="EF146" t="s">
        <v>194</v>
      </c>
      <c r="EI146" t="s">
        <v>181</v>
      </c>
      <c r="EJ146" t="s">
        <v>215</v>
      </c>
      <c r="EK146" t="s">
        <v>194</v>
      </c>
      <c r="EM146" t="s">
        <v>181</v>
      </c>
      <c r="EN146" t="s">
        <v>194</v>
      </c>
      <c r="EP146" t="s">
        <v>194</v>
      </c>
      <c r="ES146" t="s">
        <v>194</v>
      </c>
      <c r="EV146" t="s">
        <v>181</v>
      </c>
      <c r="EW146" t="s">
        <v>194</v>
      </c>
      <c r="EY146" t="s">
        <v>194</v>
      </c>
      <c r="FB146" t="s">
        <v>194</v>
      </c>
      <c r="FE146" t="s">
        <v>181</v>
      </c>
      <c r="FF146" t="s">
        <v>194</v>
      </c>
      <c r="FH146" t="s">
        <v>181</v>
      </c>
      <c r="FI146" t="s">
        <v>194</v>
      </c>
      <c r="FK146" t="s">
        <v>181</v>
      </c>
      <c r="FL146" t="s">
        <v>194</v>
      </c>
      <c r="FN146" t="s">
        <v>194</v>
      </c>
      <c r="FR146" t="s">
        <v>822</v>
      </c>
      <c r="FS146" t="s">
        <v>342</v>
      </c>
      <c r="FU146" t="s">
        <v>194</v>
      </c>
      <c r="GC146" t="s">
        <v>202</v>
      </c>
    </row>
    <row r="147" spans="1:186" hidden="1" x14ac:dyDescent="0.25">
      <c r="A147" s="1">
        <v>46134.519454374997</v>
      </c>
      <c r="B147" s="1">
        <v>46134.524891365741</v>
      </c>
      <c r="C147" t="s">
        <v>176</v>
      </c>
      <c r="D147">
        <v>146</v>
      </c>
      <c r="E147">
        <v>146</v>
      </c>
      <c r="F147" t="b">
        <f t="shared" si="2"/>
        <v>1</v>
      </c>
      <c r="G147" s="1">
        <v>46131</v>
      </c>
      <c r="H147">
        <v>3</v>
      </c>
      <c r="I147" t="s">
        <v>463</v>
      </c>
      <c r="J147" t="s">
        <v>176</v>
      </c>
      <c r="K147" t="s">
        <v>823</v>
      </c>
      <c r="L147" t="s">
        <v>824</v>
      </c>
      <c r="M147" t="s">
        <v>181</v>
      </c>
      <c r="N147" t="s">
        <v>182</v>
      </c>
      <c r="O147">
        <v>43</v>
      </c>
      <c r="P147" t="s">
        <v>183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184</v>
      </c>
      <c r="W147">
        <v>50</v>
      </c>
      <c r="X147" t="s">
        <v>181</v>
      </c>
      <c r="Z147" t="s">
        <v>185</v>
      </c>
      <c r="AB147" t="s">
        <v>208</v>
      </c>
      <c r="AC147" t="s">
        <v>209</v>
      </c>
      <c r="AD147" t="s">
        <v>188</v>
      </c>
      <c r="AE147" t="s">
        <v>198</v>
      </c>
      <c r="AF147" t="s">
        <v>211</v>
      </c>
      <c r="AW147" t="s">
        <v>191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K147" t="s">
        <v>190</v>
      </c>
      <c r="BL147" t="s">
        <v>632</v>
      </c>
      <c r="BM147">
        <v>0</v>
      </c>
      <c r="BN147">
        <v>0</v>
      </c>
      <c r="BO147">
        <v>1</v>
      </c>
      <c r="BP147">
        <v>1</v>
      </c>
      <c r="BQ147">
        <v>0</v>
      </c>
      <c r="BR147" t="s">
        <v>227</v>
      </c>
      <c r="BS147" t="s">
        <v>194</v>
      </c>
      <c r="BT147" t="s">
        <v>181</v>
      </c>
      <c r="BU147" t="s">
        <v>194</v>
      </c>
      <c r="CD147" t="s">
        <v>181</v>
      </c>
      <c r="CE147" t="s">
        <v>214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R147" t="s">
        <v>194</v>
      </c>
      <c r="CZ147" t="s">
        <v>194</v>
      </c>
      <c r="DB147" t="s">
        <v>194</v>
      </c>
      <c r="DD147" t="s">
        <v>181</v>
      </c>
      <c r="DE147" t="s">
        <v>215</v>
      </c>
      <c r="DF147" t="s">
        <v>181</v>
      </c>
      <c r="DG147" t="s">
        <v>199</v>
      </c>
      <c r="DH147" t="s">
        <v>181</v>
      </c>
      <c r="DI147" t="s">
        <v>197</v>
      </c>
      <c r="DJ147" t="s">
        <v>194</v>
      </c>
      <c r="DL147" t="s">
        <v>181</v>
      </c>
      <c r="DM147" t="s">
        <v>199</v>
      </c>
      <c r="DN147" t="s">
        <v>181</v>
      </c>
      <c r="DO147" t="s">
        <v>199</v>
      </c>
      <c r="DP147" t="s">
        <v>194</v>
      </c>
      <c r="DR147" t="s">
        <v>181</v>
      </c>
      <c r="DS147" t="s">
        <v>199</v>
      </c>
      <c r="DT147" t="s">
        <v>194</v>
      </c>
      <c r="DV147" t="s">
        <v>181</v>
      </c>
      <c r="DW147" t="s">
        <v>199</v>
      </c>
      <c r="DX147" t="s">
        <v>194</v>
      </c>
      <c r="DZ147" t="s">
        <v>181</v>
      </c>
      <c r="EA147" t="s">
        <v>199</v>
      </c>
      <c r="EB147" t="s">
        <v>194</v>
      </c>
      <c r="ED147" t="s">
        <v>194</v>
      </c>
      <c r="EF147" t="s">
        <v>194</v>
      </c>
      <c r="EI147" t="s">
        <v>181</v>
      </c>
      <c r="EJ147" t="s">
        <v>215</v>
      </c>
      <c r="EK147" t="s">
        <v>181</v>
      </c>
      <c r="EM147" t="s">
        <v>181</v>
      </c>
      <c r="EN147" t="s">
        <v>194</v>
      </c>
      <c r="EP147" t="s">
        <v>181</v>
      </c>
      <c r="EQ147" t="s">
        <v>194</v>
      </c>
      <c r="ES147" t="s">
        <v>194</v>
      </c>
      <c r="EV147" t="s">
        <v>181</v>
      </c>
      <c r="EW147" t="s">
        <v>181</v>
      </c>
      <c r="EX147" t="s">
        <v>250</v>
      </c>
      <c r="EY147" t="s">
        <v>194</v>
      </c>
      <c r="FB147" t="s">
        <v>194</v>
      </c>
      <c r="FE147" t="s">
        <v>181</v>
      </c>
      <c r="FF147" t="s">
        <v>181</v>
      </c>
      <c r="FG147" t="s">
        <v>250</v>
      </c>
      <c r="FH147" t="s">
        <v>181</v>
      </c>
      <c r="FI147" t="s">
        <v>181</v>
      </c>
      <c r="FJ147" t="s">
        <v>250</v>
      </c>
      <c r="FK147" t="s">
        <v>181</v>
      </c>
      <c r="FL147" t="s">
        <v>181</v>
      </c>
      <c r="FM147" t="s">
        <v>250</v>
      </c>
      <c r="FN147" t="s">
        <v>194</v>
      </c>
      <c r="FR147" t="s">
        <v>218</v>
      </c>
      <c r="FU147" t="s">
        <v>238</v>
      </c>
      <c r="FV147" t="s">
        <v>383</v>
      </c>
      <c r="FW147" t="s">
        <v>241</v>
      </c>
      <c r="FX147" t="s">
        <v>825</v>
      </c>
      <c r="FY147" t="s">
        <v>241</v>
      </c>
      <c r="GA147" t="s">
        <v>194</v>
      </c>
      <c r="GB147" t="s">
        <v>826</v>
      </c>
      <c r="GC147" t="s">
        <v>202</v>
      </c>
      <c r="GD147" t="s">
        <v>827</v>
      </c>
    </row>
    <row r="148" spans="1:186" hidden="1" x14ac:dyDescent="0.25">
      <c r="A148" s="1">
        <v>46134.524892037043</v>
      </c>
      <c r="B148" s="1">
        <v>46134.586258877323</v>
      </c>
      <c r="C148" t="s">
        <v>176</v>
      </c>
      <c r="D148">
        <v>147</v>
      </c>
      <c r="E148">
        <v>147</v>
      </c>
      <c r="F148" t="b">
        <f t="shared" si="2"/>
        <v>1</v>
      </c>
      <c r="G148" s="1">
        <v>46131</v>
      </c>
      <c r="H148">
        <v>3</v>
      </c>
      <c r="I148" t="s">
        <v>618</v>
      </c>
      <c r="J148" t="s">
        <v>176</v>
      </c>
      <c r="K148" t="s">
        <v>842</v>
      </c>
      <c r="L148" t="s">
        <v>843</v>
      </c>
      <c r="M148" t="s">
        <v>181</v>
      </c>
      <c r="N148" t="s">
        <v>182</v>
      </c>
      <c r="O148">
        <v>15</v>
      </c>
      <c r="P148" t="s">
        <v>183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184</v>
      </c>
      <c r="W148">
        <v>46</v>
      </c>
      <c r="X148" t="s">
        <v>181</v>
      </c>
      <c r="Z148" t="s">
        <v>185</v>
      </c>
      <c r="AB148" t="s">
        <v>186</v>
      </c>
      <c r="AC148" t="s">
        <v>209</v>
      </c>
      <c r="AD148" t="s">
        <v>188</v>
      </c>
      <c r="AE148" t="s">
        <v>265</v>
      </c>
      <c r="AF148" t="s">
        <v>224</v>
      </c>
      <c r="AG148" t="s">
        <v>844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 t="s">
        <v>845</v>
      </c>
      <c r="BK148" t="s">
        <v>224</v>
      </c>
      <c r="BL148" t="s">
        <v>389</v>
      </c>
      <c r="BM148">
        <v>0</v>
      </c>
      <c r="BN148">
        <v>0</v>
      </c>
      <c r="BO148">
        <v>0</v>
      </c>
      <c r="BP148">
        <v>0</v>
      </c>
      <c r="BQ148">
        <v>1</v>
      </c>
      <c r="BR148" t="s">
        <v>193</v>
      </c>
      <c r="BS148" t="s">
        <v>194</v>
      </c>
      <c r="BT148" t="s">
        <v>194</v>
      </c>
      <c r="BU148" t="s">
        <v>194</v>
      </c>
      <c r="CD148" t="s">
        <v>194</v>
      </c>
      <c r="CZ148" t="s">
        <v>181</v>
      </c>
      <c r="DA148" t="s">
        <v>197</v>
      </c>
      <c r="DB148" t="s">
        <v>194</v>
      </c>
      <c r="DD148" t="s">
        <v>181</v>
      </c>
      <c r="DE148" t="s">
        <v>199</v>
      </c>
      <c r="DF148" t="s">
        <v>194</v>
      </c>
      <c r="DH148" t="s">
        <v>194</v>
      </c>
      <c r="DJ148" t="s">
        <v>194</v>
      </c>
      <c r="DL148" t="s">
        <v>194</v>
      </c>
      <c r="DN148" t="s">
        <v>181</v>
      </c>
      <c r="DO148" t="s">
        <v>197</v>
      </c>
      <c r="DP148" t="s">
        <v>181</v>
      </c>
      <c r="DQ148" t="s">
        <v>197</v>
      </c>
      <c r="DR148" t="s">
        <v>198</v>
      </c>
      <c r="DT148" t="s">
        <v>198</v>
      </c>
      <c r="DV148" t="s">
        <v>194</v>
      </c>
      <c r="DX148" t="s">
        <v>194</v>
      </c>
      <c r="DZ148" t="s">
        <v>181</v>
      </c>
      <c r="EA148" t="s">
        <v>199</v>
      </c>
      <c r="EB148" t="s">
        <v>194</v>
      </c>
      <c r="ED148" t="s">
        <v>181</v>
      </c>
      <c r="EE148" t="s">
        <v>197</v>
      </c>
      <c r="EF148" t="s">
        <v>194</v>
      </c>
      <c r="EI148" t="s">
        <v>181</v>
      </c>
      <c r="EJ148" t="s">
        <v>215</v>
      </c>
      <c r="EK148" t="s">
        <v>181</v>
      </c>
      <c r="EM148" t="s">
        <v>181</v>
      </c>
      <c r="EN148" t="s">
        <v>194</v>
      </c>
      <c r="EP148" t="s">
        <v>194</v>
      </c>
      <c r="ES148" t="s">
        <v>181</v>
      </c>
      <c r="ET148" t="s">
        <v>194</v>
      </c>
      <c r="EV148" t="s">
        <v>181</v>
      </c>
      <c r="EW148" t="s">
        <v>181</v>
      </c>
      <c r="EX148" t="s">
        <v>229</v>
      </c>
      <c r="EY148" t="s">
        <v>181</v>
      </c>
      <c r="EZ148" t="s">
        <v>194</v>
      </c>
      <c r="FB148" t="s">
        <v>194</v>
      </c>
      <c r="FE148" t="s">
        <v>181</v>
      </c>
      <c r="FF148" t="s">
        <v>181</v>
      </c>
      <c r="FG148" t="s">
        <v>229</v>
      </c>
      <c r="FH148" t="s">
        <v>181</v>
      </c>
      <c r="FI148" t="s">
        <v>194</v>
      </c>
      <c r="FK148" t="s">
        <v>181</v>
      </c>
      <c r="FL148" t="s">
        <v>194</v>
      </c>
      <c r="FN148" t="s">
        <v>181</v>
      </c>
      <c r="FO148" t="s">
        <v>194</v>
      </c>
      <c r="FR148" t="s">
        <v>218</v>
      </c>
      <c r="FU148" t="s">
        <v>238</v>
      </c>
      <c r="FV148" t="s">
        <v>239</v>
      </c>
      <c r="FW148" t="s">
        <v>238</v>
      </c>
      <c r="FX148" t="s">
        <v>846</v>
      </c>
      <c r="FY148" t="s">
        <v>241</v>
      </c>
      <c r="GA148" t="s">
        <v>242</v>
      </c>
      <c r="GB148" t="s">
        <v>847</v>
      </c>
      <c r="GC148" t="s">
        <v>232</v>
      </c>
    </row>
    <row r="149" spans="1:186" x14ac:dyDescent="0.25">
      <c r="A149" s="1">
        <v>46134.586259606484</v>
      </c>
      <c r="B149" s="1">
        <v>46134.590201192128</v>
      </c>
      <c r="C149" t="s">
        <v>176</v>
      </c>
      <c r="D149">
        <v>148</v>
      </c>
      <c r="E149">
        <v>148</v>
      </c>
      <c r="F149" t="b">
        <f t="shared" si="2"/>
        <v>1</v>
      </c>
      <c r="G149" s="1">
        <v>46131</v>
      </c>
      <c r="H149">
        <v>3</v>
      </c>
      <c r="I149" t="s">
        <v>505</v>
      </c>
      <c r="J149" t="s">
        <v>176</v>
      </c>
      <c r="K149" t="s">
        <v>851</v>
      </c>
      <c r="L149" t="s">
        <v>852</v>
      </c>
      <c r="M149" t="s">
        <v>181</v>
      </c>
      <c r="N149" t="s">
        <v>182</v>
      </c>
      <c r="O149">
        <v>8</v>
      </c>
      <c r="P149" t="s">
        <v>183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222</v>
      </c>
      <c r="W149">
        <v>65</v>
      </c>
      <c r="X149" t="s">
        <v>181</v>
      </c>
      <c r="Z149" t="s">
        <v>185</v>
      </c>
      <c r="AB149" t="s">
        <v>186</v>
      </c>
      <c r="AC149" t="s">
        <v>257</v>
      </c>
      <c r="AD149" t="s">
        <v>188</v>
      </c>
      <c r="AE149" t="s">
        <v>265</v>
      </c>
      <c r="AF149" t="s">
        <v>190</v>
      </c>
      <c r="AW149" t="s">
        <v>516</v>
      </c>
      <c r="AX149">
        <v>1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K149" t="s">
        <v>190</v>
      </c>
      <c r="BL149" t="s">
        <v>192</v>
      </c>
      <c r="BM149">
        <v>0</v>
      </c>
      <c r="BN149">
        <v>1</v>
      </c>
      <c r="BO149">
        <v>1</v>
      </c>
      <c r="BP149">
        <v>0</v>
      </c>
      <c r="BQ149">
        <v>0</v>
      </c>
      <c r="BR149" t="s">
        <v>227</v>
      </c>
      <c r="BS149" t="s">
        <v>194</v>
      </c>
      <c r="BT149" t="s">
        <v>194</v>
      </c>
      <c r="BU149" t="s">
        <v>194</v>
      </c>
      <c r="CD149" t="s">
        <v>194</v>
      </c>
      <c r="CZ149" t="s">
        <v>181</v>
      </c>
      <c r="DA149" t="s">
        <v>199</v>
      </c>
      <c r="DB149" t="s">
        <v>194</v>
      </c>
      <c r="DD149" t="s">
        <v>181</v>
      </c>
      <c r="DE149" t="s">
        <v>199</v>
      </c>
      <c r="DF149" t="s">
        <v>181</v>
      </c>
      <c r="DG149" t="s">
        <v>215</v>
      </c>
      <c r="DH149" t="s">
        <v>194</v>
      </c>
      <c r="DJ149" t="s">
        <v>194</v>
      </c>
      <c r="DL149" t="s">
        <v>181</v>
      </c>
      <c r="DM149" t="s">
        <v>199</v>
      </c>
      <c r="DN149" t="s">
        <v>194</v>
      </c>
      <c r="DP149" t="s">
        <v>194</v>
      </c>
      <c r="DR149" t="s">
        <v>194</v>
      </c>
      <c r="DT149" t="s">
        <v>194</v>
      </c>
      <c r="DV149" t="s">
        <v>194</v>
      </c>
      <c r="DX149" t="s">
        <v>194</v>
      </c>
      <c r="DZ149" t="s">
        <v>181</v>
      </c>
      <c r="EA149" t="s">
        <v>197</v>
      </c>
      <c r="EB149" t="s">
        <v>194</v>
      </c>
      <c r="ED149" t="s">
        <v>194</v>
      </c>
      <c r="EF149" t="s">
        <v>194</v>
      </c>
      <c r="EI149" t="s">
        <v>181</v>
      </c>
      <c r="EJ149" t="s">
        <v>215</v>
      </c>
      <c r="EK149" t="s">
        <v>181</v>
      </c>
      <c r="EM149" t="s">
        <v>181</v>
      </c>
      <c r="EN149" t="s">
        <v>194</v>
      </c>
      <c r="EP149" t="s">
        <v>194</v>
      </c>
      <c r="ES149" t="s">
        <v>194</v>
      </c>
      <c r="EV149" t="s">
        <v>181</v>
      </c>
      <c r="EW149" t="s">
        <v>194</v>
      </c>
      <c r="EY149" t="s">
        <v>181</v>
      </c>
      <c r="EZ149" t="s">
        <v>194</v>
      </c>
      <c r="FB149" t="s">
        <v>194</v>
      </c>
      <c r="FE149" t="s">
        <v>181</v>
      </c>
      <c r="FF149" t="s">
        <v>194</v>
      </c>
      <c r="FH149" t="s">
        <v>181</v>
      </c>
      <c r="FI149" t="s">
        <v>194</v>
      </c>
      <c r="FK149" t="s">
        <v>181</v>
      </c>
      <c r="FL149" t="s">
        <v>194</v>
      </c>
      <c r="FN149" t="s">
        <v>194</v>
      </c>
      <c r="FR149" t="s">
        <v>287</v>
      </c>
      <c r="FS149" t="s">
        <v>759</v>
      </c>
      <c r="FT149" t="s">
        <v>309</v>
      </c>
      <c r="FU149" t="s">
        <v>194</v>
      </c>
      <c r="GC149" t="s">
        <v>853</v>
      </c>
    </row>
    <row r="150" spans="1:186" hidden="1" x14ac:dyDescent="0.25">
      <c r="A150" s="1">
        <v>46134.590201724539</v>
      </c>
      <c r="B150" s="1">
        <v>46134.592933611108</v>
      </c>
      <c r="C150" t="s">
        <v>176</v>
      </c>
      <c r="D150">
        <v>149</v>
      </c>
      <c r="E150">
        <v>149</v>
      </c>
      <c r="F150" t="b">
        <f t="shared" si="2"/>
        <v>1</v>
      </c>
      <c r="G150" s="1">
        <v>46131</v>
      </c>
      <c r="H150">
        <v>3</v>
      </c>
      <c r="I150" t="s">
        <v>618</v>
      </c>
      <c r="J150" t="s">
        <v>176</v>
      </c>
      <c r="K150" t="s">
        <v>854</v>
      </c>
      <c r="L150" t="s">
        <v>855</v>
      </c>
      <c r="M150" t="s">
        <v>181</v>
      </c>
      <c r="N150" t="s">
        <v>182</v>
      </c>
      <c r="O150">
        <v>30</v>
      </c>
      <c r="P150" t="s">
        <v>183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222</v>
      </c>
      <c r="W150">
        <v>29</v>
      </c>
      <c r="X150" t="s">
        <v>181</v>
      </c>
      <c r="Z150" t="s">
        <v>185</v>
      </c>
      <c r="AB150" t="s">
        <v>223</v>
      </c>
      <c r="AC150" t="s">
        <v>187</v>
      </c>
      <c r="AD150" t="s">
        <v>188</v>
      </c>
      <c r="AE150" t="s">
        <v>189</v>
      </c>
      <c r="AF150" t="s">
        <v>224</v>
      </c>
      <c r="AG150" t="s">
        <v>388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BK150" t="s">
        <v>224</v>
      </c>
      <c r="BL150" t="s">
        <v>389</v>
      </c>
      <c r="BM150">
        <v>0</v>
      </c>
      <c r="BN150">
        <v>0</v>
      </c>
      <c r="BO150">
        <v>0</v>
      </c>
      <c r="BP150">
        <v>0</v>
      </c>
      <c r="BQ150">
        <v>1</v>
      </c>
      <c r="BR150" t="s">
        <v>212</v>
      </c>
      <c r="BS150" t="s">
        <v>194</v>
      </c>
      <c r="BT150" t="s">
        <v>194</v>
      </c>
      <c r="BU150" t="s">
        <v>194</v>
      </c>
      <c r="CD150" t="s">
        <v>181</v>
      </c>
      <c r="CE150" t="s">
        <v>283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T150" t="s">
        <v>194</v>
      </c>
      <c r="CZ150" t="s">
        <v>194</v>
      </c>
      <c r="DB150" t="s">
        <v>194</v>
      </c>
      <c r="DD150" t="s">
        <v>181</v>
      </c>
      <c r="DE150" t="s">
        <v>197</v>
      </c>
      <c r="DF150" t="s">
        <v>194</v>
      </c>
      <c r="DH150" t="s">
        <v>194</v>
      </c>
      <c r="DJ150" t="s">
        <v>194</v>
      </c>
      <c r="DL150" t="s">
        <v>181</v>
      </c>
      <c r="DM150" t="s">
        <v>197</v>
      </c>
      <c r="DN150" t="s">
        <v>194</v>
      </c>
      <c r="DP150" t="s">
        <v>194</v>
      </c>
      <c r="DR150" t="s">
        <v>198</v>
      </c>
      <c r="DT150" t="s">
        <v>198</v>
      </c>
      <c r="DV150" t="s">
        <v>194</v>
      </c>
      <c r="DX150" t="s">
        <v>194</v>
      </c>
      <c r="DZ150" t="s">
        <v>194</v>
      </c>
      <c r="EB150" t="s">
        <v>198</v>
      </c>
      <c r="ED150" t="s">
        <v>194</v>
      </c>
      <c r="EF150" t="s">
        <v>194</v>
      </c>
      <c r="EI150" t="s">
        <v>181</v>
      </c>
      <c r="EJ150" t="s">
        <v>215</v>
      </c>
      <c r="EK150" t="s">
        <v>181</v>
      </c>
      <c r="EM150" t="s">
        <v>181</v>
      </c>
      <c r="EN150" t="s">
        <v>194</v>
      </c>
      <c r="EP150" t="s">
        <v>194</v>
      </c>
      <c r="ES150" t="s">
        <v>194</v>
      </c>
      <c r="EV150" t="s">
        <v>181</v>
      </c>
      <c r="EW150" t="s">
        <v>194</v>
      </c>
      <c r="EY150" t="s">
        <v>194</v>
      </c>
      <c r="FB150" t="s">
        <v>194</v>
      </c>
      <c r="FE150" t="s">
        <v>181</v>
      </c>
      <c r="FF150" t="s">
        <v>181</v>
      </c>
      <c r="FG150" t="s">
        <v>229</v>
      </c>
      <c r="FH150" t="s">
        <v>181</v>
      </c>
      <c r="FI150" t="s">
        <v>181</v>
      </c>
      <c r="FJ150" t="s">
        <v>250</v>
      </c>
      <c r="FK150" t="s">
        <v>181</v>
      </c>
      <c r="FL150" t="s">
        <v>181</v>
      </c>
      <c r="FM150" t="s">
        <v>250</v>
      </c>
      <c r="FN150" t="s">
        <v>194</v>
      </c>
      <c r="FR150" t="s">
        <v>218</v>
      </c>
      <c r="FS150" t="s">
        <v>856</v>
      </c>
      <c r="FU150" t="s">
        <v>238</v>
      </c>
      <c r="FV150" t="s">
        <v>383</v>
      </c>
      <c r="FW150" t="s">
        <v>241</v>
      </c>
      <c r="FX150" t="s">
        <v>857</v>
      </c>
      <c r="FY150" t="s">
        <v>241</v>
      </c>
      <c r="GA150" t="s">
        <v>242</v>
      </c>
      <c r="GB150" t="s">
        <v>858</v>
      </c>
      <c r="GC150" t="s">
        <v>232</v>
      </c>
    </row>
    <row r="151" spans="1:186" hidden="1" x14ac:dyDescent="0.25">
      <c r="A151" s="1">
        <v>46134.592934270833</v>
      </c>
      <c r="B151" s="1">
        <v>46134.596776446757</v>
      </c>
      <c r="C151" t="s">
        <v>176</v>
      </c>
      <c r="D151">
        <v>150</v>
      </c>
      <c r="E151">
        <v>150</v>
      </c>
      <c r="F151" t="b">
        <f t="shared" si="2"/>
        <v>1</v>
      </c>
      <c r="G151" s="1">
        <v>46131</v>
      </c>
      <c r="H151">
        <v>3</v>
      </c>
      <c r="I151" t="s">
        <v>463</v>
      </c>
      <c r="J151" t="s">
        <v>176</v>
      </c>
      <c r="K151" t="s">
        <v>861</v>
      </c>
      <c r="L151" t="s">
        <v>862</v>
      </c>
      <c r="M151" t="s">
        <v>181</v>
      </c>
      <c r="N151" t="s">
        <v>182</v>
      </c>
      <c r="O151">
        <v>22</v>
      </c>
      <c r="P151" t="s">
        <v>183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184</v>
      </c>
      <c r="W151">
        <v>30</v>
      </c>
      <c r="X151" t="s">
        <v>181</v>
      </c>
      <c r="Z151" t="s">
        <v>185</v>
      </c>
      <c r="AB151" t="s">
        <v>223</v>
      </c>
      <c r="AC151" t="s">
        <v>187</v>
      </c>
      <c r="AD151" t="s">
        <v>188</v>
      </c>
      <c r="AE151" t="s">
        <v>265</v>
      </c>
      <c r="AF151" t="s">
        <v>224</v>
      </c>
      <c r="AG151" t="s">
        <v>509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s">
        <v>361</v>
      </c>
      <c r="BK151" t="s">
        <v>224</v>
      </c>
      <c r="BL151" t="s">
        <v>226</v>
      </c>
      <c r="BM151">
        <v>0</v>
      </c>
      <c r="BN151">
        <v>1</v>
      </c>
      <c r="BO151">
        <v>0</v>
      </c>
      <c r="BP151">
        <v>0</v>
      </c>
      <c r="BQ151">
        <v>0</v>
      </c>
      <c r="BR151" t="s">
        <v>193</v>
      </c>
      <c r="BS151" t="s">
        <v>181</v>
      </c>
      <c r="BT151" t="s">
        <v>181</v>
      </c>
      <c r="BU151" t="s">
        <v>181</v>
      </c>
      <c r="BV151" t="s">
        <v>213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D151" t="s">
        <v>194</v>
      </c>
      <c r="CZ151" t="s">
        <v>194</v>
      </c>
      <c r="DB151" t="s">
        <v>194</v>
      </c>
      <c r="DD151" t="s">
        <v>181</v>
      </c>
      <c r="DE151" t="s">
        <v>199</v>
      </c>
      <c r="DF151" t="s">
        <v>194</v>
      </c>
      <c r="DH151" t="s">
        <v>181</v>
      </c>
      <c r="DI151" t="s">
        <v>215</v>
      </c>
      <c r="DJ151" t="s">
        <v>194</v>
      </c>
      <c r="DL151" t="s">
        <v>194</v>
      </c>
      <c r="DN151" t="s">
        <v>194</v>
      </c>
      <c r="DP151" t="s">
        <v>194</v>
      </c>
      <c r="DR151" t="s">
        <v>194</v>
      </c>
      <c r="DT151" t="s">
        <v>194</v>
      </c>
      <c r="DV151" t="s">
        <v>194</v>
      </c>
      <c r="DX151" t="s">
        <v>194</v>
      </c>
      <c r="DZ151" t="s">
        <v>194</v>
      </c>
      <c r="EB151" t="s">
        <v>194</v>
      </c>
      <c r="ED151" t="s">
        <v>194</v>
      </c>
      <c r="EF151" t="s">
        <v>181</v>
      </c>
      <c r="EG151" t="s">
        <v>863</v>
      </c>
      <c r="EH151" t="s">
        <v>199</v>
      </c>
      <c r="EI151" t="s">
        <v>181</v>
      </c>
      <c r="EJ151" t="s">
        <v>215</v>
      </c>
      <c r="EK151" t="s">
        <v>181</v>
      </c>
      <c r="EM151" t="s">
        <v>181</v>
      </c>
      <c r="EN151" t="s">
        <v>194</v>
      </c>
      <c r="EP151" t="s">
        <v>194</v>
      </c>
      <c r="ES151" t="s">
        <v>194</v>
      </c>
      <c r="EV151" t="s">
        <v>181</v>
      </c>
      <c r="EW151" t="s">
        <v>181</v>
      </c>
      <c r="EX151" t="s">
        <v>250</v>
      </c>
      <c r="EY151" t="s">
        <v>181</v>
      </c>
      <c r="EZ151" t="s">
        <v>181</v>
      </c>
      <c r="FA151" t="s">
        <v>250</v>
      </c>
      <c r="FB151" t="s">
        <v>194</v>
      </c>
      <c r="FE151" t="s">
        <v>181</v>
      </c>
      <c r="FF151" t="s">
        <v>181</v>
      </c>
      <c r="FG151" t="s">
        <v>250</v>
      </c>
      <c r="FH151" t="s">
        <v>181</v>
      </c>
      <c r="FI151" t="s">
        <v>181</v>
      </c>
      <c r="FJ151" t="s">
        <v>250</v>
      </c>
      <c r="FK151" t="s">
        <v>181</v>
      </c>
      <c r="FL151" t="s">
        <v>181</v>
      </c>
      <c r="FM151" t="s">
        <v>250</v>
      </c>
      <c r="FN151" t="s">
        <v>194</v>
      </c>
      <c r="FR151" t="s">
        <v>218</v>
      </c>
      <c r="FU151" t="s">
        <v>238</v>
      </c>
      <c r="FV151" t="s">
        <v>239</v>
      </c>
      <c r="FW151" t="s">
        <v>238</v>
      </c>
      <c r="FX151" t="s">
        <v>482</v>
      </c>
      <c r="FY151" t="s">
        <v>241</v>
      </c>
      <c r="GA151" t="s">
        <v>242</v>
      </c>
      <c r="GB151" t="s">
        <v>864</v>
      </c>
      <c r="GC151" t="s">
        <v>232</v>
      </c>
      <c r="GD151" t="s">
        <v>865</v>
      </c>
    </row>
    <row r="152" spans="1:186" hidden="1" x14ac:dyDescent="0.25">
      <c r="A152" s="1">
        <v>46134.596777175917</v>
      </c>
      <c r="B152" s="1">
        <v>46134.612549375001</v>
      </c>
      <c r="C152" t="s">
        <v>176</v>
      </c>
      <c r="D152">
        <v>151</v>
      </c>
      <c r="E152">
        <v>151</v>
      </c>
      <c r="F152" t="b">
        <f t="shared" si="2"/>
        <v>1</v>
      </c>
      <c r="G152" s="1">
        <v>46131</v>
      </c>
      <c r="H152">
        <v>3</v>
      </c>
      <c r="I152" t="s">
        <v>505</v>
      </c>
      <c r="J152" t="s">
        <v>176</v>
      </c>
      <c r="K152" t="s">
        <v>879</v>
      </c>
      <c r="L152" t="s">
        <v>880</v>
      </c>
      <c r="M152" t="s">
        <v>181</v>
      </c>
      <c r="N152" t="s">
        <v>182</v>
      </c>
      <c r="O152">
        <v>22</v>
      </c>
      <c r="P152" t="s">
        <v>183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222</v>
      </c>
      <c r="W152">
        <v>63</v>
      </c>
      <c r="X152" t="s">
        <v>181</v>
      </c>
      <c r="Z152" t="s">
        <v>185</v>
      </c>
      <c r="AB152" t="s">
        <v>223</v>
      </c>
      <c r="AC152" t="s">
        <v>209</v>
      </c>
      <c r="AD152" t="s">
        <v>188</v>
      </c>
      <c r="AE152" t="s">
        <v>198</v>
      </c>
      <c r="AF152" t="s">
        <v>190</v>
      </c>
      <c r="AW152" t="s">
        <v>405</v>
      </c>
      <c r="AX152">
        <v>1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K152" t="s">
        <v>224</v>
      </c>
      <c r="BL152" t="s">
        <v>192</v>
      </c>
      <c r="BM152">
        <v>0</v>
      </c>
      <c r="BN152">
        <v>1</v>
      </c>
      <c r="BO152">
        <v>1</v>
      </c>
      <c r="BP152">
        <v>0</v>
      </c>
      <c r="BQ152">
        <v>0</v>
      </c>
      <c r="BR152" t="s">
        <v>227</v>
      </c>
      <c r="BS152" t="s">
        <v>194</v>
      </c>
      <c r="BT152" t="s">
        <v>194</v>
      </c>
      <c r="BU152" t="s">
        <v>194</v>
      </c>
      <c r="CD152" t="s">
        <v>194</v>
      </c>
      <c r="CZ152" t="s">
        <v>181</v>
      </c>
      <c r="DA152" t="s">
        <v>199</v>
      </c>
      <c r="DB152" t="s">
        <v>194</v>
      </c>
      <c r="DD152" t="s">
        <v>181</v>
      </c>
      <c r="DE152" t="s">
        <v>215</v>
      </c>
      <c r="DF152" t="s">
        <v>181</v>
      </c>
      <c r="DG152" t="s">
        <v>199</v>
      </c>
      <c r="DH152" t="s">
        <v>194</v>
      </c>
      <c r="DJ152" t="s">
        <v>181</v>
      </c>
      <c r="DK152" t="s">
        <v>199</v>
      </c>
      <c r="DL152" t="s">
        <v>181</v>
      </c>
      <c r="DM152" t="s">
        <v>197</v>
      </c>
      <c r="DN152" t="s">
        <v>181</v>
      </c>
      <c r="DO152" t="s">
        <v>199</v>
      </c>
      <c r="DP152" t="s">
        <v>194</v>
      </c>
      <c r="DR152" t="s">
        <v>181</v>
      </c>
      <c r="DS152" t="s">
        <v>215</v>
      </c>
      <c r="DT152" t="s">
        <v>194</v>
      </c>
      <c r="DV152" t="s">
        <v>181</v>
      </c>
      <c r="DW152" t="s">
        <v>197</v>
      </c>
      <c r="DX152" t="s">
        <v>194</v>
      </c>
      <c r="DZ152" t="s">
        <v>181</v>
      </c>
      <c r="EA152" t="s">
        <v>197</v>
      </c>
      <c r="EB152" t="s">
        <v>194</v>
      </c>
      <c r="ED152" t="s">
        <v>194</v>
      </c>
      <c r="EF152" t="s">
        <v>194</v>
      </c>
      <c r="EI152" t="s">
        <v>181</v>
      </c>
      <c r="EJ152" t="s">
        <v>215</v>
      </c>
      <c r="EK152" t="s">
        <v>181</v>
      </c>
      <c r="EM152" t="s">
        <v>181</v>
      </c>
      <c r="EN152" t="s">
        <v>194</v>
      </c>
      <c r="EP152" t="s">
        <v>194</v>
      </c>
      <c r="ES152" t="s">
        <v>181</v>
      </c>
      <c r="ET152" t="s">
        <v>194</v>
      </c>
      <c r="EV152" t="s">
        <v>181</v>
      </c>
      <c r="EW152" t="s">
        <v>194</v>
      </c>
      <c r="EY152" t="s">
        <v>181</v>
      </c>
      <c r="EZ152" t="s">
        <v>194</v>
      </c>
      <c r="FB152" t="s">
        <v>194</v>
      </c>
      <c r="FE152" t="s">
        <v>181</v>
      </c>
      <c r="FF152" t="s">
        <v>194</v>
      </c>
      <c r="FH152" t="s">
        <v>181</v>
      </c>
      <c r="FI152" t="s">
        <v>194</v>
      </c>
      <c r="FK152" t="s">
        <v>181</v>
      </c>
      <c r="FL152" t="s">
        <v>194</v>
      </c>
      <c r="FN152" t="s">
        <v>194</v>
      </c>
      <c r="FR152" t="s">
        <v>309</v>
      </c>
      <c r="FS152" t="s">
        <v>881</v>
      </c>
      <c r="FU152" t="s">
        <v>238</v>
      </c>
      <c r="FV152" t="s">
        <v>383</v>
      </c>
      <c r="FW152" t="s">
        <v>241</v>
      </c>
      <c r="FX152" t="s">
        <v>882</v>
      </c>
      <c r="FY152" t="s">
        <v>241</v>
      </c>
      <c r="GA152" t="s">
        <v>194</v>
      </c>
      <c r="GB152" t="s">
        <v>883</v>
      </c>
      <c r="GC152" t="s">
        <v>1074</v>
      </c>
    </row>
    <row r="153" spans="1:186" hidden="1" x14ac:dyDescent="0.25">
      <c r="A153" s="1">
        <v>46133.672471284721</v>
      </c>
      <c r="B153" s="1">
        <v>46134.371608252317</v>
      </c>
      <c r="C153" t="s">
        <v>261</v>
      </c>
      <c r="D153">
        <v>152</v>
      </c>
      <c r="E153">
        <v>152</v>
      </c>
      <c r="F153" t="b">
        <f t="shared" si="2"/>
        <v>1</v>
      </c>
      <c r="G153" s="1">
        <v>46131</v>
      </c>
      <c r="H153">
        <v>3</v>
      </c>
      <c r="I153" t="s">
        <v>756</v>
      </c>
      <c r="J153" t="s">
        <v>176</v>
      </c>
      <c r="K153" t="s">
        <v>757</v>
      </c>
      <c r="L153" t="s">
        <v>758</v>
      </c>
      <c r="M153" t="s">
        <v>181</v>
      </c>
      <c r="N153" t="s">
        <v>182</v>
      </c>
      <c r="O153">
        <v>30</v>
      </c>
      <c r="P153" t="s">
        <v>183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222</v>
      </c>
      <c r="W153">
        <v>69</v>
      </c>
      <c r="X153" t="s">
        <v>181</v>
      </c>
      <c r="Z153" t="s">
        <v>185</v>
      </c>
      <c r="AB153" t="s">
        <v>186</v>
      </c>
      <c r="AC153" t="s">
        <v>209</v>
      </c>
      <c r="AD153" t="s">
        <v>188</v>
      </c>
      <c r="AE153" t="s">
        <v>198</v>
      </c>
      <c r="AF153" t="s">
        <v>190</v>
      </c>
      <c r="AW153" t="s">
        <v>191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K153" t="s">
        <v>224</v>
      </c>
      <c r="BL153" t="s">
        <v>226</v>
      </c>
      <c r="BM153">
        <v>0</v>
      </c>
      <c r="BN153">
        <v>1</v>
      </c>
      <c r="BO153">
        <v>0</v>
      </c>
      <c r="BP153">
        <v>0</v>
      </c>
      <c r="BQ153">
        <v>0</v>
      </c>
      <c r="BR153" t="s">
        <v>227</v>
      </c>
      <c r="BS153" t="s">
        <v>194</v>
      </c>
      <c r="BT153" t="s">
        <v>194</v>
      </c>
      <c r="BU153" t="s">
        <v>194</v>
      </c>
      <c r="CD153" t="s">
        <v>181</v>
      </c>
      <c r="CE153" t="s">
        <v>214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R153" t="s">
        <v>194</v>
      </c>
      <c r="CZ153" t="s">
        <v>181</v>
      </c>
      <c r="DA153" t="s">
        <v>199</v>
      </c>
      <c r="DB153" t="s">
        <v>194</v>
      </c>
      <c r="DD153" t="s">
        <v>181</v>
      </c>
      <c r="DE153" t="s">
        <v>199</v>
      </c>
      <c r="DF153" t="s">
        <v>181</v>
      </c>
      <c r="DG153" t="s">
        <v>199</v>
      </c>
      <c r="DH153" t="s">
        <v>194</v>
      </c>
      <c r="DJ153" t="s">
        <v>181</v>
      </c>
      <c r="DK153" t="s">
        <v>199</v>
      </c>
      <c r="DL153" t="s">
        <v>194</v>
      </c>
      <c r="DN153" t="s">
        <v>181</v>
      </c>
      <c r="DO153" t="s">
        <v>199</v>
      </c>
      <c r="DP153" t="s">
        <v>194</v>
      </c>
      <c r="DR153" t="s">
        <v>194</v>
      </c>
      <c r="DT153" t="s">
        <v>194</v>
      </c>
      <c r="DV153" t="s">
        <v>194</v>
      </c>
      <c r="DX153" t="s">
        <v>194</v>
      </c>
      <c r="DZ153" t="s">
        <v>181</v>
      </c>
      <c r="EA153" t="s">
        <v>199</v>
      </c>
      <c r="EB153" t="s">
        <v>194</v>
      </c>
      <c r="ED153" t="s">
        <v>194</v>
      </c>
      <c r="EF153" t="s">
        <v>194</v>
      </c>
      <c r="EI153" t="s">
        <v>181</v>
      </c>
      <c r="EJ153" t="s">
        <v>215</v>
      </c>
      <c r="EK153" t="s">
        <v>194</v>
      </c>
      <c r="EM153" t="s">
        <v>181</v>
      </c>
      <c r="EN153" t="s">
        <v>194</v>
      </c>
      <c r="EP153" t="s">
        <v>194</v>
      </c>
      <c r="ES153" t="s">
        <v>194</v>
      </c>
      <c r="EV153" t="s">
        <v>181</v>
      </c>
      <c r="EW153" t="s">
        <v>194</v>
      </c>
      <c r="EY153" t="s">
        <v>181</v>
      </c>
      <c r="EZ153" t="s">
        <v>194</v>
      </c>
      <c r="FB153" t="s">
        <v>194</v>
      </c>
      <c r="FE153" t="s">
        <v>181</v>
      </c>
      <c r="FF153" t="s">
        <v>194</v>
      </c>
      <c r="FH153" t="s">
        <v>181</v>
      </c>
      <c r="FI153" t="s">
        <v>194</v>
      </c>
      <c r="FK153" t="s">
        <v>181</v>
      </c>
      <c r="FL153" t="s">
        <v>194</v>
      </c>
      <c r="FN153" t="s">
        <v>194</v>
      </c>
      <c r="FR153" t="s">
        <v>287</v>
      </c>
      <c r="FS153" t="s">
        <v>759</v>
      </c>
      <c r="FU153" t="s">
        <v>194</v>
      </c>
      <c r="GC153" t="s">
        <v>232</v>
      </c>
    </row>
    <row r="154" spans="1:186" hidden="1" x14ac:dyDescent="0.25">
      <c r="A154" s="1">
        <v>46134.371608946763</v>
      </c>
      <c r="B154" s="1">
        <v>46134.384274363423</v>
      </c>
      <c r="C154" t="s">
        <v>261</v>
      </c>
      <c r="D154">
        <v>153</v>
      </c>
      <c r="E154">
        <v>153</v>
      </c>
      <c r="F154" t="b">
        <f t="shared" si="2"/>
        <v>1</v>
      </c>
      <c r="G154" s="1">
        <v>46131</v>
      </c>
      <c r="H154">
        <v>3</v>
      </c>
      <c r="I154" t="s">
        <v>463</v>
      </c>
      <c r="J154" t="s">
        <v>176</v>
      </c>
      <c r="K154" t="s">
        <v>760</v>
      </c>
      <c r="L154" t="s">
        <v>761</v>
      </c>
      <c r="M154" t="s">
        <v>181</v>
      </c>
      <c r="N154" t="s">
        <v>182</v>
      </c>
      <c r="O154">
        <v>11</v>
      </c>
      <c r="P154" t="s">
        <v>183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184</v>
      </c>
      <c r="W154">
        <v>55</v>
      </c>
      <c r="X154" t="s">
        <v>181</v>
      </c>
      <c r="Z154" t="s">
        <v>270</v>
      </c>
      <c r="AB154" t="s">
        <v>186</v>
      </c>
      <c r="AC154" t="s">
        <v>209</v>
      </c>
      <c r="AD154" t="s">
        <v>188</v>
      </c>
      <c r="AE154" t="s">
        <v>265</v>
      </c>
      <c r="AF154" t="s">
        <v>224</v>
      </c>
      <c r="AG154" t="s">
        <v>762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BK154" t="s">
        <v>224</v>
      </c>
      <c r="BL154" t="s">
        <v>192</v>
      </c>
      <c r="BM154">
        <v>0</v>
      </c>
      <c r="BN154">
        <v>1</v>
      </c>
      <c r="BO154">
        <v>1</v>
      </c>
      <c r="BP154">
        <v>0</v>
      </c>
      <c r="BQ154">
        <v>0</v>
      </c>
      <c r="BR154" t="s">
        <v>212</v>
      </c>
      <c r="BS154" t="s">
        <v>194</v>
      </c>
      <c r="BT154" t="s">
        <v>181</v>
      </c>
      <c r="BU154" t="s">
        <v>194</v>
      </c>
      <c r="CD154" t="s">
        <v>194</v>
      </c>
      <c r="CZ154" t="s">
        <v>181</v>
      </c>
      <c r="DA154" t="s">
        <v>199</v>
      </c>
      <c r="DB154" t="s">
        <v>194</v>
      </c>
      <c r="DD154" t="s">
        <v>181</v>
      </c>
      <c r="DE154" t="s">
        <v>199</v>
      </c>
      <c r="DF154" t="s">
        <v>194</v>
      </c>
      <c r="DH154" t="s">
        <v>181</v>
      </c>
      <c r="DI154" t="s">
        <v>197</v>
      </c>
      <c r="DJ154" t="s">
        <v>194</v>
      </c>
      <c r="DL154" t="s">
        <v>181</v>
      </c>
      <c r="DM154" t="s">
        <v>197</v>
      </c>
      <c r="DN154" t="s">
        <v>194</v>
      </c>
      <c r="DP154" t="s">
        <v>194</v>
      </c>
      <c r="DR154" t="s">
        <v>194</v>
      </c>
      <c r="DT154" t="s">
        <v>194</v>
      </c>
      <c r="DV154" t="s">
        <v>194</v>
      </c>
      <c r="DX154" t="s">
        <v>194</v>
      </c>
      <c r="DZ154" t="s">
        <v>181</v>
      </c>
      <c r="EA154" t="s">
        <v>197</v>
      </c>
      <c r="EB154" t="s">
        <v>194</v>
      </c>
      <c r="ED154" t="s">
        <v>194</v>
      </c>
      <c r="EF154" t="s">
        <v>181</v>
      </c>
      <c r="EG154" t="s">
        <v>763</v>
      </c>
      <c r="EH154" t="s">
        <v>215</v>
      </c>
      <c r="EI154" t="s">
        <v>181</v>
      </c>
      <c r="EJ154" t="s">
        <v>215</v>
      </c>
      <c r="EK154" t="s">
        <v>181</v>
      </c>
      <c r="EM154" t="s">
        <v>181</v>
      </c>
      <c r="EN154" t="s">
        <v>194</v>
      </c>
      <c r="EP154" t="s">
        <v>194</v>
      </c>
      <c r="ES154" t="s">
        <v>194</v>
      </c>
      <c r="EV154" t="s">
        <v>181</v>
      </c>
      <c r="EW154" t="s">
        <v>194</v>
      </c>
      <c r="EY154" t="s">
        <v>194</v>
      </c>
      <c r="FB154" t="s">
        <v>194</v>
      </c>
      <c r="FE154" t="s">
        <v>181</v>
      </c>
      <c r="FF154" t="s">
        <v>181</v>
      </c>
      <c r="FG154" t="s">
        <v>250</v>
      </c>
      <c r="FH154" t="s">
        <v>181</v>
      </c>
      <c r="FI154" t="s">
        <v>181</v>
      </c>
      <c r="FJ154" t="s">
        <v>250</v>
      </c>
      <c r="FK154" t="s">
        <v>181</v>
      </c>
      <c r="FL154" t="s">
        <v>181</v>
      </c>
      <c r="FM154" t="s">
        <v>250</v>
      </c>
      <c r="FN154" t="s">
        <v>194</v>
      </c>
      <c r="FR154" t="s">
        <v>218</v>
      </c>
      <c r="FU154" t="s">
        <v>238</v>
      </c>
      <c r="FV154" t="s">
        <v>239</v>
      </c>
      <c r="FW154" t="s">
        <v>238</v>
      </c>
      <c r="FX154" t="s">
        <v>764</v>
      </c>
      <c r="FY154" t="s">
        <v>241</v>
      </c>
      <c r="GA154" t="s">
        <v>242</v>
      </c>
      <c r="GB154" t="s">
        <v>765</v>
      </c>
      <c r="GC154" t="s">
        <v>378</v>
      </c>
      <c r="GD154" t="s">
        <v>766</v>
      </c>
    </row>
    <row r="155" spans="1:186" hidden="1" x14ac:dyDescent="0.25">
      <c r="A155" s="1">
        <v>46134.384275104167</v>
      </c>
      <c r="B155" s="1">
        <v>46134.388363761573</v>
      </c>
      <c r="C155" t="s">
        <v>261</v>
      </c>
      <c r="D155">
        <v>154</v>
      </c>
      <c r="E155">
        <v>154</v>
      </c>
      <c r="F155" t="b">
        <f t="shared" si="2"/>
        <v>1</v>
      </c>
      <c r="G155" s="1">
        <v>46131</v>
      </c>
      <c r="H155">
        <v>3</v>
      </c>
      <c r="I155" t="s">
        <v>618</v>
      </c>
      <c r="J155" t="s">
        <v>176</v>
      </c>
      <c r="K155" t="s">
        <v>767</v>
      </c>
      <c r="L155" t="s">
        <v>680</v>
      </c>
      <c r="M155" t="s">
        <v>181</v>
      </c>
      <c r="N155" t="s">
        <v>182</v>
      </c>
      <c r="O155">
        <v>28</v>
      </c>
      <c r="P155" t="s">
        <v>183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184</v>
      </c>
      <c r="W155">
        <v>33</v>
      </c>
      <c r="X155" t="s">
        <v>181</v>
      </c>
      <c r="Z155" t="s">
        <v>185</v>
      </c>
      <c r="AB155" t="s">
        <v>223</v>
      </c>
      <c r="AC155" t="s">
        <v>187</v>
      </c>
      <c r="AD155" t="s">
        <v>188</v>
      </c>
      <c r="AE155" t="s">
        <v>189</v>
      </c>
      <c r="AF155" t="s">
        <v>224</v>
      </c>
      <c r="AG155" t="s">
        <v>768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BK155" t="s">
        <v>224</v>
      </c>
      <c r="BL155" t="s">
        <v>389</v>
      </c>
      <c r="BM155">
        <v>0</v>
      </c>
      <c r="BN155">
        <v>0</v>
      </c>
      <c r="BO155">
        <v>0</v>
      </c>
      <c r="BP155">
        <v>0</v>
      </c>
      <c r="BQ155">
        <v>1</v>
      </c>
      <c r="BR155" t="s">
        <v>212</v>
      </c>
      <c r="BS155" t="s">
        <v>194</v>
      </c>
      <c r="BT155" t="s">
        <v>194</v>
      </c>
      <c r="BU155" t="s">
        <v>194</v>
      </c>
      <c r="CD155" t="s">
        <v>194</v>
      </c>
      <c r="CZ155" t="s">
        <v>181</v>
      </c>
      <c r="DA155" t="s">
        <v>197</v>
      </c>
      <c r="DB155" t="s">
        <v>194</v>
      </c>
      <c r="DD155" t="s">
        <v>194</v>
      </c>
      <c r="DF155" t="s">
        <v>194</v>
      </c>
      <c r="DH155" t="s">
        <v>194</v>
      </c>
      <c r="DJ155" t="s">
        <v>181</v>
      </c>
      <c r="DK155" t="s">
        <v>197</v>
      </c>
      <c r="DL155" t="s">
        <v>194</v>
      </c>
      <c r="DN155" t="s">
        <v>194</v>
      </c>
      <c r="DP155" t="s">
        <v>194</v>
      </c>
      <c r="DR155" t="s">
        <v>198</v>
      </c>
      <c r="DT155" t="s">
        <v>194</v>
      </c>
      <c r="DV155" t="s">
        <v>194</v>
      </c>
      <c r="DX155" t="s">
        <v>194</v>
      </c>
      <c r="DZ155" t="s">
        <v>194</v>
      </c>
      <c r="EB155" t="s">
        <v>198</v>
      </c>
      <c r="ED155" t="s">
        <v>194</v>
      </c>
      <c r="EF155" t="s">
        <v>194</v>
      </c>
      <c r="EI155" t="s">
        <v>181</v>
      </c>
      <c r="EJ155" t="s">
        <v>215</v>
      </c>
      <c r="EK155" t="s">
        <v>194</v>
      </c>
      <c r="EM155" t="s">
        <v>181</v>
      </c>
      <c r="EN155" t="s">
        <v>194</v>
      </c>
      <c r="EP155" t="s">
        <v>194</v>
      </c>
      <c r="ES155" t="s">
        <v>194</v>
      </c>
      <c r="EV155" t="s">
        <v>181</v>
      </c>
      <c r="EW155" t="s">
        <v>181</v>
      </c>
      <c r="EX155" t="s">
        <v>250</v>
      </c>
      <c r="EY155" t="s">
        <v>194</v>
      </c>
      <c r="FB155" t="s">
        <v>194</v>
      </c>
      <c r="FE155" t="s">
        <v>181</v>
      </c>
      <c r="FF155" t="s">
        <v>181</v>
      </c>
      <c r="FG155" t="s">
        <v>229</v>
      </c>
      <c r="FH155" t="s">
        <v>181</v>
      </c>
      <c r="FI155" t="s">
        <v>181</v>
      </c>
      <c r="FJ155" t="s">
        <v>229</v>
      </c>
      <c r="FK155" t="s">
        <v>181</v>
      </c>
      <c r="FL155" t="s">
        <v>181</v>
      </c>
      <c r="FM155" t="s">
        <v>229</v>
      </c>
      <c r="FN155" t="s">
        <v>194</v>
      </c>
      <c r="FR155" t="s">
        <v>706</v>
      </c>
      <c r="FS155" t="s">
        <v>769</v>
      </c>
      <c r="FU155" t="s">
        <v>194</v>
      </c>
      <c r="GC155" t="s">
        <v>770</v>
      </c>
    </row>
    <row r="156" spans="1:186" hidden="1" x14ac:dyDescent="0.25">
      <c r="A156" s="1">
        <v>46134.388364340281</v>
      </c>
      <c r="B156" s="1">
        <v>46134.403096331022</v>
      </c>
      <c r="C156" t="s">
        <v>261</v>
      </c>
      <c r="D156">
        <v>155</v>
      </c>
      <c r="E156">
        <v>155</v>
      </c>
      <c r="F156" t="b">
        <f t="shared" si="2"/>
        <v>1</v>
      </c>
      <c r="G156" s="1">
        <v>46131</v>
      </c>
      <c r="H156">
        <v>3</v>
      </c>
      <c r="I156" t="s">
        <v>505</v>
      </c>
      <c r="J156" t="s">
        <v>176</v>
      </c>
      <c r="K156" t="s">
        <v>771</v>
      </c>
      <c r="L156" t="s">
        <v>772</v>
      </c>
      <c r="M156" t="s">
        <v>181</v>
      </c>
      <c r="N156" t="s">
        <v>182</v>
      </c>
      <c r="O156">
        <v>35</v>
      </c>
      <c r="P156" t="s">
        <v>183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222</v>
      </c>
      <c r="W156">
        <v>44</v>
      </c>
      <c r="X156" t="s">
        <v>181</v>
      </c>
      <c r="Z156" t="s">
        <v>185</v>
      </c>
      <c r="AB156" t="s">
        <v>223</v>
      </c>
      <c r="AC156" t="s">
        <v>209</v>
      </c>
      <c r="AD156" t="s">
        <v>188</v>
      </c>
      <c r="AE156" t="s">
        <v>265</v>
      </c>
      <c r="AF156" t="s">
        <v>190</v>
      </c>
      <c r="AW156" t="s">
        <v>191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K156" t="s">
        <v>224</v>
      </c>
      <c r="BL156" t="s">
        <v>192</v>
      </c>
      <c r="BM156">
        <v>0</v>
      </c>
      <c r="BN156">
        <v>1</v>
      </c>
      <c r="BO156">
        <v>1</v>
      </c>
      <c r="BP156">
        <v>0</v>
      </c>
      <c r="BQ156">
        <v>0</v>
      </c>
      <c r="BR156" t="s">
        <v>227</v>
      </c>
      <c r="BS156" t="s">
        <v>194</v>
      </c>
      <c r="BT156" t="s">
        <v>194</v>
      </c>
      <c r="BU156" t="s">
        <v>194</v>
      </c>
      <c r="CD156" t="s">
        <v>194</v>
      </c>
      <c r="CZ156" t="s">
        <v>194</v>
      </c>
      <c r="DB156" t="s">
        <v>194</v>
      </c>
      <c r="DD156" t="s">
        <v>181</v>
      </c>
      <c r="DE156" t="s">
        <v>199</v>
      </c>
      <c r="DF156" t="s">
        <v>194</v>
      </c>
      <c r="DH156" t="s">
        <v>194</v>
      </c>
      <c r="DJ156" t="s">
        <v>181</v>
      </c>
      <c r="DK156" t="s">
        <v>199</v>
      </c>
      <c r="DL156" t="s">
        <v>181</v>
      </c>
      <c r="DM156" t="s">
        <v>199</v>
      </c>
      <c r="DN156" t="s">
        <v>194</v>
      </c>
      <c r="DP156" t="s">
        <v>194</v>
      </c>
      <c r="DR156" t="s">
        <v>194</v>
      </c>
      <c r="DT156" t="s">
        <v>194</v>
      </c>
      <c r="DV156" t="s">
        <v>194</v>
      </c>
      <c r="DX156" t="s">
        <v>181</v>
      </c>
      <c r="DY156" t="s">
        <v>197</v>
      </c>
      <c r="DZ156" t="s">
        <v>194</v>
      </c>
      <c r="EB156" t="s">
        <v>194</v>
      </c>
      <c r="ED156" t="s">
        <v>194</v>
      </c>
      <c r="EF156" t="s">
        <v>194</v>
      </c>
      <c r="EI156" t="s">
        <v>181</v>
      </c>
      <c r="EJ156" t="s">
        <v>215</v>
      </c>
      <c r="EK156" t="s">
        <v>181</v>
      </c>
      <c r="EM156" t="s">
        <v>181</v>
      </c>
      <c r="EN156" t="s">
        <v>194</v>
      </c>
      <c r="EP156" t="s">
        <v>194</v>
      </c>
      <c r="ES156" t="s">
        <v>194</v>
      </c>
      <c r="EV156" t="s">
        <v>181</v>
      </c>
      <c r="EW156" t="s">
        <v>194</v>
      </c>
      <c r="EY156" t="s">
        <v>181</v>
      </c>
      <c r="EZ156" t="s">
        <v>194</v>
      </c>
      <c r="FB156" t="s">
        <v>194</v>
      </c>
      <c r="FE156" t="s">
        <v>181</v>
      </c>
      <c r="FF156" t="s">
        <v>194</v>
      </c>
      <c r="FH156" t="s">
        <v>181</v>
      </c>
      <c r="FI156" t="s">
        <v>194</v>
      </c>
      <c r="FK156" t="s">
        <v>181</v>
      </c>
      <c r="FL156" t="s">
        <v>194</v>
      </c>
      <c r="FN156" t="s">
        <v>194</v>
      </c>
      <c r="FR156" t="s">
        <v>287</v>
      </c>
      <c r="FS156" t="s">
        <v>288</v>
      </c>
      <c r="FU156" t="s">
        <v>194</v>
      </c>
      <c r="GC156" t="s">
        <v>312</v>
      </c>
    </row>
    <row r="157" spans="1:186" hidden="1" x14ac:dyDescent="0.25">
      <c r="A157" s="1">
        <v>46134.403097037037</v>
      </c>
      <c r="B157" s="1">
        <v>46134.410286215279</v>
      </c>
      <c r="C157" t="s">
        <v>261</v>
      </c>
      <c r="D157">
        <v>156</v>
      </c>
      <c r="E157">
        <v>156</v>
      </c>
      <c r="F157" t="b">
        <f t="shared" si="2"/>
        <v>1</v>
      </c>
      <c r="G157" s="1">
        <v>46131</v>
      </c>
      <c r="H157">
        <v>2</v>
      </c>
      <c r="I157" t="s">
        <v>618</v>
      </c>
      <c r="J157" t="s">
        <v>176</v>
      </c>
      <c r="K157" t="s">
        <v>773</v>
      </c>
      <c r="L157" t="s">
        <v>774</v>
      </c>
      <c r="M157" t="s">
        <v>181</v>
      </c>
      <c r="N157" t="s">
        <v>182</v>
      </c>
      <c r="O157">
        <v>16</v>
      </c>
      <c r="P157" t="s">
        <v>183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184</v>
      </c>
      <c r="W157">
        <v>36</v>
      </c>
      <c r="X157" t="s">
        <v>181</v>
      </c>
      <c r="Z157" t="s">
        <v>185</v>
      </c>
      <c r="AB157" t="s">
        <v>186</v>
      </c>
      <c r="AC157" t="s">
        <v>257</v>
      </c>
      <c r="AD157" t="s">
        <v>188</v>
      </c>
      <c r="AE157" t="s">
        <v>265</v>
      </c>
      <c r="AF157" t="s">
        <v>224</v>
      </c>
      <c r="AG157" t="s">
        <v>295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BK157" t="s">
        <v>224</v>
      </c>
      <c r="BL157" t="s">
        <v>389</v>
      </c>
      <c r="BM157">
        <v>0</v>
      </c>
      <c r="BN157">
        <v>0</v>
      </c>
      <c r="BO157">
        <v>0</v>
      </c>
      <c r="BP157">
        <v>0</v>
      </c>
      <c r="BQ157">
        <v>1</v>
      </c>
      <c r="BR157" t="s">
        <v>212</v>
      </c>
      <c r="BS157" t="s">
        <v>194</v>
      </c>
      <c r="BT157" t="s">
        <v>194</v>
      </c>
      <c r="BU157" t="s">
        <v>194</v>
      </c>
      <c r="CD157" t="s">
        <v>194</v>
      </c>
      <c r="CZ157" t="s">
        <v>194</v>
      </c>
      <c r="DB157" t="s">
        <v>194</v>
      </c>
      <c r="DD157" t="s">
        <v>181</v>
      </c>
      <c r="DE157" t="s">
        <v>199</v>
      </c>
      <c r="DF157" t="s">
        <v>181</v>
      </c>
      <c r="DG157" t="s">
        <v>197</v>
      </c>
      <c r="DH157" t="s">
        <v>181</v>
      </c>
      <c r="DI157" t="s">
        <v>215</v>
      </c>
      <c r="DJ157" t="s">
        <v>181</v>
      </c>
      <c r="DK157" t="s">
        <v>197</v>
      </c>
      <c r="DL157" t="s">
        <v>181</v>
      </c>
      <c r="DM157" t="s">
        <v>197</v>
      </c>
      <c r="DN157" t="s">
        <v>194</v>
      </c>
      <c r="DP157" t="s">
        <v>194</v>
      </c>
      <c r="DR157" t="s">
        <v>194</v>
      </c>
      <c r="DT157" t="s">
        <v>194</v>
      </c>
      <c r="DV157" t="s">
        <v>194</v>
      </c>
      <c r="DX157" t="s">
        <v>194</v>
      </c>
      <c r="DZ157" t="s">
        <v>181</v>
      </c>
      <c r="EA157" t="s">
        <v>215</v>
      </c>
      <c r="EB157" t="s">
        <v>194</v>
      </c>
      <c r="ED157" t="s">
        <v>194</v>
      </c>
      <c r="EF157" t="s">
        <v>194</v>
      </c>
      <c r="EI157" t="s">
        <v>181</v>
      </c>
      <c r="EJ157" t="s">
        <v>215</v>
      </c>
      <c r="EK157" t="s">
        <v>181</v>
      </c>
      <c r="EM157" t="s">
        <v>181</v>
      </c>
      <c r="EN157" t="s">
        <v>181</v>
      </c>
      <c r="EO157" t="s">
        <v>217</v>
      </c>
      <c r="EP157" t="s">
        <v>194</v>
      </c>
      <c r="ES157" t="s">
        <v>194</v>
      </c>
      <c r="EV157" t="s">
        <v>194</v>
      </c>
      <c r="EY157" t="s">
        <v>194</v>
      </c>
      <c r="FB157" t="s">
        <v>194</v>
      </c>
      <c r="FE157" t="s">
        <v>181</v>
      </c>
      <c r="FF157" t="s">
        <v>194</v>
      </c>
      <c r="FH157" t="s">
        <v>181</v>
      </c>
      <c r="FI157" t="s">
        <v>194</v>
      </c>
      <c r="FK157" t="s">
        <v>181</v>
      </c>
      <c r="FL157" t="s">
        <v>194</v>
      </c>
      <c r="FN157" t="s">
        <v>194</v>
      </c>
      <c r="FR157" t="s">
        <v>775</v>
      </c>
      <c r="FU157" t="s">
        <v>238</v>
      </c>
      <c r="FV157" t="s">
        <v>300</v>
      </c>
      <c r="FW157" t="s">
        <v>238</v>
      </c>
      <c r="FX157" t="s">
        <v>776</v>
      </c>
      <c r="FY157" t="s">
        <v>241</v>
      </c>
      <c r="GA157" t="s">
        <v>194</v>
      </c>
      <c r="GB157" t="s">
        <v>777</v>
      </c>
      <c r="GC157" t="s">
        <v>202</v>
      </c>
    </row>
    <row r="158" spans="1:186" x14ac:dyDescent="0.25">
      <c r="A158" s="1">
        <v>46134.410286909719</v>
      </c>
      <c r="B158" s="1">
        <v>46134.447420011573</v>
      </c>
      <c r="C158" t="s">
        <v>261</v>
      </c>
      <c r="D158">
        <v>157</v>
      </c>
      <c r="E158">
        <v>157</v>
      </c>
      <c r="F158" t="b">
        <f t="shared" si="2"/>
        <v>1</v>
      </c>
      <c r="G158" s="1">
        <v>46131</v>
      </c>
      <c r="H158">
        <v>3</v>
      </c>
      <c r="I158" t="s">
        <v>463</v>
      </c>
      <c r="J158" t="s">
        <v>176</v>
      </c>
      <c r="K158" t="s">
        <v>778</v>
      </c>
      <c r="L158" t="s">
        <v>779</v>
      </c>
      <c r="M158" t="s">
        <v>181</v>
      </c>
      <c r="N158" t="s">
        <v>182</v>
      </c>
      <c r="O158">
        <v>33</v>
      </c>
      <c r="P158" t="s">
        <v>183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184</v>
      </c>
      <c r="W158">
        <v>54</v>
      </c>
      <c r="X158" t="s">
        <v>181</v>
      </c>
      <c r="Z158" t="s">
        <v>185</v>
      </c>
      <c r="AB158" t="s">
        <v>186</v>
      </c>
      <c r="AC158" t="s">
        <v>257</v>
      </c>
      <c r="AD158" t="s">
        <v>188</v>
      </c>
      <c r="AE158" t="s">
        <v>189</v>
      </c>
      <c r="AF158" t="s">
        <v>190</v>
      </c>
      <c r="AW158" t="s">
        <v>191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K158" t="s">
        <v>190</v>
      </c>
      <c r="BL158" t="s">
        <v>632</v>
      </c>
      <c r="BM158">
        <v>0</v>
      </c>
      <c r="BN158">
        <v>0</v>
      </c>
      <c r="BO158">
        <v>1</v>
      </c>
      <c r="BP158">
        <v>1</v>
      </c>
      <c r="BQ158">
        <v>0</v>
      </c>
      <c r="BR158" t="s">
        <v>193</v>
      </c>
      <c r="BS158" t="s">
        <v>194</v>
      </c>
      <c r="BT158" t="s">
        <v>181</v>
      </c>
      <c r="BU158" t="s">
        <v>194</v>
      </c>
      <c r="CD158" t="s">
        <v>194</v>
      </c>
      <c r="CZ158" t="s">
        <v>194</v>
      </c>
      <c r="DB158" t="s">
        <v>194</v>
      </c>
      <c r="DD158" t="s">
        <v>181</v>
      </c>
      <c r="DE158" t="s">
        <v>199</v>
      </c>
      <c r="DF158" t="s">
        <v>181</v>
      </c>
      <c r="DG158" t="s">
        <v>199</v>
      </c>
      <c r="DH158" t="s">
        <v>181</v>
      </c>
      <c r="DI158" t="s">
        <v>197</v>
      </c>
      <c r="DJ158" t="s">
        <v>181</v>
      </c>
      <c r="DK158" t="s">
        <v>199</v>
      </c>
      <c r="DL158" t="s">
        <v>181</v>
      </c>
      <c r="DM158" t="s">
        <v>215</v>
      </c>
      <c r="DN158" t="s">
        <v>194</v>
      </c>
      <c r="DP158" t="s">
        <v>194</v>
      </c>
      <c r="DR158" t="s">
        <v>181</v>
      </c>
      <c r="DS158" t="s">
        <v>199</v>
      </c>
      <c r="DT158" t="s">
        <v>194</v>
      </c>
      <c r="DV158" t="s">
        <v>181</v>
      </c>
      <c r="DW158" t="s">
        <v>199</v>
      </c>
      <c r="DX158" t="s">
        <v>181</v>
      </c>
      <c r="DY158" t="s">
        <v>199</v>
      </c>
      <c r="DZ158" t="s">
        <v>181</v>
      </c>
      <c r="EA158" t="s">
        <v>197</v>
      </c>
      <c r="EB158" t="s">
        <v>194</v>
      </c>
      <c r="ED158" t="s">
        <v>194</v>
      </c>
      <c r="EF158" t="s">
        <v>194</v>
      </c>
      <c r="EI158" t="s">
        <v>181</v>
      </c>
      <c r="EJ158" t="s">
        <v>215</v>
      </c>
      <c r="EK158" t="s">
        <v>181</v>
      </c>
      <c r="EM158" t="s">
        <v>181</v>
      </c>
      <c r="EN158" t="s">
        <v>194</v>
      </c>
      <c r="EP158" t="s">
        <v>194</v>
      </c>
      <c r="ES158" t="s">
        <v>194</v>
      </c>
      <c r="EV158" t="s">
        <v>181</v>
      </c>
      <c r="EW158" t="s">
        <v>194</v>
      </c>
      <c r="EY158" t="s">
        <v>194</v>
      </c>
      <c r="FB158" t="s">
        <v>194</v>
      </c>
      <c r="FE158" t="s">
        <v>181</v>
      </c>
      <c r="FF158" t="s">
        <v>181</v>
      </c>
      <c r="FG158" t="s">
        <v>250</v>
      </c>
      <c r="FH158" t="s">
        <v>181</v>
      </c>
      <c r="FI158" t="s">
        <v>181</v>
      </c>
      <c r="FJ158" t="s">
        <v>250</v>
      </c>
      <c r="FK158" t="s">
        <v>181</v>
      </c>
      <c r="FL158" t="s">
        <v>181</v>
      </c>
      <c r="FM158" t="s">
        <v>250</v>
      </c>
      <c r="FN158" t="s">
        <v>194</v>
      </c>
      <c r="FR158" t="s">
        <v>780</v>
      </c>
      <c r="FS158" t="s">
        <v>287</v>
      </c>
      <c r="FT158" t="s">
        <v>781</v>
      </c>
      <c r="FU158" t="s">
        <v>238</v>
      </c>
      <c r="FV158" t="s">
        <v>383</v>
      </c>
      <c r="FW158" t="s">
        <v>241</v>
      </c>
      <c r="FX158" t="s">
        <v>782</v>
      </c>
      <c r="FY158" t="s">
        <v>241</v>
      </c>
      <c r="GA158" t="s">
        <v>194</v>
      </c>
      <c r="GB158" t="s">
        <v>783</v>
      </c>
      <c r="GC158" t="s">
        <v>232</v>
      </c>
    </row>
    <row r="159" spans="1:186" hidden="1" x14ac:dyDescent="0.25">
      <c r="A159" s="1">
        <v>46134.447420925928</v>
      </c>
      <c r="B159" s="1">
        <v>46134.453487060193</v>
      </c>
      <c r="C159" t="s">
        <v>261</v>
      </c>
      <c r="D159">
        <v>158</v>
      </c>
      <c r="E159">
        <v>158</v>
      </c>
      <c r="F159" t="b">
        <f t="shared" si="2"/>
        <v>1</v>
      </c>
      <c r="G159" s="1">
        <v>46131</v>
      </c>
      <c r="H159">
        <v>2</v>
      </c>
      <c r="I159" t="s">
        <v>505</v>
      </c>
      <c r="J159" t="s">
        <v>176</v>
      </c>
      <c r="K159" t="s">
        <v>784</v>
      </c>
      <c r="L159" t="s">
        <v>785</v>
      </c>
      <c r="M159" t="s">
        <v>181</v>
      </c>
      <c r="N159" t="s">
        <v>182</v>
      </c>
      <c r="O159">
        <v>8</v>
      </c>
      <c r="P159" t="s">
        <v>183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v>
      </c>
      <c r="Z159" t="s">
        <v>185</v>
      </c>
      <c r="AB159" t="s">
        <v>208</v>
      </c>
      <c r="AC159" t="s">
        <v>209</v>
      </c>
      <c r="AD159" t="s">
        <v>188</v>
      </c>
      <c r="AE159" t="s">
        <v>198</v>
      </c>
      <c r="AF159" t="s">
        <v>190</v>
      </c>
      <c r="AW159" t="s">
        <v>405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K159" t="s">
        <v>190</v>
      </c>
      <c r="BL159" t="s">
        <v>362</v>
      </c>
      <c r="BM159">
        <v>0</v>
      </c>
      <c r="BN159">
        <v>0</v>
      </c>
      <c r="BO159">
        <v>1</v>
      </c>
      <c r="BP159">
        <v>0</v>
      </c>
      <c r="BQ159">
        <v>0</v>
      </c>
      <c r="BR159" t="s">
        <v>227</v>
      </c>
      <c r="BS159" t="s">
        <v>194</v>
      </c>
      <c r="BT159" t="s">
        <v>194</v>
      </c>
      <c r="BU159" t="s">
        <v>194</v>
      </c>
      <c r="CD159" t="s">
        <v>194</v>
      </c>
      <c r="CZ159" t="s">
        <v>194</v>
      </c>
      <c r="DB159" t="s">
        <v>181</v>
      </c>
      <c r="DC159" t="s">
        <v>197</v>
      </c>
      <c r="DD159" t="s">
        <v>181</v>
      </c>
      <c r="DE159" t="s">
        <v>215</v>
      </c>
      <c r="DF159" t="s">
        <v>181</v>
      </c>
      <c r="DG159" t="s">
        <v>215</v>
      </c>
      <c r="DH159" t="s">
        <v>194</v>
      </c>
      <c r="DJ159" t="s">
        <v>181</v>
      </c>
      <c r="DK159" t="s">
        <v>215</v>
      </c>
      <c r="DL159" t="s">
        <v>181</v>
      </c>
      <c r="DM159" t="s">
        <v>199</v>
      </c>
      <c r="DN159" t="s">
        <v>181</v>
      </c>
      <c r="DO159" t="s">
        <v>215</v>
      </c>
      <c r="DP159" t="s">
        <v>181</v>
      </c>
      <c r="DQ159" t="s">
        <v>215</v>
      </c>
      <c r="DR159" t="s">
        <v>181</v>
      </c>
      <c r="DS159" t="s">
        <v>215</v>
      </c>
      <c r="DT159" t="s">
        <v>181</v>
      </c>
      <c r="DU159" t="s">
        <v>215</v>
      </c>
      <c r="DV159" t="s">
        <v>194</v>
      </c>
      <c r="DX159" t="s">
        <v>194</v>
      </c>
      <c r="DZ159" t="s">
        <v>194</v>
      </c>
      <c r="EB159" t="s">
        <v>194</v>
      </c>
      <c r="ED159" t="s">
        <v>194</v>
      </c>
      <c r="EF159" t="s">
        <v>194</v>
      </c>
      <c r="EI159" t="s">
        <v>181</v>
      </c>
      <c r="EJ159" t="s">
        <v>215</v>
      </c>
      <c r="EK159" t="s">
        <v>181</v>
      </c>
      <c r="EM159" t="s">
        <v>181</v>
      </c>
      <c r="EN159" t="s">
        <v>194</v>
      </c>
      <c r="EP159" t="s">
        <v>194</v>
      </c>
      <c r="ES159" t="s">
        <v>194</v>
      </c>
      <c r="EV159" t="s">
        <v>181</v>
      </c>
      <c r="EW159" t="s">
        <v>194</v>
      </c>
      <c r="EY159" t="s">
        <v>194</v>
      </c>
      <c r="FB159" t="s">
        <v>194</v>
      </c>
      <c r="FE159" t="s">
        <v>181</v>
      </c>
      <c r="FF159" t="s">
        <v>194</v>
      </c>
      <c r="FH159" t="s">
        <v>181</v>
      </c>
      <c r="FI159" t="s">
        <v>194</v>
      </c>
      <c r="FK159" t="s">
        <v>181</v>
      </c>
      <c r="FL159" t="s">
        <v>194</v>
      </c>
      <c r="FN159" t="s">
        <v>194</v>
      </c>
      <c r="FR159" t="s">
        <v>274</v>
      </c>
      <c r="FU159" t="s">
        <v>194</v>
      </c>
      <c r="GC159" t="s">
        <v>232</v>
      </c>
      <c r="GD159" t="s">
        <v>786</v>
      </c>
    </row>
    <row r="160" spans="1:186" hidden="1" x14ac:dyDescent="0.25">
      <c r="A160" s="1">
        <v>46134.453487627317</v>
      </c>
      <c r="B160" s="1">
        <v>46134.462231111109</v>
      </c>
      <c r="C160" t="s">
        <v>261</v>
      </c>
      <c r="D160">
        <v>159</v>
      </c>
      <c r="E160">
        <v>159</v>
      </c>
      <c r="F160" t="b">
        <f t="shared" si="2"/>
        <v>1</v>
      </c>
      <c r="G160" s="1">
        <v>46131</v>
      </c>
      <c r="H160">
        <v>3</v>
      </c>
      <c r="I160" t="s">
        <v>463</v>
      </c>
      <c r="J160" t="s">
        <v>176</v>
      </c>
      <c r="K160" t="s">
        <v>787</v>
      </c>
      <c r="L160" t="s">
        <v>788</v>
      </c>
      <c r="M160" t="s">
        <v>181</v>
      </c>
      <c r="N160" t="s">
        <v>182</v>
      </c>
      <c r="O160">
        <v>15</v>
      </c>
      <c r="P160" t="s">
        <v>183</v>
      </c>
      <c r="Q160">
        <v>1</v>
      </c>
      <c r="R160">
        <v>0</v>
      </c>
      <c r="S160">
        <v>0</v>
      </c>
      <c r="T160">
        <v>0</v>
      </c>
      <c r="U160">
        <v>0</v>
      </c>
      <c r="V160" t="s">
        <v>222</v>
      </c>
      <c r="W160">
        <v>21</v>
      </c>
      <c r="X160" t="s">
        <v>181</v>
      </c>
      <c r="Z160" t="s">
        <v>185</v>
      </c>
      <c r="AB160" t="s">
        <v>223</v>
      </c>
      <c r="AC160" t="s">
        <v>187</v>
      </c>
      <c r="AD160" t="s">
        <v>210</v>
      </c>
      <c r="AE160" t="s">
        <v>198</v>
      </c>
      <c r="AF160" t="s">
        <v>224</v>
      </c>
      <c r="AG160" t="s">
        <v>698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BK160" t="s">
        <v>224</v>
      </c>
      <c r="BL160" t="s">
        <v>192</v>
      </c>
      <c r="BM160">
        <v>0</v>
      </c>
      <c r="BN160">
        <v>1</v>
      </c>
      <c r="BO160">
        <v>1</v>
      </c>
      <c r="BP160">
        <v>0</v>
      </c>
      <c r="BQ160">
        <v>0</v>
      </c>
      <c r="BR160" t="s">
        <v>227</v>
      </c>
      <c r="BS160" t="s">
        <v>194</v>
      </c>
      <c r="BT160" t="s">
        <v>194</v>
      </c>
      <c r="BU160" t="s">
        <v>194</v>
      </c>
      <c r="CD160" t="s">
        <v>194</v>
      </c>
      <c r="CZ160" t="s">
        <v>181</v>
      </c>
      <c r="DA160" t="s">
        <v>199</v>
      </c>
      <c r="DB160" t="s">
        <v>194</v>
      </c>
      <c r="DD160" t="s">
        <v>194</v>
      </c>
      <c r="DF160" t="s">
        <v>194</v>
      </c>
      <c r="DH160" t="s">
        <v>194</v>
      </c>
      <c r="DJ160" t="s">
        <v>194</v>
      </c>
      <c r="DL160" t="s">
        <v>194</v>
      </c>
      <c r="DN160" t="s">
        <v>194</v>
      </c>
      <c r="DP160" t="s">
        <v>194</v>
      </c>
      <c r="DR160" t="s">
        <v>181</v>
      </c>
      <c r="DS160" t="s">
        <v>199</v>
      </c>
      <c r="DT160" t="s">
        <v>181</v>
      </c>
      <c r="DU160" t="s">
        <v>199</v>
      </c>
      <c r="DV160" t="s">
        <v>194</v>
      </c>
      <c r="DX160" t="s">
        <v>194</v>
      </c>
      <c r="DZ160" t="s">
        <v>194</v>
      </c>
      <c r="EB160" t="s">
        <v>194</v>
      </c>
      <c r="ED160" t="s">
        <v>194</v>
      </c>
      <c r="EF160" t="s">
        <v>194</v>
      </c>
      <c r="EI160" t="s">
        <v>181</v>
      </c>
      <c r="EJ160" t="s">
        <v>199</v>
      </c>
      <c r="EK160" t="s">
        <v>181</v>
      </c>
      <c r="EM160" t="s">
        <v>181</v>
      </c>
      <c r="EN160" t="s">
        <v>194</v>
      </c>
      <c r="EP160" t="s">
        <v>181</v>
      </c>
      <c r="EQ160" t="s">
        <v>194</v>
      </c>
      <c r="ES160" t="s">
        <v>194</v>
      </c>
      <c r="EV160" t="s">
        <v>181</v>
      </c>
      <c r="EW160" t="s">
        <v>194</v>
      </c>
      <c r="EY160" t="s">
        <v>181</v>
      </c>
      <c r="EZ160" t="s">
        <v>194</v>
      </c>
      <c r="FB160" t="s">
        <v>181</v>
      </c>
      <c r="FC160" t="s">
        <v>194</v>
      </c>
      <c r="FE160" t="s">
        <v>181</v>
      </c>
      <c r="FF160" t="s">
        <v>194</v>
      </c>
      <c r="FH160" t="s">
        <v>181</v>
      </c>
      <c r="FI160" t="s">
        <v>194</v>
      </c>
      <c r="FK160" t="s">
        <v>181</v>
      </c>
      <c r="FL160" t="s">
        <v>194</v>
      </c>
      <c r="FN160" t="s">
        <v>194</v>
      </c>
      <c r="FR160" t="s">
        <v>218</v>
      </c>
      <c r="FS160" t="s">
        <v>287</v>
      </c>
      <c r="FU160" t="s">
        <v>238</v>
      </c>
      <c r="FV160" t="s">
        <v>239</v>
      </c>
      <c r="FW160" t="s">
        <v>238</v>
      </c>
      <c r="FX160" t="s">
        <v>789</v>
      </c>
      <c r="FY160" t="s">
        <v>241</v>
      </c>
      <c r="GA160" t="s">
        <v>242</v>
      </c>
      <c r="GB160" t="s">
        <v>739</v>
      </c>
      <c r="GC160" t="s">
        <v>790</v>
      </c>
    </row>
    <row r="161" spans="1:186" hidden="1" x14ac:dyDescent="0.25">
      <c r="A161" s="1">
        <v>46134.462231863428</v>
      </c>
      <c r="B161" s="1">
        <v>46134.466739097217</v>
      </c>
      <c r="C161" t="s">
        <v>261</v>
      </c>
      <c r="D161">
        <v>160</v>
      </c>
      <c r="E161">
        <v>160</v>
      </c>
      <c r="F161" t="b">
        <f t="shared" si="2"/>
        <v>1</v>
      </c>
      <c r="G161" s="1">
        <v>46131</v>
      </c>
      <c r="H161">
        <v>3</v>
      </c>
      <c r="I161" t="s">
        <v>505</v>
      </c>
      <c r="J161" t="s">
        <v>176</v>
      </c>
      <c r="K161" t="s">
        <v>791</v>
      </c>
      <c r="L161" t="s">
        <v>792</v>
      </c>
      <c r="M161" t="s">
        <v>181</v>
      </c>
      <c r="N161" t="s">
        <v>182</v>
      </c>
      <c r="O161">
        <v>28</v>
      </c>
      <c r="P161" t="s">
        <v>183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184</v>
      </c>
      <c r="W161">
        <v>56</v>
      </c>
      <c r="X161" t="s">
        <v>181</v>
      </c>
      <c r="Z161" t="s">
        <v>185</v>
      </c>
      <c r="AB161" t="s">
        <v>208</v>
      </c>
      <c r="AC161" t="s">
        <v>257</v>
      </c>
      <c r="AD161" t="s">
        <v>188</v>
      </c>
      <c r="AE161" t="s">
        <v>198</v>
      </c>
      <c r="AF161" t="s">
        <v>190</v>
      </c>
      <c r="AW161" t="s">
        <v>191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K161" t="s">
        <v>190</v>
      </c>
      <c r="BL161" t="s">
        <v>362</v>
      </c>
      <c r="BM161">
        <v>0</v>
      </c>
      <c r="BN161">
        <v>0</v>
      </c>
      <c r="BO161">
        <v>1</v>
      </c>
      <c r="BP161">
        <v>0</v>
      </c>
      <c r="BQ161">
        <v>0</v>
      </c>
      <c r="BR161" t="s">
        <v>193</v>
      </c>
      <c r="BS161" t="s">
        <v>194</v>
      </c>
      <c r="BT161" t="s">
        <v>194</v>
      </c>
      <c r="BU161" t="s">
        <v>194</v>
      </c>
      <c r="CD161" t="s">
        <v>194</v>
      </c>
      <c r="CZ161" t="s">
        <v>194</v>
      </c>
      <c r="DB161" t="s">
        <v>194</v>
      </c>
      <c r="DD161" t="s">
        <v>181</v>
      </c>
      <c r="DE161" t="s">
        <v>199</v>
      </c>
      <c r="DF161" t="s">
        <v>181</v>
      </c>
      <c r="DG161" t="s">
        <v>199</v>
      </c>
      <c r="DH161" t="s">
        <v>194</v>
      </c>
      <c r="DJ161" t="s">
        <v>181</v>
      </c>
      <c r="DK161" t="s">
        <v>199</v>
      </c>
      <c r="DL161" t="s">
        <v>181</v>
      </c>
      <c r="DM161" t="s">
        <v>199</v>
      </c>
      <c r="DN161" t="s">
        <v>181</v>
      </c>
      <c r="DO161" t="s">
        <v>199</v>
      </c>
      <c r="DP161" t="s">
        <v>194</v>
      </c>
      <c r="DR161" t="s">
        <v>181</v>
      </c>
      <c r="DS161" t="s">
        <v>199</v>
      </c>
      <c r="DT161" t="s">
        <v>194</v>
      </c>
      <c r="DV161" t="s">
        <v>194</v>
      </c>
      <c r="DX161" t="s">
        <v>194</v>
      </c>
      <c r="DZ161" t="s">
        <v>194</v>
      </c>
      <c r="EB161" t="s">
        <v>194</v>
      </c>
      <c r="ED161" t="s">
        <v>194</v>
      </c>
      <c r="EF161" t="s">
        <v>194</v>
      </c>
      <c r="EI161" t="s">
        <v>181</v>
      </c>
      <c r="EJ161" t="s">
        <v>215</v>
      </c>
      <c r="EK161" t="s">
        <v>181</v>
      </c>
      <c r="EM161" t="s">
        <v>181</v>
      </c>
      <c r="EN161" t="s">
        <v>194</v>
      </c>
      <c r="EP161" t="s">
        <v>194</v>
      </c>
      <c r="ES161" t="s">
        <v>181</v>
      </c>
      <c r="ET161" t="s">
        <v>194</v>
      </c>
      <c r="EV161" t="s">
        <v>181</v>
      </c>
      <c r="EW161" t="s">
        <v>194</v>
      </c>
      <c r="EY161" t="s">
        <v>194</v>
      </c>
      <c r="FB161" t="s">
        <v>194</v>
      </c>
      <c r="FE161" t="s">
        <v>181</v>
      </c>
      <c r="FF161" t="s">
        <v>194</v>
      </c>
      <c r="FH161" t="s">
        <v>181</v>
      </c>
      <c r="FI161" t="s">
        <v>194</v>
      </c>
      <c r="FK161" t="s">
        <v>181</v>
      </c>
      <c r="FL161" t="s">
        <v>194</v>
      </c>
      <c r="FN161" t="s">
        <v>194</v>
      </c>
      <c r="FR161" t="s">
        <v>287</v>
      </c>
      <c r="FS161" t="s">
        <v>309</v>
      </c>
      <c r="FU161" t="s">
        <v>238</v>
      </c>
      <c r="FV161" t="s">
        <v>239</v>
      </c>
      <c r="FW161" t="s">
        <v>238</v>
      </c>
      <c r="FX161" t="s">
        <v>240</v>
      </c>
      <c r="FY161" t="s">
        <v>241</v>
      </c>
      <c r="GA161" t="s">
        <v>242</v>
      </c>
      <c r="GB161" t="s">
        <v>739</v>
      </c>
      <c r="GC161" t="s">
        <v>232</v>
      </c>
    </row>
    <row r="162" spans="1:186" x14ac:dyDescent="0.25">
      <c r="A162" s="1">
        <v>46134.46673980324</v>
      </c>
      <c r="B162" s="1">
        <v>46134.478814085647</v>
      </c>
      <c r="C162" t="s">
        <v>261</v>
      </c>
      <c r="D162">
        <v>161</v>
      </c>
      <c r="E162">
        <v>161</v>
      </c>
      <c r="F162" t="b">
        <f t="shared" si="2"/>
        <v>1</v>
      </c>
      <c r="G162" s="1">
        <v>46131</v>
      </c>
      <c r="H162">
        <v>3</v>
      </c>
      <c r="I162" t="s">
        <v>463</v>
      </c>
      <c r="J162" t="s">
        <v>176</v>
      </c>
      <c r="K162" t="s">
        <v>793</v>
      </c>
      <c r="L162" t="s">
        <v>794</v>
      </c>
      <c r="M162" t="s">
        <v>181</v>
      </c>
      <c r="N162" t="s">
        <v>182</v>
      </c>
      <c r="O162">
        <v>6</v>
      </c>
      <c r="P162" t="s">
        <v>183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222</v>
      </c>
      <c r="W162">
        <v>28</v>
      </c>
      <c r="X162" t="s">
        <v>181</v>
      </c>
      <c r="Z162" t="s">
        <v>270</v>
      </c>
      <c r="AB162" t="s">
        <v>186</v>
      </c>
      <c r="AC162" t="s">
        <v>257</v>
      </c>
      <c r="AD162" t="s">
        <v>188</v>
      </c>
      <c r="AE162" t="s">
        <v>265</v>
      </c>
      <c r="AF162" t="s">
        <v>190</v>
      </c>
      <c r="AW162" t="s">
        <v>795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K162" t="s">
        <v>224</v>
      </c>
      <c r="BL162" t="s">
        <v>192</v>
      </c>
      <c r="BM162">
        <v>0</v>
      </c>
      <c r="BN162">
        <v>1</v>
      </c>
      <c r="BO162">
        <v>1</v>
      </c>
      <c r="BP162">
        <v>0</v>
      </c>
      <c r="BQ162">
        <v>0</v>
      </c>
      <c r="BR162" t="s">
        <v>227</v>
      </c>
      <c r="BS162" t="s">
        <v>181</v>
      </c>
      <c r="BT162" t="s">
        <v>181</v>
      </c>
      <c r="BU162" t="s">
        <v>194</v>
      </c>
      <c r="CD162" t="s">
        <v>194</v>
      </c>
      <c r="CZ162" t="s">
        <v>194</v>
      </c>
      <c r="DB162" t="s">
        <v>194</v>
      </c>
      <c r="DD162" t="s">
        <v>181</v>
      </c>
      <c r="DE162" t="s">
        <v>199</v>
      </c>
      <c r="DF162" t="s">
        <v>194</v>
      </c>
      <c r="DH162" t="s">
        <v>181</v>
      </c>
      <c r="DI162" t="s">
        <v>199</v>
      </c>
      <c r="DJ162" t="s">
        <v>181</v>
      </c>
      <c r="DK162" t="s">
        <v>197</v>
      </c>
      <c r="DL162" t="s">
        <v>194</v>
      </c>
      <c r="DN162" t="s">
        <v>194</v>
      </c>
      <c r="DP162" t="s">
        <v>194</v>
      </c>
      <c r="DR162" t="s">
        <v>181</v>
      </c>
      <c r="DS162" t="s">
        <v>199</v>
      </c>
      <c r="DT162" t="s">
        <v>194</v>
      </c>
      <c r="DV162" t="s">
        <v>194</v>
      </c>
      <c r="DX162" t="s">
        <v>194</v>
      </c>
      <c r="DZ162" t="s">
        <v>194</v>
      </c>
      <c r="EB162" t="s">
        <v>194</v>
      </c>
      <c r="ED162" t="s">
        <v>194</v>
      </c>
      <c r="EF162" t="s">
        <v>181</v>
      </c>
      <c r="EG162" t="s">
        <v>796</v>
      </c>
      <c r="EH162" t="s">
        <v>199</v>
      </c>
      <c r="EI162" t="s">
        <v>181</v>
      </c>
      <c r="EJ162" t="s">
        <v>199</v>
      </c>
      <c r="EK162" t="s">
        <v>194</v>
      </c>
      <c r="EM162" t="s">
        <v>181</v>
      </c>
      <c r="EN162" t="s">
        <v>181</v>
      </c>
      <c r="EO162" t="s">
        <v>250</v>
      </c>
      <c r="EP162" t="s">
        <v>194</v>
      </c>
      <c r="ES162" t="s">
        <v>194</v>
      </c>
      <c r="EV162" t="s">
        <v>181</v>
      </c>
      <c r="EW162" t="s">
        <v>181</v>
      </c>
      <c r="EX162" t="s">
        <v>250</v>
      </c>
      <c r="EY162" t="s">
        <v>194</v>
      </c>
      <c r="FB162" t="s">
        <v>194</v>
      </c>
      <c r="FE162" t="s">
        <v>181</v>
      </c>
      <c r="FF162" t="s">
        <v>181</v>
      </c>
      <c r="FG162" t="s">
        <v>250</v>
      </c>
      <c r="FH162" t="s">
        <v>181</v>
      </c>
      <c r="FI162" t="s">
        <v>181</v>
      </c>
      <c r="FJ162" t="s">
        <v>250</v>
      </c>
      <c r="FK162" t="s">
        <v>181</v>
      </c>
      <c r="FL162" t="s">
        <v>181</v>
      </c>
      <c r="FM162" t="s">
        <v>250</v>
      </c>
      <c r="FN162" t="s">
        <v>194</v>
      </c>
      <c r="FR162" t="s">
        <v>797</v>
      </c>
      <c r="FS162" t="s">
        <v>798</v>
      </c>
      <c r="FT162" t="s">
        <v>218</v>
      </c>
      <c r="FU162" t="s">
        <v>238</v>
      </c>
      <c r="FV162" t="s">
        <v>239</v>
      </c>
      <c r="FW162" t="s">
        <v>238</v>
      </c>
      <c r="FX162" t="s">
        <v>799</v>
      </c>
      <c r="FY162" t="s">
        <v>241</v>
      </c>
      <c r="GA162" t="s">
        <v>242</v>
      </c>
      <c r="GB162" t="s">
        <v>800</v>
      </c>
      <c r="GC162" t="s">
        <v>373</v>
      </c>
    </row>
    <row r="163" spans="1:186" hidden="1" x14ac:dyDescent="0.25">
      <c r="A163" s="1">
        <v>46134.478815000002</v>
      </c>
      <c r="B163" s="1">
        <v>46134.487645023153</v>
      </c>
      <c r="C163" t="s">
        <v>261</v>
      </c>
      <c r="D163">
        <v>162</v>
      </c>
      <c r="E163">
        <v>162</v>
      </c>
      <c r="F163" t="b">
        <f t="shared" si="2"/>
        <v>1</v>
      </c>
      <c r="G163" s="1">
        <v>46131</v>
      </c>
      <c r="H163">
        <v>3</v>
      </c>
      <c r="I163" t="s">
        <v>618</v>
      </c>
      <c r="J163" t="s">
        <v>176</v>
      </c>
      <c r="K163" t="s">
        <v>801</v>
      </c>
      <c r="L163" t="s">
        <v>802</v>
      </c>
      <c r="M163" t="s">
        <v>181</v>
      </c>
      <c r="N163" t="s">
        <v>182</v>
      </c>
      <c r="O163">
        <v>17</v>
      </c>
      <c r="P163" t="s">
        <v>183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184</v>
      </c>
      <c r="W163">
        <v>34</v>
      </c>
      <c r="X163" t="s">
        <v>181</v>
      </c>
      <c r="Z163" t="s">
        <v>185</v>
      </c>
      <c r="AB163" t="s">
        <v>223</v>
      </c>
      <c r="AC163" t="s">
        <v>257</v>
      </c>
      <c r="AD163" t="s">
        <v>210</v>
      </c>
      <c r="AE163" t="s">
        <v>265</v>
      </c>
      <c r="AF163" t="s">
        <v>211</v>
      </c>
      <c r="AW163" t="s">
        <v>420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 t="s">
        <v>803</v>
      </c>
      <c r="BK163" t="s">
        <v>211</v>
      </c>
      <c r="BL163" t="s">
        <v>249</v>
      </c>
      <c r="BM163">
        <v>0</v>
      </c>
      <c r="BN163">
        <v>1</v>
      </c>
      <c r="BO163">
        <v>1</v>
      </c>
      <c r="BP163">
        <v>1</v>
      </c>
      <c r="BQ163">
        <v>0</v>
      </c>
      <c r="BR163" t="s">
        <v>193</v>
      </c>
      <c r="BS163" t="s">
        <v>181</v>
      </c>
      <c r="BT163" t="s">
        <v>181</v>
      </c>
      <c r="BU163" t="s">
        <v>194</v>
      </c>
      <c r="CD163" t="s">
        <v>194</v>
      </c>
      <c r="CZ163" t="s">
        <v>194</v>
      </c>
      <c r="DB163" t="s">
        <v>194</v>
      </c>
      <c r="DD163" t="s">
        <v>181</v>
      </c>
      <c r="DE163" t="s">
        <v>215</v>
      </c>
      <c r="DF163" t="s">
        <v>181</v>
      </c>
      <c r="DG163" t="s">
        <v>197</v>
      </c>
      <c r="DH163" t="s">
        <v>181</v>
      </c>
      <c r="DI163" t="s">
        <v>215</v>
      </c>
      <c r="DJ163" t="s">
        <v>181</v>
      </c>
      <c r="DK163" t="s">
        <v>215</v>
      </c>
      <c r="DL163" t="s">
        <v>181</v>
      </c>
      <c r="DM163" t="s">
        <v>215</v>
      </c>
      <c r="DN163" t="s">
        <v>181</v>
      </c>
      <c r="DO163" t="s">
        <v>215</v>
      </c>
      <c r="DP163" t="s">
        <v>181</v>
      </c>
      <c r="DQ163" t="s">
        <v>215</v>
      </c>
      <c r="DR163" t="s">
        <v>181</v>
      </c>
      <c r="DS163" t="s">
        <v>215</v>
      </c>
      <c r="DT163" t="s">
        <v>181</v>
      </c>
      <c r="DU163" t="s">
        <v>215</v>
      </c>
      <c r="DV163" t="s">
        <v>194</v>
      </c>
      <c r="DX163" t="s">
        <v>181</v>
      </c>
      <c r="DY163" t="s">
        <v>197</v>
      </c>
      <c r="DZ163" t="s">
        <v>194</v>
      </c>
      <c r="EB163" t="s">
        <v>194</v>
      </c>
      <c r="ED163" t="s">
        <v>194</v>
      </c>
      <c r="EF163" t="s">
        <v>194</v>
      </c>
      <c r="EI163" t="s">
        <v>181</v>
      </c>
      <c r="EJ163" t="s">
        <v>215</v>
      </c>
      <c r="EK163" t="s">
        <v>181</v>
      </c>
      <c r="EM163" t="s">
        <v>181</v>
      </c>
      <c r="EN163" t="s">
        <v>194</v>
      </c>
      <c r="EP163" t="s">
        <v>194</v>
      </c>
      <c r="ES163" t="s">
        <v>194</v>
      </c>
      <c r="EV163" t="s">
        <v>194</v>
      </c>
      <c r="EY163" t="s">
        <v>194</v>
      </c>
      <c r="FB163" t="s">
        <v>194</v>
      </c>
      <c r="FE163" t="s">
        <v>181</v>
      </c>
      <c r="FF163" t="s">
        <v>181</v>
      </c>
      <c r="FG163" t="s">
        <v>250</v>
      </c>
      <c r="FH163" t="s">
        <v>194</v>
      </c>
      <c r="FK163" t="s">
        <v>181</v>
      </c>
      <c r="FL163" t="s">
        <v>194</v>
      </c>
      <c r="FN163" t="s">
        <v>194</v>
      </c>
      <c r="FR163" t="s">
        <v>804</v>
      </c>
      <c r="FS163" t="s">
        <v>769</v>
      </c>
      <c r="FU163" t="s">
        <v>238</v>
      </c>
      <c r="FV163" t="s">
        <v>492</v>
      </c>
      <c r="FW163" t="s">
        <v>241</v>
      </c>
      <c r="FX163" t="s">
        <v>805</v>
      </c>
      <c r="FY163" t="s">
        <v>241</v>
      </c>
      <c r="GA163" t="s">
        <v>194</v>
      </c>
      <c r="GB163" t="s">
        <v>806</v>
      </c>
      <c r="GC163" t="s">
        <v>343</v>
      </c>
    </row>
    <row r="164" spans="1:186" hidden="1" x14ac:dyDescent="0.25">
      <c r="A164" s="1">
        <v>46134.487645844907</v>
      </c>
      <c r="B164" s="1">
        <v>46134.495704085653</v>
      </c>
      <c r="C164" t="s">
        <v>261</v>
      </c>
      <c r="D164">
        <v>163</v>
      </c>
      <c r="E164">
        <v>163</v>
      </c>
      <c r="F164" t="b">
        <f t="shared" si="2"/>
        <v>1</v>
      </c>
      <c r="G164" s="1">
        <v>46131</v>
      </c>
      <c r="H164">
        <v>3</v>
      </c>
      <c r="I164" t="s">
        <v>463</v>
      </c>
      <c r="J164" t="s">
        <v>176</v>
      </c>
      <c r="K164" t="s">
        <v>807</v>
      </c>
      <c r="L164" t="s">
        <v>808</v>
      </c>
      <c r="M164" t="s">
        <v>181</v>
      </c>
      <c r="N164" t="s">
        <v>182</v>
      </c>
      <c r="O164">
        <v>30</v>
      </c>
      <c r="P164" t="s">
        <v>183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222</v>
      </c>
      <c r="W164">
        <v>55</v>
      </c>
      <c r="X164" t="s">
        <v>181</v>
      </c>
      <c r="Z164" t="s">
        <v>809</v>
      </c>
      <c r="AB164" t="s">
        <v>223</v>
      </c>
      <c r="AC164" t="s">
        <v>209</v>
      </c>
      <c r="AD164" t="s">
        <v>188</v>
      </c>
      <c r="AE164" t="s">
        <v>189</v>
      </c>
      <c r="AF164" t="s">
        <v>224</v>
      </c>
      <c r="AG164" t="s">
        <v>295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BK164" t="s">
        <v>224</v>
      </c>
      <c r="BL164" t="s">
        <v>192</v>
      </c>
      <c r="BM164">
        <v>0</v>
      </c>
      <c r="BN164">
        <v>1</v>
      </c>
      <c r="BO164">
        <v>1</v>
      </c>
      <c r="BP164">
        <v>0</v>
      </c>
      <c r="BQ164">
        <v>0</v>
      </c>
      <c r="BR164" t="s">
        <v>227</v>
      </c>
      <c r="BS164" t="s">
        <v>194</v>
      </c>
      <c r="BT164" t="s">
        <v>194</v>
      </c>
      <c r="BU164" t="s">
        <v>194</v>
      </c>
      <c r="CD164" t="s">
        <v>194</v>
      </c>
      <c r="CZ164" t="s">
        <v>194</v>
      </c>
      <c r="DB164" t="s">
        <v>194</v>
      </c>
      <c r="DD164" t="s">
        <v>181</v>
      </c>
      <c r="DE164" t="s">
        <v>199</v>
      </c>
      <c r="DF164" t="s">
        <v>181</v>
      </c>
      <c r="DG164" t="s">
        <v>199</v>
      </c>
      <c r="DH164" t="s">
        <v>198</v>
      </c>
      <c r="DJ164" t="s">
        <v>181</v>
      </c>
      <c r="DK164" t="s">
        <v>197</v>
      </c>
      <c r="DL164" t="s">
        <v>181</v>
      </c>
      <c r="DM164" t="s">
        <v>197</v>
      </c>
      <c r="DN164" t="s">
        <v>181</v>
      </c>
      <c r="DO164" t="s">
        <v>199</v>
      </c>
      <c r="DP164" t="s">
        <v>194</v>
      </c>
      <c r="DR164" t="s">
        <v>181</v>
      </c>
      <c r="DS164" t="s">
        <v>199</v>
      </c>
      <c r="DT164" t="s">
        <v>194</v>
      </c>
      <c r="DV164" t="s">
        <v>194</v>
      </c>
      <c r="DX164" t="s">
        <v>194</v>
      </c>
      <c r="DZ164" t="s">
        <v>181</v>
      </c>
      <c r="EA164" t="s">
        <v>197</v>
      </c>
      <c r="EB164" t="s">
        <v>194</v>
      </c>
      <c r="ED164" t="s">
        <v>194</v>
      </c>
      <c r="EF164" t="s">
        <v>194</v>
      </c>
      <c r="EI164" t="s">
        <v>181</v>
      </c>
      <c r="EJ164" t="s">
        <v>199</v>
      </c>
      <c r="EK164" t="s">
        <v>194</v>
      </c>
      <c r="EM164" t="s">
        <v>181</v>
      </c>
      <c r="EN164" t="s">
        <v>181</v>
      </c>
      <c r="EO164" t="s">
        <v>250</v>
      </c>
      <c r="EP164" t="s">
        <v>194</v>
      </c>
      <c r="ES164" t="s">
        <v>194</v>
      </c>
      <c r="EV164" t="s">
        <v>181</v>
      </c>
      <c r="EW164" t="s">
        <v>181</v>
      </c>
      <c r="EX164" t="s">
        <v>250</v>
      </c>
      <c r="EY164" t="s">
        <v>181</v>
      </c>
      <c r="EZ164" t="s">
        <v>181</v>
      </c>
      <c r="FA164" t="s">
        <v>250</v>
      </c>
      <c r="FB164" t="s">
        <v>181</v>
      </c>
      <c r="FC164" t="s">
        <v>181</v>
      </c>
      <c r="FD164" t="s">
        <v>250</v>
      </c>
      <c r="FE164" t="s">
        <v>181</v>
      </c>
      <c r="FF164" t="s">
        <v>181</v>
      </c>
      <c r="FG164" t="s">
        <v>250</v>
      </c>
      <c r="FH164" t="s">
        <v>181</v>
      </c>
      <c r="FI164" t="s">
        <v>181</v>
      </c>
      <c r="FJ164" t="s">
        <v>250</v>
      </c>
      <c r="FK164" t="s">
        <v>181</v>
      </c>
      <c r="FL164" t="s">
        <v>181</v>
      </c>
      <c r="FM164" t="s">
        <v>250</v>
      </c>
      <c r="FN164" t="s">
        <v>194</v>
      </c>
      <c r="FR164" t="s">
        <v>218</v>
      </c>
      <c r="FU164" t="s">
        <v>238</v>
      </c>
      <c r="FV164" t="s">
        <v>239</v>
      </c>
      <c r="FW164" t="s">
        <v>238</v>
      </c>
      <c r="FX164" t="s">
        <v>810</v>
      </c>
      <c r="FY164" t="s">
        <v>241</v>
      </c>
      <c r="GA164" t="s">
        <v>242</v>
      </c>
      <c r="GB164" t="s">
        <v>811</v>
      </c>
      <c r="GC164" t="s">
        <v>1074</v>
      </c>
    </row>
    <row r="165" spans="1:186" hidden="1" x14ac:dyDescent="0.25">
      <c r="A165" s="1">
        <v>46134.49570472222</v>
      </c>
      <c r="B165" s="1">
        <v>46134.501411064812</v>
      </c>
      <c r="C165" t="s">
        <v>261</v>
      </c>
      <c r="D165">
        <v>164</v>
      </c>
      <c r="E165">
        <v>164</v>
      </c>
      <c r="F165" t="b">
        <f t="shared" si="2"/>
        <v>1</v>
      </c>
      <c r="G165" s="1">
        <v>46131</v>
      </c>
      <c r="H165">
        <v>3</v>
      </c>
      <c r="I165" t="s">
        <v>505</v>
      </c>
      <c r="J165" t="s">
        <v>176</v>
      </c>
      <c r="K165" t="s">
        <v>812</v>
      </c>
      <c r="L165" t="s">
        <v>813</v>
      </c>
      <c r="M165" t="s">
        <v>181</v>
      </c>
      <c r="N165" t="s">
        <v>182</v>
      </c>
      <c r="O165">
        <v>17</v>
      </c>
      <c r="P165" t="s">
        <v>183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184</v>
      </c>
      <c r="W165">
        <v>46</v>
      </c>
      <c r="X165" t="s">
        <v>181</v>
      </c>
      <c r="Z165" t="s">
        <v>185</v>
      </c>
      <c r="AB165" t="s">
        <v>208</v>
      </c>
      <c r="AC165" t="s">
        <v>257</v>
      </c>
      <c r="AD165" t="s">
        <v>188</v>
      </c>
      <c r="AE165" t="s">
        <v>198</v>
      </c>
      <c r="AF165" t="s">
        <v>190</v>
      </c>
      <c r="AW165" t="s">
        <v>405</v>
      </c>
      <c r="AX165">
        <v>1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K165" t="s">
        <v>224</v>
      </c>
      <c r="BL165" t="s">
        <v>192</v>
      </c>
      <c r="BM165">
        <v>0</v>
      </c>
      <c r="BN165">
        <v>1</v>
      </c>
      <c r="BO165">
        <v>1</v>
      </c>
      <c r="BP165">
        <v>0</v>
      </c>
      <c r="BQ165">
        <v>0</v>
      </c>
      <c r="BR165" t="s">
        <v>227</v>
      </c>
      <c r="BS165" t="s">
        <v>194</v>
      </c>
      <c r="BT165" t="s">
        <v>194</v>
      </c>
      <c r="BU165" t="s">
        <v>194</v>
      </c>
      <c r="CD165" t="s">
        <v>194</v>
      </c>
      <c r="CZ165" t="s">
        <v>194</v>
      </c>
      <c r="DB165" t="s">
        <v>181</v>
      </c>
      <c r="DC165" t="s">
        <v>197</v>
      </c>
      <c r="DD165" t="s">
        <v>181</v>
      </c>
      <c r="DE165" t="s">
        <v>199</v>
      </c>
      <c r="DF165" t="s">
        <v>181</v>
      </c>
      <c r="DG165" t="s">
        <v>199</v>
      </c>
      <c r="DH165" t="s">
        <v>181</v>
      </c>
      <c r="DI165" t="s">
        <v>199</v>
      </c>
      <c r="DJ165" t="s">
        <v>181</v>
      </c>
      <c r="DK165" t="s">
        <v>199</v>
      </c>
      <c r="DL165" t="s">
        <v>181</v>
      </c>
      <c r="DM165" t="s">
        <v>199</v>
      </c>
      <c r="DN165" t="s">
        <v>181</v>
      </c>
      <c r="DO165" t="s">
        <v>199</v>
      </c>
      <c r="DP165" t="s">
        <v>194</v>
      </c>
      <c r="DR165" t="s">
        <v>181</v>
      </c>
      <c r="DS165" t="s">
        <v>199</v>
      </c>
      <c r="DT165" t="s">
        <v>194</v>
      </c>
      <c r="DV165" t="s">
        <v>181</v>
      </c>
      <c r="DW165" t="s">
        <v>197</v>
      </c>
      <c r="DX165" t="s">
        <v>194</v>
      </c>
      <c r="DZ165" t="s">
        <v>194</v>
      </c>
      <c r="EB165" t="s">
        <v>194</v>
      </c>
      <c r="ED165" t="s">
        <v>181</v>
      </c>
      <c r="EE165" t="s">
        <v>197</v>
      </c>
      <c r="EF165" t="s">
        <v>194</v>
      </c>
      <c r="EI165" t="s">
        <v>181</v>
      </c>
      <c r="EJ165" t="s">
        <v>215</v>
      </c>
      <c r="EK165" t="s">
        <v>181</v>
      </c>
      <c r="EM165" t="s">
        <v>181</v>
      </c>
      <c r="EN165" t="s">
        <v>194</v>
      </c>
      <c r="EP165" t="s">
        <v>194</v>
      </c>
      <c r="ES165" t="s">
        <v>194</v>
      </c>
      <c r="EV165" t="s">
        <v>181</v>
      </c>
      <c r="EW165" t="s">
        <v>194</v>
      </c>
      <c r="EY165" t="s">
        <v>181</v>
      </c>
      <c r="EZ165" t="s">
        <v>194</v>
      </c>
      <c r="FB165" t="s">
        <v>194</v>
      </c>
      <c r="FE165" t="s">
        <v>181</v>
      </c>
      <c r="FF165" t="s">
        <v>194</v>
      </c>
      <c r="FH165" t="s">
        <v>181</v>
      </c>
      <c r="FI165" t="s">
        <v>194</v>
      </c>
      <c r="FK165" t="s">
        <v>181</v>
      </c>
      <c r="FL165" t="s">
        <v>194</v>
      </c>
      <c r="FN165" t="s">
        <v>194</v>
      </c>
      <c r="FR165" t="s">
        <v>287</v>
      </c>
      <c r="FS165" t="s">
        <v>309</v>
      </c>
      <c r="FU165" t="s">
        <v>238</v>
      </c>
      <c r="FV165" t="s">
        <v>300</v>
      </c>
      <c r="FW165" t="s">
        <v>238</v>
      </c>
      <c r="FX165" t="s">
        <v>475</v>
      </c>
      <c r="FY165" t="s">
        <v>241</v>
      </c>
      <c r="GA165" t="s">
        <v>242</v>
      </c>
      <c r="GB165" t="s">
        <v>739</v>
      </c>
      <c r="GC165" t="s">
        <v>232</v>
      </c>
    </row>
    <row r="166" spans="1:186" hidden="1" x14ac:dyDescent="0.25">
      <c r="A166" s="1">
        <v>46134.501411851852</v>
      </c>
      <c r="B166" s="1">
        <v>46134.508693819444</v>
      </c>
      <c r="C166" t="s">
        <v>261</v>
      </c>
      <c r="D166">
        <v>165</v>
      </c>
      <c r="E166">
        <v>165</v>
      </c>
      <c r="F166" t="b">
        <f t="shared" si="2"/>
        <v>1</v>
      </c>
      <c r="G166" s="1">
        <v>46131</v>
      </c>
      <c r="H166">
        <v>3</v>
      </c>
      <c r="I166" t="s">
        <v>505</v>
      </c>
      <c r="J166" t="s">
        <v>176</v>
      </c>
      <c r="K166" t="s">
        <v>814</v>
      </c>
      <c r="L166" t="s">
        <v>815</v>
      </c>
      <c r="M166" t="s">
        <v>181</v>
      </c>
      <c r="N166" t="s">
        <v>182</v>
      </c>
      <c r="O166">
        <v>8</v>
      </c>
      <c r="P166" t="s">
        <v>183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184</v>
      </c>
      <c r="W166">
        <v>34</v>
      </c>
      <c r="X166" t="s">
        <v>181</v>
      </c>
      <c r="Z166" t="s">
        <v>185</v>
      </c>
      <c r="AB166" t="s">
        <v>223</v>
      </c>
      <c r="AC166" t="s">
        <v>257</v>
      </c>
      <c r="AD166" t="s">
        <v>188</v>
      </c>
      <c r="AE166" t="s">
        <v>198</v>
      </c>
      <c r="AF166" t="s">
        <v>224</v>
      </c>
      <c r="AG166" t="s">
        <v>621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BK166" t="s">
        <v>224</v>
      </c>
      <c r="BL166" t="s">
        <v>192</v>
      </c>
      <c r="BM166">
        <v>0</v>
      </c>
      <c r="BN166">
        <v>1</v>
      </c>
      <c r="BO166">
        <v>1</v>
      </c>
      <c r="BP166">
        <v>0</v>
      </c>
      <c r="BQ166">
        <v>0</v>
      </c>
      <c r="BR166" t="s">
        <v>227</v>
      </c>
      <c r="BS166" t="s">
        <v>194</v>
      </c>
      <c r="BT166" t="s">
        <v>194</v>
      </c>
      <c r="BU166" t="s">
        <v>194</v>
      </c>
      <c r="CD166" t="s">
        <v>181</v>
      </c>
      <c r="CE166" t="s">
        <v>214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R166" t="s">
        <v>194</v>
      </c>
      <c r="CZ166" t="s">
        <v>194</v>
      </c>
      <c r="DB166" t="s">
        <v>181</v>
      </c>
      <c r="DC166" t="s">
        <v>199</v>
      </c>
      <c r="DD166" t="s">
        <v>181</v>
      </c>
      <c r="DE166" t="s">
        <v>199</v>
      </c>
      <c r="DF166" t="s">
        <v>181</v>
      </c>
      <c r="DG166" t="s">
        <v>199</v>
      </c>
      <c r="DH166" t="s">
        <v>181</v>
      </c>
      <c r="DI166" t="s">
        <v>197</v>
      </c>
      <c r="DJ166" t="s">
        <v>194</v>
      </c>
      <c r="DL166" t="s">
        <v>181</v>
      </c>
      <c r="DM166" t="s">
        <v>199</v>
      </c>
      <c r="DN166" t="s">
        <v>194</v>
      </c>
      <c r="DP166" t="s">
        <v>194</v>
      </c>
      <c r="DR166" t="s">
        <v>181</v>
      </c>
      <c r="DS166" t="s">
        <v>199</v>
      </c>
      <c r="DT166" t="s">
        <v>194</v>
      </c>
      <c r="DV166" t="s">
        <v>194</v>
      </c>
      <c r="DX166" t="s">
        <v>194</v>
      </c>
      <c r="DZ166" t="s">
        <v>181</v>
      </c>
      <c r="EA166" t="s">
        <v>197</v>
      </c>
      <c r="EB166" t="s">
        <v>194</v>
      </c>
      <c r="ED166" t="s">
        <v>194</v>
      </c>
      <c r="EF166" t="s">
        <v>194</v>
      </c>
      <c r="EI166" t="s">
        <v>181</v>
      </c>
      <c r="EJ166" t="s">
        <v>215</v>
      </c>
      <c r="EK166" t="s">
        <v>181</v>
      </c>
      <c r="EM166" t="s">
        <v>181</v>
      </c>
      <c r="EN166" t="s">
        <v>194</v>
      </c>
      <c r="EP166" t="s">
        <v>194</v>
      </c>
      <c r="ES166" t="s">
        <v>194</v>
      </c>
      <c r="EV166" t="s">
        <v>181</v>
      </c>
      <c r="EW166" t="s">
        <v>194</v>
      </c>
      <c r="EY166" t="s">
        <v>194</v>
      </c>
      <c r="FB166" t="s">
        <v>194</v>
      </c>
      <c r="FE166" t="s">
        <v>181</v>
      </c>
      <c r="FF166" t="s">
        <v>194</v>
      </c>
      <c r="FH166" t="s">
        <v>181</v>
      </c>
      <c r="FI166" t="s">
        <v>194</v>
      </c>
      <c r="FK166" t="s">
        <v>181</v>
      </c>
      <c r="FL166" t="s">
        <v>194</v>
      </c>
      <c r="FN166" t="s">
        <v>194</v>
      </c>
      <c r="FR166" t="s">
        <v>363</v>
      </c>
      <c r="FS166" t="s">
        <v>353</v>
      </c>
      <c r="FU166" t="s">
        <v>194</v>
      </c>
      <c r="GC166" t="s">
        <v>409</v>
      </c>
      <c r="GD166" t="s">
        <v>816</v>
      </c>
    </row>
    <row r="167" spans="1:186" x14ac:dyDescent="0.25">
      <c r="A167" s="1">
        <v>46134.508694606477</v>
      </c>
      <c r="B167" s="1">
        <v>46134.511657951392</v>
      </c>
      <c r="C167" t="s">
        <v>261</v>
      </c>
      <c r="D167">
        <v>166</v>
      </c>
      <c r="E167">
        <v>166</v>
      </c>
      <c r="F167" t="b">
        <f t="shared" si="2"/>
        <v>1</v>
      </c>
      <c r="G167" s="1">
        <v>46131</v>
      </c>
      <c r="H167">
        <v>3</v>
      </c>
      <c r="I167" t="s">
        <v>463</v>
      </c>
      <c r="J167" t="s">
        <v>176</v>
      </c>
      <c r="K167" t="s">
        <v>817</v>
      </c>
      <c r="L167" t="s">
        <v>818</v>
      </c>
      <c r="M167" t="s">
        <v>181</v>
      </c>
      <c r="N167" t="s">
        <v>182</v>
      </c>
      <c r="O167">
        <v>15</v>
      </c>
      <c r="P167" t="s">
        <v>183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222</v>
      </c>
      <c r="W167">
        <v>48</v>
      </c>
      <c r="X167" t="s">
        <v>181</v>
      </c>
      <c r="Z167" t="s">
        <v>185</v>
      </c>
      <c r="AB167" t="s">
        <v>186</v>
      </c>
      <c r="AC167" t="s">
        <v>257</v>
      </c>
      <c r="AD167" t="s">
        <v>188</v>
      </c>
      <c r="AE167" t="s">
        <v>198</v>
      </c>
      <c r="AF167" t="s">
        <v>224</v>
      </c>
      <c r="AG167" t="s">
        <v>393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BK167" t="s">
        <v>224</v>
      </c>
      <c r="BL167" t="s">
        <v>389</v>
      </c>
      <c r="BM167">
        <v>0</v>
      </c>
      <c r="BN167">
        <v>0</v>
      </c>
      <c r="BO167">
        <v>0</v>
      </c>
      <c r="BP167">
        <v>0</v>
      </c>
      <c r="BQ167">
        <v>1</v>
      </c>
      <c r="BR167" t="s">
        <v>193</v>
      </c>
      <c r="BS167" t="s">
        <v>194</v>
      </c>
      <c r="BT167" t="s">
        <v>194</v>
      </c>
      <c r="BU167" t="s">
        <v>194</v>
      </c>
      <c r="CD167" t="s">
        <v>194</v>
      </c>
      <c r="CZ167" t="s">
        <v>194</v>
      </c>
      <c r="DB167" t="s">
        <v>194</v>
      </c>
      <c r="DD167" t="s">
        <v>181</v>
      </c>
      <c r="DE167" t="s">
        <v>199</v>
      </c>
      <c r="DF167" t="s">
        <v>181</v>
      </c>
      <c r="DG167" t="s">
        <v>199</v>
      </c>
      <c r="DH167" t="s">
        <v>181</v>
      </c>
      <c r="DI167" t="s">
        <v>199</v>
      </c>
      <c r="DJ167" t="s">
        <v>194</v>
      </c>
      <c r="DL167" t="s">
        <v>181</v>
      </c>
      <c r="DM167" t="s">
        <v>199</v>
      </c>
      <c r="DN167" t="s">
        <v>181</v>
      </c>
      <c r="DO167" t="s">
        <v>199</v>
      </c>
      <c r="DP167" t="s">
        <v>194</v>
      </c>
      <c r="DR167" t="s">
        <v>181</v>
      </c>
      <c r="DS167" t="s">
        <v>197</v>
      </c>
      <c r="DT167" t="s">
        <v>194</v>
      </c>
      <c r="DV167" t="s">
        <v>194</v>
      </c>
      <c r="DX167" t="s">
        <v>194</v>
      </c>
      <c r="DZ167" t="s">
        <v>194</v>
      </c>
      <c r="EB167" t="s">
        <v>194</v>
      </c>
      <c r="ED167" t="s">
        <v>194</v>
      </c>
      <c r="EF167" t="s">
        <v>194</v>
      </c>
      <c r="EI167" t="s">
        <v>181</v>
      </c>
      <c r="EJ167" t="s">
        <v>215</v>
      </c>
      <c r="EK167" t="s">
        <v>181</v>
      </c>
      <c r="EM167" t="s">
        <v>181</v>
      </c>
      <c r="EN167" t="s">
        <v>194</v>
      </c>
      <c r="EP167" t="s">
        <v>181</v>
      </c>
      <c r="EQ167" t="s">
        <v>194</v>
      </c>
      <c r="ES167" t="s">
        <v>181</v>
      </c>
      <c r="ET167" t="s">
        <v>194</v>
      </c>
      <c r="EV167" t="s">
        <v>181</v>
      </c>
      <c r="EW167" t="s">
        <v>194</v>
      </c>
      <c r="EY167" t="s">
        <v>181</v>
      </c>
      <c r="EZ167" t="s">
        <v>194</v>
      </c>
      <c r="FB167" t="s">
        <v>181</v>
      </c>
      <c r="FC167" t="s">
        <v>194</v>
      </c>
      <c r="FE167" t="s">
        <v>181</v>
      </c>
      <c r="FF167" t="s">
        <v>181</v>
      </c>
      <c r="FG167" t="s">
        <v>250</v>
      </c>
      <c r="FH167" t="s">
        <v>181</v>
      </c>
      <c r="FI167" t="s">
        <v>181</v>
      </c>
      <c r="FJ167" t="s">
        <v>250</v>
      </c>
      <c r="FK167" t="s">
        <v>181</v>
      </c>
      <c r="FL167" t="s">
        <v>181</v>
      </c>
      <c r="FM167" t="s">
        <v>250</v>
      </c>
      <c r="FN167" t="s">
        <v>194</v>
      </c>
      <c r="FR167" t="s">
        <v>287</v>
      </c>
      <c r="FS167" t="s">
        <v>323</v>
      </c>
      <c r="FT167" t="s">
        <v>593</v>
      </c>
      <c r="FU167" t="s">
        <v>194</v>
      </c>
      <c r="GC167" t="s">
        <v>373</v>
      </c>
      <c r="GD167" t="s">
        <v>819</v>
      </c>
    </row>
  </sheetData>
  <autoFilter ref="A1:GD167">
    <filterColumn colId="17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45"/>
  <sheetViews>
    <sheetView topLeftCell="A13" zoomScale="70" zoomScaleNormal="70" workbookViewId="0">
      <selection activeCell="O38" sqref="O38"/>
    </sheetView>
  </sheetViews>
  <sheetFormatPr baseColWidth="10" defaultRowHeight="15" x14ac:dyDescent="0.25"/>
  <cols>
    <col min="2" max="2" width="63.5703125" customWidth="1"/>
    <col min="3" max="3" width="17.28515625" customWidth="1"/>
    <col min="4" max="4" width="30.85546875" customWidth="1"/>
    <col min="5" max="5" width="36.28515625" customWidth="1"/>
    <col min="6" max="6" width="29.28515625" customWidth="1"/>
    <col min="7" max="7" width="18" customWidth="1"/>
    <col min="9" max="9" width="14.5703125" customWidth="1"/>
    <col min="11" max="11" width="34.85546875" customWidth="1"/>
    <col min="14" max="14" width="23.140625" customWidth="1"/>
    <col min="15" max="15" width="15.5703125" customWidth="1"/>
    <col min="16" max="16" width="16.7109375" bestFit="1" customWidth="1"/>
    <col min="17" max="17" width="11.140625" bestFit="1" customWidth="1"/>
    <col min="18" max="18" width="15.42578125" bestFit="1" customWidth="1"/>
  </cols>
  <sheetData>
    <row r="2" spans="2:4" ht="90" customHeight="1" x14ac:dyDescent="0.25">
      <c r="B2" s="6" t="s">
        <v>1076</v>
      </c>
      <c r="C2" t="s">
        <v>1079</v>
      </c>
      <c r="D2" t="s">
        <v>1080</v>
      </c>
    </row>
    <row r="3" spans="2:4" x14ac:dyDescent="0.25">
      <c r="B3" s="4" t="s">
        <v>1077</v>
      </c>
      <c r="C3" s="5">
        <v>5.4216867469879519E-2</v>
      </c>
      <c r="D3" s="8">
        <v>6.0240963855421686E-2</v>
      </c>
    </row>
    <row r="4" spans="2:4" x14ac:dyDescent="0.25">
      <c r="B4" s="4" t="s">
        <v>391</v>
      </c>
      <c r="C4" s="5">
        <v>0.63855421686746983</v>
      </c>
      <c r="D4" s="8">
        <v>0.65662650602409633</v>
      </c>
    </row>
    <row r="5" spans="2:4" x14ac:dyDescent="0.25">
      <c r="B5" s="4" t="s">
        <v>1016</v>
      </c>
      <c r="C5" s="5">
        <v>0.26506024096385544</v>
      </c>
      <c r="D5" s="8">
        <v>0.25301204819277107</v>
      </c>
    </row>
    <row r="6" spans="2:4" x14ac:dyDescent="0.25">
      <c r="B6" s="4" t="s">
        <v>1078</v>
      </c>
      <c r="C6" s="5">
        <v>4.2168674698795178E-2</v>
      </c>
      <c r="D6" s="8">
        <v>3.0120481927710843E-2</v>
      </c>
    </row>
    <row r="10" spans="2:4" ht="78" customHeight="1" x14ac:dyDescent="0.25">
      <c r="B10" s="6" t="s">
        <v>1083</v>
      </c>
      <c r="C10" t="s">
        <v>1079</v>
      </c>
      <c r="D10" t="s">
        <v>1080</v>
      </c>
    </row>
    <row r="11" spans="2:4" x14ac:dyDescent="0.25">
      <c r="B11" s="4" t="s">
        <v>1084</v>
      </c>
      <c r="C11" s="5">
        <v>0.42771084337349397</v>
      </c>
      <c r="D11" s="8">
        <v>0.27710843373493976</v>
      </c>
    </row>
    <row r="12" spans="2:4" x14ac:dyDescent="0.25">
      <c r="B12" s="4" t="s">
        <v>1085</v>
      </c>
      <c r="C12" s="5">
        <v>0.39759036144578314</v>
      </c>
      <c r="D12" s="8">
        <v>0.4759036144578313</v>
      </c>
    </row>
    <row r="13" spans="2:4" x14ac:dyDescent="0.25">
      <c r="B13" s="4" t="s">
        <v>1086</v>
      </c>
      <c r="C13" s="5">
        <v>0.1746987951807229</v>
      </c>
      <c r="D13" s="8">
        <v>0.24698795180722891</v>
      </c>
    </row>
    <row r="17" spans="2:5" x14ac:dyDescent="0.25">
      <c r="D17" s="4" t="s">
        <v>1087</v>
      </c>
      <c r="E17" s="4" t="s">
        <v>1088</v>
      </c>
    </row>
    <row r="18" spans="2:5" x14ac:dyDescent="0.25">
      <c r="B18" s="57" t="s">
        <v>1089</v>
      </c>
      <c r="C18" t="s">
        <v>1079</v>
      </c>
      <c r="D18" s="5">
        <v>0.14457831325301204</v>
      </c>
      <c r="E18" s="5">
        <v>0.85542168674698793</v>
      </c>
    </row>
    <row r="19" spans="2:5" x14ac:dyDescent="0.25">
      <c r="B19" s="57"/>
      <c r="C19" t="s">
        <v>1080</v>
      </c>
      <c r="D19" s="5">
        <v>0.13253012048192772</v>
      </c>
      <c r="E19" s="5">
        <v>0.86746987951807231</v>
      </c>
    </row>
    <row r="20" spans="2:5" x14ac:dyDescent="0.25">
      <c r="B20" s="56" t="s">
        <v>1162</v>
      </c>
      <c r="C20" t="s">
        <v>1079</v>
      </c>
      <c r="D20" s="5">
        <v>0.41566265060240964</v>
      </c>
      <c r="E20" s="5">
        <v>0.58433734939759041</v>
      </c>
    </row>
    <row r="21" spans="2:5" x14ac:dyDescent="0.25">
      <c r="B21" s="57"/>
      <c r="C21" t="s">
        <v>1080</v>
      </c>
      <c r="D21" s="5">
        <v>0.33734939759036142</v>
      </c>
      <c r="E21" s="5">
        <v>0.66265060240963858</v>
      </c>
    </row>
    <row r="22" spans="2:5" x14ac:dyDescent="0.25">
      <c r="B22" s="56" t="s">
        <v>1163</v>
      </c>
      <c r="C22" t="s">
        <v>1079</v>
      </c>
      <c r="D22" s="5">
        <v>0.33132530120481929</v>
      </c>
      <c r="E22" s="5">
        <v>0.66265060240963858</v>
      </c>
    </row>
    <row r="23" spans="2:5" x14ac:dyDescent="0.25">
      <c r="B23" s="57"/>
      <c r="C23" t="s">
        <v>1080</v>
      </c>
      <c r="D23" s="5">
        <v>0.28915662650602408</v>
      </c>
      <c r="E23" s="5">
        <v>0.71084337349397586</v>
      </c>
    </row>
    <row r="26" spans="2:5" x14ac:dyDescent="0.25">
      <c r="C26" s="4"/>
      <c r="D26" s="4"/>
    </row>
    <row r="27" spans="2:5" ht="48" customHeight="1" x14ac:dyDescent="0.25">
      <c r="B27" s="6" t="s">
        <v>1090</v>
      </c>
      <c r="C27" t="s">
        <v>1079</v>
      </c>
      <c r="D27" t="s">
        <v>1080</v>
      </c>
    </row>
    <row r="28" spans="2:5" x14ac:dyDescent="0.25">
      <c r="B28" s="4" t="s">
        <v>1164</v>
      </c>
      <c r="C28" s="5">
        <v>0.14457831325301204</v>
      </c>
      <c r="D28" s="8">
        <v>0.26506024096385544</v>
      </c>
    </row>
    <row r="29" spans="2:5" x14ac:dyDescent="0.25">
      <c r="B29" s="4" t="s">
        <v>1088</v>
      </c>
      <c r="C29" s="5">
        <v>0.85542168674698793</v>
      </c>
      <c r="D29" s="8">
        <v>0.73493975903614461</v>
      </c>
    </row>
    <row r="32" spans="2:5" x14ac:dyDescent="0.25">
      <c r="B32" s="9" t="s">
        <v>1091</v>
      </c>
      <c r="C32" t="s">
        <v>1079</v>
      </c>
      <c r="D32" t="s">
        <v>1080</v>
      </c>
    </row>
    <row r="33" spans="2:4" x14ac:dyDescent="0.25">
      <c r="B33" s="4" t="s">
        <v>1092</v>
      </c>
      <c r="C33" s="5">
        <v>0.41666666666666669</v>
      </c>
      <c r="D33" s="8">
        <v>0.24489795918367346</v>
      </c>
    </row>
    <row r="34" spans="2:4" x14ac:dyDescent="0.25">
      <c r="B34" s="4" t="s">
        <v>1093</v>
      </c>
      <c r="C34" s="5">
        <v>0.45833333333333331</v>
      </c>
      <c r="D34" s="8">
        <v>0.42857142857142855</v>
      </c>
    </row>
    <row r="35" spans="2:4" x14ac:dyDescent="0.25">
      <c r="B35" s="4" t="s">
        <v>1094</v>
      </c>
      <c r="C35" s="5">
        <v>0.125</v>
      </c>
      <c r="D35" s="8">
        <v>6.1224489795918366E-2</v>
      </c>
    </row>
    <row r="36" spans="2:4" x14ac:dyDescent="0.25">
      <c r="B36" s="4" t="s">
        <v>1097</v>
      </c>
      <c r="C36" s="5">
        <v>0</v>
      </c>
      <c r="D36" s="8">
        <v>4.0816326530612242E-2</v>
      </c>
    </row>
    <row r="37" spans="2:4" x14ac:dyDescent="0.25">
      <c r="B37" s="4" t="s">
        <v>1098</v>
      </c>
      <c r="C37" s="5">
        <v>0</v>
      </c>
      <c r="D37" s="8">
        <v>8.1632653061224483E-2</v>
      </c>
    </row>
    <row r="38" spans="2:4" x14ac:dyDescent="0.25">
      <c r="B38" s="4" t="s">
        <v>1099</v>
      </c>
      <c r="C38" s="5">
        <v>0</v>
      </c>
      <c r="D38" s="8">
        <v>6.1224489795918366E-2</v>
      </c>
    </row>
    <row r="39" spans="2:4" x14ac:dyDescent="0.25">
      <c r="B39" s="4" t="s">
        <v>1096</v>
      </c>
      <c r="C39" s="5">
        <v>0</v>
      </c>
      <c r="D39" s="8">
        <v>8.1600000000000006E-2</v>
      </c>
    </row>
    <row r="41" spans="2:4" x14ac:dyDescent="0.25">
      <c r="C41" t="s">
        <v>1080</v>
      </c>
    </row>
    <row r="42" spans="2:4" x14ac:dyDescent="0.25">
      <c r="B42" s="4" t="s">
        <v>1095</v>
      </c>
      <c r="C42" s="11">
        <v>12</v>
      </c>
      <c r="D42" s="8">
        <f>C42/$C$49</f>
        <v>0.24489795918367346</v>
      </c>
    </row>
    <row r="43" spans="2:4" x14ac:dyDescent="0.25">
      <c r="B43" s="4" t="s">
        <v>1093</v>
      </c>
      <c r="C43" s="11">
        <v>21</v>
      </c>
      <c r="D43" s="8">
        <f t="shared" ref="D43:D48" si="0">C43/$C$49</f>
        <v>0.42857142857142855</v>
      </c>
    </row>
    <row r="44" spans="2:4" x14ac:dyDescent="0.25">
      <c r="B44" s="4" t="s">
        <v>1094</v>
      </c>
      <c r="C44" s="11">
        <v>3</v>
      </c>
      <c r="D44" s="8">
        <f t="shared" si="0"/>
        <v>6.1224489795918366E-2</v>
      </c>
    </row>
    <row r="45" spans="2:4" x14ac:dyDescent="0.25">
      <c r="B45" s="4" t="s">
        <v>1096</v>
      </c>
      <c r="C45" s="11">
        <v>4</v>
      </c>
      <c r="D45" s="8">
        <f t="shared" si="0"/>
        <v>8.1632653061224483E-2</v>
      </c>
    </row>
    <row r="46" spans="2:4" x14ac:dyDescent="0.25">
      <c r="B46" s="4" t="s">
        <v>1097</v>
      </c>
      <c r="C46" s="11">
        <v>2</v>
      </c>
      <c r="D46" s="8">
        <f t="shared" si="0"/>
        <v>4.0816326530612242E-2</v>
      </c>
    </row>
    <row r="47" spans="2:4" x14ac:dyDescent="0.25">
      <c r="B47" s="4" t="s">
        <v>1098</v>
      </c>
      <c r="C47" s="11">
        <v>4</v>
      </c>
      <c r="D47" s="8">
        <f t="shared" si="0"/>
        <v>8.1632653061224483E-2</v>
      </c>
    </row>
    <row r="48" spans="2:4" x14ac:dyDescent="0.25">
      <c r="B48" s="4" t="s">
        <v>1099</v>
      </c>
      <c r="C48" s="11">
        <v>3</v>
      </c>
      <c r="D48" s="8">
        <f t="shared" si="0"/>
        <v>6.1224489795918366E-2</v>
      </c>
    </row>
    <row r="49" spans="2:18" x14ac:dyDescent="0.25">
      <c r="C49">
        <f>SUM(C42:C48)</f>
        <v>49</v>
      </c>
    </row>
    <row r="54" spans="2:18" x14ac:dyDescent="0.25">
      <c r="B54" s="13"/>
      <c r="C54" s="13"/>
      <c r="D54" s="14" t="s">
        <v>1087</v>
      </c>
      <c r="E54" s="14" t="s">
        <v>1088</v>
      </c>
      <c r="F54" s="14" t="s">
        <v>1035</v>
      </c>
      <c r="G54" s="14" t="s">
        <v>1100</v>
      </c>
      <c r="H54" s="14" t="s">
        <v>1101</v>
      </c>
      <c r="I54" s="14" t="s">
        <v>1102</v>
      </c>
      <c r="K54" s="13"/>
      <c r="L54" s="32"/>
      <c r="M54" s="32" t="s">
        <v>1087</v>
      </c>
      <c r="N54" s="32" t="s">
        <v>1088</v>
      </c>
      <c r="O54" s="32" t="s">
        <v>1035</v>
      </c>
      <c r="P54" s="32" t="s">
        <v>1100</v>
      </c>
      <c r="Q54" s="32" t="s">
        <v>1101</v>
      </c>
      <c r="R54" s="32" t="s">
        <v>1102</v>
      </c>
    </row>
    <row r="55" spans="2:18" ht="18" x14ac:dyDescent="0.35">
      <c r="B55" s="58" t="s">
        <v>1103</v>
      </c>
      <c r="C55" s="12" t="s">
        <v>1079</v>
      </c>
      <c r="D55" s="15">
        <v>0.37349397590361444</v>
      </c>
      <c r="E55" s="15">
        <v>0.62650602409638556</v>
      </c>
      <c r="F55" s="17">
        <v>0</v>
      </c>
      <c r="G55" s="15">
        <v>0.38709677419354838</v>
      </c>
      <c r="H55" s="15">
        <v>0.532258064516129</v>
      </c>
      <c r="I55" s="15">
        <v>8.0645161290322578E-2</v>
      </c>
      <c r="K55" s="58" t="s">
        <v>1109</v>
      </c>
      <c r="L55" s="33" t="s">
        <v>1079</v>
      </c>
      <c r="M55" s="34">
        <v>0.68072289156626509</v>
      </c>
      <c r="N55" s="34">
        <v>0.31927710843373491</v>
      </c>
      <c r="O55" s="35">
        <v>0</v>
      </c>
      <c r="P55" s="34">
        <v>0.4336283185840708</v>
      </c>
      <c r="Q55" s="34">
        <v>0.41592920353982299</v>
      </c>
      <c r="R55" s="34">
        <v>0.15044247787610621</v>
      </c>
    </row>
    <row r="56" spans="2:18" ht="18" x14ac:dyDescent="0.35">
      <c r="B56" s="58"/>
      <c r="C56" s="12" t="s">
        <v>1080</v>
      </c>
      <c r="D56" s="34">
        <v>0.34337349397590361</v>
      </c>
      <c r="E56" s="34">
        <v>0.65662650602409633</v>
      </c>
      <c r="F56" s="17">
        <v>0</v>
      </c>
      <c r="G56" s="34">
        <v>0.35087719298245612</v>
      </c>
      <c r="H56" s="34">
        <v>0.38596491228070173</v>
      </c>
      <c r="I56" s="34">
        <v>0.26315789473684209</v>
      </c>
      <c r="K56" s="58"/>
      <c r="L56" s="33" t="s">
        <v>1080</v>
      </c>
      <c r="M56" s="34">
        <v>0.67469879518072284</v>
      </c>
      <c r="N56" s="34">
        <v>0.31927710843373491</v>
      </c>
      <c r="O56" s="34">
        <v>6.024096385542169E-3</v>
      </c>
      <c r="P56" s="34">
        <v>0.38392857142857145</v>
      </c>
      <c r="Q56" s="34">
        <v>0.3392857142857143</v>
      </c>
      <c r="R56" s="34">
        <v>0.2767857142857143</v>
      </c>
    </row>
    <row r="57" spans="2:18" ht="18" x14ac:dyDescent="0.35">
      <c r="B57" s="58" t="s">
        <v>1104</v>
      </c>
      <c r="C57" s="12" t="s">
        <v>1079</v>
      </c>
      <c r="D57" s="15">
        <v>0.13253012048192772</v>
      </c>
      <c r="E57" s="15">
        <v>0.86746987951807231</v>
      </c>
      <c r="F57" s="17">
        <v>0</v>
      </c>
      <c r="G57" s="15">
        <v>0.90909090909090906</v>
      </c>
      <c r="H57" s="15">
        <v>9.0909090909090912E-2</v>
      </c>
      <c r="I57" s="16">
        <v>0</v>
      </c>
      <c r="K57" s="58" t="s">
        <v>1105</v>
      </c>
      <c r="L57" s="33" t="s">
        <v>1079</v>
      </c>
      <c r="M57" s="34">
        <v>0.65662650602409633</v>
      </c>
      <c r="N57" s="34">
        <v>0.33734939759036142</v>
      </c>
      <c r="O57" s="35">
        <v>6.024096385542169E-3</v>
      </c>
      <c r="P57" s="34">
        <v>0.29357798165137616</v>
      </c>
      <c r="Q57" s="34">
        <v>0.44954128440366975</v>
      </c>
      <c r="R57" s="34">
        <v>0.25688073394495414</v>
      </c>
    </row>
    <row r="58" spans="2:18" ht="18" x14ac:dyDescent="0.35">
      <c r="B58" s="58"/>
      <c r="C58" s="12" t="s">
        <v>1080</v>
      </c>
      <c r="D58" s="34">
        <v>0.15662650602409639</v>
      </c>
      <c r="E58" s="34">
        <v>0.83734939759036142</v>
      </c>
      <c r="F58" s="34">
        <v>6.024096385542169E-3</v>
      </c>
      <c r="G58" s="34">
        <v>0.5</v>
      </c>
      <c r="H58" s="34">
        <v>0.34615384615384615</v>
      </c>
      <c r="I58" s="34">
        <v>0.15384615384615385</v>
      </c>
      <c r="K58" s="58"/>
      <c r="L58" s="33" t="s">
        <v>1080</v>
      </c>
      <c r="M58" s="34">
        <v>0.72891566265060237</v>
      </c>
      <c r="N58" s="34">
        <v>0.27108433734939757</v>
      </c>
      <c r="O58" s="35">
        <v>0</v>
      </c>
      <c r="P58" s="34">
        <v>0.17355371900826447</v>
      </c>
      <c r="Q58" s="34">
        <v>0.43801652892561982</v>
      </c>
      <c r="R58" s="34">
        <v>0.38842975206611569</v>
      </c>
    </row>
    <row r="59" spans="2:18" ht="18" x14ac:dyDescent="0.35">
      <c r="B59" s="58" t="s">
        <v>1105</v>
      </c>
      <c r="C59" s="12" t="s">
        <v>1079</v>
      </c>
      <c r="D59" s="15">
        <v>0.65662650602409633</v>
      </c>
      <c r="E59" s="15">
        <v>0.33734939759036142</v>
      </c>
      <c r="F59" s="17">
        <v>6.024096385542169E-3</v>
      </c>
      <c r="G59" s="15">
        <v>0.29357798165137616</v>
      </c>
      <c r="H59" s="15">
        <v>0.44954128440366975</v>
      </c>
      <c r="I59" s="15">
        <v>0.25688073394495414</v>
      </c>
      <c r="K59" s="58" t="s">
        <v>1106</v>
      </c>
      <c r="L59" s="33" t="s">
        <v>1079</v>
      </c>
      <c r="M59" s="34">
        <v>0.62048192771084343</v>
      </c>
      <c r="N59" s="34">
        <v>0.36746987951807231</v>
      </c>
      <c r="O59" s="35">
        <v>1.2048192771084338E-2</v>
      </c>
      <c r="P59" s="34">
        <v>0.36893203883495146</v>
      </c>
      <c r="Q59" s="34">
        <v>0.42718446601941745</v>
      </c>
      <c r="R59" s="34">
        <v>0.20388349514563106</v>
      </c>
    </row>
    <row r="60" spans="2:18" ht="18" x14ac:dyDescent="0.35">
      <c r="B60" s="58"/>
      <c r="C60" s="12" t="s">
        <v>1080</v>
      </c>
      <c r="D60" s="34">
        <v>0.72891566265060237</v>
      </c>
      <c r="E60" s="34">
        <v>0.27108433734939757</v>
      </c>
      <c r="F60" s="17">
        <v>0</v>
      </c>
      <c r="G60" s="34">
        <v>0.17355371900826447</v>
      </c>
      <c r="H60" s="34">
        <v>0.43801652892561982</v>
      </c>
      <c r="I60" s="34">
        <v>0.38842975206611569</v>
      </c>
      <c r="K60" s="58"/>
      <c r="L60" s="33" t="s">
        <v>1080</v>
      </c>
      <c r="M60" s="34">
        <v>0.68674698795180722</v>
      </c>
      <c r="N60" s="34">
        <v>0.31325301204819278</v>
      </c>
      <c r="O60" s="35">
        <v>0</v>
      </c>
      <c r="P60" s="34">
        <v>0.35087719298245612</v>
      </c>
      <c r="Q60" s="34">
        <v>0.33333333333333331</v>
      </c>
      <c r="R60" s="34">
        <v>0.31578947368421051</v>
      </c>
    </row>
    <row r="61" spans="2:18" ht="18" x14ac:dyDescent="0.35">
      <c r="B61" s="58" t="s">
        <v>1106</v>
      </c>
      <c r="C61" s="12" t="s">
        <v>1079</v>
      </c>
      <c r="D61" s="15">
        <v>0.62048192771084343</v>
      </c>
      <c r="E61" s="15">
        <v>0.36746987951807231</v>
      </c>
      <c r="F61" s="17">
        <v>1.2048192771084338E-2</v>
      </c>
      <c r="G61" s="15">
        <v>0.36893203883495146</v>
      </c>
      <c r="H61" s="15">
        <v>0.42718446601941745</v>
      </c>
      <c r="I61" s="15">
        <v>0.20388349514563106</v>
      </c>
      <c r="K61" s="58" t="s">
        <v>1116</v>
      </c>
      <c r="L61" s="33" t="s">
        <v>1079</v>
      </c>
      <c r="M61" s="34">
        <v>0.54216867469879515</v>
      </c>
      <c r="N61" s="34">
        <v>0.45783132530120479</v>
      </c>
      <c r="O61" s="35">
        <v>0</v>
      </c>
      <c r="P61" s="34">
        <v>0.4777777777777778</v>
      </c>
      <c r="Q61" s="34">
        <v>0.41111111111111109</v>
      </c>
      <c r="R61" s="34">
        <v>0.1111111111111111</v>
      </c>
    </row>
    <row r="62" spans="2:18" ht="18" x14ac:dyDescent="0.35">
      <c r="B62" s="58"/>
      <c r="C62" s="12" t="s">
        <v>1080</v>
      </c>
      <c r="D62" s="34">
        <v>0.68674698795180722</v>
      </c>
      <c r="E62" s="34">
        <v>0.31325301204819278</v>
      </c>
      <c r="F62" s="17">
        <v>0</v>
      </c>
      <c r="G62" s="34">
        <v>0.35087719298245612</v>
      </c>
      <c r="H62" s="34">
        <v>0.33333333333333331</v>
      </c>
      <c r="I62" s="34">
        <v>0.31578947368421051</v>
      </c>
      <c r="K62" s="58"/>
      <c r="L62" s="33" t="s">
        <v>1080</v>
      </c>
      <c r="M62" s="34">
        <v>0.53614457831325302</v>
      </c>
      <c r="N62" s="34">
        <v>0.46385542168674698</v>
      </c>
      <c r="O62" s="35">
        <v>0</v>
      </c>
      <c r="P62" s="34">
        <v>0.47191011235955055</v>
      </c>
      <c r="Q62" s="34">
        <v>0.24719101123595505</v>
      </c>
      <c r="R62" s="34">
        <v>0.2808988764044944</v>
      </c>
    </row>
    <row r="63" spans="2:18" ht="18" x14ac:dyDescent="0.35">
      <c r="B63" s="58" t="s">
        <v>1107</v>
      </c>
      <c r="C63" s="12" t="s">
        <v>1079</v>
      </c>
      <c r="D63" s="15">
        <v>0.31325301204819278</v>
      </c>
      <c r="E63" s="15">
        <v>0.62650602409638556</v>
      </c>
      <c r="F63" s="17">
        <v>6.0240963855421686E-2</v>
      </c>
      <c r="G63" s="15">
        <v>0.34615384615384615</v>
      </c>
      <c r="H63" s="15">
        <v>0.46153846153846156</v>
      </c>
      <c r="I63" s="15">
        <v>0.19230769230769232</v>
      </c>
      <c r="K63" s="58" t="s">
        <v>1112</v>
      </c>
      <c r="L63" s="33" t="s">
        <v>1079</v>
      </c>
      <c r="M63" s="34">
        <v>0.46385542168674698</v>
      </c>
      <c r="N63" s="34">
        <v>0.53614457831325302</v>
      </c>
      <c r="O63" s="35">
        <v>0</v>
      </c>
      <c r="P63" s="34">
        <v>0.29870129870129869</v>
      </c>
      <c r="Q63" s="34">
        <v>0.48051948051948051</v>
      </c>
      <c r="R63" s="34">
        <v>0.22077922077922077</v>
      </c>
    </row>
    <row r="64" spans="2:18" ht="18" x14ac:dyDescent="0.35">
      <c r="B64" s="58"/>
      <c r="C64" s="12" t="s">
        <v>1080</v>
      </c>
      <c r="D64" s="34">
        <v>0.43373493975903615</v>
      </c>
      <c r="E64" s="34">
        <v>0.49397590361445781</v>
      </c>
      <c r="F64" s="34">
        <v>7.2289156626506021E-2</v>
      </c>
      <c r="G64" s="34">
        <v>0.43055555555555558</v>
      </c>
      <c r="H64" s="34">
        <v>0.33333333333333331</v>
      </c>
      <c r="I64" s="34">
        <v>0.2361111111111111</v>
      </c>
      <c r="K64" s="58"/>
      <c r="L64" s="33" t="s">
        <v>1080</v>
      </c>
      <c r="M64" s="34">
        <v>0.54819277108433739</v>
      </c>
      <c r="N64" s="34">
        <v>0.40963855421686746</v>
      </c>
      <c r="O64" s="34">
        <v>4.2168674698795178E-2</v>
      </c>
      <c r="P64" s="34">
        <v>0.25274725274725274</v>
      </c>
      <c r="Q64" s="34">
        <v>0.49450549450549453</v>
      </c>
      <c r="R64" s="34">
        <v>0.25274725274725274</v>
      </c>
    </row>
    <row r="65" spans="2:18" ht="18" x14ac:dyDescent="0.35">
      <c r="B65" s="58" t="s">
        <v>1108</v>
      </c>
      <c r="C65" s="12" t="s">
        <v>1079</v>
      </c>
      <c r="D65" s="15">
        <v>0.42771084337349397</v>
      </c>
      <c r="E65" s="15">
        <v>0.57228915662650603</v>
      </c>
      <c r="F65" s="17">
        <v>0</v>
      </c>
      <c r="G65" s="15">
        <v>0.647887323943662</v>
      </c>
      <c r="H65" s="15">
        <v>0.323943661971831</v>
      </c>
      <c r="I65" s="15">
        <v>2.8169014084507043E-2</v>
      </c>
      <c r="K65" s="58" t="s">
        <v>1108</v>
      </c>
      <c r="L65" s="33" t="s">
        <v>1079</v>
      </c>
      <c r="M65" s="34">
        <v>0.42771084337349397</v>
      </c>
      <c r="N65" s="34">
        <v>0.57228915662650603</v>
      </c>
      <c r="O65" s="35">
        <v>0</v>
      </c>
      <c r="P65" s="34">
        <v>0.647887323943662</v>
      </c>
      <c r="Q65" s="34">
        <v>0.323943661971831</v>
      </c>
      <c r="R65" s="34">
        <v>2.8169014084507043E-2</v>
      </c>
    </row>
    <row r="66" spans="2:18" ht="18" x14ac:dyDescent="0.35">
      <c r="B66" s="58"/>
      <c r="C66" s="12" t="s">
        <v>1080</v>
      </c>
      <c r="D66" s="34">
        <v>0.37349397590361444</v>
      </c>
      <c r="E66" s="34">
        <v>0.62650602409638556</v>
      </c>
      <c r="F66" s="17">
        <v>0</v>
      </c>
      <c r="G66" s="34">
        <v>0.43548387096774194</v>
      </c>
      <c r="H66" s="34">
        <v>0.43548387096774194</v>
      </c>
      <c r="I66" s="34">
        <v>0.12903225806451613</v>
      </c>
      <c r="K66" s="58"/>
      <c r="L66" s="33" t="s">
        <v>1080</v>
      </c>
      <c r="M66" s="34">
        <v>0.37349397590361444</v>
      </c>
      <c r="N66" s="34">
        <v>0.62650602409638556</v>
      </c>
      <c r="O66" s="35">
        <v>0</v>
      </c>
      <c r="P66" s="34">
        <v>0.43548387096774194</v>
      </c>
      <c r="Q66" s="34">
        <v>0.43548387096774194</v>
      </c>
      <c r="R66" s="34">
        <v>0.12903225806451613</v>
      </c>
    </row>
    <row r="67" spans="2:18" ht="18" x14ac:dyDescent="0.35">
      <c r="B67" s="58" t="s">
        <v>1109</v>
      </c>
      <c r="C67" s="12" t="s">
        <v>1079</v>
      </c>
      <c r="D67" s="15">
        <v>0.68072289156626509</v>
      </c>
      <c r="E67" s="15">
        <v>0.31927710843373491</v>
      </c>
      <c r="F67" s="17">
        <v>0</v>
      </c>
      <c r="G67" s="15">
        <v>0.4336283185840708</v>
      </c>
      <c r="H67" s="15">
        <v>0.41592920353982299</v>
      </c>
      <c r="I67" s="15">
        <v>0.15044247787610621</v>
      </c>
      <c r="K67" s="58" t="s">
        <v>1110</v>
      </c>
      <c r="L67" s="33" t="s">
        <v>1079</v>
      </c>
      <c r="M67" s="34">
        <v>0.40361445783132532</v>
      </c>
      <c r="N67" s="34">
        <v>0.59638554216867468</v>
      </c>
      <c r="O67" s="35">
        <v>0</v>
      </c>
      <c r="P67" s="34">
        <v>0.4925373134328358</v>
      </c>
      <c r="Q67" s="34">
        <v>0.44776119402985076</v>
      </c>
      <c r="R67" s="34">
        <v>5.9701492537313432E-2</v>
      </c>
    </row>
    <row r="68" spans="2:18" ht="18" x14ac:dyDescent="0.35">
      <c r="B68" s="58"/>
      <c r="C68" s="12" t="s">
        <v>1080</v>
      </c>
      <c r="D68" s="34">
        <v>0.67469879518072284</v>
      </c>
      <c r="E68" s="34">
        <v>0.31927710843373491</v>
      </c>
      <c r="F68" s="34">
        <v>6.024096385542169E-3</v>
      </c>
      <c r="G68" s="34">
        <v>0.38392857142857145</v>
      </c>
      <c r="H68" s="34">
        <v>0.3392857142857143</v>
      </c>
      <c r="I68" s="34">
        <v>0.2767857142857143</v>
      </c>
      <c r="K68" s="58"/>
      <c r="L68" s="33" t="s">
        <v>1080</v>
      </c>
      <c r="M68" s="34">
        <v>0.42168674698795183</v>
      </c>
      <c r="N68" s="34">
        <v>0.57831325301204817</v>
      </c>
      <c r="O68" s="35">
        <v>0</v>
      </c>
      <c r="P68" s="34">
        <v>0.24285714285714285</v>
      </c>
      <c r="Q68" s="34">
        <v>0.54285714285714282</v>
      </c>
      <c r="R68" s="34">
        <v>0.21428571428571427</v>
      </c>
    </row>
    <row r="69" spans="2:18" ht="18" x14ac:dyDescent="0.35">
      <c r="B69" s="58" t="s">
        <v>1110</v>
      </c>
      <c r="C69" s="12" t="s">
        <v>1079</v>
      </c>
      <c r="D69" s="15">
        <v>0.40361445783132532</v>
      </c>
      <c r="E69" s="15">
        <v>0.59638554216867468</v>
      </c>
      <c r="F69" s="17">
        <v>0</v>
      </c>
      <c r="G69" s="15">
        <v>0.4925373134328358</v>
      </c>
      <c r="H69" s="15">
        <v>0.44776119402985076</v>
      </c>
      <c r="I69" s="15">
        <v>5.9701492537313432E-2</v>
      </c>
      <c r="K69" s="58" t="s">
        <v>1103</v>
      </c>
      <c r="L69" s="33" t="s">
        <v>1079</v>
      </c>
      <c r="M69" s="34">
        <v>0.37349397590361444</v>
      </c>
      <c r="N69" s="34">
        <v>0.62650602409638556</v>
      </c>
      <c r="O69" s="35">
        <v>0</v>
      </c>
      <c r="P69" s="34">
        <v>0.38709677419354838</v>
      </c>
      <c r="Q69" s="34">
        <v>0.532258064516129</v>
      </c>
      <c r="R69" s="34">
        <v>8.0645161290322578E-2</v>
      </c>
    </row>
    <row r="70" spans="2:18" ht="18" x14ac:dyDescent="0.35">
      <c r="B70" s="58"/>
      <c r="C70" s="12" t="s">
        <v>1080</v>
      </c>
      <c r="D70" s="34">
        <v>0.42168674698795183</v>
      </c>
      <c r="E70" s="34">
        <v>0.57831325301204817</v>
      </c>
      <c r="F70" s="17">
        <v>0</v>
      </c>
      <c r="G70" s="34">
        <v>0.24285714285714285</v>
      </c>
      <c r="H70" s="34">
        <v>0.54285714285714282</v>
      </c>
      <c r="I70" s="34">
        <v>0.21428571428571427</v>
      </c>
      <c r="K70" s="58"/>
      <c r="L70" s="33" t="s">
        <v>1080</v>
      </c>
      <c r="M70" s="34">
        <v>0.34337349397590361</v>
      </c>
      <c r="N70" s="34">
        <v>0.65662650602409633</v>
      </c>
      <c r="O70" s="35">
        <v>0</v>
      </c>
      <c r="P70" s="34">
        <v>0.35087719298245612</v>
      </c>
      <c r="Q70" s="34">
        <v>0.38596491228070173</v>
      </c>
      <c r="R70" s="34">
        <v>0.26315789473684209</v>
      </c>
    </row>
    <row r="71" spans="2:18" ht="18" x14ac:dyDescent="0.35">
      <c r="B71" s="58" t="s">
        <v>1111</v>
      </c>
      <c r="C71" s="12" t="s">
        <v>1079</v>
      </c>
      <c r="D71" s="15">
        <v>0.10240963855421686</v>
      </c>
      <c r="E71" s="15">
        <v>0.89759036144578308</v>
      </c>
      <c r="F71" s="17">
        <v>0</v>
      </c>
      <c r="G71" s="15">
        <v>0.58823529411764708</v>
      </c>
      <c r="H71" s="15">
        <v>0.29411764705882354</v>
      </c>
      <c r="I71" s="15">
        <v>0.11764705882352941</v>
      </c>
      <c r="K71" s="58" t="s">
        <v>1115</v>
      </c>
      <c r="L71" s="33" t="s">
        <v>1079</v>
      </c>
      <c r="M71" s="34">
        <v>0.35542168674698793</v>
      </c>
      <c r="N71" s="34">
        <v>0.64457831325301207</v>
      </c>
      <c r="O71" s="35">
        <v>0</v>
      </c>
      <c r="P71" s="34">
        <v>0.55932203389830504</v>
      </c>
      <c r="Q71" s="34">
        <v>0.33898305084745761</v>
      </c>
      <c r="R71" s="34">
        <v>0.10169491525423729</v>
      </c>
    </row>
    <row r="72" spans="2:18" ht="18" x14ac:dyDescent="0.35">
      <c r="B72" s="58"/>
      <c r="C72" s="12" t="s">
        <v>1080</v>
      </c>
      <c r="D72" s="34">
        <v>0.10240963855421686</v>
      </c>
      <c r="E72" s="34">
        <v>0.89759036144578308</v>
      </c>
      <c r="F72" s="17">
        <v>0</v>
      </c>
      <c r="G72" s="34">
        <v>0.47058823529411764</v>
      </c>
      <c r="H72" s="34">
        <v>0.23529411764705882</v>
      </c>
      <c r="I72" s="34">
        <v>0.29411764705882354</v>
      </c>
      <c r="K72" s="58"/>
      <c r="L72" s="33" t="s">
        <v>1080</v>
      </c>
      <c r="M72" s="34">
        <v>0.34337349397590361</v>
      </c>
      <c r="N72" s="34">
        <v>0.65662650602409633</v>
      </c>
      <c r="O72" s="35">
        <v>0</v>
      </c>
      <c r="P72" s="34">
        <v>0.50877192982456143</v>
      </c>
      <c r="Q72" s="34">
        <v>0.2982456140350877</v>
      </c>
      <c r="R72" s="34">
        <v>0.19298245614035087</v>
      </c>
    </row>
    <row r="73" spans="2:18" ht="18" x14ac:dyDescent="0.35">
      <c r="B73" s="58" t="s">
        <v>1112</v>
      </c>
      <c r="C73" s="12" t="s">
        <v>1079</v>
      </c>
      <c r="D73" s="15">
        <v>0.46385542168674698</v>
      </c>
      <c r="E73" s="15">
        <v>0.53614457831325302</v>
      </c>
      <c r="F73" s="17">
        <v>0</v>
      </c>
      <c r="G73" s="15">
        <v>0.29870129870129869</v>
      </c>
      <c r="H73" s="15">
        <v>0.48051948051948051</v>
      </c>
      <c r="I73" s="15">
        <v>0.22077922077922077</v>
      </c>
      <c r="K73" s="58" t="s">
        <v>1107</v>
      </c>
      <c r="L73" s="33" t="s">
        <v>1079</v>
      </c>
      <c r="M73" s="34">
        <v>0.31325301204819278</v>
      </c>
      <c r="N73" s="34">
        <v>0.62650602409638556</v>
      </c>
      <c r="O73" s="35">
        <v>6.0240963855421686E-2</v>
      </c>
      <c r="P73" s="34">
        <v>0.34615384615384615</v>
      </c>
      <c r="Q73" s="34">
        <v>0.46153846153846156</v>
      </c>
      <c r="R73" s="34">
        <v>0.19230769230769232</v>
      </c>
    </row>
    <row r="74" spans="2:18" ht="18" x14ac:dyDescent="0.35">
      <c r="B74" s="58"/>
      <c r="C74" s="12" t="s">
        <v>1080</v>
      </c>
      <c r="D74" s="34">
        <v>0.54819277108433739</v>
      </c>
      <c r="E74" s="34">
        <v>0.40963855421686746</v>
      </c>
      <c r="F74" s="34">
        <v>4.2168674698795178E-2</v>
      </c>
      <c r="G74" s="34">
        <v>0.25274725274725274</v>
      </c>
      <c r="H74" s="34">
        <v>0.49450549450549453</v>
      </c>
      <c r="I74" s="34">
        <v>0.25274725274725274</v>
      </c>
      <c r="K74" s="58"/>
      <c r="L74" s="33" t="s">
        <v>1080</v>
      </c>
      <c r="M74" s="34">
        <v>0.43373493975903615</v>
      </c>
      <c r="N74" s="34">
        <v>0.49397590361445781</v>
      </c>
      <c r="O74" s="34">
        <v>7.2289156626506021E-2</v>
      </c>
      <c r="P74" s="34">
        <v>0.43055555555555558</v>
      </c>
      <c r="Q74" s="34">
        <v>0.33333333333333331</v>
      </c>
      <c r="R74" s="34">
        <v>0.2361111111111111</v>
      </c>
    </row>
    <row r="75" spans="2:18" ht="18" x14ac:dyDescent="0.35">
      <c r="B75" s="58" t="s">
        <v>1113</v>
      </c>
      <c r="C75" s="12" t="s">
        <v>1079</v>
      </c>
      <c r="D75" s="15">
        <v>0.19879518072289157</v>
      </c>
      <c r="E75" s="15">
        <v>0.79518072289156627</v>
      </c>
      <c r="F75" s="17">
        <v>6.024096385542169E-3</v>
      </c>
      <c r="G75" s="15">
        <v>0.33333333333333331</v>
      </c>
      <c r="H75" s="15">
        <v>0.36363636363636365</v>
      </c>
      <c r="I75" s="15">
        <v>0.30303030303030304</v>
      </c>
      <c r="K75" s="58" t="s">
        <v>1118</v>
      </c>
      <c r="L75" s="33" t="s">
        <v>1079</v>
      </c>
      <c r="M75" s="34">
        <v>0.30120481927710846</v>
      </c>
      <c r="N75" s="34">
        <v>0.6987951807228916</v>
      </c>
      <c r="O75" s="35">
        <v>0</v>
      </c>
      <c r="P75" s="34">
        <v>0.46</v>
      </c>
      <c r="Q75" s="34">
        <v>0.36</v>
      </c>
      <c r="R75" s="34">
        <v>0.18</v>
      </c>
    </row>
    <row r="76" spans="2:18" ht="18" x14ac:dyDescent="0.35">
      <c r="B76" s="58"/>
      <c r="C76" s="12" t="s">
        <v>1080</v>
      </c>
      <c r="D76" s="34">
        <v>0.22289156626506024</v>
      </c>
      <c r="E76" s="34">
        <v>0.74096385542168675</v>
      </c>
      <c r="F76" s="34">
        <v>3.614457831325301E-2</v>
      </c>
      <c r="G76" s="34">
        <v>0.29729729729729731</v>
      </c>
      <c r="H76" s="34">
        <v>0.43243243243243246</v>
      </c>
      <c r="I76" s="34">
        <v>0.27027027027027029</v>
      </c>
      <c r="K76" s="58"/>
      <c r="L76" s="33" t="s">
        <v>1080</v>
      </c>
      <c r="M76" s="34">
        <v>0.34337349397590361</v>
      </c>
      <c r="N76" s="34">
        <v>0.6506024096385542</v>
      </c>
      <c r="O76" s="34">
        <v>6.024096385542169E-3</v>
      </c>
      <c r="P76" s="34">
        <v>0.2982456140350877</v>
      </c>
      <c r="Q76" s="34">
        <v>0.50877192982456143</v>
      </c>
      <c r="R76" s="34">
        <v>0.19298245614035087</v>
      </c>
    </row>
    <row r="77" spans="2:18" ht="18" x14ac:dyDescent="0.35">
      <c r="B77" s="58" t="s">
        <v>1114</v>
      </c>
      <c r="C77" s="12" t="s">
        <v>1079</v>
      </c>
      <c r="D77" s="15">
        <v>0.2289156626506024</v>
      </c>
      <c r="E77" s="15">
        <v>0.77108433734939763</v>
      </c>
      <c r="F77" s="17">
        <v>0</v>
      </c>
      <c r="G77" s="15">
        <v>0.68421052631578949</v>
      </c>
      <c r="H77" s="15">
        <v>0.26315789473684209</v>
      </c>
      <c r="I77" s="15">
        <v>5.2631578947368418E-2</v>
      </c>
      <c r="K77" s="58" t="s">
        <v>1114</v>
      </c>
      <c r="L77" s="33" t="s">
        <v>1079</v>
      </c>
      <c r="M77" s="34">
        <v>0.2289156626506024</v>
      </c>
      <c r="N77" s="34">
        <v>0.77108433734939763</v>
      </c>
      <c r="O77" s="35">
        <v>0</v>
      </c>
      <c r="P77" s="34">
        <v>0.68421052631578949</v>
      </c>
      <c r="Q77" s="34">
        <v>0.26315789473684209</v>
      </c>
      <c r="R77" s="34">
        <v>5.2631578947368418E-2</v>
      </c>
    </row>
    <row r="78" spans="2:18" ht="18" x14ac:dyDescent="0.35">
      <c r="B78" s="58"/>
      <c r="C78" s="12" t="s">
        <v>1080</v>
      </c>
      <c r="D78" s="34">
        <v>0.25903614457831325</v>
      </c>
      <c r="E78" s="34">
        <v>0.73493975903614461</v>
      </c>
      <c r="F78" s="34">
        <v>6.024096385542169E-3</v>
      </c>
      <c r="G78" s="34">
        <v>0.44186046511627908</v>
      </c>
      <c r="H78" s="34">
        <v>0.44186046511627908</v>
      </c>
      <c r="I78" s="34">
        <v>0.11627906976744186</v>
      </c>
      <c r="K78" s="58"/>
      <c r="L78" s="33" t="s">
        <v>1080</v>
      </c>
      <c r="M78" s="34">
        <v>0.25903614457831325</v>
      </c>
      <c r="N78" s="34">
        <v>0.73493975903614461</v>
      </c>
      <c r="O78" s="34">
        <v>6.024096385542169E-3</v>
      </c>
      <c r="P78" s="34">
        <v>0.44186046511627908</v>
      </c>
      <c r="Q78" s="34">
        <v>0.44186046511627908</v>
      </c>
      <c r="R78" s="34">
        <v>0.11627906976744186</v>
      </c>
    </row>
    <row r="79" spans="2:18" ht="18" x14ac:dyDescent="0.35">
      <c r="B79" s="58" t="s">
        <v>1115</v>
      </c>
      <c r="C79" s="12" t="s">
        <v>1079</v>
      </c>
      <c r="D79" s="15">
        <v>0.35542168674698793</v>
      </c>
      <c r="E79" s="15">
        <v>0.64457831325301207</v>
      </c>
      <c r="F79" s="17">
        <v>0</v>
      </c>
      <c r="G79" s="15">
        <v>0.55932203389830504</v>
      </c>
      <c r="H79" s="15">
        <v>0.33898305084745761</v>
      </c>
      <c r="I79" s="15">
        <v>0.10169491525423729</v>
      </c>
      <c r="K79" s="58" t="s">
        <v>1113</v>
      </c>
      <c r="L79" s="33" t="s">
        <v>1079</v>
      </c>
      <c r="M79" s="34">
        <v>0.19879518072289157</v>
      </c>
      <c r="N79" s="34">
        <v>0.79518072289156627</v>
      </c>
      <c r="O79" s="35">
        <v>6.024096385542169E-3</v>
      </c>
      <c r="P79" s="34">
        <v>0.33333333333333331</v>
      </c>
      <c r="Q79" s="34">
        <v>0.36363636363636365</v>
      </c>
      <c r="R79" s="34">
        <v>0.30303030303030304</v>
      </c>
    </row>
    <row r="80" spans="2:18" ht="18" x14ac:dyDescent="0.35">
      <c r="B80" s="58"/>
      <c r="C80" s="12" t="s">
        <v>1080</v>
      </c>
      <c r="D80" s="34">
        <v>0.34337349397590361</v>
      </c>
      <c r="E80" s="34">
        <v>0.65662650602409633</v>
      </c>
      <c r="F80" s="17">
        <v>0</v>
      </c>
      <c r="G80" s="34">
        <v>0.50877192982456143</v>
      </c>
      <c r="H80" s="34">
        <v>0.2982456140350877</v>
      </c>
      <c r="I80" s="34">
        <v>0.19298245614035087</v>
      </c>
      <c r="K80" s="58"/>
      <c r="L80" s="33" t="s">
        <v>1080</v>
      </c>
      <c r="M80" s="34">
        <v>0.22289156626506024</v>
      </c>
      <c r="N80" s="34">
        <v>0.74096385542168675</v>
      </c>
      <c r="O80" s="34">
        <v>3.614457831325301E-2</v>
      </c>
      <c r="P80" s="34">
        <v>0.29729729729729731</v>
      </c>
      <c r="Q80" s="34">
        <v>0.43243243243243246</v>
      </c>
      <c r="R80" s="34">
        <v>0.27027027027027029</v>
      </c>
    </row>
    <row r="81" spans="2:18" ht="18" x14ac:dyDescent="0.35">
      <c r="B81" s="58" t="s">
        <v>1116</v>
      </c>
      <c r="C81" s="12" t="s">
        <v>1079</v>
      </c>
      <c r="D81" s="15">
        <v>0.54216867469879515</v>
      </c>
      <c r="E81" s="15">
        <v>0.45783132530120479</v>
      </c>
      <c r="F81" s="17">
        <v>0</v>
      </c>
      <c r="G81" s="15">
        <v>0.4777777777777778</v>
      </c>
      <c r="H81" s="15">
        <v>0.41111111111111109</v>
      </c>
      <c r="I81" s="15">
        <v>0.1111111111111111</v>
      </c>
      <c r="K81" s="58" t="s">
        <v>1104</v>
      </c>
      <c r="L81" s="33" t="s">
        <v>1079</v>
      </c>
      <c r="M81" s="34">
        <v>0.13253012048192772</v>
      </c>
      <c r="N81" s="34">
        <v>0.86746987951807231</v>
      </c>
      <c r="O81" s="35">
        <v>0</v>
      </c>
      <c r="P81" s="34">
        <v>0.90909090909090906</v>
      </c>
      <c r="Q81" s="34">
        <v>9.0909090909090912E-2</v>
      </c>
      <c r="R81" s="36">
        <v>0</v>
      </c>
    </row>
    <row r="82" spans="2:18" ht="18" x14ac:dyDescent="0.35">
      <c r="B82" s="58"/>
      <c r="C82" s="12" t="s">
        <v>1080</v>
      </c>
      <c r="D82" s="34">
        <v>0.53614457831325302</v>
      </c>
      <c r="E82" s="34">
        <v>0.46385542168674698</v>
      </c>
      <c r="F82" s="17">
        <v>0</v>
      </c>
      <c r="G82" s="34">
        <v>0.47191011235955055</v>
      </c>
      <c r="H82" s="34">
        <v>0.24719101123595505</v>
      </c>
      <c r="I82" s="34">
        <v>0.2808988764044944</v>
      </c>
      <c r="K82" s="58"/>
      <c r="L82" s="33" t="s">
        <v>1080</v>
      </c>
      <c r="M82" s="34">
        <v>0.15662650602409639</v>
      </c>
      <c r="N82" s="34">
        <v>0.83734939759036142</v>
      </c>
      <c r="O82" s="34">
        <v>6.024096385542169E-3</v>
      </c>
      <c r="P82" s="34">
        <v>0.5</v>
      </c>
      <c r="Q82" s="34">
        <v>0.34615384615384615</v>
      </c>
      <c r="R82" s="34">
        <v>0.15384615384615385</v>
      </c>
    </row>
    <row r="83" spans="2:18" ht="18" x14ac:dyDescent="0.35">
      <c r="B83" s="58" t="s">
        <v>1117</v>
      </c>
      <c r="C83" s="12" t="s">
        <v>1079</v>
      </c>
      <c r="D83" s="15">
        <v>1.2048192771084338E-2</v>
      </c>
      <c r="E83" s="15">
        <v>0.98795180722891562</v>
      </c>
      <c r="F83" s="17">
        <v>0</v>
      </c>
      <c r="G83" s="15">
        <v>1</v>
      </c>
      <c r="H83" s="16">
        <v>0</v>
      </c>
      <c r="I83" s="16">
        <v>0</v>
      </c>
      <c r="K83" s="58" t="s">
        <v>1111</v>
      </c>
      <c r="L83" s="33" t="s">
        <v>1079</v>
      </c>
      <c r="M83" s="34">
        <v>0.10240963855421686</v>
      </c>
      <c r="N83" s="34">
        <v>0.89759036144578308</v>
      </c>
      <c r="O83" s="35">
        <v>0</v>
      </c>
      <c r="P83" s="34">
        <v>0.58823529411764708</v>
      </c>
      <c r="Q83" s="34">
        <v>0.29411764705882354</v>
      </c>
      <c r="R83" s="34">
        <v>0.11764705882352941</v>
      </c>
    </row>
    <row r="84" spans="2:18" ht="18" x14ac:dyDescent="0.35">
      <c r="B84" s="58"/>
      <c r="C84" s="12" t="s">
        <v>1080</v>
      </c>
      <c r="D84" s="17">
        <v>0</v>
      </c>
      <c r="E84" s="34">
        <v>0.96987951807228912</v>
      </c>
      <c r="F84" s="34">
        <v>3.0120481927710843E-2</v>
      </c>
      <c r="G84" s="16">
        <v>0</v>
      </c>
      <c r="H84" s="16">
        <v>0</v>
      </c>
      <c r="I84" s="16">
        <v>0</v>
      </c>
      <c r="K84" s="58"/>
      <c r="L84" s="33" t="s">
        <v>1080</v>
      </c>
      <c r="M84" s="34">
        <v>0.10240963855421686</v>
      </c>
      <c r="N84" s="34">
        <v>0.89759036144578308</v>
      </c>
      <c r="O84" s="35">
        <v>0</v>
      </c>
      <c r="P84" s="34">
        <v>0.47058823529411764</v>
      </c>
      <c r="Q84" s="34">
        <v>0.23529411764705882</v>
      </c>
      <c r="R84" s="34">
        <v>0.29411764705882354</v>
      </c>
    </row>
    <row r="85" spans="2:18" ht="18" x14ac:dyDescent="0.35">
      <c r="B85" s="58" t="s">
        <v>1118</v>
      </c>
      <c r="C85" s="12" t="s">
        <v>1079</v>
      </c>
      <c r="D85" s="15">
        <v>0.30120481927710846</v>
      </c>
      <c r="E85" s="15">
        <v>0.6987951807228916</v>
      </c>
      <c r="F85" s="17">
        <v>0</v>
      </c>
      <c r="G85" s="15">
        <v>0.46</v>
      </c>
      <c r="H85" s="15">
        <v>0.36</v>
      </c>
      <c r="I85" s="15">
        <v>0.18</v>
      </c>
      <c r="K85" s="58" t="s">
        <v>1117</v>
      </c>
      <c r="L85" s="33" t="s">
        <v>1079</v>
      </c>
      <c r="M85" s="34">
        <v>1.2048192771084338E-2</v>
      </c>
      <c r="N85" s="34">
        <v>0.98795180722891562</v>
      </c>
      <c r="O85" s="35">
        <v>0</v>
      </c>
      <c r="P85" s="34">
        <v>1</v>
      </c>
      <c r="Q85" s="36">
        <v>0</v>
      </c>
      <c r="R85" s="36">
        <v>0</v>
      </c>
    </row>
    <row r="86" spans="2:18" ht="18" x14ac:dyDescent="0.35">
      <c r="B86" s="58"/>
      <c r="C86" s="12" t="s">
        <v>1080</v>
      </c>
      <c r="D86" s="34">
        <v>0.34337349397590361</v>
      </c>
      <c r="E86" s="34">
        <v>0.6506024096385542</v>
      </c>
      <c r="F86" s="34">
        <v>6.024096385542169E-3</v>
      </c>
      <c r="G86" s="34">
        <v>0.2982456140350877</v>
      </c>
      <c r="H86" s="34">
        <v>0.50877192982456143</v>
      </c>
      <c r="I86" s="34">
        <v>0.19298245614035087</v>
      </c>
      <c r="K86" s="58"/>
      <c r="L86" s="33" t="s">
        <v>1080</v>
      </c>
      <c r="M86" s="35">
        <v>0</v>
      </c>
      <c r="N86" s="34">
        <v>0.96987951807228912</v>
      </c>
      <c r="O86" s="34">
        <v>3.0120481927710843E-2</v>
      </c>
      <c r="P86" s="36">
        <v>0</v>
      </c>
      <c r="Q86" s="36">
        <v>0</v>
      </c>
      <c r="R86" s="36">
        <v>0</v>
      </c>
    </row>
    <row r="87" spans="2:18" ht="18" x14ac:dyDescent="0.35">
      <c r="B87" s="58" t="s">
        <v>1119</v>
      </c>
      <c r="C87" s="12" t="s">
        <v>1079</v>
      </c>
      <c r="D87" s="15">
        <v>6.024096385542169E-3</v>
      </c>
      <c r="E87" s="15">
        <v>0.98795180722891562</v>
      </c>
      <c r="F87" s="17">
        <v>6.024096385542169E-3</v>
      </c>
      <c r="G87" s="15">
        <v>1</v>
      </c>
      <c r="H87" s="16">
        <v>0</v>
      </c>
      <c r="I87" s="16">
        <v>0</v>
      </c>
    </row>
    <row r="88" spans="2:18" ht="18" x14ac:dyDescent="0.35">
      <c r="B88" s="58"/>
      <c r="C88" s="12" t="s">
        <v>1080</v>
      </c>
      <c r="D88" s="34">
        <v>0.12048192771084337</v>
      </c>
      <c r="E88" s="34">
        <v>0.87951807228915657</v>
      </c>
      <c r="F88" s="17">
        <v>0</v>
      </c>
      <c r="G88" s="34">
        <v>0.05</v>
      </c>
      <c r="H88" s="34">
        <v>0.55000000000000004</v>
      </c>
      <c r="I88" s="34">
        <v>0.4</v>
      </c>
    </row>
    <row r="94" spans="2:18" ht="45" x14ac:dyDescent="0.25">
      <c r="B94" s="6" t="s">
        <v>1120</v>
      </c>
      <c r="C94" s="18" t="s">
        <v>1079</v>
      </c>
      <c r="D94" s="18" t="s">
        <v>1080</v>
      </c>
    </row>
    <row r="95" spans="2:18" x14ac:dyDescent="0.25">
      <c r="B95" s="4" t="s">
        <v>1164</v>
      </c>
      <c r="C95" s="5">
        <v>0.94578313253012047</v>
      </c>
      <c r="D95" s="5">
        <v>0.96987951807228912</v>
      </c>
    </row>
    <row r="96" spans="2:18" x14ac:dyDescent="0.25">
      <c r="B96" s="4" t="s">
        <v>1088</v>
      </c>
      <c r="C96" s="5">
        <v>5.4216867469879519E-2</v>
      </c>
      <c r="D96" s="5">
        <v>3.0120481927710843E-2</v>
      </c>
    </row>
    <row r="97" spans="2:24" x14ac:dyDescent="0.25">
      <c r="B97" s="4"/>
      <c r="C97" s="5"/>
      <c r="D97" s="5"/>
    </row>
    <row r="98" spans="2:24" x14ac:dyDescent="0.25">
      <c r="B98" s="6" t="s">
        <v>1121</v>
      </c>
      <c r="C98" s="18" t="s">
        <v>1079</v>
      </c>
      <c r="D98" s="18" t="s">
        <v>1080</v>
      </c>
    </row>
    <row r="99" spans="2:24" x14ac:dyDescent="0.25">
      <c r="B99" s="4" t="s">
        <v>1165</v>
      </c>
      <c r="C99" s="5">
        <v>3.8216560509554139E-2</v>
      </c>
      <c r="D99" s="8">
        <v>5.5900621118012424E-2</v>
      </c>
    </row>
    <row r="100" spans="2:24" x14ac:dyDescent="0.25">
      <c r="B100" s="4" t="s">
        <v>1101</v>
      </c>
      <c r="C100" s="5">
        <v>0.25477707006369427</v>
      </c>
      <c r="D100" s="8">
        <v>0.25465838509316768</v>
      </c>
    </row>
    <row r="101" spans="2:24" x14ac:dyDescent="0.25">
      <c r="B101" s="4" t="s">
        <v>1166</v>
      </c>
      <c r="C101" s="5">
        <v>0.70700636942675155</v>
      </c>
      <c r="D101" s="8">
        <v>0.68944099378881984</v>
      </c>
    </row>
    <row r="103" spans="2:24" x14ac:dyDescent="0.25">
      <c r="B103" s="9" t="s">
        <v>1122</v>
      </c>
      <c r="C103" s="18" t="s">
        <v>1079</v>
      </c>
      <c r="D103" s="18" t="s">
        <v>1080</v>
      </c>
    </row>
    <row r="104" spans="2:24" x14ac:dyDescent="0.25">
      <c r="B104" s="4" t="s">
        <v>1164</v>
      </c>
      <c r="C104" s="5">
        <v>0.30573248407643311</v>
      </c>
      <c r="D104" s="5">
        <v>0.62732919254658381</v>
      </c>
    </row>
    <row r="105" spans="2:24" x14ac:dyDescent="0.25">
      <c r="B105" s="4" t="s">
        <v>1088</v>
      </c>
      <c r="C105" s="5">
        <v>0.69426751592356684</v>
      </c>
      <c r="D105" s="5">
        <v>0.37267080745341613</v>
      </c>
    </row>
    <row r="109" spans="2:24" ht="18" customHeight="1" x14ac:dyDescent="0.25">
      <c r="B109" s="19"/>
      <c r="C109" s="20"/>
      <c r="D109" s="59" t="s">
        <v>1123</v>
      </c>
      <c r="E109" s="60"/>
      <c r="F109" s="61" t="s">
        <v>1124</v>
      </c>
      <c r="G109" s="61"/>
      <c r="H109" s="62" t="s">
        <v>1125</v>
      </c>
      <c r="I109" s="62"/>
      <c r="J109" s="62"/>
      <c r="K109" s="62"/>
      <c r="L109" s="62"/>
      <c r="P109" s="59"/>
      <c r="Q109" s="60"/>
      <c r="R109" s="61"/>
      <c r="S109" s="61"/>
      <c r="T109" s="62"/>
      <c r="U109" s="62"/>
      <c r="V109" s="62"/>
      <c r="W109" s="62"/>
      <c r="X109" s="62"/>
    </row>
    <row r="110" spans="2:24" ht="36" x14ac:dyDescent="0.25">
      <c r="B110" s="19"/>
      <c r="C110" s="20"/>
      <c r="D110" s="21" t="s">
        <v>1126</v>
      </c>
      <c r="E110" s="22" t="s">
        <v>1127</v>
      </c>
      <c r="F110" s="22" t="s">
        <v>1126</v>
      </c>
      <c r="G110" s="22" t="s">
        <v>1127</v>
      </c>
      <c r="H110" s="23" t="s">
        <v>1128</v>
      </c>
      <c r="I110" s="24" t="s">
        <v>1129</v>
      </c>
      <c r="J110" s="24" t="s">
        <v>1130</v>
      </c>
      <c r="K110" s="24" t="s">
        <v>1131</v>
      </c>
      <c r="L110" s="24" t="s">
        <v>1132</v>
      </c>
      <c r="P110" s="21" t="s">
        <v>1126</v>
      </c>
      <c r="Q110" s="22" t="s">
        <v>1127</v>
      </c>
      <c r="R110" s="22" t="s">
        <v>1126</v>
      </c>
      <c r="S110" s="22" t="s">
        <v>1127</v>
      </c>
      <c r="T110" s="31" t="s">
        <v>1167</v>
      </c>
      <c r="U110" s="30" t="s">
        <v>1168</v>
      </c>
      <c r="V110" s="30" t="s">
        <v>1169</v>
      </c>
      <c r="W110" s="30" t="s">
        <v>1170</v>
      </c>
      <c r="X110" s="30" t="s">
        <v>1035</v>
      </c>
    </row>
    <row r="111" spans="2:24" ht="18" x14ac:dyDescent="0.35">
      <c r="B111" s="63" t="s">
        <v>1136</v>
      </c>
      <c r="C111" s="12" t="s">
        <v>1079</v>
      </c>
      <c r="D111" s="25">
        <v>0.59036144578313254</v>
      </c>
      <c r="E111" s="25">
        <v>0.40963855421686746</v>
      </c>
      <c r="F111" s="25">
        <v>0.2857142857142857</v>
      </c>
      <c r="G111" s="25">
        <v>0.7142857142857143</v>
      </c>
      <c r="H111" s="25">
        <v>0.25</v>
      </c>
      <c r="I111" s="25">
        <v>0.7142857142857143</v>
      </c>
      <c r="J111" s="25">
        <v>3.5714285714285712E-2</v>
      </c>
      <c r="K111" s="25">
        <v>0</v>
      </c>
      <c r="L111" s="25">
        <v>0</v>
      </c>
      <c r="N111" s="63" t="s">
        <v>1134</v>
      </c>
      <c r="O111" s="12" t="s">
        <v>1079</v>
      </c>
      <c r="P111" s="25">
        <v>0.9337349397590361</v>
      </c>
      <c r="Q111" s="25">
        <v>6.6265060240963861E-2</v>
      </c>
      <c r="R111" s="25">
        <v>0.76774193548387093</v>
      </c>
      <c r="S111" s="25">
        <v>0.23225806451612904</v>
      </c>
      <c r="T111" s="25">
        <v>0.55462184873949583</v>
      </c>
      <c r="U111" s="25">
        <v>0.44537815126050423</v>
      </c>
      <c r="V111" s="25">
        <v>0</v>
      </c>
      <c r="W111" s="25">
        <v>0</v>
      </c>
      <c r="X111" s="25">
        <v>0</v>
      </c>
    </row>
    <row r="112" spans="2:24" ht="18" x14ac:dyDescent="0.35">
      <c r="B112" s="63"/>
      <c r="C112" s="12" t="s">
        <v>1080</v>
      </c>
      <c r="D112" s="26">
        <v>0.90361445783132532</v>
      </c>
      <c r="E112" s="26">
        <v>9.6385542168674704E-2</v>
      </c>
      <c r="F112" s="26">
        <v>0.26</v>
      </c>
      <c r="G112" s="26">
        <v>0.74</v>
      </c>
      <c r="H112" s="26">
        <v>7.6923076923076927E-2</v>
      </c>
      <c r="I112" s="26">
        <v>0.53846153846153844</v>
      </c>
      <c r="J112" s="26">
        <v>0.33333333333333331</v>
      </c>
      <c r="K112" s="26">
        <v>5.128205128205128E-2</v>
      </c>
      <c r="L112" s="25">
        <v>0</v>
      </c>
      <c r="N112" s="63"/>
      <c r="O112" s="12" t="s">
        <v>1080</v>
      </c>
      <c r="P112" s="26">
        <v>0.88554216867469882</v>
      </c>
      <c r="Q112" s="26">
        <v>0.1144578313253012</v>
      </c>
      <c r="R112" s="26">
        <v>0.67346938775510201</v>
      </c>
      <c r="S112" s="26">
        <v>0.32653061224489793</v>
      </c>
      <c r="T112" s="26">
        <v>0.21212121212121213</v>
      </c>
      <c r="U112" s="26">
        <v>0.73737373737373735</v>
      </c>
      <c r="V112" s="26">
        <v>3.0303030303030304E-2</v>
      </c>
      <c r="W112" s="26">
        <v>2.0202020202020204E-2</v>
      </c>
      <c r="X112" s="25">
        <v>0</v>
      </c>
    </row>
    <row r="113" spans="2:24" ht="18" x14ac:dyDescent="0.35">
      <c r="B113" s="63" t="s">
        <v>1142</v>
      </c>
      <c r="C113" s="12" t="s">
        <v>1079</v>
      </c>
      <c r="D113" s="25">
        <v>0.31325301204819278</v>
      </c>
      <c r="E113" s="25">
        <v>0.68674698795180722</v>
      </c>
      <c r="F113" s="25">
        <v>0.38461538461538464</v>
      </c>
      <c r="G113" s="25">
        <v>0.61538461538461542</v>
      </c>
      <c r="H113" s="25">
        <v>0.10526315789473684</v>
      </c>
      <c r="I113" s="25">
        <v>0.89473684210526316</v>
      </c>
      <c r="J113" s="25">
        <v>0</v>
      </c>
      <c r="K113" s="25">
        <v>0</v>
      </c>
      <c r="L113" s="25">
        <v>0</v>
      </c>
      <c r="N113" s="63" t="s">
        <v>1133</v>
      </c>
      <c r="O113" s="12" t="s">
        <v>1079</v>
      </c>
      <c r="P113" s="25">
        <v>0.86746987951807231</v>
      </c>
      <c r="Q113" s="25">
        <v>0.13253012048192772</v>
      </c>
      <c r="R113" s="25">
        <v>0.43055555555555558</v>
      </c>
      <c r="S113" s="25">
        <v>0.56944444444444442</v>
      </c>
      <c r="T113" s="25">
        <v>0.38709677419354838</v>
      </c>
      <c r="U113" s="25">
        <v>0.58064516129032262</v>
      </c>
      <c r="V113" s="25">
        <v>3.2258064516129031E-2</v>
      </c>
      <c r="W113" s="25">
        <v>0</v>
      </c>
      <c r="X113" s="25">
        <v>0</v>
      </c>
    </row>
    <row r="114" spans="2:24" ht="18" x14ac:dyDescent="0.35">
      <c r="B114" s="63"/>
      <c r="C114" s="12" t="s">
        <v>1080</v>
      </c>
      <c r="D114" s="26">
        <v>0.37349397590361444</v>
      </c>
      <c r="E114" s="26">
        <v>0.62650602409638556</v>
      </c>
      <c r="F114" s="26">
        <v>0.22580645161290322</v>
      </c>
      <c r="G114" s="26">
        <v>0.77419354838709675</v>
      </c>
      <c r="H114" s="25">
        <v>0</v>
      </c>
      <c r="I114" s="26">
        <v>0.5714285714285714</v>
      </c>
      <c r="J114" s="26">
        <v>0.14285714285714285</v>
      </c>
      <c r="K114" s="26">
        <v>0.2857142857142857</v>
      </c>
      <c r="L114" s="25">
        <v>0</v>
      </c>
      <c r="N114" s="63"/>
      <c r="O114" s="12" t="s">
        <v>1080</v>
      </c>
      <c r="P114" s="26">
        <v>0.86144578313253017</v>
      </c>
      <c r="Q114" s="26">
        <v>0.13855421686746988</v>
      </c>
      <c r="R114" s="26">
        <v>0.4825174825174825</v>
      </c>
      <c r="S114" s="26">
        <v>0.5174825174825175</v>
      </c>
      <c r="T114" s="26">
        <v>0.11594202898550725</v>
      </c>
      <c r="U114" s="26">
        <v>0.82608695652173914</v>
      </c>
      <c r="V114" s="26">
        <v>5.7971014492753624E-2</v>
      </c>
      <c r="W114" s="25">
        <v>0</v>
      </c>
      <c r="X114" s="25">
        <v>0</v>
      </c>
    </row>
    <row r="115" spans="2:24" ht="18" x14ac:dyDescent="0.35">
      <c r="B115" s="63" t="s">
        <v>1140</v>
      </c>
      <c r="C115" s="12" t="s">
        <v>1079</v>
      </c>
      <c r="D115" s="25">
        <v>0.10843373493975904</v>
      </c>
      <c r="E115" s="25">
        <v>0.89156626506024095</v>
      </c>
      <c r="F115" s="25">
        <v>0.33333333333333331</v>
      </c>
      <c r="G115" s="25">
        <v>0.66666666666666663</v>
      </c>
      <c r="H115" s="25">
        <v>0.16666666666666666</v>
      </c>
      <c r="I115" s="25">
        <v>0.83333333333333337</v>
      </c>
      <c r="J115" s="25">
        <v>0</v>
      </c>
      <c r="K115" s="25">
        <v>0</v>
      </c>
      <c r="L115" s="25">
        <v>0</v>
      </c>
      <c r="N115" s="63" t="s">
        <v>1135</v>
      </c>
      <c r="O115" s="12" t="s">
        <v>1079</v>
      </c>
      <c r="P115" s="25">
        <v>0.66867469879518071</v>
      </c>
      <c r="Q115" s="25">
        <v>0.33132530120481929</v>
      </c>
      <c r="R115" s="25">
        <v>0.53153153153153154</v>
      </c>
      <c r="S115" s="25">
        <v>0.46846846846846846</v>
      </c>
      <c r="T115" s="25">
        <v>0.22033898305084745</v>
      </c>
      <c r="U115" s="25">
        <v>0.76271186440677963</v>
      </c>
      <c r="V115" s="25">
        <v>1.6949152542372881E-2</v>
      </c>
      <c r="W115" s="25">
        <v>0</v>
      </c>
      <c r="X115" s="25">
        <v>0</v>
      </c>
    </row>
    <row r="116" spans="2:24" ht="18" x14ac:dyDescent="0.35">
      <c r="B116" s="63"/>
      <c r="C116" s="12" t="s">
        <v>1080</v>
      </c>
      <c r="D116" s="26">
        <v>0.21686746987951808</v>
      </c>
      <c r="E116" s="26">
        <v>0.7831325301204819</v>
      </c>
      <c r="F116" s="26">
        <v>0.44444444444444442</v>
      </c>
      <c r="G116" s="26">
        <v>0.55555555555555558</v>
      </c>
      <c r="H116" s="26">
        <v>6.25E-2</v>
      </c>
      <c r="I116" s="26">
        <v>0.875</v>
      </c>
      <c r="J116" s="26">
        <v>0</v>
      </c>
      <c r="K116" s="26">
        <v>6.25E-2</v>
      </c>
      <c r="L116" s="25">
        <v>0</v>
      </c>
      <c r="N116" s="63"/>
      <c r="O116" s="12" t="s">
        <v>1080</v>
      </c>
      <c r="P116" s="26">
        <v>0.85542168674698793</v>
      </c>
      <c r="Q116" s="26">
        <v>0.14457831325301204</v>
      </c>
      <c r="R116" s="26">
        <v>0.37323943661971831</v>
      </c>
      <c r="S116" s="26">
        <v>0.62676056338028174</v>
      </c>
      <c r="T116" s="26">
        <v>0.11320754716981132</v>
      </c>
      <c r="U116" s="26">
        <v>0.84905660377358494</v>
      </c>
      <c r="V116" s="26">
        <v>3.7735849056603772E-2</v>
      </c>
      <c r="W116" s="25">
        <v>0</v>
      </c>
      <c r="X116" s="25">
        <v>0</v>
      </c>
    </row>
    <row r="117" spans="2:24" ht="18" x14ac:dyDescent="0.35">
      <c r="B117" s="63" t="s">
        <v>1135</v>
      </c>
      <c r="C117" s="12" t="s">
        <v>1079</v>
      </c>
      <c r="D117" s="25">
        <v>0.66867469879518071</v>
      </c>
      <c r="E117" s="25">
        <v>0.33132530120481929</v>
      </c>
      <c r="F117" s="25">
        <v>0.53153153153153154</v>
      </c>
      <c r="G117" s="25">
        <v>0.46846846846846846</v>
      </c>
      <c r="H117" s="25">
        <v>0.22033898305084745</v>
      </c>
      <c r="I117" s="25">
        <v>0.76271186440677963</v>
      </c>
      <c r="J117" s="25">
        <v>1.6949152542372881E-2</v>
      </c>
      <c r="K117" s="25">
        <v>0</v>
      </c>
      <c r="L117" s="25">
        <v>0</v>
      </c>
      <c r="N117" s="63" t="s">
        <v>1136</v>
      </c>
      <c r="O117" s="12" t="s">
        <v>1079</v>
      </c>
      <c r="P117" s="25">
        <v>0.59036144578313254</v>
      </c>
      <c r="Q117" s="25">
        <v>0.40963855421686746</v>
      </c>
      <c r="R117" s="25">
        <v>0.2857142857142857</v>
      </c>
      <c r="S117" s="25">
        <v>0.7142857142857143</v>
      </c>
      <c r="T117" s="25">
        <v>0.25</v>
      </c>
      <c r="U117" s="25">
        <v>0.7142857142857143</v>
      </c>
      <c r="V117" s="25">
        <v>3.5714285714285712E-2</v>
      </c>
      <c r="W117" s="25">
        <v>0</v>
      </c>
      <c r="X117" s="25">
        <v>0</v>
      </c>
    </row>
    <row r="118" spans="2:24" ht="18" x14ac:dyDescent="0.35">
      <c r="B118" s="63"/>
      <c r="C118" s="12" t="s">
        <v>1080</v>
      </c>
      <c r="D118" s="26">
        <v>0.85542168674698793</v>
      </c>
      <c r="E118" s="26">
        <v>0.14457831325301204</v>
      </c>
      <c r="F118" s="26">
        <v>0.37323943661971831</v>
      </c>
      <c r="G118" s="26">
        <v>0.62676056338028174</v>
      </c>
      <c r="H118" s="26">
        <v>0.11320754716981132</v>
      </c>
      <c r="I118" s="26">
        <v>0.84905660377358494</v>
      </c>
      <c r="J118" s="26">
        <v>3.7735849056603772E-2</v>
      </c>
      <c r="K118" s="25">
        <v>0</v>
      </c>
      <c r="L118" s="25">
        <v>0</v>
      </c>
      <c r="N118" s="63"/>
      <c r="O118" s="12" t="s">
        <v>1080</v>
      </c>
      <c r="P118" s="26">
        <v>0.90361445783132532</v>
      </c>
      <c r="Q118" s="26">
        <v>9.6385542168674704E-2</v>
      </c>
      <c r="R118" s="26">
        <v>0.26</v>
      </c>
      <c r="S118" s="26">
        <v>0.74</v>
      </c>
      <c r="T118" s="26">
        <v>7.6923076923076927E-2</v>
      </c>
      <c r="U118" s="26">
        <v>0.53846153846153844</v>
      </c>
      <c r="V118" s="26">
        <v>0.33333333333333331</v>
      </c>
      <c r="W118" s="26">
        <v>5.128205128205128E-2</v>
      </c>
      <c r="X118" s="25">
        <v>0</v>
      </c>
    </row>
    <row r="119" spans="2:24" ht="18" x14ac:dyDescent="0.35">
      <c r="B119" s="63" t="s">
        <v>1138</v>
      </c>
      <c r="C119" s="12" t="s">
        <v>1079</v>
      </c>
      <c r="D119" s="25">
        <v>0.30120481927710846</v>
      </c>
      <c r="E119" s="25">
        <v>0.6987951807228916</v>
      </c>
      <c r="F119" s="25">
        <v>0.36</v>
      </c>
      <c r="G119" s="25">
        <v>0.64</v>
      </c>
      <c r="H119" s="25">
        <v>0.3888888888888889</v>
      </c>
      <c r="I119" s="25">
        <v>0.61111111111111116</v>
      </c>
      <c r="J119" s="25">
        <v>0</v>
      </c>
      <c r="K119" s="25">
        <v>0</v>
      </c>
      <c r="L119" s="25">
        <v>0</v>
      </c>
      <c r="N119" s="63" t="s">
        <v>1139</v>
      </c>
      <c r="O119" s="12" t="s">
        <v>1079</v>
      </c>
      <c r="P119" s="25">
        <v>0.46385542168674698</v>
      </c>
      <c r="Q119" s="25">
        <v>0.53614457831325302</v>
      </c>
      <c r="R119" s="25">
        <v>0.2857142857142857</v>
      </c>
      <c r="S119" s="25">
        <v>0.7142857142857143</v>
      </c>
      <c r="T119" s="25">
        <v>0.45454545454545453</v>
      </c>
      <c r="U119" s="25">
        <v>0.54545454545454541</v>
      </c>
      <c r="V119" s="25">
        <v>0</v>
      </c>
      <c r="W119" s="25">
        <v>0</v>
      </c>
      <c r="X119" s="25">
        <v>0</v>
      </c>
    </row>
    <row r="120" spans="2:24" ht="18" x14ac:dyDescent="0.35">
      <c r="B120" s="63"/>
      <c r="C120" s="12" t="s">
        <v>1080</v>
      </c>
      <c r="D120" s="26">
        <v>0.5</v>
      </c>
      <c r="E120" s="26">
        <v>0.5</v>
      </c>
      <c r="F120" s="26">
        <v>0.2289156626506024</v>
      </c>
      <c r="G120" s="26">
        <v>0.77108433734939763</v>
      </c>
      <c r="H120" s="26">
        <v>0.21052631578947367</v>
      </c>
      <c r="I120" s="26">
        <v>0.78947368421052633</v>
      </c>
      <c r="J120" s="25">
        <v>0</v>
      </c>
      <c r="K120" s="25">
        <v>0</v>
      </c>
      <c r="L120" s="25">
        <v>0</v>
      </c>
      <c r="N120" s="63"/>
      <c r="O120" s="12" t="s">
        <v>1080</v>
      </c>
      <c r="P120" s="26">
        <v>0.75301204819277112</v>
      </c>
      <c r="Q120" s="26">
        <v>0.24698795180722891</v>
      </c>
      <c r="R120" s="26">
        <v>0.32800000000000001</v>
      </c>
      <c r="S120" s="26">
        <v>0.67200000000000004</v>
      </c>
      <c r="T120" s="26">
        <v>0.14634146341463414</v>
      </c>
      <c r="U120" s="26">
        <v>0.85365853658536583</v>
      </c>
      <c r="V120" s="25">
        <v>0</v>
      </c>
      <c r="W120" s="25">
        <v>0</v>
      </c>
      <c r="X120" s="25">
        <v>0</v>
      </c>
    </row>
    <row r="121" spans="2:24" ht="18" x14ac:dyDescent="0.35">
      <c r="B121" s="63" t="s">
        <v>1137</v>
      </c>
      <c r="C121" s="12" t="s">
        <v>1079</v>
      </c>
      <c r="D121" s="25">
        <v>0.41566265060240964</v>
      </c>
      <c r="E121" s="25">
        <v>0.58433734939759041</v>
      </c>
      <c r="F121" s="25">
        <v>0.40579710144927539</v>
      </c>
      <c r="G121" s="25">
        <v>0.59420289855072461</v>
      </c>
      <c r="H121" s="25">
        <v>0.35714285714285715</v>
      </c>
      <c r="I121" s="25">
        <v>0.6428571428571429</v>
      </c>
      <c r="J121" s="25">
        <v>0</v>
      </c>
      <c r="K121" s="25">
        <v>0</v>
      </c>
      <c r="L121" s="25">
        <v>0</v>
      </c>
      <c r="N121" s="63" t="s">
        <v>1137</v>
      </c>
      <c r="O121" s="12" t="s">
        <v>1079</v>
      </c>
      <c r="P121" s="25">
        <v>0.41566265060240964</v>
      </c>
      <c r="Q121" s="25">
        <v>0.58433734939759041</v>
      </c>
      <c r="R121" s="25">
        <v>0.40579710144927539</v>
      </c>
      <c r="S121" s="25">
        <v>0.59420289855072461</v>
      </c>
      <c r="T121" s="25">
        <v>0.35714285714285715</v>
      </c>
      <c r="U121" s="25">
        <v>0.6428571428571429</v>
      </c>
      <c r="V121" s="25">
        <v>0</v>
      </c>
      <c r="W121" s="25">
        <v>0</v>
      </c>
      <c r="X121" s="25">
        <v>0</v>
      </c>
    </row>
    <row r="122" spans="2:24" ht="18" x14ac:dyDescent="0.35">
      <c r="B122" s="63"/>
      <c r="C122" s="12" t="s">
        <v>1080</v>
      </c>
      <c r="D122" s="26">
        <v>0.29518072289156627</v>
      </c>
      <c r="E122" s="26">
        <v>0.70481927710843373</v>
      </c>
      <c r="F122" s="26">
        <v>0.24489795918367346</v>
      </c>
      <c r="G122" s="26">
        <v>0.75510204081632648</v>
      </c>
      <c r="H122" s="26">
        <v>8.3333333333333329E-2</v>
      </c>
      <c r="I122" s="26">
        <v>0.83333333333333337</v>
      </c>
      <c r="J122" s="26">
        <v>8.3333333333333329E-2</v>
      </c>
      <c r="K122" s="25">
        <v>0</v>
      </c>
      <c r="L122" s="25">
        <v>0</v>
      </c>
      <c r="N122" s="63"/>
      <c r="O122" s="12" t="s">
        <v>1080</v>
      </c>
      <c r="P122" s="26">
        <v>0.29518072289156627</v>
      </c>
      <c r="Q122" s="26">
        <v>0.70481927710843373</v>
      </c>
      <c r="R122" s="26">
        <v>0.24489795918367346</v>
      </c>
      <c r="S122" s="26">
        <v>0.75510204081632648</v>
      </c>
      <c r="T122" s="26">
        <v>8.3333333333333329E-2</v>
      </c>
      <c r="U122" s="26">
        <v>0.83333333333333337</v>
      </c>
      <c r="V122" s="26">
        <v>8.3333333333333329E-2</v>
      </c>
      <c r="W122" s="25">
        <v>0</v>
      </c>
      <c r="X122" s="25">
        <v>0</v>
      </c>
    </row>
    <row r="123" spans="2:24" ht="18" x14ac:dyDescent="0.35">
      <c r="B123" s="63" t="s">
        <v>1134</v>
      </c>
      <c r="C123" s="12" t="s">
        <v>1079</v>
      </c>
      <c r="D123" s="25">
        <v>0.9337349397590361</v>
      </c>
      <c r="E123" s="25">
        <v>6.6265060240963861E-2</v>
      </c>
      <c r="F123" s="25">
        <v>0.76774193548387093</v>
      </c>
      <c r="G123" s="25">
        <v>0.23225806451612904</v>
      </c>
      <c r="H123" s="25">
        <v>0.55462184873949583</v>
      </c>
      <c r="I123" s="25">
        <v>0.44537815126050423</v>
      </c>
      <c r="J123" s="25">
        <v>0</v>
      </c>
      <c r="K123" s="25">
        <v>0</v>
      </c>
      <c r="L123" s="25">
        <v>0</v>
      </c>
      <c r="N123" s="63" t="s">
        <v>1142</v>
      </c>
      <c r="O123" s="12" t="s">
        <v>1079</v>
      </c>
      <c r="P123" s="25">
        <v>0.31325301204819278</v>
      </c>
      <c r="Q123" s="25">
        <v>0.68674698795180722</v>
      </c>
      <c r="R123" s="25">
        <v>0.38461538461538464</v>
      </c>
      <c r="S123" s="25">
        <v>0.61538461538461542</v>
      </c>
      <c r="T123" s="25">
        <v>0.10526315789473684</v>
      </c>
      <c r="U123" s="25">
        <v>0.89473684210526316</v>
      </c>
      <c r="V123" s="25">
        <v>0</v>
      </c>
      <c r="W123" s="25">
        <v>0</v>
      </c>
      <c r="X123" s="25">
        <v>0</v>
      </c>
    </row>
    <row r="124" spans="2:24" ht="18" x14ac:dyDescent="0.35">
      <c r="B124" s="63"/>
      <c r="C124" s="12" t="s">
        <v>1080</v>
      </c>
      <c r="D124" s="26">
        <v>0.88554216867469882</v>
      </c>
      <c r="E124" s="26">
        <v>0.1144578313253012</v>
      </c>
      <c r="F124" s="26">
        <v>0.67346938775510201</v>
      </c>
      <c r="G124" s="26">
        <v>0.32653061224489793</v>
      </c>
      <c r="H124" s="26">
        <v>0.21212121212121213</v>
      </c>
      <c r="I124" s="26">
        <v>0.73737373737373735</v>
      </c>
      <c r="J124" s="26">
        <v>3.0303030303030304E-2</v>
      </c>
      <c r="K124" s="26">
        <v>2.0202020202020204E-2</v>
      </c>
      <c r="L124" s="25">
        <v>0</v>
      </c>
      <c r="N124" s="63"/>
      <c r="O124" s="12" t="s">
        <v>1080</v>
      </c>
      <c r="P124" s="26">
        <v>0.37349397590361444</v>
      </c>
      <c r="Q124" s="26">
        <v>0.62650602409638556</v>
      </c>
      <c r="R124" s="26">
        <v>0.22580645161290322</v>
      </c>
      <c r="S124" s="26">
        <v>0.77419354838709675</v>
      </c>
      <c r="T124" s="25">
        <v>0</v>
      </c>
      <c r="U124" s="26">
        <v>0.5714285714285714</v>
      </c>
      <c r="V124" s="26">
        <v>0.14285714285714285</v>
      </c>
      <c r="W124" s="26">
        <v>0.2857142857142857</v>
      </c>
      <c r="X124" s="25">
        <v>0</v>
      </c>
    </row>
    <row r="125" spans="2:24" ht="18" x14ac:dyDescent="0.35">
      <c r="B125" s="63" t="s">
        <v>1133</v>
      </c>
      <c r="C125" s="12" t="s">
        <v>1079</v>
      </c>
      <c r="D125" s="25">
        <v>0.86746987951807231</v>
      </c>
      <c r="E125" s="25">
        <v>0.13253012048192772</v>
      </c>
      <c r="F125" s="25">
        <v>0.43055555555555558</v>
      </c>
      <c r="G125" s="25">
        <v>0.56944444444444442</v>
      </c>
      <c r="H125" s="25">
        <v>0.38709677419354838</v>
      </c>
      <c r="I125" s="25">
        <v>0.58064516129032262</v>
      </c>
      <c r="J125" s="25">
        <v>3.2258064516129031E-2</v>
      </c>
      <c r="K125" s="25">
        <v>0</v>
      </c>
      <c r="L125" s="25">
        <v>0</v>
      </c>
      <c r="N125" s="63" t="s">
        <v>1138</v>
      </c>
      <c r="O125" s="12" t="s">
        <v>1079</v>
      </c>
      <c r="P125" s="25">
        <v>0.30120481927710846</v>
      </c>
      <c r="Q125" s="25">
        <v>0.6987951807228916</v>
      </c>
      <c r="R125" s="25">
        <v>0.36</v>
      </c>
      <c r="S125" s="25">
        <v>0.64</v>
      </c>
      <c r="T125" s="25">
        <v>0.3888888888888889</v>
      </c>
      <c r="U125" s="25">
        <v>0.61111111111111116</v>
      </c>
      <c r="V125" s="25">
        <v>0</v>
      </c>
      <c r="W125" s="25">
        <v>0</v>
      </c>
      <c r="X125" s="25">
        <v>0</v>
      </c>
    </row>
    <row r="126" spans="2:24" ht="18" x14ac:dyDescent="0.35">
      <c r="B126" s="63"/>
      <c r="C126" s="12" t="s">
        <v>1080</v>
      </c>
      <c r="D126" s="26">
        <v>0.86144578313253017</v>
      </c>
      <c r="E126" s="26">
        <v>0.13855421686746988</v>
      </c>
      <c r="F126" s="26">
        <v>0.4825174825174825</v>
      </c>
      <c r="G126" s="26">
        <v>0.5174825174825175</v>
      </c>
      <c r="H126" s="26">
        <v>0.11594202898550725</v>
      </c>
      <c r="I126" s="26">
        <v>0.82608695652173914</v>
      </c>
      <c r="J126" s="26">
        <v>5.7971014492753624E-2</v>
      </c>
      <c r="K126" s="25">
        <v>0</v>
      </c>
      <c r="L126" s="25">
        <v>0</v>
      </c>
      <c r="N126" s="63"/>
      <c r="O126" s="12" t="s">
        <v>1080</v>
      </c>
      <c r="P126" s="26">
        <v>0.5</v>
      </c>
      <c r="Q126" s="26">
        <v>0.5</v>
      </c>
      <c r="R126" s="26">
        <v>0.2289156626506024</v>
      </c>
      <c r="S126" s="26">
        <v>0.77108433734939763</v>
      </c>
      <c r="T126" s="26">
        <v>0.21052631578947367</v>
      </c>
      <c r="U126" s="26">
        <v>0.78947368421052633</v>
      </c>
      <c r="V126" s="25">
        <v>0</v>
      </c>
      <c r="W126" s="25">
        <v>0</v>
      </c>
      <c r="X126" s="25">
        <v>0</v>
      </c>
    </row>
    <row r="127" spans="2:24" ht="18" x14ac:dyDescent="0.35">
      <c r="B127" s="63" t="s">
        <v>1139</v>
      </c>
      <c r="C127" s="12" t="s">
        <v>1079</v>
      </c>
      <c r="D127" s="25">
        <v>0.46385542168674698</v>
      </c>
      <c r="E127" s="25">
        <v>0.53614457831325302</v>
      </c>
      <c r="F127" s="25">
        <v>0.2857142857142857</v>
      </c>
      <c r="G127" s="25">
        <v>0.7142857142857143</v>
      </c>
      <c r="H127" s="25">
        <v>0.45454545454545453</v>
      </c>
      <c r="I127" s="25">
        <v>0.54545454545454541</v>
      </c>
      <c r="J127" s="25">
        <v>0</v>
      </c>
      <c r="K127" s="25">
        <v>0</v>
      </c>
      <c r="L127" s="25">
        <v>0</v>
      </c>
      <c r="N127" s="63" t="s">
        <v>1140</v>
      </c>
      <c r="O127" s="12" t="s">
        <v>1079</v>
      </c>
      <c r="P127" s="25">
        <v>0.10843373493975904</v>
      </c>
      <c r="Q127" s="25">
        <v>0.89156626506024095</v>
      </c>
      <c r="R127" s="25">
        <v>0.33333333333333331</v>
      </c>
      <c r="S127" s="25">
        <v>0.66666666666666663</v>
      </c>
      <c r="T127" s="25">
        <v>0.16666666666666666</v>
      </c>
      <c r="U127" s="25">
        <v>0.83333333333333337</v>
      </c>
      <c r="V127" s="25">
        <v>0</v>
      </c>
      <c r="W127" s="25">
        <v>0</v>
      </c>
      <c r="X127" s="25">
        <v>0</v>
      </c>
    </row>
    <row r="128" spans="2:24" ht="18" x14ac:dyDescent="0.35">
      <c r="B128" s="63"/>
      <c r="C128" s="12" t="s">
        <v>1080</v>
      </c>
      <c r="D128" s="26">
        <v>0.75301204819277112</v>
      </c>
      <c r="E128" s="26">
        <v>0.24698795180722891</v>
      </c>
      <c r="F128" s="26">
        <v>0.32800000000000001</v>
      </c>
      <c r="G128" s="26">
        <v>0.67200000000000004</v>
      </c>
      <c r="H128" s="26">
        <v>0.14634146341463414</v>
      </c>
      <c r="I128" s="26">
        <v>0.85365853658536583</v>
      </c>
      <c r="J128" s="25">
        <v>0</v>
      </c>
      <c r="K128" s="25">
        <v>0</v>
      </c>
      <c r="L128" s="25">
        <v>0</v>
      </c>
      <c r="N128" s="63"/>
      <c r="O128" s="12" t="s">
        <v>1080</v>
      </c>
      <c r="P128" s="26">
        <v>0.21686746987951808</v>
      </c>
      <c r="Q128" s="26">
        <v>0.7831325301204819</v>
      </c>
      <c r="R128" s="26">
        <v>0.44444444444444442</v>
      </c>
      <c r="S128" s="26">
        <v>0.55555555555555558</v>
      </c>
      <c r="T128" s="26">
        <v>6.25E-2</v>
      </c>
      <c r="U128" s="26">
        <v>0.875</v>
      </c>
      <c r="V128" s="26">
        <v>0</v>
      </c>
      <c r="W128" s="26">
        <v>6.25E-2</v>
      </c>
      <c r="X128" s="25">
        <v>0</v>
      </c>
    </row>
    <row r="129" spans="2:24" ht="18" x14ac:dyDescent="0.35">
      <c r="B129" s="64" t="s">
        <v>1141</v>
      </c>
      <c r="C129" s="12" t="s">
        <v>1079</v>
      </c>
      <c r="D129" s="25">
        <v>4.8192771084337352E-2</v>
      </c>
      <c r="E129" s="25">
        <v>0.95180722891566261</v>
      </c>
      <c r="F129" s="25">
        <v>0.125</v>
      </c>
      <c r="G129" s="25">
        <v>0.875</v>
      </c>
      <c r="H129" s="25">
        <v>0</v>
      </c>
      <c r="I129" s="25">
        <v>1</v>
      </c>
      <c r="J129" s="25">
        <v>0</v>
      </c>
      <c r="K129" s="25">
        <v>0</v>
      </c>
      <c r="L129" s="25">
        <v>0</v>
      </c>
      <c r="N129" s="64" t="s">
        <v>1141</v>
      </c>
      <c r="O129" s="12" t="s">
        <v>1079</v>
      </c>
      <c r="P129" s="25">
        <v>4.8192771084337352E-2</v>
      </c>
      <c r="Q129" s="25">
        <v>0.95180722891566261</v>
      </c>
      <c r="R129" s="25">
        <v>0.125</v>
      </c>
      <c r="S129" s="25">
        <v>0.875</v>
      </c>
      <c r="T129" s="25">
        <v>0</v>
      </c>
      <c r="U129" s="25">
        <v>1</v>
      </c>
      <c r="V129" s="25">
        <v>0</v>
      </c>
      <c r="W129" s="25">
        <v>0</v>
      </c>
      <c r="X129" s="25">
        <v>0</v>
      </c>
    </row>
    <row r="130" spans="2:24" ht="18" x14ac:dyDescent="0.35">
      <c r="B130" s="64"/>
      <c r="C130" s="12" t="s">
        <v>1080</v>
      </c>
      <c r="D130" s="26">
        <v>0.12650602409638553</v>
      </c>
      <c r="E130" s="26">
        <v>0.87349397590361444</v>
      </c>
      <c r="F130" s="26">
        <v>0.5714285714285714</v>
      </c>
      <c r="G130" s="26">
        <v>0.42857142857142855</v>
      </c>
      <c r="H130" s="25">
        <v>0</v>
      </c>
      <c r="I130" s="26">
        <v>0.91666666666666663</v>
      </c>
      <c r="J130" s="25">
        <v>0</v>
      </c>
      <c r="K130" s="26">
        <v>8.3333333333333329E-2</v>
      </c>
      <c r="L130" s="25">
        <v>0</v>
      </c>
      <c r="N130" s="64"/>
      <c r="O130" s="12" t="s">
        <v>1080</v>
      </c>
      <c r="P130" s="26">
        <v>0.12650602409638553</v>
      </c>
      <c r="Q130" s="26">
        <v>0.87349397590361444</v>
      </c>
      <c r="R130" s="26">
        <v>0.5714285714285714</v>
      </c>
      <c r="S130" s="26">
        <v>0.42857142857142855</v>
      </c>
      <c r="T130" s="25">
        <v>0</v>
      </c>
      <c r="U130" s="26">
        <v>0.91666666666666663</v>
      </c>
      <c r="V130" s="25">
        <v>0</v>
      </c>
      <c r="W130" s="26">
        <v>8.3333333333333329E-2</v>
      </c>
      <c r="X130" s="25">
        <v>0</v>
      </c>
    </row>
    <row r="134" spans="2:24" ht="18" x14ac:dyDescent="0.35">
      <c r="B134" s="27" t="s">
        <v>1143</v>
      </c>
      <c r="C134" s="27"/>
    </row>
    <row r="135" spans="2:24" ht="18" x14ac:dyDescent="0.35">
      <c r="B135" s="28" t="s">
        <v>1164</v>
      </c>
      <c r="C135" s="29">
        <v>0.58433734939759041</v>
      </c>
    </row>
    <row r="136" spans="2:24" ht="18" x14ac:dyDescent="0.35">
      <c r="B136" s="28" t="s">
        <v>1088</v>
      </c>
      <c r="C136" s="29">
        <v>0.40361445783132532</v>
      </c>
    </row>
    <row r="137" spans="2:24" ht="18" x14ac:dyDescent="0.35">
      <c r="B137" s="28" t="s">
        <v>1035</v>
      </c>
      <c r="C137" s="29">
        <v>1.2048192771084338E-2</v>
      </c>
    </row>
    <row r="138" spans="2:24" ht="18" x14ac:dyDescent="0.35">
      <c r="B138" s="27"/>
      <c r="C138" s="27"/>
    </row>
    <row r="139" spans="2:24" ht="18" x14ac:dyDescent="0.35">
      <c r="B139" s="28" t="s">
        <v>1144</v>
      </c>
      <c r="C139" s="27"/>
    </row>
    <row r="140" spans="2:24" ht="18" x14ac:dyDescent="0.35">
      <c r="B140" s="28" t="s">
        <v>1167</v>
      </c>
      <c r="C140" s="29">
        <v>0.17525773195876287</v>
      </c>
    </row>
    <row r="141" spans="2:24" ht="18" x14ac:dyDescent="0.35">
      <c r="B141" s="28" t="s">
        <v>1168</v>
      </c>
      <c r="C141" s="29">
        <v>0.58762886597938147</v>
      </c>
    </row>
    <row r="142" spans="2:24" ht="18" x14ac:dyDescent="0.35">
      <c r="B142" s="28" t="s">
        <v>1169</v>
      </c>
      <c r="C142" s="29">
        <v>0.15463917525773196</v>
      </c>
    </row>
    <row r="143" spans="2:24" ht="18" x14ac:dyDescent="0.35">
      <c r="B143" s="28" t="s">
        <v>1170</v>
      </c>
      <c r="C143" s="29">
        <v>7.2164948453608241E-2</v>
      </c>
    </row>
    <row r="144" spans="2:24" ht="18" x14ac:dyDescent="0.35">
      <c r="B144" s="28" t="s">
        <v>1035</v>
      </c>
      <c r="C144" s="29">
        <v>1.0309278350515464E-2</v>
      </c>
    </row>
    <row r="146" spans="2:7" ht="18" x14ac:dyDescent="0.35">
      <c r="B146" s="28" t="s">
        <v>1145</v>
      </c>
      <c r="C146" s="27"/>
    </row>
    <row r="147" spans="2:7" ht="18" x14ac:dyDescent="0.35">
      <c r="B147" s="28" t="s">
        <v>1164</v>
      </c>
      <c r="C147" s="29">
        <v>0.67010309278350511</v>
      </c>
    </row>
    <row r="148" spans="2:7" ht="18" x14ac:dyDescent="0.35">
      <c r="B148" s="28" t="s">
        <v>1088</v>
      </c>
      <c r="C148" s="29">
        <v>0.31958762886597936</v>
      </c>
    </row>
    <row r="149" spans="2:7" ht="18" x14ac:dyDescent="0.35">
      <c r="B149" s="28" t="s">
        <v>1035</v>
      </c>
      <c r="C149" s="29">
        <v>1.0309278350515464E-2</v>
      </c>
    </row>
    <row r="151" spans="2:7" ht="18" x14ac:dyDescent="0.35">
      <c r="B151" s="28" t="s">
        <v>1149</v>
      </c>
      <c r="E151" s="28" t="s">
        <v>1150</v>
      </c>
    </row>
    <row r="152" spans="2:7" x14ac:dyDescent="0.25">
      <c r="B152" s="4" t="s">
        <v>1181</v>
      </c>
      <c r="C152" s="10">
        <v>2</v>
      </c>
      <c r="D152" s="51">
        <f>C152/$C$159</f>
        <v>3.0769230769230771E-2</v>
      </c>
      <c r="E152" s="4" t="s">
        <v>1191</v>
      </c>
      <c r="F152" s="10">
        <v>1</v>
      </c>
      <c r="G152" s="8">
        <f>F152/$F$160</f>
        <v>3.2258064516129031E-2</v>
      </c>
    </row>
    <row r="153" spans="2:7" x14ac:dyDescent="0.25">
      <c r="B153" s="4" t="s">
        <v>1178</v>
      </c>
      <c r="C153" s="10">
        <v>12</v>
      </c>
      <c r="D153" s="51">
        <f t="shared" ref="D153:D158" si="1">C153/$C$159</f>
        <v>0.18461538461538463</v>
      </c>
      <c r="E153" s="4" t="s">
        <v>1185</v>
      </c>
      <c r="F153" s="10">
        <v>1</v>
      </c>
      <c r="G153" s="8">
        <f t="shared" ref="G153:G158" si="2">F153/$F$160</f>
        <v>3.2258064516129031E-2</v>
      </c>
    </row>
    <row r="154" spans="2:7" x14ac:dyDescent="0.25">
      <c r="B154" s="4" t="s">
        <v>1183</v>
      </c>
      <c r="C154" s="10">
        <v>2</v>
      </c>
      <c r="D154" s="51">
        <f t="shared" si="1"/>
        <v>3.0769230769230771E-2</v>
      </c>
      <c r="E154" s="4" t="s">
        <v>1187</v>
      </c>
      <c r="F154" s="10">
        <v>13</v>
      </c>
      <c r="G154" s="8">
        <f t="shared" si="2"/>
        <v>0.41935483870967744</v>
      </c>
    </row>
    <row r="155" spans="2:7" x14ac:dyDescent="0.25">
      <c r="B155" s="4" t="s">
        <v>1179</v>
      </c>
      <c r="C155" s="10">
        <v>21</v>
      </c>
      <c r="D155" s="51">
        <f t="shared" si="1"/>
        <v>0.32307692307692309</v>
      </c>
      <c r="E155" s="4" t="s">
        <v>1190</v>
      </c>
      <c r="F155" s="10">
        <v>1</v>
      </c>
      <c r="G155" s="8">
        <f t="shared" si="2"/>
        <v>3.2258064516129031E-2</v>
      </c>
    </row>
    <row r="156" spans="2:7" x14ac:dyDescent="0.25">
      <c r="B156" s="4" t="s">
        <v>1180</v>
      </c>
      <c r="C156" s="10">
        <v>20</v>
      </c>
      <c r="D156" s="51">
        <f t="shared" si="1"/>
        <v>0.30769230769230771</v>
      </c>
      <c r="E156" s="4" t="s">
        <v>1192</v>
      </c>
      <c r="F156" s="10">
        <v>1</v>
      </c>
      <c r="G156" s="8">
        <f t="shared" si="2"/>
        <v>3.2258064516129031E-2</v>
      </c>
    </row>
    <row r="157" spans="2:7" x14ac:dyDescent="0.25">
      <c r="B157" s="4" t="s">
        <v>1182</v>
      </c>
      <c r="C157" s="10">
        <v>7</v>
      </c>
      <c r="D157" s="51">
        <f t="shared" si="1"/>
        <v>0.1076923076923077</v>
      </c>
      <c r="E157" s="4" t="s">
        <v>1189</v>
      </c>
      <c r="F157" s="10">
        <v>6</v>
      </c>
      <c r="G157" s="8">
        <f t="shared" si="2"/>
        <v>0.19354838709677419</v>
      </c>
    </row>
    <row r="158" spans="2:7" x14ac:dyDescent="0.25">
      <c r="B158" s="4" t="s">
        <v>1184</v>
      </c>
      <c r="C158" s="10">
        <v>1</v>
      </c>
      <c r="D158" s="51">
        <f t="shared" si="1"/>
        <v>1.5384615384615385E-2</v>
      </c>
      <c r="E158" s="4" t="s">
        <v>1186</v>
      </c>
      <c r="F158" s="10">
        <v>6</v>
      </c>
      <c r="G158" s="8">
        <f t="shared" si="2"/>
        <v>0.19354838709677419</v>
      </c>
    </row>
    <row r="159" spans="2:7" ht="18" x14ac:dyDescent="0.35">
      <c r="B159" s="28"/>
      <c r="C159">
        <f>SUM(C152:C158)</f>
        <v>65</v>
      </c>
      <c r="E159" s="4" t="s">
        <v>1188</v>
      </c>
      <c r="F159" s="10">
        <v>2</v>
      </c>
      <c r="G159" s="8">
        <f>F159/$F$160</f>
        <v>6.4516129032258063E-2</v>
      </c>
    </row>
    <row r="160" spans="2:7" ht="18" x14ac:dyDescent="0.35">
      <c r="B160" s="28"/>
      <c r="F160" s="28">
        <f>SUM(F152:F159)</f>
        <v>31</v>
      </c>
    </row>
    <row r="161" spans="2:6" ht="18" x14ac:dyDescent="0.35">
      <c r="B161" s="28"/>
      <c r="F161" s="28"/>
    </row>
    <row r="162" spans="2:6" ht="18" x14ac:dyDescent="0.35">
      <c r="B162" s="28"/>
      <c r="E162" s="4" t="s">
        <v>1213</v>
      </c>
      <c r="F162" s="28" t="s">
        <v>1213</v>
      </c>
    </row>
    <row r="163" spans="2:6" ht="18" x14ac:dyDescent="0.35">
      <c r="B163" s="54" t="s">
        <v>1179</v>
      </c>
      <c r="C163" s="53">
        <v>0.32307692307692309</v>
      </c>
      <c r="E163" s="52" t="s">
        <v>1187</v>
      </c>
      <c r="F163" s="53">
        <v>0.41935483870967744</v>
      </c>
    </row>
    <row r="164" spans="2:6" ht="18" x14ac:dyDescent="0.35">
      <c r="B164" s="54" t="s">
        <v>1180</v>
      </c>
      <c r="C164" s="53">
        <v>0.30769230769230771</v>
      </c>
      <c r="E164" s="52" t="s">
        <v>1189</v>
      </c>
      <c r="F164" s="53">
        <v>0.19354838709677419</v>
      </c>
    </row>
    <row r="165" spans="2:6" ht="18" x14ac:dyDescent="0.35">
      <c r="B165" s="54" t="s">
        <v>1178</v>
      </c>
      <c r="C165" s="53">
        <v>0.18461538461538463</v>
      </c>
      <c r="E165" s="52" t="s">
        <v>1186</v>
      </c>
      <c r="F165" s="53">
        <v>0.19354838709677419</v>
      </c>
    </row>
    <row r="166" spans="2:6" ht="18" x14ac:dyDescent="0.35">
      <c r="B166" s="54" t="s">
        <v>1182</v>
      </c>
      <c r="C166" s="53">
        <v>0.1076923076923077</v>
      </c>
      <c r="E166" s="52" t="s">
        <v>1188</v>
      </c>
      <c r="F166" s="53">
        <v>6.4516129032258063E-2</v>
      </c>
    </row>
    <row r="167" spans="2:6" ht="18" x14ac:dyDescent="0.35">
      <c r="B167" s="54" t="s">
        <v>1181</v>
      </c>
      <c r="C167" s="53">
        <v>3.0769230769230771E-2</v>
      </c>
      <c r="E167" s="52" t="s">
        <v>1191</v>
      </c>
      <c r="F167" s="53">
        <v>3.2258064516129031E-2</v>
      </c>
    </row>
    <row r="168" spans="2:6" ht="18" x14ac:dyDescent="0.35">
      <c r="B168" s="54" t="s">
        <v>1183</v>
      </c>
      <c r="C168" s="53">
        <v>3.0769230769230771E-2</v>
      </c>
      <c r="E168" s="52" t="s">
        <v>1185</v>
      </c>
      <c r="F168" s="53">
        <v>3.2258064516129031E-2</v>
      </c>
    </row>
    <row r="169" spans="2:6" ht="18" x14ac:dyDescent="0.35">
      <c r="B169" s="54" t="s">
        <v>1184</v>
      </c>
      <c r="C169" s="53">
        <v>1.5384615384615385E-2</v>
      </c>
      <c r="E169" s="52" t="s">
        <v>1190</v>
      </c>
      <c r="F169" s="53">
        <v>3.2258064516129031E-2</v>
      </c>
    </row>
    <row r="170" spans="2:6" x14ac:dyDescent="0.25">
      <c r="E170" s="52" t="s">
        <v>1192</v>
      </c>
      <c r="F170" s="53">
        <v>3.2258064516129031E-2</v>
      </c>
    </row>
    <row r="173" spans="2:6" ht="18" x14ac:dyDescent="0.35">
      <c r="B173" s="28" t="s">
        <v>1151</v>
      </c>
    </row>
    <row r="174" spans="2:6" ht="18" x14ac:dyDescent="0.35">
      <c r="B174" s="28" t="s">
        <v>1164</v>
      </c>
      <c r="C174" s="29">
        <v>0.28865979381443296</v>
      </c>
    </row>
    <row r="175" spans="2:6" ht="18" x14ac:dyDescent="0.35">
      <c r="B175" s="28" t="s">
        <v>1088</v>
      </c>
      <c r="C175" s="29">
        <v>0.69072164948453607</v>
      </c>
    </row>
    <row r="176" spans="2:6" ht="18" x14ac:dyDescent="0.35">
      <c r="B176" s="28" t="s">
        <v>1035</v>
      </c>
      <c r="C176" s="29">
        <v>2.0618556701030927E-2</v>
      </c>
    </row>
    <row r="178" spans="2:7" ht="18" x14ac:dyDescent="0.35">
      <c r="B178" s="28" t="s">
        <v>1152</v>
      </c>
      <c r="C178" s="28" t="s">
        <v>1152</v>
      </c>
      <c r="D178" s="28" t="s">
        <v>1152</v>
      </c>
      <c r="E178" t="s">
        <v>1175</v>
      </c>
      <c r="F178">
        <v>15</v>
      </c>
      <c r="G178" s="8">
        <f>F178/$F$183</f>
        <v>0.5357142857142857</v>
      </c>
    </row>
    <row r="179" spans="2:7" x14ac:dyDescent="0.25">
      <c r="B179" s="42" t="s">
        <v>459</v>
      </c>
      <c r="C179" s="43">
        <v>1</v>
      </c>
      <c r="D179" s="41" t="s">
        <v>1174</v>
      </c>
      <c r="E179" t="s">
        <v>1177</v>
      </c>
      <c r="F179">
        <v>6</v>
      </c>
      <c r="G179" s="8">
        <f t="shared" ref="G179:G182" si="3">F179/$F$183</f>
        <v>0.21428571428571427</v>
      </c>
    </row>
    <row r="180" spans="2:7" x14ac:dyDescent="0.25">
      <c r="B180" s="44" t="s">
        <v>1054</v>
      </c>
      <c r="C180" s="45">
        <v>1</v>
      </c>
      <c r="D180" s="46" t="s">
        <v>1173</v>
      </c>
      <c r="E180" t="s">
        <v>1173</v>
      </c>
      <c r="F180">
        <v>4</v>
      </c>
      <c r="G180" s="8">
        <f t="shared" si="3"/>
        <v>0.14285714285714285</v>
      </c>
    </row>
    <row r="181" spans="2:7" x14ac:dyDescent="0.25">
      <c r="B181" s="47" t="s">
        <v>355</v>
      </c>
      <c r="C181" s="48">
        <v>1</v>
      </c>
      <c r="D181" s="49" t="s">
        <v>1177</v>
      </c>
      <c r="E181" t="s">
        <v>1174</v>
      </c>
      <c r="F181">
        <v>2</v>
      </c>
      <c r="G181" s="8">
        <f t="shared" si="3"/>
        <v>7.1428571428571425E-2</v>
      </c>
    </row>
    <row r="182" spans="2:7" x14ac:dyDescent="0.25">
      <c r="B182" s="37" t="s">
        <v>529</v>
      </c>
      <c r="C182" s="38">
        <v>4</v>
      </c>
      <c r="D182" s="40" t="s">
        <v>1175</v>
      </c>
      <c r="E182" t="s">
        <v>1176</v>
      </c>
      <c r="F182">
        <v>1</v>
      </c>
      <c r="G182" s="8">
        <f t="shared" si="3"/>
        <v>3.5714285714285712E-2</v>
      </c>
    </row>
    <row r="183" spans="2:7" x14ac:dyDescent="0.25">
      <c r="B183" s="37" t="s">
        <v>871</v>
      </c>
      <c r="C183" s="38">
        <v>1</v>
      </c>
      <c r="D183" s="40" t="s">
        <v>1175</v>
      </c>
      <c r="F183">
        <f>SUM(F178:F182)</f>
        <v>28</v>
      </c>
    </row>
    <row r="184" spans="2:7" x14ac:dyDescent="0.25">
      <c r="B184" s="37" t="s">
        <v>930</v>
      </c>
      <c r="C184" s="38">
        <v>8</v>
      </c>
      <c r="D184" s="40" t="s">
        <v>1175</v>
      </c>
    </row>
    <row r="185" spans="2:7" x14ac:dyDescent="0.25">
      <c r="B185" s="44" t="s">
        <v>840</v>
      </c>
      <c r="C185" s="45">
        <v>1</v>
      </c>
      <c r="D185" s="46" t="s">
        <v>1173</v>
      </c>
    </row>
    <row r="186" spans="2:7" x14ac:dyDescent="0.25">
      <c r="B186" s="42" t="s">
        <v>898</v>
      </c>
      <c r="C186" s="43">
        <v>1</v>
      </c>
      <c r="D186" s="41" t="s">
        <v>1174</v>
      </c>
    </row>
    <row r="187" spans="2:7" x14ac:dyDescent="0.25">
      <c r="B187" s="37" t="s">
        <v>407</v>
      </c>
      <c r="C187" s="38">
        <v>1</v>
      </c>
      <c r="D187" s="40" t="s">
        <v>1175</v>
      </c>
    </row>
    <row r="188" spans="2:7" x14ac:dyDescent="0.25">
      <c r="B188" s="47" t="s">
        <v>552</v>
      </c>
      <c r="C188" s="48">
        <v>1</v>
      </c>
      <c r="D188" s="49" t="s">
        <v>1177</v>
      </c>
    </row>
    <row r="189" spans="2:7" x14ac:dyDescent="0.25">
      <c r="B189" s="47" t="s">
        <v>729</v>
      </c>
      <c r="C189" s="48">
        <v>1</v>
      </c>
      <c r="D189" s="49" t="s">
        <v>1177</v>
      </c>
    </row>
    <row r="190" spans="2:7" x14ac:dyDescent="0.25">
      <c r="B190" s="4" t="s">
        <v>348</v>
      </c>
      <c r="C190" s="10">
        <v>1</v>
      </c>
      <c r="D190" s="39" t="s">
        <v>1176</v>
      </c>
    </row>
    <row r="191" spans="2:7" x14ac:dyDescent="0.25">
      <c r="B191" s="47" t="s">
        <v>654</v>
      </c>
      <c r="C191" s="48">
        <v>1</v>
      </c>
      <c r="D191" s="49" t="s">
        <v>1177</v>
      </c>
    </row>
    <row r="192" spans="2:7" x14ac:dyDescent="0.25">
      <c r="B192" s="47" t="s">
        <v>687</v>
      </c>
      <c r="C192" s="48">
        <v>1</v>
      </c>
      <c r="D192" s="49" t="s">
        <v>1177</v>
      </c>
    </row>
    <row r="193" spans="2:7" x14ac:dyDescent="0.25">
      <c r="B193" s="37" t="s">
        <v>302</v>
      </c>
      <c r="C193" s="38">
        <v>1</v>
      </c>
      <c r="D193" s="40" t="s">
        <v>1175</v>
      </c>
    </row>
    <row r="194" spans="2:7" x14ac:dyDescent="0.25">
      <c r="B194" s="44" t="s">
        <v>1055</v>
      </c>
      <c r="C194" s="45">
        <v>1</v>
      </c>
      <c r="D194" s="46" t="s">
        <v>1173</v>
      </c>
      <c r="F194" t="s">
        <v>1172</v>
      </c>
    </row>
    <row r="195" spans="2:7" x14ac:dyDescent="0.25">
      <c r="B195" s="44" t="s">
        <v>948</v>
      </c>
      <c r="C195" s="45">
        <v>1</v>
      </c>
      <c r="D195" s="46" t="s">
        <v>1173</v>
      </c>
    </row>
    <row r="196" spans="2:7" x14ac:dyDescent="0.25">
      <c r="B196" s="47" t="s">
        <v>1056</v>
      </c>
      <c r="C196" s="48">
        <v>1</v>
      </c>
      <c r="D196" s="49" t="s">
        <v>1177</v>
      </c>
    </row>
    <row r="197" spans="2:7" x14ac:dyDescent="0.25">
      <c r="C197">
        <f>SUM(C179:C196)</f>
        <v>28</v>
      </c>
    </row>
    <row r="198" spans="2:7" ht="18" x14ac:dyDescent="0.35">
      <c r="B198" s="28" t="s">
        <v>1153</v>
      </c>
      <c r="C198" s="27"/>
    </row>
    <row r="199" spans="2:7" ht="18" x14ac:dyDescent="0.35">
      <c r="B199" s="28" t="s">
        <v>1164</v>
      </c>
      <c r="C199" s="29">
        <v>0.67010309278350511</v>
      </c>
    </row>
    <row r="200" spans="2:7" ht="18" x14ac:dyDescent="0.35">
      <c r="B200" s="28" t="s">
        <v>1088</v>
      </c>
      <c r="C200" s="29">
        <v>0.30927835051546393</v>
      </c>
    </row>
    <row r="201" spans="2:7" ht="18" x14ac:dyDescent="0.35">
      <c r="B201" s="28" t="s">
        <v>1035</v>
      </c>
      <c r="C201" s="29">
        <v>2.0618556701030927E-2</v>
      </c>
    </row>
    <row r="203" spans="2:7" ht="18" x14ac:dyDescent="0.35">
      <c r="B203" s="28" t="s">
        <v>1149</v>
      </c>
      <c r="F203" s="28" t="s">
        <v>1150</v>
      </c>
    </row>
    <row r="204" spans="2:7" x14ac:dyDescent="0.25">
      <c r="B204" s="4" t="s">
        <v>1196</v>
      </c>
      <c r="C204" s="10">
        <v>9</v>
      </c>
      <c r="F204" s="4" t="s">
        <v>1207</v>
      </c>
      <c r="G204" s="10">
        <v>3</v>
      </c>
    </row>
    <row r="205" spans="2:7" x14ac:dyDescent="0.25">
      <c r="B205" s="4" t="s">
        <v>1200</v>
      </c>
      <c r="C205" s="10">
        <v>5</v>
      </c>
      <c r="F205" s="4" t="s">
        <v>1209</v>
      </c>
      <c r="G205" s="10">
        <v>1</v>
      </c>
    </row>
    <row r="206" spans="2:7" x14ac:dyDescent="0.25">
      <c r="B206" s="4" t="s">
        <v>1199</v>
      </c>
      <c r="C206" s="10">
        <v>3</v>
      </c>
      <c r="F206" s="4" t="s">
        <v>1205</v>
      </c>
      <c r="G206" s="10">
        <v>2</v>
      </c>
    </row>
    <row r="207" spans="2:7" x14ac:dyDescent="0.25">
      <c r="B207" s="4" t="s">
        <v>1197</v>
      </c>
      <c r="C207" s="10">
        <v>21</v>
      </c>
      <c r="F207" s="4" t="s">
        <v>1206</v>
      </c>
      <c r="G207" s="10">
        <v>1</v>
      </c>
    </row>
    <row r="208" spans="2:7" x14ac:dyDescent="0.25">
      <c r="B208" s="4" t="s">
        <v>1201</v>
      </c>
      <c r="C208" s="10">
        <v>23</v>
      </c>
      <c r="F208" s="4" t="s">
        <v>1210</v>
      </c>
      <c r="G208" s="10">
        <v>8</v>
      </c>
    </row>
    <row r="209" spans="2:7" x14ac:dyDescent="0.25">
      <c r="B209" s="4" t="s">
        <v>1198</v>
      </c>
      <c r="C209" s="10">
        <v>2</v>
      </c>
      <c r="F209" s="4" t="s">
        <v>1204</v>
      </c>
      <c r="G209" s="10">
        <v>6</v>
      </c>
    </row>
    <row r="210" spans="2:7" x14ac:dyDescent="0.25">
      <c r="B210" s="4" t="s">
        <v>1202</v>
      </c>
      <c r="C210" s="10">
        <v>2</v>
      </c>
      <c r="F210" s="4" t="s">
        <v>1203</v>
      </c>
      <c r="G210" s="10">
        <v>8</v>
      </c>
    </row>
    <row r="211" spans="2:7" x14ac:dyDescent="0.25">
      <c r="C211">
        <f>SUM(C204:C210)</f>
        <v>65</v>
      </c>
      <c r="F211" s="4" t="s">
        <v>1208</v>
      </c>
      <c r="G211" s="10">
        <v>1</v>
      </c>
    </row>
    <row r="212" spans="2:7" x14ac:dyDescent="0.25">
      <c r="G212">
        <f>SUM(G204:G211)</f>
        <v>30</v>
      </c>
    </row>
    <row r="213" spans="2:7" x14ac:dyDescent="0.25">
      <c r="B213" s="4" t="s">
        <v>1201</v>
      </c>
      <c r="C213" s="8">
        <f>C208/$C$211</f>
        <v>0.35384615384615387</v>
      </c>
    </row>
    <row r="214" spans="2:7" x14ac:dyDescent="0.25">
      <c r="B214" s="4" t="s">
        <v>1197</v>
      </c>
      <c r="C214" s="8">
        <f>C207/$C$211</f>
        <v>0.32307692307692309</v>
      </c>
      <c r="F214" s="4" t="s">
        <v>1210</v>
      </c>
      <c r="G214" s="8">
        <f>G208/$G$212</f>
        <v>0.26666666666666666</v>
      </c>
    </row>
    <row r="215" spans="2:7" x14ac:dyDescent="0.25">
      <c r="B215" s="4" t="s">
        <v>1196</v>
      </c>
      <c r="C215" s="8">
        <f>C204/$C$211</f>
        <v>0.13846153846153847</v>
      </c>
      <c r="F215" s="4" t="s">
        <v>1203</v>
      </c>
      <c r="G215" s="8">
        <f>G210/$G$212</f>
        <v>0.26666666666666666</v>
      </c>
    </row>
    <row r="216" spans="2:7" x14ac:dyDescent="0.25">
      <c r="B216" s="4" t="s">
        <v>1200</v>
      </c>
      <c r="C216" s="8">
        <f>C205/$C$211</f>
        <v>7.6923076923076927E-2</v>
      </c>
      <c r="F216" s="4" t="s">
        <v>1204</v>
      </c>
      <c r="G216" s="8">
        <f>G209/$G$212</f>
        <v>0.2</v>
      </c>
    </row>
    <row r="217" spans="2:7" x14ac:dyDescent="0.25">
      <c r="B217" s="4" t="s">
        <v>1199</v>
      </c>
      <c r="C217" s="8">
        <f>C206/$C$211</f>
        <v>4.6153846153846156E-2</v>
      </c>
      <c r="F217" s="4" t="s">
        <v>1207</v>
      </c>
      <c r="G217" s="8">
        <f>G204/$G$212</f>
        <v>0.1</v>
      </c>
    </row>
    <row r="218" spans="2:7" x14ac:dyDescent="0.25">
      <c r="B218" s="4" t="s">
        <v>1198</v>
      </c>
      <c r="C218" s="8">
        <f>C209/$C$211</f>
        <v>3.0769230769230771E-2</v>
      </c>
      <c r="F218" s="4" t="s">
        <v>1205</v>
      </c>
      <c r="G218" s="8">
        <f>G206/$G$212</f>
        <v>6.6666666666666666E-2</v>
      </c>
    </row>
    <row r="219" spans="2:7" x14ac:dyDescent="0.25">
      <c r="B219" s="4" t="s">
        <v>1202</v>
      </c>
      <c r="C219" s="8">
        <f>C210/$C$211</f>
        <v>3.0769230769230771E-2</v>
      </c>
      <c r="F219" s="4" t="s">
        <v>1209</v>
      </c>
      <c r="G219" s="8">
        <f>G205/$G$212</f>
        <v>3.3333333333333333E-2</v>
      </c>
    </row>
    <row r="220" spans="2:7" x14ac:dyDescent="0.25">
      <c r="F220" s="4" t="s">
        <v>1206</v>
      </c>
      <c r="G220" s="8">
        <f>G207/$G$212</f>
        <v>3.3333333333333333E-2</v>
      </c>
    </row>
    <row r="221" spans="2:7" x14ac:dyDescent="0.25">
      <c r="F221" s="4" t="s">
        <v>1208</v>
      </c>
      <c r="G221" s="8">
        <f>G211/$G$212</f>
        <v>3.3333333333333333E-2</v>
      </c>
    </row>
    <row r="226" spans="2:4" x14ac:dyDescent="0.25">
      <c r="B226" t="s">
        <v>1154</v>
      </c>
    </row>
    <row r="227" spans="2:4" x14ac:dyDescent="0.25">
      <c r="B227" s="4" t="s">
        <v>972</v>
      </c>
      <c r="C227" s="10">
        <v>1</v>
      </c>
      <c r="D227" s="8">
        <f>C227/$C$245</f>
        <v>6.024096385542169E-3</v>
      </c>
    </row>
    <row r="228" spans="2:4" x14ac:dyDescent="0.25">
      <c r="B228" s="4" t="s">
        <v>853</v>
      </c>
      <c r="C228" s="10">
        <v>2</v>
      </c>
      <c r="D228" s="8">
        <f t="shared" ref="D228:D244" si="4">C228/$C$245</f>
        <v>1.2048192771084338E-2</v>
      </c>
    </row>
    <row r="229" spans="2:4" x14ac:dyDescent="0.25">
      <c r="B229" s="4" t="s">
        <v>343</v>
      </c>
      <c r="C229" s="10">
        <v>3</v>
      </c>
      <c r="D229" s="8">
        <f t="shared" si="4"/>
        <v>1.8072289156626505E-2</v>
      </c>
    </row>
    <row r="230" spans="2:4" x14ac:dyDescent="0.25">
      <c r="B230" s="4" t="s">
        <v>1074</v>
      </c>
      <c r="C230" s="10">
        <v>3</v>
      </c>
      <c r="D230" s="8">
        <f t="shared" si="4"/>
        <v>1.8072289156626505E-2</v>
      </c>
    </row>
    <row r="231" spans="2:4" x14ac:dyDescent="0.25">
      <c r="B231" s="4" t="s">
        <v>483</v>
      </c>
      <c r="C231" s="10">
        <v>5</v>
      </c>
      <c r="D231" s="8">
        <f t="shared" si="4"/>
        <v>3.0120481927710843E-2</v>
      </c>
    </row>
    <row r="232" spans="2:4" x14ac:dyDescent="0.25">
      <c r="B232" s="4" t="s">
        <v>312</v>
      </c>
      <c r="C232" s="10">
        <v>23</v>
      </c>
      <c r="D232" s="8">
        <f t="shared" si="4"/>
        <v>0.13855421686746988</v>
      </c>
    </row>
    <row r="233" spans="2:4" x14ac:dyDescent="0.25">
      <c r="B233" s="4" t="s">
        <v>232</v>
      </c>
      <c r="C233" s="10">
        <v>56</v>
      </c>
      <c r="D233" s="8">
        <f t="shared" si="4"/>
        <v>0.33734939759036142</v>
      </c>
    </row>
    <row r="234" spans="2:4" x14ac:dyDescent="0.25">
      <c r="B234" s="4" t="s">
        <v>402</v>
      </c>
      <c r="C234" s="10">
        <v>1</v>
      </c>
      <c r="D234" s="8">
        <f t="shared" si="4"/>
        <v>6.024096385542169E-3</v>
      </c>
    </row>
    <row r="235" spans="2:4" x14ac:dyDescent="0.25">
      <c r="B235" s="4" t="s">
        <v>202</v>
      </c>
      <c r="C235" s="10">
        <v>22</v>
      </c>
      <c r="D235" s="8">
        <f t="shared" si="4"/>
        <v>0.13253012048192772</v>
      </c>
    </row>
    <row r="236" spans="2:4" x14ac:dyDescent="0.25">
      <c r="B236" s="4" t="s">
        <v>941</v>
      </c>
      <c r="C236" s="10">
        <v>4</v>
      </c>
      <c r="D236" s="8">
        <f t="shared" si="4"/>
        <v>2.4096385542168676E-2</v>
      </c>
    </row>
    <row r="237" spans="2:4" x14ac:dyDescent="0.25">
      <c r="B237" s="4" t="s">
        <v>790</v>
      </c>
      <c r="C237" s="10">
        <v>1</v>
      </c>
      <c r="D237" s="8">
        <f t="shared" si="4"/>
        <v>6.024096385542169E-3</v>
      </c>
    </row>
    <row r="238" spans="2:4" x14ac:dyDescent="0.25">
      <c r="B238" s="4" t="s">
        <v>254</v>
      </c>
      <c r="C238" s="10">
        <v>1</v>
      </c>
      <c r="D238" s="8">
        <f t="shared" si="4"/>
        <v>6.024096385542169E-3</v>
      </c>
    </row>
    <row r="239" spans="2:4" x14ac:dyDescent="0.25">
      <c r="B239" s="4" t="s">
        <v>373</v>
      </c>
      <c r="C239" s="10">
        <v>18</v>
      </c>
      <c r="D239" s="8">
        <f t="shared" si="4"/>
        <v>0.10843373493975904</v>
      </c>
    </row>
    <row r="240" spans="2:4" x14ac:dyDescent="0.25">
      <c r="B240" s="4" t="s">
        <v>1073</v>
      </c>
      <c r="C240" s="10">
        <v>4</v>
      </c>
      <c r="D240" s="8">
        <f t="shared" si="4"/>
        <v>2.4096385542168676E-2</v>
      </c>
    </row>
    <row r="241" spans="2:4" x14ac:dyDescent="0.25">
      <c r="B241" s="4" t="s">
        <v>409</v>
      </c>
      <c r="C241" s="10">
        <v>9</v>
      </c>
      <c r="D241" s="8">
        <f t="shared" si="4"/>
        <v>5.4216867469879519E-2</v>
      </c>
    </row>
    <row r="242" spans="2:4" x14ac:dyDescent="0.25">
      <c r="B242" s="4" t="s">
        <v>770</v>
      </c>
      <c r="C242" s="10">
        <v>2</v>
      </c>
      <c r="D242" s="8">
        <f t="shared" si="4"/>
        <v>1.2048192771084338E-2</v>
      </c>
    </row>
    <row r="243" spans="2:4" x14ac:dyDescent="0.25">
      <c r="B243" s="4" t="s">
        <v>1072</v>
      </c>
      <c r="C243" s="10">
        <v>6</v>
      </c>
      <c r="D243" s="8">
        <f t="shared" si="4"/>
        <v>3.614457831325301E-2</v>
      </c>
    </row>
    <row r="244" spans="2:4" x14ac:dyDescent="0.25">
      <c r="B244" s="4" t="s">
        <v>378</v>
      </c>
      <c r="C244" s="10">
        <v>5</v>
      </c>
      <c r="D244" s="8">
        <f t="shared" si="4"/>
        <v>3.0120481927710843E-2</v>
      </c>
    </row>
    <row r="245" spans="2:4" x14ac:dyDescent="0.25">
      <c r="C245" s="55">
        <f>SUM(C227:C244)</f>
        <v>166</v>
      </c>
    </row>
  </sheetData>
  <mergeCells count="62">
    <mergeCell ref="N121:N122"/>
    <mergeCell ref="N123:N124"/>
    <mergeCell ref="N125:N126"/>
    <mergeCell ref="N127:N128"/>
    <mergeCell ref="N129:N130"/>
    <mergeCell ref="N111:N112"/>
    <mergeCell ref="N113:N114"/>
    <mergeCell ref="N115:N116"/>
    <mergeCell ref="N117:N118"/>
    <mergeCell ref="N119:N120"/>
    <mergeCell ref="K85:K86"/>
    <mergeCell ref="P109:Q109"/>
    <mergeCell ref="R109:S109"/>
    <mergeCell ref="T109:X109"/>
    <mergeCell ref="K75:K76"/>
    <mergeCell ref="K77:K78"/>
    <mergeCell ref="K79:K80"/>
    <mergeCell ref="K81:K82"/>
    <mergeCell ref="K83:K84"/>
    <mergeCell ref="K65:K66"/>
    <mergeCell ref="K67:K68"/>
    <mergeCell ref="K69:K70"/>
    <mergeCell ref="K71:K72"/>
    <mergeCell ref="K73:K74"/>
    <mergeCell ref="K55:K56"/>
    <mergeCell ref="K57:K58"/>
    <mergeCell ref="K59:K60"/>
    <mergeCell ref="K61:K62"/>
    <mergeCell ref="K63:K64"/>
    <mergeCell ref="B129:B130"/>
    <mergeCell ref="B117:B118"/>
    <mergeCell ref="B111:B112"/>
    <mergeCell ref="B121:B122"/>
    <mergeCell ref="B119:B120"/>
    <mergeCell ref="B127:B128"/>
    <mergeCell ref="D109:E109"/>
    <mergeCell ref="F109:G109"/>
    <mergeCell ref="H109:L109"/>
    <mergeCell ref="B125:B126"/>
    <mergeCell ref="B123:B124"/>
    <mergeCell ref="B113:B114"/>
    <mergeCell ref="B115:B116"/>
    <mergeCell ref="B83:B84"/>
    <mergeCell ref="B87:B88"/>
    <mergeCell ref="B73:B74"/>
    <mergeCell ref="B81:B82"/>
    <mergeCell ref="B85:B86"/>
    <mergeCell ref="B69:B70"/>
    <mergeCell ref="B71:B72"/>
    <mergeCell ref="B75:B76"/>
    <mergeCell ref="B77:B78"/>
    <mergeCell ref="B79:B80"/>
    <mergeCell ref="B59:B60"/>
    <mergeCell ref="B61:B62"/>
    <mergeCell ref="B63:B64"/>
    <mergeCell ref="B65:B66"/>
    <mergeCell ref="B67:B68"/>
    <mergeCell ref="B22:B23"/>
    <mergeCell ref="B20:B21"/>
    <mergeCell ref="B18:B19"/>
    <mergeCell ref="B55:B56"/>
    <mergeCell ref="B57:B5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O38" sqref="O38"/>
    </sheetView>
  </sheetViews>
  <sheetFormatPr baseColWidth="10" defaultRowHeight="15" x14ac:dyDescent="0.25"/>
  <cols>
    <col min="1" max="1" width="72.140625" bestFit="1" customWidth="1"/>
    <col min="3" max="3" width="50.140625" customWidth="1"/>
    <col min="4" max="4" width="52.85546875" bestFit="1" customWidth="1"/>
    <col min="6" max="6" width="42.7109375" bestFit="1" customWidth="1"/>
  </cols>
  <sheetData>
    <row r="1" spans="1:6" x14ac:dyDescent="0.25">
      <c r="A1" s="50" t="s">
        <v>1146</v>
      </c>
      <c r="B1" s="50" t="s">
        <v>1211</v>
      </c>
      <c r="C1" s="50" t="s">
        <v>1193</v>
      </c>
      <c r="D1" s="50" t="s">
        <v>1148</v>
      </c>
      <c r="E1" s="50" t="s">
        <v>1212</v>
      </c>
      <c r="F1" s="50" t="s">
        <v>1194</v>
      </c>
    </row>
    <row r="2" spans="1:6" x14ac:dyDescent="0.25">
      <c r="A2" s="4" t="s">
        <v>1053</v>
      </c>
      <c r="B2" s="10">
        <v>1</v>
      </c>
      <c r="C2" t="s">
        <v>1178</v>
      </c>
      <c r="D2" s="4" t="s">
        <v>955</v>
      </c>
      <c r="E2" s="10">
        <v>1</v>
      </c>
      <c r="F2" t="s">
        <v>1185</v>
      </c>
    </row>
    <row r="3" spans="1:6" x14ac:dyDescent="0.25">
      <c r="A3" s="4" t="s">
        <v>810</v>
      </c>
      <c r="B3" s="10">
        <v>1</v>
      </c>
      <c r="C3" t="s">
        <v>1179</v>
      </c>
      <c r="D3" s="4" t="s">
        <v>825</v>
      </c>
      <c r="E3" s="10">
        <v>1</v>
      </c>
      <c r="F3" t="s">
        <v>1186</v>
      </c>
    </row>
    <row r="4" spans="1:6" x14ac:dyDescent="0.25">
      <c r="A4" s="4" t="s">
        <v>966</v>
      </c>
      <c r="B4" s="10">
        <v>1</v>
      </c>
      <c r="C4" t="s">
        <v>1180</v>
      </c>
      <c r="D4" s="4" t="s">
        <v>707</v>
      </c>
      <c r="E4" s="10">
        <v>1</v>
      </c>
      <c r="F4" t="s">
        <v>1187</v>
      </c>
    </row>
    <row r="5" spans="1:6" x14ac:dyDescent="0.25">
      <c r="A5" s="4" t="s">
        <v>789</v>
      </c>
      <c r="B5" s="10">
        <v>1</v>
      </c>
      <c r="C5" t="s">
        <v>1178</v>
      </c>
      <c r="D5" s="4" t="s">
        <v>723</v>
      </c>
      <c r="E5" s="10">
        <v>1</v>
      </c>
      <c r="F5" t="s">
        <v>1187</v>
      </c>
    </row>
    <row r="6" spans="1:6" x14ac:dyDescent="0.25">
      <c r="A6" s="4" t="s">
        <v>1045</v>
      </c>
      <c r="B6" s="10">
        <v>1</v>
      </c>
      <c r="C6" t="s">
        <v>1180</v>
      </c>
      <c r="D6" s="4" t="s">
        <v>805</v>
      </c>
      <c r="E6" s="10">
        <v>1</v>
      </c>
      <c r="F6" t="s">
        <v>1188</v>
      </c>
    </row>
    <row r="7" spans="1:6" x14ac:dyDescent="0.25">
      <c r="A7" s="4" t="s">
        <v>897</v>
      </c>
      <c r="B7" s="10">
        <v>1</v>
      </c>
      <c r="C7" t="s">
        <v>1181</v>
      </c>
      <c r="D7" s="4" t="s">
        <v>686</v>
      </c>
      <c r="E7" s="10">
        <v>1</v>
      </c>
      <c r="F7" t="s">
        <v>1189</v>
      </c>
    </row>
    <row r="8" spans="1:6" x14ac:dyDescent="0.25">
      <c r="A8" s="4" t="s">
        <v>482</v>
      </c>
      <c r="B8" s="10">
        <v>2</v>
      </c>
      <c r="C8" t="s">
        <v>1179</v>
      </c>
      <c r="D8" s="4" t="s">
        <v>991</v>
      </c>
      <c r="E8" s="10">
        <v>1</v>
      </c>
      <c r="F8" t="s">
        <v>1189</v>
      </c>
    </row>
    <row r="9" spans="1:6" x14ac:dyDescent="0.25">
      <c r="A9" s="4" t="s">
        <v>601</v>
      </c>
      <c r="B9" s="10">
        <v>1</v>
      </c>
      <c r="C9" t="s">
        <v>1180</v>
      </c>
      <c r="D9" s="4" t="s">
        <v>882</v>
      </c>
      <c r="E9" s="10">
        <v>2</v>
      </c>
      <c r="F9" t="s">
        <v>1187</v>
      </c>
    </row>
    <row r="10" spans="1:6" x14ac:dyDescent="0.25">
      <c r="A10" s="4" t="s">
        <v>439</v>
      </c>
      <c r="B10" s="10">
        <v>1</v>
      </c>
      <c r="C10" t="s">
        <v>1179</v>
      </c>
      <c r="D10" s="4" t="s">
        <v>1052</v>
      </c>
      <c r="E10" s="10">
        <v>1</v>
      </c>
      <c r="F10" t="s">
        <v>1190</v>
      </c>
    </row>
    <row r="11" spans="1:6" x14ac:dyDescent="0.25">
      <c r="A11" s="4" t="s">
        <v>588</v>
      </c>
      <c r="B11" s="10">
        <v>3</v>
      </c>
      <c r="C11" t="s">
        <v>1179</v>
      </c>
      <c r="D11" s="4" t="s">
        <v>839</v>
      </c>
      <c r="E11" s="10">
        <v>1</v>
      </c>
      <c r="F11" t="s">
        <v>1189</v>
      </c>
    </row>
    <row r="12" spans="1:6" x14ac:dyDescent="0.25">
      <c r="A12" s="4" t="s">
        <v>1049</v>
      </c>
      <c r="B12" s="10">
        <v>1</v>
      </c>
      <c r="C12" t="s">
        <v>1179</v>
      </c>
      <c r="D12" s="4" t="s">
        <v>935</v>
      </c>
      <c r="E12" s="10">
        <v>1</v>
      </c>
      <c r="F12" t="s">
        <v>1191</v>
      </c>
    </row>
    <row r="13" spans="1:6" x14ac:dyDescent="0.25">
      <c r="A13" s="4" t="s">
        <v>1047</v>
      </c>
      <c r="B13" s="10">
        <v>1</v>
      </c>
      <c r="C13" t="s">
        <v>1179</v>
      </c>
      <c r="D13" s="4" t="s">
        <v>734</v>
      </c>
      <c r="E13" s="10">
        <v>1</v>
      </c>
      <c r="F13" t="s">
        <v>1186</v>
      </c>
    </row>
    <row r="14" spans="1:6" x14ac:dyDescent="0.25">
      <c r="A14" s="4" t="s">
        <v>699</v>
      </c>
      <c r="B14" s="10">
        <v>1</v>
      </c>
      <c r="C14" t="s">
        <v>1179</v>
      </c>
      <c r="D14" s="4" t="s">
        <v>1044</v>
      </c>
      <c r="E14" s="10">
        <v>1</v>
      </c>
      <c r="F14" t="s">
        <v>1186</v>
      </c>
    </row>
    <row r="15" spans="1:6" x14ac:dyDescent="0.25">
      <c r="A15" s="4" t="s">
        <v>458</v>
      </c>
      <c r="B15" s="10">
        <v>1</v>
      </c>
      <c r="C15" t="s">
        <v>1179</v>
      </c>
      <c r="D15" s="4" t="s">
        <v>677</v>
      </c>
      <c r="E15" s="10">
        <v>1</v>
      </c>
      <c r="F15" t="s">
        <v>1189</v>
      </c>
    </row>
    <row r="16" spans="1:6" x14ac:dyDescent="0.25">
      <c r="A16" s="4" t="s">
        <v>406</v>
      </c>
      <c r="B16" s="10">
        <v>1</v>
      </c>
      <c r="C16" t="s">
        <v>1182</v>
      </c>
      <c r="D16" s="4" t="s">
        <v>857</v>
      </c>
      <c r="E16" s="10">
        <v>1</v>
      </c>
      <c r="F16" t="s">
        <v>1186</v>
      </c>
    </row>
    <row r="17" spans="1:6" x14ac:dyDescent="0.25">
      <c r="A17" s="4" t="s">
        <v>594</v>
      </c>
      <c r="B17" s="10">
        <v>1</v>
      </c>
      <c r="C17" t="s">
        <v>1178</v>
      </c>
      <c r="D17" s="4" t="s">
        <v>877</v>
      </c>
      <c r="E17" s="10">
        <v>1</v>
      </c>
      <c r="F17" t="s">
        <v>1187</v>
      </c>
    </row>
    <row r="18" spans="1:6" x14ac:dyDescent="0.25">
      <c r="A18" s="4" t="s">
        <v>738</v>
      </c>
      <c r="B18" s="10">
        <v>1</v>
      </c>
      <c r="C18" t="s">
        <v>1180</v>
      </c>
      <c r="D18" s="4" t="s">
        <v>1026</v>
      </c>
      <c r="E18" s="10">
        <v>1</v>
      </c>
      <c r="F18" t="s">
        <v>1187</v>
      </c>
    </row>
    <row r="19" spans="1:6" x14ac:dyDescent="0.25">
      <c r="A19" s="4" t="s">
        <v>739</v>
      </c>
      <c r="B19" s="10">
        <v>1</v>
      </c>
      <c r="C19" t="s">
        <v>1183</v>
      </c>
      <c r="D19" s="4" t="s">
        <v>579</v>
      </c>
      <c r="E19" s="10">
        <v>1</v>
      </c>
      <c r="F19" t="s">
        <v>1187</v>
      </c>
    </row>
    <row r="20" spans="1:6" x14ac:dyDescent="0.25">
      <c r="A20" s="4" t="s">
        <v>713</v>
      </c>
      <c r="B20" s="10">
        <v>1</v>
      </c>
      <c r="C20" t="s">
        <v>1180</v>
      </c>
      <c r="D20" s="4" t="s">
        <v>1035</v>
      </c>
      <c r="E20" s="10">
        <v>1</v>
      </c>
      <c r="F20" t="s">
        <v>1189</v>
      </c>
    </row>
    <row r="21" spans="1:6" x14ac:dyDescent="0.25">
      <c r="A21" s="4" t="s">
        <v>1068</v>
      </c>
      <c r="B21" s="10">
        <v>1</v>
      </c>
      <c r="C21" t="s">
        <v>1181</v>
      </c>
      <c r="D21" s="4" t="s">
        <v>384</v>
      </c>
      <c r="E21" s="10">
        <v>1</v>
      </c>
      <c r="F21" t="s">
        <v>1192</v>
      </c>
    </row>
    <row r="22" spans="1:6" x14ac:dyDescent="0.25">
      <c r="A22" s="4" t="s">
        <v>754</v>
      </c>
      <c r="B22" s="10">
        <v>1</v>
      </c>
      <c r="C22" t="s">
        <v>1179</v>
      </c>
      <c r="D22" s="4" t="s">
        <v>1046</v>
      </c>
      <c r="E22" s="10">
        <v>1</v>
      </c>
      <c r="F22" t="s">
        <v>1189</v>
      </c>
    </row>
    <row r="23" spans="1:6" x14ac:dyDescent="0.25">
      <c r="A23" s="4" t="s">
        <v>468</v>
      </c>
      <c r="B23" s="10">
        <v>1</v>
      </c>
      <c r="C23" t="s">
        <v>1180</v>
      </c>
      <c r="D23" s="4" t="s">
        <v>915</v>
      </c>
      <c r="E23" s="10">
        <v>1</v>
      </c>
      <c r="F23" t="s">
        <v>1186</v>
      </c>
    </row>
    <row r="24" spans="1:6" x14ac:dyDescent="0.25">
      <c r="A24" s="4" t="s">
        <v>988</v>
      </c>
      <c r="B24" s="10">
        <v>1</v>
      </c>
      <c r="C24" t="s">
        <v>1179</v>
      </c>
      <c r="D24" s="4" t="s">
        <v>870</v>
      </c>
      <c r="E24" s="10">
        <v>1</v>
      </c>
      <c r="F24" t="s">
        <v>1187</v>
      </c>
    </row>
    <row r="25" spans="1:6" x14ac:dyDescent="0.25">
      <c r="A25" s="4" t="s">
        <v>939</v>
      </c>
      <c r="B25" s="10">
        <v>1</v>
      </c>
      <c r="C25" t="s">
        <v>1179</v>
      </c>
      <c r="D25" s="4" t="s">
        <v>493</v>
      </c>
      <c r="E25" s="10">
        <v>1</v>
      </c>
      <c r="F25" t="s">
        <v>1188</v>
      </c>
    </row>
    <row r="26" spans="1:6" x14ac:dyDescent="0.25">
      <c r="A26" s="4" t="s">
        <v>835</v>
      </c>
      <c r="B26" s="10">
        <v>1</v>
      </c>
      <c r="C26" t="s">
        <v>1180</v>
      </c>
      <c r="D26" s="4" t="s">
        <v>1051</v>
      </c>
      <c r="E26" s="10">
        <v>1</v>
      </c>
      <c r="F26" t="s">
        <v>1187</v>
      </c>
    </row>
    <row r="27" spans="1:6" x14ac:dyDescent="0.25">
      <c r="A27" s="4" t="s">
        <v>1050</v>
      </c>
      <c r="B27" s="10">
        <v>1</v>
      </c>
      <c r="C27" t="s">
        <v>1180</v>
      </c>
      <c r="D27" s="4" t="s">
        <v>1006</v>
      </c>
      <c r="E27" s="10">
        <v>1</v>
      </c>
      <c r="F27" t="s">
        <v>1187</v>
      </c>
    </row>
    <row r="28" spans="1:6" x14ac:dyDescent="0.25">
      <c r="A28" s="4" t="s">
        <v>1009</v>
      </c>
      <c r="B28" s="10">
        <v>1</v>
      </c>
      <c r="C28" t="s">
        <v>1180</v>
      </c>
      <c r="D28" s="4" t="s">
        <v>960</v>
      </c>
      <c r="E28" s="10">
        <v>1</v>
      </c>
      <c r="F28" t="s">
        <v>1187</v>
      </c>
    </row>
    <row r="29" spans="1:6" x14ac:dyDescent="0.25">
      <c r="A29" s="4" t="s">
        <v>371</v>
      </c>
      <c r="B29" s="10">
        <v>1</v>
      </c>
      <c r="C29" t="s">
        <v>1179</v>
      </c>
      <c r="D29" s="4" t="s">
        <v>782</v>
      </c>
      <c r="E29" s="10">
        <v>1</v>
      </c>
      <c r="F29" t="s">
        <v>1187</v>
      </c>
    </row>
    <row r="30" spans="1:6" x14ac:dyDescent="0.25">
      <c r="A30" s="4" t="s">
        <v>475</v>
      </c>
      <c r="B30" s="10">
        <v>2</v>
      </c>
      <c r="C30" t="s">
        <v>1179</v>
      </c>
      <c r="D30" s="4" t="s">
        <v>1001</v>
      </c>
      <c r="E30" s="10">
        <v>1</v>
      </c>
      <c r="F30" t="s">
        <v>1187</v>
      </c>
    </row>
    <row r="31" spans="1:6" x14ac:dyDescent="0.25">
      <c r="A31" s="4" t="s">
        <v>240</v>
      </c>
      <c r="B31" s="10">
        <v>2</v>
      </c>
      <c r="C31" t="s">
        <v>1180</v>
      </c>
      <c r="D31" s="4" t="s">
        <v>436</v>
      </c>
      <c r="E31" s="10">
        <v>1</v>
      </c>
      <c r="F31" t="s">
        <v>1186</v>
      </c>
    </row>
    <row r="32" spans="1:6" x14ac:dyDescent="0.25">
      <c r="A32" s="4" t="s">
        <v>290</v>
      </c>
      <c r="B32" s="10">
        <v>1</v>
      </c>
      <c r="C32" t="s">
        <v>1180</v>
      </c>
      <c r="E32">
        <f>SUM(E2:E31)</f>
        <v>31</v>
      </c>
    </row>
    <row r="33" spans="1:3" x14ac:dyDescent="0.25">
      <c r="A33" s="4" t="s">
        <v>667</v>
      </c>
      <c r="B33" s="10">
        <v>1</v>
      </c>
      <c r="C33" t="s">
        <v>1180</v>
      </c>
    </row>
    <row r="34" spans="1:3" x14ac:dyDescent="0.25">
      <c r="A34" s="4" t="s">
        <v>947</v>
      </c>
      <c r="B34" s="10">
        <v>1</v>
      </c>
      <c r="C34" t="s">
        <v>1178</v>
      </c>
    </row>
    <row r="35" spans="1:3" x14ac:dyDescent="0.25">
      <c r="A35" s="4" t="s">
        <v>354</v>
      </c>
      <c r="B35" s="10">
        <v>1</v>
      </c>
      <c r="C35" t="s">
        <v>1179</v>
      </c>
    </row>
    <row r="36" spans="1:3" x14ac:dyDescent="0.25">
      <c r="A36" s="4" t="s">
        <v>528</v>
      </c>
      <c r="B36" s="10">
        <v>1</v>
      </c>
      <c r="C36" t="s">
        <v>1178</v>
      </c>
    </row>
    <row r="37" spans="1:3" x14ac:dyDescent="0.25">
      <c r="A37" s="4" t="s">
        <v>929</v>
      </c>
      <c r="B37" s="10">
        <v>1</v>
      </c>
      <c r="C37" t="s">
        <v>1179</v>
      </c>
    </row>
    <row r="38" spans="1:3" x14ac:dyDescent="0.25">
      <c r="A38" s="4" t="s">
        <v>749</v>
      </c>
      <c r="B38" s="10">
        <v>1</v>
      </c>
      <c r="C38" t="s">
        <v>1180</v>
      </c>
    </row>
    <row r="39" spans="1:3" x14ac:dyDescent="0.25">
      <c r="A39" s="4" t="s">
        <v>541</v>
      </c>
      <c r="B39" s="10">
        <v>1</v>
      </c>
      <c r="C39" t="s">
        <v>1179</v>
      </c>
    </row>
    <row r="40" spans="1:3" x14ac:dyDescent="0.25">
      <c r="A40" s="4" t="s">
        <v>559</v>
      </c>
      <c r="B40" s="10">
        <v>1</v>
      </c>
      <c r="C40" t="s">
        <v>1180</v>
      </c>
    </row>
    <row r="41" spans="1:3" x14ac:dyDescent="0.25">
      <c r="A41" s="4" t="s">
        <v>450</v>
      </c>
      <c r="B41" s="10">
        <v>1</v>
      </c>
      <c r="C41" t="s">
        <v>1180</v>
      </c>
    </row>
    <row r="42" spans="1:3" x14ac:dyDescent="0.25">
      <c r="A42" s="4" t="s">
        <v>764</v>
      </c>
      <c r="B42" s="10">
        <v>1</v>
      </c>
      <c r="C42" t="s">
        <v>1178</v>
      </c>
    </row>
    <row r="43" spans="1:3" x14ac:dyDescent="0.25">
      <c r="A43" s="4" t="s">
        <v>728</v>
      </c>
      <c r="B43" s="10">
        <v>1</v>
      </c>
      <c r="C43" t="s">
        <v>1179</v>
      </c>
    </row>
    <row r="44" spans="1:3" x14ac:dyDescent="0.25">
      <c r="A44" s="4" t="s">
        <v>1012</v>
      </c>
      <c r="B44" s="10">
        <v>1</v>
      </c>
      <c r="C44" t="s">
        <v>1180</v>
      </c>
    </row>
    <row r="45" spans="1:3" x14ac:dyDescent="0.25">
      <c r="A45" s="4" t="s">
        <v>568</v>
      </c>
      <c r="B45" s="10">
        <v>1</v>
      </c>
      <c r="C45" t="s">
        <v>1182</v>
      </c>
    </row>
    <row r="46" spans="1:3" x14ac:dyDescent="0.25">
      <c r="A46" s="4" t="s">
        <v>641</v>
      </c>
      <c r="B46" s="10">
        <v>1</v>
      </c>
      <c r="C46" t="s">
        <v>1184</v>
      </c>
    </row>
    <row r="47" spans="1:3" x14ac:dyDescent="0.25">
      <c r="A47" s="4" t="s">
        <v>395</v>
      </c>
      <c r="B47" s="10">
        <v>1</v>
      </c>
      <c r="C47" t="s">
        <v>1183</v>
      </c>
    </row>
    <row r="48" spans="1:3" x14ac:dyDescent="0.25">
      <c r="A48" s="4" t="s">
        <v>301</v>
      </c>
      <c r="B48" s="10">
        <v>1</v>
      </c>
      <c r="C48" t="s">
        <v>1182</v>
      </c>
    </row>
    <row r="49" spans="1:3" x14ac:dyDescent="0.25">
      <c r="A49" s="4" t="s">
        <v>365</v>
      </c>
      <c r="B49" s="10">
        <v>1</v>
      </c>
      <c r="C49" t="s">
        <v>1178</v>
      </c>
    </row>
    <row r="50" spans="1:3" x14ac:dyDescent="0.25">
      <c r="A50" s="4" t="s">
        <v>846</v>
      </c>
      <c r="B50" s="10">
        <v>1</v>
      </c>
      <c r="C50" t="s">
        <v>1178</v>
      </c>
    </row>
    <row r="51" spans="1:3" x14ac:dyDescent="0.25">
      <c r="A51" s="4" t="s">
        <v>776</v>
      </c>
      <c r="B51" s="10">
        <v>1</v>
      </c>
      <c r="C51" t="s">
        <v>1178</v>
      </c>
    </row>
    <row r="52" spans="1:3" x14ac:dyDescent="0.25">
      <c r="A52" s="4" t="s">
        <v>622</v>
      </c>
      <c r="B52" s="10">
        <v>1</v>
      </c>
      <c r="C52" t="s">
        <v>1178</v>
      </c>
    </row>
    <row r="53" spans="1:3" x14ac:dyDescent="0.25">
      <c r="A53" s="4" t="s">
        <v>1017</v>
      </c>
      <c r="B53" s="10">
        <v>1</v>
      </c>
      <c r="C53" t="s">
        <v>1180</v>
      </c>
    </row>
    <row r="54" spans="1:3" x14ac:dyDescent="0.25">
      <c r="A54" s="4" t="s">
        <v>970</v>
      </c>
      <c r="B54" s="10">
        <v>1</v>
      </c>
      <c r="C54" t="s">
        <v>1182</v>
      </c>
    </row>
    <row r="55" spans="1:3" x14ac:dyDescent="0.25">
      <c r="A55" s="4" t="s">
        <v>347</v>
      </c>
      <c r="B55" s="10">
        <v>1</v>
      </c>
      <c r="C55" t="s">
        <v>1180</v>
      </c>
    </row>
    <row r="56" spans="1:3" x14ac:dyDescent="0.25">
      <c r="A56" s="4" t="s">
        <v>1048</v>
      </c>
      <c r="B56" s="10">
        <v>1</v>
      </c>
      <c r="C56" t="s">
        <v>1182</v>
      </c>
    </row>
    <row r="57" spans="1:3" x14ac:dyDescent="0.25">
      <c r="A57" s="4" t="s">
        <v>653</v>
      </c>
      <c r="B57" s="10">
        <v>1</v>
      </c>
      <c r="C57" t="s">
        <v>1182</v>
      </c>
    </row>
    <row r="58" spans="1:3" x14ac:dyDescent="0.25">
      <c r="A58" s="4" t="s">
        <v>499</v>
      </c>
      <c r="B58" s="10">
        <v>1</v>
      </c>
      <c r="C58" t="s">
        <v>1178</v>
      </c>
    </row>
    <row r="59" spans="1:3" x14ac:dyDescent="0.25">
      <c r="A59" s="4" t="s">
        <v>799</v>
      </c>
      <c r="B59" s="10">
        <v>1</v>
      </c>
      <c r="C59" t="s">
        <v>1178</v>
      </c>
    </row>
    <row r="60" spans="1:3" x14ac:dyDescent="0.25">
      <c r="A60" s="4" t="s">
        <v>551</v>
      </c>
      <c r="B60" s="10">
        <v>1</v>
      </c>
      <c r="C60" t="s">
        <v>1182</v>
      </c>
    </row>
    <row r="61" spans="1:3" x14ac:dyDescent="0.25">
      <c r="A61" s="4" t="s">
        <v>430</v>
      </c>
      <c r="B61" s="10">
        <v>1</v>
      </c>
      <c r="C61" t="s">
        <v>1180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selection activeCell="O38" sqref="O38"/>
    </sheetView>
  </sheetViews>
  <sheetFormatPr baseColWidth="10" defaultRowHeight="15" x14ac:dyDescent="0.25"/>
  <cols>
    <col min="1" max="1" width="65.5703125" bestFit="1" customWidth="1"/>
    <col min="3" max="3" width="34.140625" bestFit="1" customWidth="1"/>
    <col min="4" max="4" width="50.85546875" bestFit="1" customWidth="1"/>
    <col min="6" max="6" width="36.42578125" bestFit="1" customWidth="1"/>
  </cols>
  <sheetData>
    <row r="1" spans="1:6" x14ac:dyDescent="0.25">
      <c r="A1" t="s">
        <v>1146</v>
      </c>
      <c r="B1" t="s">
        <v>1147</v>
      </c>
      <c r="C1" s="50" t="s">
        <v>1193</v>
      </c>
      <c r="D1" t="s">
        <v>1148</v>
      </c>
      <c r="E1" t="s">
        <v>1147</v>
      </c>
      <c r="F1" s="50" t="s">
        <v>1195</v>
      </c>
    </row>
    <row r="2" spans="1:6" x14ac:dyDescent="0.25">
      <c r="A2" s="4" t="s">
        <v>949</v>
      </c>
      <c r="B2" s="10">
        <v>1</v>
      </c>
      <c r="C2" t="s">
        <v>1196</v>
      </c>
      <c r="D2" s="4" t="s">
        <v>385</v>
      </c>
      <c r="E2" s="10">
        <v>1</v>
      </c>
      <c r="F2" t="s">
        <v>1203</v>
      </c>
    </row>
    <row r="3" spans="1:6" x14ac:dyDescent="0.25">
      <c r="A3" s="4" t="s">
        <v>712</v>
      </c>
      <c r="B3" s="10">
        <v>1</v>
      </c>
      <c r="C3" t="s">
        <v>1196</v>
      </c>
      <c r="D3" s="4" t="s">
        <v>580</v>
      </c>
      <c r="E3" s="10">
        <v>1</v>
      </c>
      <c r="F3" t="s">
        <v>1204</v>
      </c>
    </row>
    <row r="4" spans="1:6" x14ac:dyDescent="0.25">
      <c r="A4" s="4" t="s">
        <v>349</v>
      </c>
      <c r="B4" s="10">
        <v>1</v>
      </c>
      <c r="C4" t="s">
        <v>1197</v>
      </c>
      <c r="D4" s="4" t="s">
        <v>1038</v>
      </c>
      <c r="E4" s="10">
        <v>1</v>
      </c>
      <c r="F4" t="s">
        <v>1204</v>
      </c>
    </row>
    <row r="5" spans="1:6" x14ac:dyDescent="0.25">
      <c r="A5" s="4" t="s">
        <v>1070</v>
      </c>
      <c r="B5" s="10">
        <v>1</v>
      </c>
      <c r="C5" t="s">
        <v>1197</v>
      </c>
      <c r="D5" s="4" t="s">
        <v>1041</v>
      </c>
      <c r="E5" s="10">
        <v>1</v>
      </c>
      <c r="F5" t="s">
        <v>1205</v>
      </c>
    </row>
    <row r="6" spans="1:6" x14ac:dyDescent="0.25">
      <c r="A6" s="4" t="s">
        <v>1010</v>
      </c>
      <c r="B6" s="10">
        <v>1</v>
      </c>
      <c r="C6" t="s">
        <v>1196</v>
      </c>
      <c r="D6" s="4" t="s">
        <v>883</v>
      </c>
      <c r="E6" s="10">
        <v>1</v>
      </c>
      <c r="F6" t="s">
        <v>1206</v>
      </c>
    </row>
    <row r="7" spans="1:6" x14ac:dyDescent="0.25">
      <c r="A7" s="4" t="s">
        <v>832</v>
      </c>
      <c r="B7" s="10">
        <v>1</v>
      </c>
      <c r="C7" t="s">
        <v>1197</v>
      </c>
      <c r="D7" s="4" t="s">
        <v>500</v>
      </c>
      <c r="E7" s="10">
        <v>1</v>
      </c>
      <c r="F7" t="s">
        <v>1204</v>
      </c>
    </row>
    <row r="8" spans="1:6" x14ac:dyDescent="0.25">
      <c r="A8" s="4" t="s">
        <v>440</v>
      </c>
      <c r="B8" s="10">
        <v>1</v>
      </c>
      <c r="C8" t="s">
        <v>1198</v>
      </c>
      <c r="D8" s="4" t="s">
        <v>755</v>
      </c>
      <c r="E8" s="10">
        <v>1</v>
      </c>
      <c r="F8" t="s">
        <v>1207</v>
      </c>
    </row>
    <row r="9" spans="1:6" x14ac:dyDescent="0.25">
      <c r="A9" s="4" t="s">
        <v>714</v>
      </c>
      <c r="B9" s="10">
        <v>1</v>
      </c>
      <c r="C9" t="s">
        <v>1196</v>
      </c>
      <c r="D9" s="4" t="s">
        <v>642</v>
      </c>
      <c r="E9" s="10">
        <v>2</v>
      </c>
      <c r="F9" t="s">
        <v>1204</v>
      </c>
    </row>
    <row r="10" spans="1:6" x14ac:dyDescent="0.25">
      <c r="A10" s="4" t="s">
        <v>971</v>
      </c>
      <c r="B10" s="10">
        <v>1</v>
      </c>
      <c r="C10" t="s">
        <v>1198</v>
      </c>
      <c r="D10" s="4" t="s">
        <v>777</v>
      </c>
      <c r="E10" s="10">
        <v>1</v>
      </c>
      <c r="F10" t="s">
        <v>1203</v>
      </c>
    </row>
    <row r="11" spans="1:6" x14ac:dyDescent="0.25">
      <c r="A11" s="4" t="s">
        <v>356</v>
      </c>
      <c r="B11" s="10">
        <v>1</v>
      </c>
      <c r="C11" t="s">
        <v>1196</v>
      </c>
      <c r="D11" s="4" t="s">
        <v>783</v>
      </c>
      <c r="E11" s="10">
        <v>1</v>
      </c>
      <c r="F11" t="s">
        <v>1208</v>
      </c>
    </row>
    <row r="12" spans="1:6" x14ac:dyDescent="0.25">
      <c r="A12" s="4" t="s">
        <v>989</v>
      </c>
      <c r="B12" s="10">
        <v>1</v>
      </c>
      <c r="C12" t="s">
        <v>1199</v>
      </c>
      <c r="D12" s="4" t="s">
        <v>916</v>
      </c>
      <c r="E12" s="10">
        <v>1</v>
      </c>
      <c r="F12" t="s">
        <v>1207</v>
      </c>
    </row>
    <row r="13" spans="1:6" x14ac:dyDescent="0.25">
      <c r="A13" s="4" t="s">
        <v>1042</v>
      </c>
      <c r="B13" s="10">
        <v>1</v>
      </c>
      <c r="C13" t="s">
        <v>1199</v>
      </c>
      <c r="D13" s="4" t="s">
        <v>1044</v>
      </c>
      <c r="E13" s="10">
        <v>1</v>
      </c>
      <c r="F13" t="s">
        <v>1203</v>
      </c>
    </row>
    <row r="14" spans="1:6" x14ac:dyDescent="0.25">
      <c r="A14" s="4" t="s">
        <v>494</v>
      </c>
      <c r="B14" s="10">
        <v>1</v>
      </c>
      <c r="C14" t="s">
        <v>1197</v>
      </c>
      <c r="D14" s="4" t="s">
        <v>940</v>
      </c>
      <c r="E14" s="10">
        <v>1</v>
      </c>
      <c r="F14" t="s">
        <v>1205</v>
      </c>
    </row>
    <row r="15" spans="1:6" x14ac:dyDescent="0.25">
      <c r="A15" s="4" t="s">
        <v>303</v>
      </c>
      <c r="B15" s="10">
        <v>1</v>
      </c>
      <c r="C15" t="s">
        <v>1199</v>
      </c>
      <c r="D15" s="4" t="s">
        <v>678</v>
      </c>
      <c r="E15" s="10">
        <v>1</v>
      </c>
      <c r="F15" t="s">
        <v>1209</v>
      </c>
    </row>
    <row r="16" spans="1:6" x14ac:dyDescent="0.25">
      <c r="A16" s="4" t="s">
        <v>906</v>
      </c>
      <c r="B16" s="10">
        <v>1</v>
      </c>
      <c r="C16" t="s">
        <v>1197</v>
      </c>
      <c r="D16" s="4" t="s">
        <v>826</v>
      </c>
      <c r="E16" s="10">
        <v>1</v>
      </c>
      <c r="F16" t="s">
        <v>1203</v>
      </c>
    </row>
    <row r="17" spans="1:6" x14ac:dyDescent="0.25">
      <c r="A17" s="4" t="s">
        <v>588</v>
      </c>
      <c r="B17" s="10">
        <v>1</v>
      </c>
      <c r="C17" t="s">
        <v>1200</v>
      </c>
      <c r="D17" s="4" t="s">
        <v>806</v>
      </c>
      <c r="E17" s="10">
        <v>1</v>
      </c>
      <c r="F17" t="s">
        <v>1203</v>
      </c>
    </row>
    <row r="18" spans="1:6" x14ac:dyDescent="0.25">
      <c r="A18" s="4" t="s">
        <v>1071</v>
      </c>
      <c r="B18" s="10">
        <v>1</v>
      </c>
      <c r="C18" t="s">
        <v>1197</v>
      </c>
      <c r="D18" s="4" t="s">
        <v>872</v>
      </c>
      <c r="E18" s="10">
        <v>1</v>
      </c>
      <c r="F18" t="s">
        <v>1203</v>
      </c>
    </row>
    <row r="19" spans="1:6" x14ac:dyDescent="0.25">
      <c r="A19" s="4" t="s">
        <v>431</v>
      </c>
      <c r="B19" s="10">
        <v>1</v>
      </c>
      <c r="C19" t="s">
        <v>1200</v>
      </c>
      <c r="D19" s="4" t="s">
        <v>437</v>
      </c>
      <c r="E19" s="10">
        <v>1</v>
      </c>
      <c r="F19" t="s">
        <v>1203</v>
      </c>
    </row>
    <row r="20" spans="1:6" x14ac:dyDescent="0.25">
      <c r="A20" s="4" t="s">
        <v>961</v>
      </c>
      <c r="B20" s="10">
        <v>1</v>
      </c>
      <c r="C20" t="s">
        <v>1197</v>
      </c>
      <c r="D20" s="4" t="s">
        <v>735</v>
      </c>
      <c r="E20" s="10">
        <v>1</v>
      </c>
      <c r="F20" t="s">
        <v>1207</v>
      </c>
    </row>
    <row r="21" spans="1:6" x14ac:dyDescent="0.25">
      <c r="A21" s="4" t="s">
        <v>476</v>
      </c>
      <c r="B21" s="10">
        <v>3</v>
      </c>
      <c r="C21" t="s">
        <v>1197</v>
      </c>
      <c r="D21" s="4" t="s">
        <v>1037</v>
      </c>
      <c r="E21" s="10">
        <v>1</v>
      </c>
      <c r="F21" t="s">
        <v>1210</v>
      </c>
    </row>
    <row r="22" spans="1:6" x14ac:dyDescent="0.25">
      <c r="A22" s="4" t="s">
        <v>469</v>
      </c>
      <c r="B22" s="10">
        <v>1</v>
      </c>
      <c r="C22" t="s">
        <v>1201</v>
      </c>
      <c r="D22" s="4" t="s">
        <v>878</v>
      </c>
      <c r="E22" s="10">
        <v>1</v>
      </c>
      <c r="F22" t="s">
        <v>1210</v>
      </c>
    </row>
    <row r="23" spans="1:6" x14ac:dyDescent="0.25">
      <c r="A23" s="4" t="s">
        <v>847</v>
      </c>
      <c r="B23" s="10">
        <v>1</v>
      </c>
      <c r="C23" t="s">
        <v>1196</v>
      </c>
      <c r="D23" s="4" t="s">
        <v>1069</v>
      </c>
      <c r="E23" s="10">
        <v>1</v>
      </c>
      <c r="F23" t="s">
        <v>1210</v>
      </c>
    </row>
    <row r="24" spans="1:6" x14ac:dyDescent="0.25">
      <c r="A24" s="4" t="s">
        <v>899</v>
      </c>
      <c r="B24" s="10">
        <v>1</v>
      </c>
      <c r="C24" t="s">
        <v>1201</v>
      </c>
      <c r="D24" s="4" t="s">
        <v>708</v>
      </c>
      <c r="E24" s="10">
        <v>1</v>
      </c>
      <c r="F24" t="s">
        <v>1210</v>
      </c>
    </row>
    <row r="25" spans="1:6" x14ac:dyDescent="0.25">
      <c r="A25" s="4" t="s">
        <v>745</v>
      </c>
      <c r="B25" s="10">
        <v>1</v>
      </c>
      <c r="C25" t="s">
        <v>1201</v>
      </c>
      <c r="D25" s="4" t="s">
        <v>724</v>
      </c>
      <c r="E25" s="10">
        <v>1</v>
      </c>
      <c r="F25" t="s">
        <v>1210</v>
      </c>
    </row>
    <row r="26" spans="1:6" x14ac:dyDescent="0.25">
      <c r="A26" s="4" t="s">
        <v>739</v>
      </c>
      <c r="B26" s="10">
        <v>6</v>
      </c>
      <c r="C26" t="s">
        <v>1201</v>
      </c>
      <c r="D26" s="4" t="s">
        <v>408</v>
      </c>
      <c r="E26" s="10">
        <v>1</v>
      </c>
      <c r="F26" t="s">
        <v>1204</v>
      </c>
    </row>
    <row r="27" spans="1:6" x14ac:dyDescent="0.25">
      <c r="A27" s="4" t="s">
        <v>836</v>
      </c>
      <c r="B27" s="10">
        <v>1</v>
      </c>
      <c r="C27" t="s">
        <v>1200</v>
      </c>
      <c r="D27" s="4" t="s">
        <v>688</v>
      </c>
      <c r="E27" s="10">
        <v>1</v>
      </c>
      <c r="F27" t="s">
        <v>1210</v>
      </c>
    </row>
    <row r="28" spans="1:6" x14ac:dyDescent="0.25">
      <c r="A28" s="4" t="s">
        <v>1018</v>
      </c>
      <c r="B28" s="10">
        <v>1</v>
      </c>
      <c r="C28" t="s">
        <v>1201</v>
      </c>
      <c r="D28" s="4" t="s">
        <v>1002</v>
      </c>
      <c r="E28" s="10">
        <v>1</v>
      </c>
      <c r="F28" t="s">
        <v>1210</v>
      </c>
    </row>
    <row r="29" spans="1:6" x14ac:dyDescent="0.25">
      <c r="A29" s="4" t="s">
        <v>372</v>
      </c>
      <c r="B29" s="10">
        <v>1</v>
      </c>
      <c r="C29" t="s">
        <v>1201</v>
      </c>
      <c r="D29" s="4" t="s">
        <v>936</v>
      </c>
      <c r="E29" s="10">
        <v>1</v>
      </c>
      <c r="F29" t="s">
        <v>1210</v>
      </c>
    </row>
    <row r="30" spans="1:6" x14ac:dyDescent="0.25">
      <c r="A30" s="4" t="s">
        <v>560</v>
      </c>
      <c r="B30" s="10">
        <v>1</v>
      </c>
      <c r="C30" t="s">
        <v>1201</v>
      </c>
      <c r="D30" s="4" t="s">
        <v>655</v>
      </c>
      <c r="E30" s="10">
        <v>1</v>
      </c>
      <c r="F30" t="s">
        <v>1203</v>
      </c>
    </row>
    <row r="31" spans="1:6" x14ac:dyDescent="0.25">
      <c r="A31" s="4" t="s">
        <v>858</v>
      </c>
      <c r="B31" s="10">
        <v>1</v>
      </c>
      <c r="C31" t="s">
        <v>1201</v>
      </c>
      <c r="E31">
        <f>SUM(E2:E30)</f>
        <v>30</v>
      </c>
    </row>
    <row r="32" spans="1:6" x14ac:dyDescent="0.25">
      <c r="A32" s="4" t="s">
        <v>240</v>
      </c>
      <c r="B32" s="10">
        <v>1</v>
      </c>
      <c r="C32" t="s">
        <v>1197</v>
      </c>
    </row>
    <row r="33" spans="1:3" x14ac:dyDescent="0.25">
      <c r="A33" s="4" t="s">
        <v>366</v>
      </c>
      <c r="B33" s="10">
        <v>1</v>
      </c>
      <c r="C33" t="s">
        <v>1197</v>
      </c>
    </row>
    <row r="34" spans="1:3" x14ac:dyDescent="0.25">
      <c r="A34" s="4" t="s">
        <v>996</v>
      </c>
      <c r="B34" s="10">
        <v>1</v>
      </c>
      <c r="C34" t="s">
        <v>1201</v>
      </c>
    </row>
    <row r="35" spans="1:3" x14ac:dyDescent="0.25">
      <c r="A35" s="4" t="s">
        <v>243</v>
      </c>
      <c r="B35" s="10">
        <v>1</v>
      </c>
      <c r="C35" t="s">
        <v>1196</v>
      </c>
    </row>
    <row r="36" spans="1:3" x14ac:dyDescent="0.25">
      <c r="A36" s="4" t="s">
        <v>530</v>
      </c>
      <c r="B36" s="10">
        <v>1</v>
      </c>
      <c r="C36" t="s">
        <v>1197</v>
      </c>
    </row>
    <row r="37" spans="1:3" x14ac:dyDescent="0.25">
      <c r="A37" s="4" t="s">
        <v>602</v>
      </c>
      <c r="B37" s="10">
        <v>1</v>
      </c>
      <c r="C37" t="s">
        <v>1201</v>
      </c>
    </row>
    <row r="38" spans="1:3" x14ac:dyDescent="0.25">
      <c r="A38" s="4" t="s">
        <v>811</v>
      </c>
      <c r="B38" s="10">
        <v>1</v>
      </c>
      <c r="C38" t="s">
        <v>1201</v>
      </c>
    </row>
    <row r="39" spans="1:3" x14ac:dyDescent="0.25">
      <c r="A39" s="4" t="s">
        <v>553</v>
      </c>
      <c r="B39" s="10">
        <v>1</v>
      </c>
      <c r="C39" t="s">
        <v>1197</v>
      </c>
    </row>
    <row r="40" spans="1:3" x14ac:dyDescent="0.25">
      <c r="A40" s="4" t="s">
        <v>841</v>
      </c>
      <c r="B40" s="10">
        <v>1</v>
      </c>
      <c r="C40" t="s">
        <v>1200</v>
      </c>
    </row>
    <row r="41" spans="1:3" x14ac:dyDescent="0.25">
      <c r="A41" s="4" t="s">
        <v>730</v>
      </c>
      <c r="B41" s="10">
        <v>1</v>
      </c>
      <c r="C41" t="s">
        <v>1200</v>
      </c>
    </row>
    <row r="42" spans="1:3" x14ac:dyDescent="0.25">
      <c r="A42" s="4" t="s">
        <v>700</v>
      </c>
      <c r="B42" s="10">
        <v>1</v>
      </c>
      <c r="C42" t="s">
        <v>1197</v>
      </c>
    </row>
    <row r="43" spans="1:3" x14ac:dyDescent="0.25">
      <c r="A43" s="4" t="s">
        <v>291</v>
      </c>
      <c r="B43" s="10">
        <v>1</v>
      </c>
      <c r="C43" t="s">
        <v>1197</v>
      </c>
    </row>
    <row r="44" spans="1:3" x14ac:dyDescent="0.25">
      <c r="A44" s="4" t="s">
        <v>569</v>
      </c>
      <c r="B44" s="10">
        <v>1</v>
      </c>
      <c r="C44" t="s">
        <v>1197</v>
      </c>
    </row>
    <row r="45" spans="1:3" x14ac:dyDescent="0.25">
      <c r="A45" s="4" t="s">
        <v>542</v>
      </c>
      <c r="B45" s="10">
        <v>1</v>
      </c>
      <c r="C45" t="s">
        <v>1196</v>
      </c>
    </row>
    <row r="46" spans="1:3" x14ac:dyDescent="0.25">
      <c r="A46" s="4" t="s">
        <v>589</v>
      </c>
      <c r="B46" s="10">
        <v>1</v>
      </c>
      <c r="C46" t="s">
        <v>1201</v>
      </c>
    </row>
    <row r="47" spans="1:3" x14ac:dyDescent="0.25">
      <c r="A47" s="4" t="s">
        <v>800</v>
      </c>
      <c r="B47" s="10">
        <v>1</v>
      </c>
      <c r="C47" t="s">
        <v>1201</v>
      </c>
    </row>
    <row r="48" spans="1:3" x14ac:dyDescent="0.25">
      <c r="A48" s="4" t="s">
        <v>1039</v>
      </c>
      <c r="B48" s="10">
        <v>1</v>
      </c>
      <c r="C48" t="s">
        <v>1197</v>
      </c>
    </row>
    <row r="49" spans="1:3" x14ac:dyDescent="0.25">
      <c r="A49" s="4" t="s">
        <v>765</v>
      </c>
      <c r="B49" s="10">
        <v>1</v>
      </c>
      <c r="C49" t="s">
        <v>1201</v>
      </c>
    </row>
    <row r="50" spans="1:3" x14ac:dyDescent="0.25">
      <c r="A50" s="4" t="s">
        <v>956</v>
      </c>
      <c r="B50" s="10">
        <v>1</v>
      </c>
      <c r="C50" t="s">
        <v>1201</v>
      </c>
    </row>
    <row r="51" spans="1:3" x14ac:dyDescent="0.25">
      <c r="A51" s="4" t="s">
        <v>460</v>
      </c>
      <c r="B51" s="10">
        <v>1</v>
      </c>
      <c r="C51" t="s">
        <v>1196</v>
      </c>
    </row>
    <row r="52" spans="1:3" x14ac:dyDescent="0.25">
      <c r="A52" s="4" t="s">
        <v>750</v>
      </c>
      <c r="B52" s="10">
        <v>1</v>
      </c>
      <c r="C52" t="s">
        <v>1202</v>
      </c>
    </row>
    <row r="53" spans="1:3" x14ac:dyDescent="0.25">
      <c r="A53" s="4" t="s">
        <v>623</v>
      </c>
      <c r="B53" s="10">
        <v>1</v>
      </c>
      <c r="C53" t="s">
        <v>1202</v>
      </c>
    </row>
    <row r="54" spans="1:3" x14ac:dyDescent="0.25">
      <c r="A54" s="4" t="s">
        <v>864</v>
      </c>
      <c r="B54" s="10">
        <v>1</v>
      </c>
      <c r="C54" t="s">
        <v>1201</v>
      </c>
    </row>
    <row r="55" spans="1:3" x14ac:dyDescent="0.25">
      <c r="A55" s="4" t="s">
        <v>1040</v>
      </c>
      <c r="B55" s="10">
        <v>1</v>
      </c>
      <c r="C55" t="s">
        <v>1201</v>
      </c>
    </row>
    <row r="56" spans="1:3" x14ac:dyDescent="0.25">
      <c r="A56" s="4" t="s">
        <v>931</v>
      </c>
      <c r="B56" s="10">
        <v>1</v>
      </c>
      <c r="C56" t="s">
        <v>1197</v>
      </c>
    </row>
    <row r="57" spans="1:3" x14ac:dyDescent="0.25">
      <c r="A57" s="4" t="s">
        <v>668</v>
      </c>
      <c r="B57" s="10">
        <v>1</v>
      </c>
      <c r="C57" t="s">
        <v>1201</v>
      </c>
    </row>
    <row r="58" spans="1:3" x14ac:dyDescent="0.25">
      <c r="A58" s="4" t="s">
        <v>1043</v>
      </c>
      <c r="B58" s="10">
        <v>2</v>
      </c>
      <c r="C58" t="s">
        <v>1197</v>
      </c>
    </row>
    <row r="59" spans="1:3" x14ac:dyDescent="0.25">
      <c r="B59">
        <f>SUM(B2:B58)</f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PSC.1</vt:lpstr>
      <vt:lpstr>EVPI Carolina CAR (2026)</vt:lpstr>
      <vt:lpstr>Procesamietno</vt:lpstr>
      <vt:lpstr>porque EOS.2</vt:lpstr>
      <vt:lpstr>porque EOS.4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Fernando Coronado Espin</cp:lastModifiedBy>
  <dcterms:created xsi:type="dcterms:W3CDTF">2026-04-23T16:22:34Z</dcterms:created>
  <dcterms:modified xsi:type="dcterms:W3CDTF">2026-08-31T14:33:11Z</dcterms:modified>
</cp:coreProperties>
</file>