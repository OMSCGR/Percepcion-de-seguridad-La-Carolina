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xl/pivotTables/pivotTable73.xml" ContentType="application/vnd.openxmlformats-officedocument.spreadsheetml.pivotTable+xml"/>
  <Override PartName="/xl/pivotTables/pivotTable74.xml" ContentType="application/vnd.openxmlformats-officedocument.spreadsheetml.pivotTable+xml"/>
  <Override PartName="/xl/pivotTables/pivotTable75.xml" ContentType="application/vnd.openxmlformats-officedocument.spreadsheetml.pivotTable+xml"/>
  <Override PartName="/xl/pivotTables/pivotTable76.xml" ContentType="application/vnd.openxmlformats-officedocument.spreadsheetml.pivotTable+xml"/>
  <Override PartName="/xl/pivotTables/pivotTable77.xml" ContentType="application/vnd.openxmlformats-officedocument.spreadsheetml.pivotTable+xml"/>
  <Override PartName="/xl/pivotTables/pivotTable78.xml" ContentType="application/vnd.openxmlformats-officedocument.spreadsheetml.pivotTable+xml"/>
  <Override PartName="/xl/pivotTables/pivotTable79.xml" ContentType="application/vnd.openxmlformats-officedocument.spreadsheetml.pivotTable+xml"/>
  <Override PartName="/xl/pivotTables/pivotTable80.xml" ContentType="application/vnd.openxmlformats-officedocument.spreadsheetml.pivotTable+xml"/>
  <Override PartName="/xl/pivotTables/pivotTable81.xml" ContentType="application/vnd.openxmlformats-officedocument.spreadsheetml.pivotTable+xml"/>
  <Override PartName="/xl/pivotTables/pivotTable82.xml" ContentType="application/vnd.openxmlformats-officedocument.spreadsheetml.pivotTable+xml"/>
  <Override PartName="/xl/pivotTables/pivotTable83.xml" ContentType="application/vnd.openxmlformats-officedocument.spreadsheetml.pivotTable+xml"/>
  <Override PartName="/xl/pivotTables/pivotTable84.xml" ContentType="application/vnd.openxmlformats-officedocument.spreadsheetml.pivotTable+xml"/>
  <Override PartName="/xl/pivotTables/pivotTable85.xml" ContentType="application/vnd.openxmlformats-officedocument.spreadsheetml.pivotTable+xml"/>
  <Override PartName="/xl/pivotTables/pivotTable86.xml" ContentType="application/vnd.openxmlformats-officedocument.spreadsheetml.pivotTable+xml"/>
  <Override PartName="/xl/pivotTables/pivotTable87.xml" ContentType="application/vnd.openxmlformats-officedocument.spreadsheetml.pivotTable+xml"/>
  <Override PartName="/xl/pivotTables/pivotTable88.xml" ContentType="application/vnd.openxmlformats-officedocument.spreadsheetml.pivotTable+xml"/>
  <Override PartName="/xl/pivotTables/pivotTable89.xml" ContentType="application/vnd.openxmlformats-officedocument.spreadsheetml.pivotTable+xml"/>
  <Override PartName="/xl/pivotTables/pivotTable90.xml" ContentType="application/vnd.openxmlformats-officedocument.spreadsheetml.pivotTable+xml"/>
  <Override PartName="/xl/pivotTables/pivotTable91.xml" ContentType="application/vnd.openxmlformats-officedocument.spreadsheetml.pivotTable+xml"/>
  <Override PartName="/xl/pivotTables/pivotTable92.xml" ContentType="application/vnd.openxmlformats-officedocument.spreadsheetml.pivotTable+xml"/>
  <Override PartName="/xl/pivotTables/pivotTable93.xml" ContentType="application/vnd.openxmlformats-officedocument.spreadsheetml.pivotTable+xml"/>
  <Override PartName="/xl/pivotTables/pivotTable94.xml" ContentType="application/vnd.openxmlformats-officedocument.spreadsheetml.pivotTable+xml"/>
  <Override PartName="/xl/pivotTables/pivotTable95.xml" ContentType="application/vnd.openxmlformats-officedocument.spreadsheetml.pivotTable+xml"/>
  <Override PartName="/xl/pivotTables/pivotTable96.xml" ContentType="application/vnd.openxmlformats-officedocument.spreadsheetml.pivotTable+xml"/>
  <Override PartName="/xl/pivotTables/pivotTable97.xml" ContentType="application/vnd.openxmlformats-officedocument.spreadsheetml.pivotTable+xml"/>
  <Override PartName="/xl/pivotTables/pivotTable98.xml" ContentType="application/vnd.openxmlformats-officedocument.spreadsheetml.pivotTable+xml"/>
  <Override PartName="/xl/pivotTables/pivotTable99.xml" ContentType="application/vnd.openxmlformats-officedocument.spreadsheetml.pivotTable+xml"/>
  <Override PartName="/xl/pivotTables/pivotTable100.xml" ContentType="application/vnd.openxmlformats-officedocument.spreadsheetml.pivotTable+xml"/>
  <Override PartName="/xl/pivotTables/pivotTable101.xml" ContentType="application/vnd.openxmlformats-officedocument.spreadsheetml.pivotTable+xml"/>
  <Override PartName="/xl/pivotTables/pivotTable102.xml" ContentType="application/vnd.openxmlformats-officedocument.spreadsheetml.pivotTable+xml"/>
  <Override PartName="/xl/pivotTables/pivotTable103.xml" ContentType="application/vnd.openxmlformats-officedocument.spreadsheetml.pivotTable+xml"/>
  <Override PartName="/xl/pivotTables/pivotTable104.xml" ContentType="application/vnd.openxmlformats-officedocument.spreadsheetml.pivotTable+xml"/>
  <Override PartName="/xl/pivotTables/pivotTable105.xml" ContentType="application/vnd.openxmlformats-officedocument.spreadsheetml.pivotTable+xml"/>
  <Override PartName="/xl/pivotTables/pivotTable106.xml" ContentType="application/vnd.openxmlformats-officedocument.spreadsheetml.pivotTable+xml"/>
  <Override PartName="/xl/pivotTables/pivotTable107.xml" ContentType="application/vnd.openxmlformats-officedocument.spreadsheetml.pivotTable+xml"/>
  <Override PartName="/xl/pivotTables/pivotTable108.xml" ContentType="application/vnd.openxmlformats-officedocument.spreadsheetml.pivotTable+xml"/>
  <Override PartName="/xl/pivotTables/pivotTable109.xml" ContentType="application/vnd.openxmlformats-officedocument.spreadsheetml.pivotTable+xml"/>
  <Override PartName="/xl/pivotTables/pivotTable110.xml" ContentType="application/vnd.openxmlformats-officedocument.spreadsheetml.pivotTable+xml"/>
  <Override PartName="/xl/pivotTables/pivotTable111.xml" ContentType="application/vnd.openxmlformats-officedocument.spreadsheetml.pivotTable+xml"/>
  <Override PartName="/xl/pivotTables/pivotTable112.xml" ContentType="application/vnd.openxmlformats-officedocument.spreadsheetml.pivotTable+xml"/>
  <Override PartName="/xl/pivotTables/pivotTable113.xml" ContentType="application/vnd.openxmlformats-officedocument.spreadsheetml.pivotTable+xml"/>
  <Override PartName="/xl/pivotTables/pivotTable114.xml" ContentType="application/vnd.openxmlformats-officedocument.spreadsheetml.pivotTable+xml"/>
  <Override PartName="/xl/pivotTables/pivotTable115.xml" ContentType="application/vnd.openxmlformats-officedocument.spreadsheetml.pivotTable+xml"/>
  <Override PartName="/xl/pivotTables/pivotTable116.xml" ContentType="application/vnd.openxmlformats-officedocument.spreadsheetml.pivotTable+xml"/>
  <Override PartName="/xl/pivotTables/pivotTable117.xml" ContentType="application/vnd.openxmlformats-officedocument.spreadsheetml.pivotTable+xml"/>
  <Override PartName="/xl/pivotTables/pivotTable118.xml" ContentType="application/vnd.openxmlformats-officedocument.spreadsheetml.pivotTable+xml"/>
  <Override PartName="/xl/pivotTables/pivotTable119.xml" ContentType="application/vnd.openxmlformats-officedocument.spreadsheetml.pivotTable+xml"/>
  <Override PartName="/xl/pivotTables/pivotTable120.xml" ContentType="application/vnd.openxmlformats-officedocument.spreadsheetml.pivotTable+xml"/>
  <Override PartName="/xl/pivotTables/pivotTable121.xml" ContentType="application/vnd.openxmlformats-officedocument.spreadsheetml.pivotTable+xml"/>
  <Override PartName="/xl/pivotTables/pivotTable122.xml" ContentType="application/vnd.openxmlformats-officedocument.spreadsheetml.pivotTable+xml"/>
  <Override PartName="/xl/pivotTables/pivotTable123.xml" ContentType="application/vnd.openxmlformats-officedocument.spreadsheetml.pivotTable+xml"/>
  <Override PartName="/xl/pivotTables/pivotTable124.xml" ContentType="application/vnd.openxmlformats-officedocument.spreadsheetml.pivotTable+xml"/>
  <Override PartName="/xl/pivotTables/pivotTable125.xml" ContentType="application/vnd.openxmlformats-officedocument.spreadsheetml.pivotTable+xml"/>
  <Override PartName="/xl/pivotTables/pivotTable126.xml" ContentType="application/vnd.openxmlformats-officedocument.spreadsheetml.pivotTable+xml"/>
  <Override PartName="/xl/pivotTables/pivotTable127.xml" ContentType="application/vnd.openxmlformats-officedocument.spreadsheetml.pivotTable+xml"/>
  <Override PartName="/xl/pivotTables/pivotTable128.xml" ContentType="application/vnd.openxmlformats-officedocument.spreadsheetml.pivotTable+xml"/>
  <Override PartName="/xl/pivotTables/pivotTable129.xml" ContentType="application/vnd.openxmlformats-officedocument.spreadsheetml.pivotTable+xml"/>
  <Override PartName="/xl/pivotTables/pivotTable130.xml" ContentType="application/vnd.openxmlformats-officedocument.spreadsheetml.pivotTable+xml"/>
  <Override PartName="/xl/pivotTables/pivotTable131.xml" ContentType="application/vnd.openxmlformats-officedocument.spreadsheetml.pivotTable+xml"/>
  <Override PartName="/xl/pivotTables/pivotTable132.xml" ContentType="application/vnd.openxmlformats-officedocument.spreadsheetml.pivotTable+xml"/>
  <Override PartName="/xl/pivotTables/pivotTable133.xml" ContentType="application/vnd.openxmlformats-officedocument.spreadsheetml.pivotTable+xml"/>
  <Override PartName="/xl/pivotTables/pivotTable134.xml" ContentType="application/vnd.openxmlformats-officedocument.spreadsheetml.pivotTable+xml"/>
  <Override PartName="/xl/pivotTables/pivotTable135.xml" ContentType="application/vnd.openxmlformats-officedocument.spreadsheetml.pivotTable+xml"/>
  <Override PartName="/xl/pivotTables/pivotTable136.xml" ContentType="application/vnd.openxmlformats-officedocument.spreadsheetml.pivotTable+xml"/>
  <Override PartName="/xl/pivotTables/pivotTable137.xml" ContentType="application/vnd.openxmlformats-officedocument.spreadsheetml.pivotTable+xml"/>
  <Override PartName="/xl/pivotTables/pivotTable138.xml" ContentType="application/vnd.openxmlformats-officedocument.spreadsheetml.pivotTable+xml"/>
  <Override PartName="/xl/pivotTables/pivotTable139.xml" ContentType="application/vnd.openxmlformats-officedocument.spreadsheetml.pivotTable+xml"/>
  <Override PartName="/xl/pivotTables/pivotTable140.xml" ContentType="application/vnd.openxmlformats-officedocument.spreadsheetml.pivotTable+xml"/>
  <Override PartName="/xl/pivotTables/pivotTable141.xml" ContentType="application/vnd.openxmlformats-officedocument.spreadsheetml.pivotTable+xml"/>
  <Override PartName="/xl/pivotTables/pivotTable142.xml" ContentType="application/vnd.openxmlformats-officedocument.spreadsheetml.pivotTable+xml"/>
  <Override PartName="/xl/pivotTables/pivotTable143.xml" ContentType="application/vnd.openxmlformats-officedocument.spreadsheetml.pivotTable+xml"/>
  <Override PartName="/xl/pivotTables/pivotTable144.xml" ContentType="application/vnd.openxmlformats-officedocument.spreadsheetml.pivotTable+xml"/>
  <Override PartName="/xl/pivotTables/pivotTable145.xml" ContentType="application/vnd.openxmlformats-officedocument.spreadsheetml.pivotTable+xml"/>
  <Override PartName="/xl/pivotTables/pivotTable146.xml" ContentType="application/vnd.openxmlformats-officedocument.spreadsheetml.pivotTable+xml"/>
  <Override PartName="/xl/pivotTables/pivotTable147.xml" ContentType="application/vnd.openxmlformats-officedocument.spreadsheetml.pivotTable+xml"/>
  <Override PartName="/xl/pivotTables/pivotTable148.xml" ContentType="application/vnd.openxmlformats-officedocument.spreadsheetml.pivotTable+xml"/>
  <Override PartName="/xl/pivotTables/pivotTable149.xml" ContentType="application/vnd.openxmlformats-officedocument.spreadsheetml.pivotTable+xml"/>
  <Override PartName="/xl/pivotTables/pivotTable150.xml" ContentType="application/vnd.openxmlformats-officedocument.spreadsheetml.pivotTable+xml"/>
  <Override PartName="/xl/pivotTables/pivotTable151.xml" ContentType="application/vnd.openxmlformats-officedocument.spreadsheetml.pivotTable+xml"/>
  <Override PartName="/xl/pivotTables/pivotTable152.xml" ContentType="application/vnd.openxmlformats-officedocument.spreadsheetml.pivotTable+xml"/>
  <Override PartName="/xl/pivotTables/pivotTable153.xml" ContentType="application/vnd.openxmlformats-officedocument.spreadsheetml.pivotTable+xml"/>
  <Override PartName="/xl/pivotTables/pivotTable154.xml" ContentType="application/vnd.openxmlformats-officedocument.spreadsheetml.pivotTable+xml"/>
  <Override PartName="/xl/pivotTables/pivotTable155.xml" ContentType="application/vnd.openxmlformats-officedocument.spreadsheetml.pivotTable+xml"/>
  <Override PartName="/xl/pivotTables/pivotTable156.xml" ContentType="application/vnd.openxmlformats-officedocument.spreadsheetml.pivotTable+xml"/>
  <Override PartName="/xl/pivotTables/pivotTable157.xml" ContentType="application/vnd.openxmlformats-officedocument.spreadsheetml.pivotTable+xml"/>
  <Override PartName="/xl/pivotTables/pivotTable158.xml" ContentType="application/vnd.openxmlformats-officedocument.spreadsheetml.pivotTable+xml"/>
  <Override PartName="/xl/pivotTables/pivotTable159.xml" ContentType="application/vnd.openxmlformats-officedocument.spreadsheetml.pivotTable+xml"/>
  <Override PartName="/xl/pivotTables/pivotTable160.xml" ContentType="application/vnd.openxmlformats-officedocument.spreadsheetml.pivotTable+xml"/>
  <Override PartName="/xl/pivotTables/pivotTable161.xml" ContentType="application/vnd.openxmlformats-officedocument.spreadsheetml.pivotTable+xml"/>
  <Override PartName="/xl/pivotTables/pivotTable162.xml" ContentType="application/vnd.openxmlformats-officedocument.spreadsheetml.pivotTable+xml"/>
  <Override PartName="/xl/pivotTables/pivotTable163.xml" ContentType="application/vnd.openxmlformats-officedocument.spreadsheetml.pivotTable+xml"/>
  <Override PartName="/xl/pivotTables/pivotTable164.xml" ContentType="application/vnd.openxmlformats-officedocument.spreadsheetml.pivotTable+xml"/>
  <Override PartName="/xl/pivotTables/pivotTable165.xml" ContentType="application/vnd.openxmlformats-officedocument.spreadsheetml.pivotTable+xml"/>
  <Override PartName="/xl/pivotTables/pivotTable166.xml" ContentType="application/vnd.openxmlformats-officedocument.spreadsheetml.pivotTable+xml"/>
  <Override PartName="/xl/pivotTables/pivotTable167.xml" ContentType="application/vnd.openxmlformats-officedocument.spreadsheetml.pivotTable+xml"/>
  <Override PartName="/xl/pivotTables/pivotTable168.xml" ContentType="application/vnd.openxmlformats-officedocument.spreadsheetml.pivotTable+xml"/>
  <Override PartName="/xl/pivotTables/pivotTable169.xml" ContentType="application/vnd.openxmlformats-officedocument.spreadsheetml.pivotTable+xml"/>
  <Override PartName="/xl/pivotTables/pivotTable170.xml" ContentType="application/vnd.openxmlformats-officedocument.spreadsheetml.pivotTable+xml"/>
  <Override PartName="/xl/pivotTables/pivotTable171.xml" ContentType="application/vnd.openxmlformats-officedocument.spreadsheetml.pivotTable+xml"/>
  <Override PartName="/xl/pivotTables/pivotTable172.xml" ContentType="application/vnd.openxmlformats-officedocument.spreadsheetml.pivotTable+xml"/>
  <Override PartName="/xl/pivotTables/pivotTable173.xml" ContentType="application/vnd.openxmlformats-officedocument.spreadsheetml.pivotTable+xml"/>
  <Override PartName="/xl/pivotTables/pivotTable174.xml" ContentType="application/vnd.openxmlformats-officedocument.spreadsheetml.pivotTable+xml"/>
  <Override PartName="/xl/pivotTables/pivotTable175.xml" ContentType="application/vnd.openxmlformats-officedocument.spreadsheetml.pivotTable+xml"/>
  <Override PartName="/xl/pivotTables/pivotTable176.xml" ContentType="application/vnd.openxmlformats-officedocument.spreadsheetml.pivotTable+xml"/>
  <Override PartName="/xl/pivotTables/pivotTable177.xml" ContentType="application/vnd.openxmlformats-officedocument.spreadsheetml.pivotTable+xml"/>
  <Override PartName="/xl/pivotTables/pivotTable178.xml" ContentType="application/vnd.openxmlformats-officedocument.spreadsheetml.pivotTable+xml"/>
  <Override PartName="/xl/pivotTables/pivotTable179.xml" ContentType="application/vnd.openxmlformats-officedocument.spreadsheetml.pivotTable+xml"/>
  <Override PartName="/xl/pivotTables/pivotTable180.xml" ContentType="application/vnd.openxmlformats-officedocument.spreadsheetml.pivotTable+xml"/>
  <Override PartName="/xl/pivotTables/pivotTable181.xml" ContentType="application/vnd.openxmlformats-officedocument.spreadsheetml.pivotTable+xml"/>
  <Override PartName="/xl/pivotTables/pivotTable182.xml" ContentType="application/vnd.openxmlformats-officedocument.spreadsheetml.pivotTable+xml"/>
  <Override PartName="/xl/pivotTables/pivotTable183.xml" ContentType="application/vnd.openxmlformats-officedocument.spreadsheetml.pivotTable+xml"/>
  <Override PartName="/xl/pivotTables/pivotTable184.xml" ContentType="application/vnd.openxmlformats-officedocument.spreadsheetml.pivotTable+xml"/>
  <Override PartName="/xl/pivotTables/pivotTable185.xml" ContentType="application/vnd.openxmlformats-officedocument.spreadsheetml.pivotTable+xml"/>
  <Override PartName="/xl/pivotTables/pivotTable186.xml" ContentType="application/vnd.openxmlformats-officedocument.spreadsheetml.pivotTable+xml"/>
  <Override PartName="/xl/pivotTables/pivotTable187.xml" ContentType="application/vnd.openxmlformats-officedocument.spreadsheetml.pivotTable+xml"/>
  <Override PartName="/xl/pivotTables/pivotTable188.xml" ContentType="application/vnd.openxmlformats-officedocument.spreadsheetml.pivotTable+xml"/>
  <Override PartName="/xl/pivotTables/pivotTable189.xml" ContentType="application/vnd.openxmlformats-officedocument.spreadsheetml.pivotTable+xml"/>
  <Override PartName="/xl/pivotTables/pivotTable190.xml" ContentType="application/vnd.openxmlformats-officedocument.spreadsheetml.pivotTable+xml"/>
  <Override PartName="/xl/pivotTables/pivotTable191.xml" ContentType="application/vnd.openxmlformats-officedocument.spreadsheetml.pivotTable+xml"/>
  <Override PartName="/xl/pivotTables/pivotTable192.xml" ContentType="application/vnd.openxmlformats-officedocument.spreadsheetml.pivotTable+xml"/>
  <Override PartName="/xl/pivotTables/pivotTable193.xml" ContentType="application/vnd.openxmlformats-officedocument.spreadsheetml.pivotTable+xml"/>
  <Override PartName="/xl/pivotTables/pivotTable194.xml" ContentType="application/vnd.openxmlformats-officedocument.spreadsheetml.pivotTable+xml"/>
  <Override PartName="/xl/pivotTables/pivotTable195.xml" ContentType="application/vnd.openxmlformats-officedocument.spreadsheetml.pivotTable+xml"/>
  <Override PartName="/xl/pivotTables/pivotTable196.xml" ContentType="application/vnd.openxmlformats-officedocument.spreadsheetml.pivotTable+xml"/>
  <Override PartName="/xl/pivotTables/pivotTable197.xml" ContentType="application/vnd.openxmlformats-officedocument.spreadsheetml.pivotTable+xml"/>
  <Override PartName="/xl/pivotTables/pivotTable198.xml" ContentType="application/vnd.openxmlformats-officedocument.spreadsheetml.pivotTable+xml"/>
  <Override PartName="/xl/pivotTables/pivotTable199.xml" ContentType="application/vnd.openxmlformats-officedocument.spreadsheetml.pivotTable+xml"/>
  <Override PartName="/xl/pivotTables/pivotTable200.xml" ContentType="application/vnd.openxmlformats-officedocument.spreadsheetml.pivotTable+xml"/>
  <Override PartName="/xl/pivotTables/pivotTable201.xml" ContentType="application/vnd.openxmlformats-officedocument.spreadsheetml.pivotTable+xml"/>
  <Override PartName="/xl/pivotTables/pivotTable202.xml" ContentType="application/vnd.openxmlformats-officedocument.spreadsheetml.pivotTable+xml"/>
  <Override PartName="/xl/pivotTables/pivotTable203.xml" ContentType="application/vnd.openxmlformats-officedocument.spreadsheetml.pivotTable+xml"/>
  <Override PartName="/xl/pivotTables/pivotTable204.xml" ContentType="application/vnd.openxmlformats-officedocument.spreadsheetml.pivotTable+xml"/>
  <Override PartName="/xl/pivotTables/pivotTable205.xml" ContentType="application/vnd.openxmlformats-officedocument.spreadsheetml.pivotTable+xml"/>
  <Override PartName="/xl/pivotTables/pivotTable206.xml" ContentType="application/vnd.openxmlformats-officedocument.spreadsheetml.pivotTable+xml"/>
  <Override PartName="/xl/pivotTables/pivotTable207.xml" ContentType="application/vnd.openxmlformats-officedocument.spreadsheetml.pivotTable+xml"/>
  <Override PartName="/xl/pivotTables/pivotTable208.xml" ContentType="application/vnd.openxmlformats-officedocument.spreadsheetml.pivotTable+xml"/>
  <Override PartName="/xl/pivotTables/pivotTable209.xml" ContentType="application/vnd.openxmlformats-officedocument.spreadsheetml.pivotTable+xml"/>
  <Override PartName="/xl/pivotTables/pivotTable210.xml" ContentType="application/vnd.openxmlformats-officedocument.spreadsheetml.pivotTable+xml"/>
  <Override PartName="/xl/pivotTables/pivotTable211.xml" ContentType="application/vnd.openxmlformats-officedocument.spreadsheetml.pivotTable+xml"/>
  <Override PartName="/xl/pivotTables/pivotTable212.xml" ContentType="application/vnd.openxmlformats-officedocument.spreadsheetml.pivotTable+xml"/>
  <Override PartName="/xl/pivotTables/pivotTable213.xml" ContentType="application/vnd.openxmlformats-officedocument.spreadsheetml.pivotTable+xml"/>
  <Override PartName="/xl/pivotTables/pivotTable2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fcoronado\Desktop\OMSCGR\Carolina\Flotante\"/>
    </mc:Choice>
  </mc:AlternateContent>
  <bookViews>
    <workbookView xWindow="-120" yWindow="-120" windowWidth="20730" windowHeight="11040" activeTab="2"/>
  </bookViews>
  <sheets>
    <sheet name="Sheet1" sheetId="1" r:id="rId1"/>
    <sheet name="eda" sheetId="4" r:id="rId2"/>
    <sheet name="grafos" sheetId="5" r:id="rId3"/>
  </sheets>
  <definedNames>
    <definedName name="_xlnm._FilterDatabase" localSheetId="2" hidden="1">grafos!$V$34:$AB$41</definedName>
    <definedName name="_xlnm._FilterDatabase" localSheetId="0" hidden="1">Sheet1!$A$1:$HN$507</definedName>
    <definedName name="_xlcn.WorksheetConnection_Sheet1AZ1AZ5071" hidden="1">Sheet1!$AZ$1:$AZ$507</definedName>
  </definedNames>
  <calcPr calcId="162913"/>
  <pivotCaches>
    <pivotCache cacheId="0" r:id="rId4"/>
    <pivotCache cacheId="1" r:id="rId5"/>
  </pivotCaches>
  <extLst>
    <ext xmlns:x15="http://schemas.microsoft.com/office/spreadsheetml/2010/11/main" uri="{FCE2AD5D-F65C-4FA6-A056-5C36A1767C68}">
      <x15:dataModel>
        <x15:modelTables>
          <x15:modelTable id="Rango" name="Rango" connection="WorksheetConnection_Sheet1!$AZ$1:$AZ$50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60" i="5" l="1"/>
  <c r="Z461" i="5"/>
  <c r="Z462" i="5"/>
  <c r="Z463" i="5"/>
  <c r="Z464" i="5"/>
  <c r="Z465" i="5"/>
  <c r="Z459" i="5"/>
  <c r="B11" i="5"/>
  <c r="B10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61" i="5"/>
  <c r="F359" i="5"/>
  <c r="F360" i="5"/>
  <c r="F361" i="5"/>
  <c r="F362" i="5"/>
  <c r="F363" i="5"/>
  <c r="F364" i="5"/>
  <c r="F365" i="5"/>
  <c r="F366" i="5"/>
  <c r="F367" i="5"/>
  <c r="F358" i="5"/>
  <c r="E359" i="5"/>
  <c r="E360" i="5"/>
  <c r="E361" i="5"/>
  <c r="E362" i="5"/>
  <c r="E363" i="5"/>
  <c r="E364" i="5"/>
  <c r="E365" i="5"/>
  <c r="E366" i="5"/>
  <c r="E367" i="5"/>
  <c r="E358" i="5"/>
  <c r="M444" i="5" l="1"/>
  <c r="M445" i="5"/>
  <c r="M446" i="5"/>
  <c r="M443" i="5"/>
  <c r="I384" i="5"/>
  <c r="I385" i="5"/>
  <c r="I386" i="5"/>
  <c r="I387" i="5"/>
  <c r="I383" i="5"/>
  <c r="J36" i="1"/>
  <c r="J483" i="1"/>
  <c r="J46" i="1"/>
  <c r="J67" i="1"/>
  <c r="J69" i="1"/>
  <c r="J14" i="1"/>
  <c r="J478" i="1"/>
  <c r="J71" i="1"/>
  <c r="J77" i="1"/>
  <c r="J72" i="1"/>
  <c r="J52" i="1"/>
  <c r="J455" i="1"/>
  <c r="J476" i="1"/>
  <c r="J151" i="1"/>
  <c r="J183" i="1"/>
  <c r="J206" i="1"/>
  <c r="J155" i="1"/>
  <c r="J317" i="1"/>
  <c r="J315" i="1"/>
  <c r="J304" i="1"/>
  <c r="J258" i="1"/>
  <c r="J245" i="1"/>
  <c r="J270" i="1"/>
  <c r="J268" i="1"/>
  <c r="J406" i="1"/>
  <c r="J280" i="1"/>
  <c r="J361" i="1"/>
  <c r="J347" i="1"/>
  <c r="J331" i="1"/>
  <c r="J487" i="1"/>
  <c r="J504" i="1"/>
  <c r="J4" i="1"/>
  <c r="J92" i="1"/>
  <c r="J17" i="1"/>
  <c r="J6" i="1"/>
  <c r="J2" i="1"/>
  <c r="J349" i="1"/>
  <c r="J139" i="1"/>
  <c r="J174" i="1"/>
  <c r="J191" i="1"/>
  <c r="J231" i="1"/>
  <c r="J152" i="1"/>
  <c r="J309" i="1"/>
  <c r="J287" i="1"/>
  <c r="J443" i="1"/>
  <c r="J254" i="1"/>
  <c r="J205" i="1"/>
  <c r="J207" i="1"/>
  <c r="J415" i="1"/>
  <c r="J20" i="1"/>
  <c r="J22" i="1"/>
  <c r="J481" i="1"/>
  <c r="J30" i="1"/>
  <c r="J482" i="1"/>
  <c r="J484" i="1"/>
  <c r="J485" i="1"/>
  <c r="J486" i="1"/>
  <c r="J488" i="1"/>
  <c r="J489" i="1"/>
  <c r="J48" i="1"/>
  <c r="J490" i="1"/>
  <c r="J50" i="1"/>
  <c r="J53" i="1"/>
  <c r="J58" i="1"/>
  <c r="J491" i="1"/>
  <c r="J492" i="1"/>
  <c r="J493" i="1"/>
  <c r="J494" i="1"/>
  <c r="J60" i="1"/>
  <c r="J495" i="1"/>
  <c r="J63" i="1"/>
  <c r="J64" i="1"/>
  <c r="J66" i="1"/>
  <c r="J496" i="1"/>
  <c r="J497" i="1"/>
  <c r="J498" i="1"/>
  <c r="J499" i="1"/>
  <c r="J500" i="1"/>
  <c r="J501" i="1"/>
  <c r="J502" i="1"/>
  <c r="J503" i="1"/>
  <c r="J425" i="1"/>
  <c r="J427" i="1"/>
  <c r="J413" i="1"/>
  <c r="J3" i="1"/>
  <c r="J421" i="1"/>
  <c r="J422" i="1"/>
  <c r="J419" i="1"/>
  <c r="J10" i="1"/>
  <c r="J428" i="1"/>
  <c r="J13" i="1"/>
  <c r="J15" i="1"/>
  <c r="J429" i="1"/>
  <c r="J18" i="1"/>
  <c r="J423" i="1"/>
  <c r="J430" i="1"/>
  <c r="J382" i="1"/>
  <c r="J431" i="1"/>
  <c r="J386" i="1"/>
  <c r="J388" i="1"/>
  <c r="J433" i="1"/>
  <c r="J389" i="1"/>
  <c r="J390" i="1"/>
  <c r="J391" i="1"/>
  <c r="J392" i="1"/>
  <c r="J434" i="1"/>
  <c r="J393" i="1"/>
  <c r="J437" i="1"/>
  <c r="J394" i="1"/>
  <c r="J395" i="1"/>
  <c r="J438" i="1"/>
  <c r="J396" i="1"/>
  <c r="J397" i="1"/>
  <c r="J432" i="1"/>
  <c r="J398" i="1"/>
  <c r="J435" i="1"/>
  <c r="J436" i="1"/>
  <c r="J399" i="1"/>
  <c r="J400" i="1"/>
  <c r="J439" i="1"/>
  <c r="J7" i="1"/>
  <c r="J9" i="1"/>
  <c r="J12" i="1"/>
  <c r="J480" i="1"/>
  <c r="J16" i="1"/>
  <c r="J479" i="1"/>
  <c r="J23" i="1"/>
  <c r="J25" i="1"/>
  <c r="J26" i="1"/>
  <c r="J27" i="1"/>
  <c r="J28" i="1"/>
  <c r="J29" i="1"/>
  <c r="J33" i="1"/>
  <c r="J39" i="1"/>
  <c r="J41" i="1"/>
  <c r="J42" i="1"/>
  <c r="J45" i="1"/>
  <c r="J47" i="1"/>
  <c r="J49" i="1"/>
  <c r="J51" i="1"/>
  <c r="J401" i="1"/>
  <c r="J54" i="1"/>
  <c r="J56" i="1"/>
  <c r="J70" i="1"/>
  <c r="J470" i="1"/>
  <c r="J74" i="1"/>
  <c r="J75" i="1"/>
  <c r="J79" i="1"/>
  <c r="J81" i="1"/>
  <c r="J84" i="1"/>
  <c r="J86" i="1"/>
  <c r="J90" i="1"/>
  <c r="J93" i="1"/>
  <c r="J94" i="1"/>
  <c r="J96" i="1"/>
  <c r="J97" i="1"/>
  <c r="J98" i="1"/>
  <c r="J477" i="1"/>
  <c r="J91" i="1"/>
  <c r="J89" i="1"/>
  <c r="J88" i="1"/>
  <c r="J87" i="1"/>
  <c r="J85" i="1"/>
  <c r="J83" i="1"/>
  <c r="J82" i="1"/>
  <c r="J80" i="1"/>
  <c r="J78" i="1"/>
  <c r="J76" i="1"/>
  <c r="J73" i="1"/>
  <c r="J68" i="1"/>
  <c r="J65" i="1"/>
  <c r="J62" i="1"/>
  <c r="J61" i="1"/>
  <c r="J59" i="1"/>
  <c r="J43" i="1"/>
  <c r="J40" i="1"/>
  <c r="J38" i="1"/>
  <c r="J37" i="1"/>
  <c r="J35" i="1"/>
  <c r="J34" i="1"/>
  <c r="J32" i="1"/>
  <c r="J57" i="1"/>
  <c r="J31" i="1"/>
  <c r="J21" i="1"/>
  <c r="J19" i="1"/>
  <c r="J55" i="1"/>
  <c r="J11" i="1"/>
  <c r="J8" i="1"/>
  <c r="J44" i="1"/>
  <c r="J469" i="1"/>
  <c r="J5" i="1"/>
  <c r="J128" i="1"/>
  <c r="J475" i="1"/>
  <c r="J129" i="1"/>
  <c r="J130" i="1"/>
  <c r="J131" i="1"/>
  <c r="J133" i="1"/>
  <c r="J135" i="1"/>
  <c r="J145" i="1"/>
  <c r="J452" i="1"/>
  <c r="J147" i="1"/>
  <c r="J474" i="1"/>
  <c r="J148" i="1"/>
  <c r="J149" i="1"/>
  <c r="J381" i="1"/>
  <c r="J379" i="1"/>
  <c r="J378" i="1"/>
  <c r="J376" i="1"/>
  <c r="J371" i="1"/>
  <c r="J370" i="1"/>
  <c r="J369" i="1"/>
  <c r="J367" i="1"/>
  <c r="J364" i="1"/>
  <c r="J446" i="1"/>
  <c r="J362" i="1"/>
  <c r="J456" i="1"/>
  <c r="J449" i="1"/>
  <c r="J451" i="1"/>
  <c r="J459" i="1"/>
  <c r="J360" i="1"/>
  <c r="J359" i="1"/>
  <c r="J358" i="1"/>
  <c r="J357" i="1"/>
  <c r="J356" i="1"/>
  <c r="J461" i="1"/>
  <c r="J350" i="1"/>
  <c r="J473" i="1"/>
  <c r="J463" i="1"/>
  <c r="J142" i="1"/>
  <c r="J140" i="1"/>
  <c r="J141" i="1"/>
  <c r="J138" i="1"/>
  <c r="J137" i="1"/>
  <c r="J136" i="1"/>
  <c r="J134" i="1"/>
  <c r="J132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5" i="1"/>
  <c r="J158" i="1"/>
  <c r="J160" i="1"/>
  <c r="J412" i="1"/>
  <c r="J162" i="1"/>
  <c r="J163" i="1"/>
  <c r="J165" i="1"/>
  <c r="J166" i="1"/>
  <c r="J167" i="1"/>
  <c r="J168" i="1"/>
  <c r="J169" i="1"/>
  <c r="J170" i="1"/>
  <c r="J171" i="1"/>
  <c r="J172" i="1"/>
  <c r="J173" i="1"/>
  <c r="J175" i="1"/>
  <c r="J176" i="1"/>
  <c r="J321" i="1"/>
  <c r="J177" i="1"/>
  <c r="J178" i="1"/>
  <c r="J179" i="1"/>
  <c r="J180" i="1"/>
  <c r="J181" i="1"/>
  <c r="J417" i="1"/>
  <c r="J420" i="1"/>
  <c r="J182" i="1"/>
  <c r="J322" i="1"/>
  <c r="J184" i="1"/>
  <c r="J185" i="1"/>
  <c r="J186" i="1"/>
  <c r="J187" i="1"/>
  <c r="J424" i="1"/>
  <c r="J188" i="1"/>
  <c r="J426" i="1"/>
  <c r="J189" i="1"/>
  <c r="J410" i="1"/>
  <c r="J190" i="1"/>
  <c r="J444" i="1"/>
  <c r="J227" i="1"/>
  <c r="J228" i="1"/>
  <c r="J445" i="1"/>
  <c r="J226" i="1"/>
  <c r="J225" i="1"/>
  <c r="J221" i="1"/>
  <c r="J218" i="1"/>
  <c r="J215" i="1"/>
  <c r="J213" i="1"/>
  <c r="J211" i="1"/>
  <c r="J209" i="1"/>
  <c r="J204" i="1"/>
  <c r="J202" i="1"/>
  <c r="J201" i="1"/>
  <c r="J200" i="1"/>
  <c r="J199" i="1"/>
  <c r="J198" i="1"/>
  <c r="J197" i="1"/>
  <c r="J447" i="1"/>
  <c r="J196" i="1"/>
  <c r="J195" i="1"/>
  <c r="J448" i="1"/>
  <c r="J194" i="1"/>
  <c r="J193" i="1"/>
  <c r="J450" i="1"/>
  <c r="J453" i="1"/>
  <c r="J192" i="1"/>
  <c r="J164" i="1"/>
  <c r="J161" i="1"/>
  <c r="J159" i="1"/>
  <c r="J157" i="1"/>
  <c r="J156" i="1"/>
  <c r="J154" i="1"/>
  <c r="J153" i="1"/>
  <c r="J150" i="1"/>
  <c r="J320" i="1"/>
  <c r="J465" i="1"/>
  <c r="J471" i="1"/>
  <c r="J472" i="1"/>
  <c r="J319" i="1"/>
  <c r="J318" i="1"/>
  <c r="J316" i="1"/>
  <c r="J314" i="1"/>
  <c r="J313" i="1"/>
  <c r="J312" i="1"/>
  <c r="J311" i="1"/>
  <c r="J310" i="1"/>
  <c r="J308" i="1"/>
  <c r="J307" i="1"/>
  <c r="J306" i="1"/>
  <c r="J305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6" i="1"/>
  <c r="J285" i="1"/>
  <c r="J284" i="1"/>
  <c r="J283" i="1"/>
  <c r="J282" i="1"/>
  <c r="J281" i="1"/>
  <c r="J279" i="1"/>
  <c r="J278" i="1"/>
  <c r="J273" i="1"/>
  <c r="J440" i="1"/>
  <c r="J441" i="1"/>
  <c r="J272" i="1"/>
  <c r="J271" i="1"/>
  <c r="J442" i="1"/>
  <c r="J269" i="1"/>
  <c r="J267" i="1"/>
  <c r="J266" i="1"/>
  <c r="J265" i="1"/>
  <c r="J263" i="1"/>
  <c r="J262" i="1"/>
  <c r="J260" i="1"/>
  <c r="J259" i="1"/>
  <c r="J256" i="1"/>
  <c r="J255" i="1"/>
  <c r="J253" i="1"/>
  <c r="J252" i="1"/>
  <c r="J251" i="1"/>
  <c r="J468" i="1"/>
  <c r="J250" i="1"/>
  <c r="J249" i="1"/>
  <c r="J248" i="1"/>
  <c r="J247" i="1"/>
  <c r="J246" i="1"/>
  <c r="J243" i="1"/>
  <c r="J242" i="1"/>
  <c r="J241" i="1"/>
  <c r="J240" i="1"/>
  <c r="J239" i="1"/>
  <c r="J238" i="1"/>
  <c r="J237" i="1"/>
  <c r="J203" i="1"/>
  <c r="J402" i="1"/>
  <c r="J208" i="1"/>
  <c r="J457" i="1"/>
  <c r="J210" i="1"/>
  <c r="J212" i="1"/>
  <c r="J214" i="1"/>
  <c r="J216" i="1"/>
  <c r="J217" i="1"/>
  <c r="J219" i="1"/>
  <c r="J220" i="1"/>
  <c r="J222" i="1"/>
  <c r="J223" i="1"/>
  <c r="J224" i="1"/>
  <c r="J229" i="1"/>
  <c r="J403" i="1"/>
  <c r="J230" i="1"/>
  <c r="J458" i="1"/>
  <c r="J460" i="1"/>
  <c r="J232" i="1"/>
  <c r="J462" i="1"/>
  <c r="J233" i="1"/>
  <c r="J464" i="1"/>
  <c r="J234" i="1"/>
  <c r="J235" i="1"/>
  <c r="J236" i="1"/>
  <c r="J244" i="1"/>
  <c r="J257" i="1"/>
  <c r="J261" i="1"/>
  <c r="J264" i="1"/>
  <c r="J404" i="1"/>
  <c r="J466" i="1"/>
  <c r="J405" i="1"/>
  <c r="J274" i="1"/>
  <c r="J467" i="1"/>
  <c r="J454" i="1"/>
  <c r="J275" i="1"/>
  <c r="J407" i="1"/>
  <c r="J276" i="1"/>
  <c r="J277" i="1"/>
  <c r="J408" i="1"/>
  <c r="J409" i="1"/>
  <c r="J387" i="1"/>
  <c r="J385" i="1"/>
  <c r="J384" i="1"/>
  <c r="J414" i="1"/>
  <c r="J383" i="1"/>
  <c r="J380" i="1"/>
  <c r="J377" i="1"/>
  <c r="J375" i="1"/>
  <c r="J374" i="1"/>
  <c r="J373" i="1"/>
  <c r="J372" i="1"/>
  <c r="J368" i="1"/>
  <c r="J366" i="1"/>
  <c r="J365" i="1"/>
  <c r="J363" i="1"/>
  <c r="J355" i="1"/>
  <c r="J354" i="1"/>
  <c r="J353" i="1"/>
  <c r="J352" i="1"/>
  <c r="J351" i="1"/>
  <c r="J348" i="1"/>
  <c r="J346" i="1"/>
  <c r="J339" i="1"/>
  <c r="J416" i="1"/>
  <c r="J335" i="1"/>
  <c r="J334" i="1"/>
  <c r="J411" i="1"/>
  <c r="J418" i="1"/>
  <c r="J345" i="1"/>
  <c r="J344" i="1"/>
  <c r="J343" i="1"/>
  <c r="J342" i="1"/>
  <c r="J341" i="1"/>
  <c r="J340" i="1"/>
  <c r="J338" i="1"/>
  <c r="J337" i="1"/>
  <c r="J336" i="1"/>
  <c r="J333" i="1"/>
  <c r="J332" i="1"/>
  <c r="J330" i="1"/>
  <c r="J329" i="1"/>
  <c r="J327" i="1"/>
  <c r="J328" i="1"/>
  <c r="J326" i="1"/>
  <c r="J325" i="1"/>
  <c r="J324" i="1"/>
  <c r="J323" i="1"/>
  <c r="J146" i="1"/>
  <c r="J144" i="1"/>
  <c r="J143" i="1"/>
  <c r="J507" i="1"/>
  <c r="J506" i="1"/>
  <c r="J505" i="1"/>
  <c r="J24" i="1"/>
</calcChain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Sheet1!$AZ$1:$AZ$507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Sheet1AZ1AZ5071"/>
        </x15:connection>
      </ext>
    </extLst>
  </connection>
</connections>
</file>

<file path=xl/sharedStrings.xml><?xml version="1.0" encoding="utf-8"?>
<sst xmlns="http://schemas.openxmlformats.org/spreadsheetml/2006/main" count="42953" uniqueCount="2424">
  <si>
    <t>start</t>
  </si>
  <si>
    <t>end</t>
  </si>
  <si>
    <t>Digitador</t>
  </si>
  <si>
    <t>Cuestionario No.</t>
  </si>
  <si>
    <t>Fecha:</t>
  </si>
  <si>
    <t>Grupo:</t>
  </si>
  <si>
    <t>Encuestador:</t>
  </si>
  <si>
    <t>Supervisor:</t>
  </si>
  <si>
    <t>PF.1 ¿Cuántos años tiene?</t>
  </si>
  <si>
    <t>PF.2 ¿Con que frecuencia visita este parque?</t>
  </si>
  <si>
    <t>Rechazó la encuesta</t>
  </si>
  <si>
    <t>No cumple con la cuota</t>
  </si>
  <si>
    <t>Menor de edad</t>
  </si>
  <si>
    <t>Dueño de un local comercial del parque</t>
  </si>
  <si>
    <t>No visita la zona frecuentemente</t>
  </si>
  <si>
    <t>DD. 1 Sexo</t>
  </si>
  <si>
    <t>DD. 3 ¿Su nacionalidad es ecuatoriana?</t>
  </si>
  <si>
    <t>DD3.1 ¿Cuál es su nacionalidad?</t>
  </si>
  <si>
    <t>DD. 4 ¿Cómo se identifica usted según su cultura y costumbres?:Enc. leer RU.</t>
  </si>
  <si>
    <t>¿Cuál?</t>
  </si>
  <si>
    <t>DD. 5 ¿Cuál es su nivel de estudios aprobados? Enc. respuesta espontánea y RU.</t>
  </si>
  <si>
    <t>¿Completa/Incompleta?</t>
  </si>
  <si>
    <t>DD. 6 Actualmente, ¿cuál es su actividad principal?: Enc. RE y RU.</t>
  </si>
  <si>
    <t>8.1. ¿Cuál?</t>
  </si>
  <si>
    <t>DD. 7 ¿En qué rango se encuentra los ingresos mensuales de su hogar, es decir, de todas las personas que trabajan y/o reciben ingresos? (ingresos laborales, remesas, ayudas, rentas, bonos, entre otros) Enc. leer opciones y RU.</t>
  </si>
  <si>
    <t>AP. 1 ¿Cuáles son las actividades que realiza en el parque Enc. RE y RM</t>
  </si>
  <si>
    <t>AP. 1 ¿Cuáles son las actividades que realiza en el parque Enc. RE y RM/1. Deporte / ejercicio</t>
  </si>
  <si>
    <t>AP. 1 ¿Cuáles son las actividades que realiza en el parque Enc. RE y RM/2. Culturales y sociales</t>
  </si>
  <si>
    <t>AP. 1 ¿Cuáles son las actividades que realiza en el parque Enc. RE y RM/3. Compras</t>
  </si>
  <si>
    <t>AP. 1 ¿Cuáles son las actividades que realiza en el parque Enc. RE y RM/4. De paso</t>
  </si>
  <si>
    <t>AP. 1 ¿Cuáles son las actividades que realiza en el parque Enc. RE y RM/5. Recreación/Ocio</t>
  </si>
  <si>
    <t>AP. 1 ¿Cuáles son las actividades que realiza en el parque Enc. RE y RM/6. Otra</t>
  </si>
  <si>
    <t>AP.1.1 ¿Cuál?</t>
  </si>
  <si>
    <t>AP. 2 Por lo general, ¿en qué horarios visita este parque? Enc. RE y RM</t>
  </si>
  <si>
    <t>AP. 2 Por lo general, ¿en qué horarios visita este parque? Enc. RE y RM/1. Madrugada (00:00 a 05:59)</t>
  </si>
  <si>
    <t>AP. 2 Por lo general, ¿en qué horarios visita este parque? Enc. RE y RM/2. Mañana  (06:00 a 11:59)</t>
  </si>
  <si>
    <t>AP. 2 Por lo general, ¿en qué horarios visita este parque? Enc. RE y RM/3. Tarde (12:00 a 17:59)</t>
  </si>
  <si>
    <t>AP. 2 Por lo general, ¿en qué horarios visita este parque? Enc. RE y RM/4. Noche  (18:00 a 23:59)</t>
  </si>
  <si>
    <t>AP. 3 ¿Cuánto tiempo se queda en el parque cada vez que lo visita? Enc. Leer opciones y RU.</t>
  </si>
  <si>
    <t>AP. 4 ¿Qué instalaciones suele utilizar en el parque? Enc. RE y RM</t>
  </si>
  <si>
    <t>AP. 4 ¿Qué instalaciones suele utilizar en el parque? Enc. RE y RM/1. Canchas de fútbol y basquet</t>
  </si>
  <si>
    <t>AP. 4 ¿Qué instalaciones suele utilizar en el parque? Enc. RE y RM/2. Rampas para patineta</t>
  </si>
  <si>
    <t>AP. 4 ¿Qué instalaciones suele utilizar en el parque? Enc. RE y RM/3. Caminos de ciclismo</t>
  </si>
  <si>
    <t>AP. 4 ¿Qué instalaciones suele utilizar en el parque? Enc. RE y RM/4. Pistas para correr</t>
  </si>
  <si>
    <t>AP. 4 ¿Qué instalaciones suele utilizar en el parque? Enc. RE y RM/6. Área para perros</t>
  </si>
  <si>
    <t>AP. 4 ¿Qué instalaciones suele utilizar en el parque? Enc. RE y RM/7. Áreas verdes</t>
  </si>
  <si>
    <t>AP. 4 ¿Qué instalaciones suele utilizar en el parque? Enc. RE y RM/8. Otro.</t>
  </si>
  <si>
    <t>¿Cuál?.1</t>
  </si>
  <si>
    <t>AP. 5 ¿Por lo general, viene acompañado/a al parque? Enc. RE y RU</t>
  </si>
  <si>
    <t>AP. 5.1 ¿Cree que influye en su seguridad el estar acompañado/a dentro del parque? Enc. RE y RU</t>
  </si>
  <si>
    <t>PSC.1 En los últimos 6 meses, es decir, de septiembre 2024 a la fecha. EN TÉRMINOS DE SU SEGURIDAD PERSONAL, ¿cómo se sintió usted en este parque? Enc. leer opciones y RU</t>
  </si>
  <si>
    <t>PSC.1.1 Razón 1</t>
  </si>
  <si>
    <t>PSC.1.2 Razón 2</t>
  </si>
  <si>
    <t>PSC.1.3 Razón 3</t>
  </si>
  <si>
    <t>**En los últimos 6 meses. EN TÉRMINOS DE SU SEGURIDAD PERSONAL, ¿Cómo se sintió usted: Enc. Leer opciones y RU**</t>
  </si>
  <si>
    <t>PSC.2 Con la presencia de habitantes de calle (mendigos) en el parque?</t>
  </si>
  <si>
    <t>PSC.3 Con la presencia de vendedores ambulantes en el parque?</t>
  </si>
  <si>
    <t>PSC.4 Transitando por sitios con basura en el parque?</t>
  </si>
  <si>
    <t>PSC.5 En espectáculos públicos como conciertos y/o actividades recreativas en este parque?</t>
  </si>
  <si>
    <t>PSC.6 En restaurantes/cafeterías/comedores del parque?</t>
  </si>
  <si>
    <t>PSC.7 Caminando sola/o en el día por este parque?</t>
  </si>
  <si>
    <t>PSC.8 Caminando sola/o en la noche por este parque?</t>
  </si>
  <si>
    <t>PSC.9 ¿En los últimos 6 meses, ¿usted diría que la delincuencia en el parque y sus inmediaciones: Enc. Leer opciones y RU .</t>
  </si>
  <si>
    <t>PSC.10 De acuerdo a este mapa y según su criterio, ¿cuál es la zona más insegura para Ud., en el parque?. Enc. mostrar mapa</t>
  </si>
  <si>
    <t>PSC.10 De acuerdo a este mapa y según su criterio, ¿cuál es la zona más insegura para Ud., en el parque?. Enc. mostrar mapa/A</t>
  </si>
  <si>
    <t>PSC.10 De acuerdo a este mapa y según su criterio, ¿cuál es la zona más insegura para Ud., en el parque?. Enc. mostrar mapa/B</t>
  </si>
  <si>
    <t>PSC.10 De acuerdo a este mapa y según su criterio, ¿cuál es la zona más insegura para Ud., en el parque?. Enc. mostrar mapa/C</t>
  </si>
  <si>
    <t>PSC.10 De acuerdo a este mapa y según su criterio, ¿cuál es la zona más insegura para Ud., en el parque?. Enc. mostrar mapa/D</t>
  </si>
  <si>
    <t>PSC.10 De acuerdo a este mapa y según su criterio, ¿cuál es la zona más insegura para Ud., en el parque?. Enc. mostrar mapa/E</t>
  </si>
  <si>
    <t>PSC.10 De acuerdo a este mapa y según su criterio, ¿cuál es la zona más insegura para Ud., en el parque?. Enc. mostrar mapa/F</t>
  </si>
  <si>
    <t>PSC.10 De acuerdo a este mapa y según su criterio, ¿cuál es la zona más insegura para Ud., en el parque?. Enc. mostrar mapa/G</t>
  </si>
  <si>
    <t>PSC.10 De acuerdo a este mapa y según su criterio, ¿cuál es la zona más insegura para Ud., en el parque?. Enc. mostrar mapa/H</t>
  </si>
  <si>
    <t>PSC.10 De acuerdo a este mapa y según su criterio, ¿cuál es la zona más insegura para Ud., en el parque?. Enc. mostrar mapa/I</t>
  </si>
  <si>
    <t>PSC.10 De acuerdo a este mapa y según su criterio, ¿cuál es la zona más insegura para Ud., en el parque?. Enc. mostrar mapa/J</t>
  </si>
  <si>
    <t>PSC.10 De acuerdo a este mapa y según su criterio, ¿cuál es la zona más insegura para Ud., en el parque?. Enc. mostrar mapa/K</t>
  </si>
  <si>
    <t>PSC.10 De acuerdo a este mapa y según su criterio, ¿cuál es la zona más insegura para Ud., en el parque?. Enc. mostrar mapa/L</t>
  </si>
  <si>
    <t>PSC.10 De acuerdo a este mapa y según su criterio, ¿cuál es la zona más insegura para Ud., en el parque?. Enc. mostrar mapa/Ninguno</t>
  </si>
  <si>
    <t>CH.1 la frecuencia con la que transita solo/a por el parque</t>
  </si>
  <si>
    <t>CH.2 la frecuencia con la que asiste a espectáculos públicos del parque</t>
  </si>
  <si>
    <t>CH.3  la frecuencia con la que visita restaurantes, cafeterías y comedores del parque</t>
  </si>
  <si>
    <t>CH.4 Por motivos de seguridad, en los últimos 6 meses, ¿ha cambiado su horario de visita al parque?. Enc. RE y RU</t>
  </si>
  <si>
    <t>VI.1 En los últimos 6 meses, es decir, de septiembre 2024 a la fecha. Ud. ha sido víctima de algún tipo de delito en este parque?. Enc. RE y RU</t>
  </si>
  <si>
    <t>¿De qué delitos fue víctima? Enc. respuesta espontáne. RM</t>
  </si>
  <si>
    <t>¿De qué delitos fue víctima? Enc. respuesta espontáne. RM/VI.2 Robo  (con violencia)</t>
  </si>
  <si>
    <t>¿De qué delitos fue víctima? Enc. respuesta espontáne. RM/VI.3 Hurto (sin violencia)</t>
  </si>
  <si>
    <t>¿De qué delitos fue víctima? Enc. respuesta espontáne. RM/VI.4 Robo de vehículo</t>
  </si>
  <si>
    <t>¿De qué delitos fue víctima? Enc. respuesta espontáne. RM/VI.5 Robo de moto</t>
  </si>
  <si>
    <t>¿De qué delitos fue víctima? Enc. respuesta espontáne. RM/VI.6 Robo accesorios de vehículo</t>
  </si>
  <si>
    <t>¿De qué delitos fue víctima? Enc. respuesta espontáne. RM/VI.7 Secuestro express</t>
  </si>
  <si>
    <t>¿De qué delitos fue víctima? Enc. respuesta espontáne. RM/VI.8 Extorsión</t>
  </si>
  <si>
    <t>¿De qué delitos fue víctima? Enc. respuesta espontáne. RM/VI.9 Estafa</t>
  </si>
  <si>
    <t>¿De qué delitos fue víctima? Enc. respuesta espontáne. RM/VI.10 Agresión física</t>
  </si>
  <si>
    <t>¿De qué delitos fue víctima? Enc. respuesta espontáne. RM/VI.11 Agresión verbal</t>
  </si>
  <si>
    <t>¿De qué delitos fue víctima? Enc. respuesta espontáne. RM/VI.12 Otros</t>
  </si>
  <si>
    <t>VI.12.1 ¿Cuál?</t>
  </si>
  <si>
    <t>VI.2.1 ¿Denunció Robo  (con violencia)?</t>
  </si>
  <si>
    <t>VI.3.1 ¿Denunció Hurto (sin violencia) ?</t>
  </si>
  <si>
    <t>VI.4.1 ¿Denunció Robo de vehículo?</t>
  </si>
  <si>
    <t>VI.5.1 ¿Denunció Robo de moto ?</t>
  </si>
  <si>
    <t>VI.6.1 ¿Denunció Robo accesorios de vehículo?</t>
  </si>
  <si>
    <t>VI.7.1 ¿Denunció Secuestro express?</t>
  </si>
  <si>
    <t>VI.8.1 ¿Denunció Extorsión?</t>
  </si>
  <si>
    <t>VI.9.1 ¿Denunció Estafa?</t>
  </si>
  <si>
    <t>VI.10.1 ¿Denunció Agresión física?</t>
  </si>
  <si>
    <t>VI.11.1 ¿Denunció Agresión verbal?</t>
  </si>
  <si>
    <t>VI.12.1 ¿Denunció este Otro tipo de delito?</t>
  </si>
  <si>
    <t>VI.2.2¿Utilizaron algún tipo de arma para cometer este Robo  (con violencia)?</t>
  </si>
  <si>
    <t>¿Cuál?.2</t>
  </si>
  <si>
    <t>VI.3.2¿Utilizaron algún tipo de arma para cometer este Hurto (sin violencia) ?</t>
  </si>
  <si>
    <t>¿Cuál?.3</t>
  </si>
  <si>
    <t>VI.4.2¿Utilizaron algún tipo de arma para cometer este Robo de vehículo?</t>
  </si>
  <si>
    <t>¿Cuál?.4</t>
  </si>
  <si>
    <t>VI.5.2¿Utilizaron algún tipo de arma para cometer este Robo de moto?</t>
  </si>
  <si>
    <t>¿Cuál?.5</t>
  </si>
  <si>
    <t>VI.6.2¿Utilizaron algún tipo de arma para cometer este Robo accesorios de vehículo?</t>
  </si>
  <si>
    <t>¿Cuál?.6</t>
  </si>
  <si>
    <t>VI.7.2¿Utilizaron algún tipo de arma para cometer este Secuestro express?</t>
  </si>
  <si>
    <t>¿Cuál?.7</t>
  </si>
  <si>
    <t>VI.8.2¿Utilizaron algún tipo de arma para cometer esta Extorsión?</t>
  </si>
  <si>
    <t>¿Cuál?.8</t>
  </si>
  <si>
    <t>VI.9.2¿Utilizaron algún tipo de arma para cometer esta Estafa?</t>
  </si>
  <si>
    <t>¿Cuál?.9</t>
  </si>
  <si>
    <t>VI.10.2¿Utilizaron algún tipo de arma para cometer esta Agresión física?</t>
  </si>
  <si>
    <t>¿Cuál?.10</t>
  </si>
  <si>
    <t>VI.11.2¿Utilizaron algún tipo de arma para cometer esta Agresión verbal?</t>
  </si>
  <si>
    <t>¿Cuál?.11</t>
  </si>
  <si>
    <t>VI.12.2¿Utilizaron algún tipo de arma para cometer este Otro tipo de delitol?</t>
  </si>
  <si>
    <t>¿Cuál?.12</t>
  </si>
  <si>
    <t>En los últimos 6 meses, es decir, de septiembre 2024 a la fecha. ¿Usted ha presenciado las siguientes situaciones dentro del parque, por ejemplo: Enc. leer opciones  RU.</t>
  </si>
  <si>
    <t>CC.1 Alguien puso música a un volumen excesivo o hizo mucho ruido y eso le molestó?</t>
  </si>
  <si>
    <t>CC.1.1 ¿Con qué frecuencia?</t>
  </si>
  <si>
    <t>CC.2 Grafitis no artisticos que le molestan?</t>
  </si>
  <si>
    <t>CC.2.1 ¿Con qué frecuencia?</t>
  </si>
  <si>
    <t>CC.3 Personas que orinan en el parque?</t>
  </si>
  <si>
    <t>CC.3.1 ¿Con qué frecuencia?</t>
  </si>
  <si>
    <t>CC.4 Desechos de animales ?</t>
  </si>
  <si>
    <t>CC.4.1 ¿Con qué frecuencia?</t>
  </si>
  <si>
    <t>CC.5 Áreas sin iluminación ?</t>
  </si>
  <si>
    <t>CC.5.1 ¿Con qué frecuencia?</t>
  </si>
  <si>
    <t>CC.6 Peleas o riñas ?</t>
  </si>
  <si>
    <t>CC.6.1 ¿Con qué frecuencia?</t>
  </si>
  <si>
    <t>CC.7 Habitantes en situación de calle (mendicidad) ?</t>
  </si>
  <si>
    <t>CC.7.1 ¿Con qué frecuencia?</t>
  </si>
  <si>
    <t>CC.8 Consumo de alcohol?</t>
  </si>
  <si>
    <t>CC.8.1 ¿Con qué frecuencia?</t>
  </si>
  <si>
    <t>CC.9 Venta de alcohol?</t>
  </si>
  <si>
    <t>CC.9.1 ¿Con qué frecuencia?</t>
  </si>
  <si>
    <t>CC.10 Consumo de drogas?</t>
  </si>
  <si>
    <t>CC.10.1 ¿Con qué frecuencia?</t>
  </si>
  <si>
    <t>CC.11 Venta de drogas?</t>
  </si>
  <si>
    <t>CC.11.1 ¿Con qué frecuencia?</t>
  </si>
  <si>
    <t>CC.12 Daño a la propiedad pública y privada?</t>
  </si>
  <si>
    <t>CC.12.1 ¿Con qué frecuencia?</t>
  </si>
  <si>
    <t>CC.13 Fauna Urbana? (animales sin hogar)</t>
  </si>
  <si>
    <t>CC.13.2 ¿Con qué frecuencia?</t>
  </si>
  <si>
    <t>CC.14 Basura y suciedad?</t>
  </si>
  <si>
    <t>CC.14.2 ¿Con qué frecuencia?</t>
  </si>
  <si>
    <t>CC.16 Trabajo sexual (prostitución)?</t>
  </si>
  <si>
    <t>CC.16.2 ¿Con qué frecuencia?</t>
  </si>
  <si>
    <t>CC.17 Aglomeración de personas?</t>
  </si>
  <si>
    <t>CC.17.2 ¿Con qué frecuencia?</t>
  </si>
  <si>
    <t>CC.18 ¿Alguna otra que no le haya mencionado?</t>
  </si>
  <si>
    <t>CC.18.1 ¿Cuál?</t>
  </si>
  <si>
    <t>CC.18.2 ¿Con qué frecuencia?</t>
  </si>
  <si>
    <t>PCA.1 En los últimos 6 meses, es decir, de septiembre 2024 a la fecha. ¿Usted ha presenciado ventas ambulantes en el parque ? Enc. RE y RU. Si la respuesta es "SI" preguntar con que frecuencia</t>
  </si>
  <si>
    <t>PCA.1.0 ¿Con qué frecuencia?</t>
  </si>
  <si>
    <t>PCA.1.1 Le molestan las ventas ambulantes en el parque? Enc. RE y RU.</t>
  </si>
  <si>
    <t>PA.1 Excluyendo a militares y policías en servicio activo, durante los últimos 6 meses. ¿Usted ha visto en el parque La Carolina a personas que porten armas? Enc. RE y RU.</t>
  </si>
  <si>
    <t>PA.2 ¿Qué tipo de armas? Enc. RE y RM</t>
  </si>
  <si>
    <t>PA.2 ¿Qué tipo de armas? Enc. RE y RM/1. De fuego</t>
  </si>
  <si>
    <t>PA.2 ¿Qué tipo de armas? Enc. RE y RM/2. Blanca</t>
  </si>
  <si>
    <t>PA.2 ¿Qué tipo de armas? Enc. RE y RM/3. Contundente</t>
  </si>
  <si>
    <t>PA.2 ¿Qué tipo de armas? Enc. RE y RM/4. Constrictora</t>
  </si>
  <si>
    <t>PA.2 ¿Qué tipo de armas? Enc. RE y RM/5. Otras</t>
  </si>
  <si>
    <t>PA.2.1 ¿Cuál?</t>
  </si>
  <si>
    <t>PA.3 Durante los últimos 6 meses. ¿Ud. ha presenciado alguna situación de violencia relacionada con armas en el parque? Enc. RE y RU.</t>
  </si>
  <si>
    <t>En los últimos 6 meses, es decir, de septiembre 2024 a la fecha ¿Ud ha visto trabajar dentro del parque a funcionarios de las siguientes instituciones? Enc. si la respuesta es "SI", por favor preguntar si utilizó algún servicio, calificación, contribución y emoción.</t>
  </si>
  <si>
    <t>SSM.1 Agencia Metropolitana de Control (AMC) - Encargados de cumplir las normativas y regulaciones metropolitanas.</t>
  </si>
  <si>
    <t>SSM.1.1 ¿Se benefició de alguna manera del  trabajo de esta institución?</t>
  </si>
  <si>
    <t>SSM.1.2 ¿Cómo califica el servicio?</t>
  </si>
  <si>
    <t>SSM.2 Agencia Metropolitana de Control de Comercio (AMCC) - Encargados de regular y fortalecer el comercio de Quito.</t>
  </si>
  <si>
    <t>SSM.2.1 ¿Se benefició de alguna manera del  trabajo de esta institución?</t>
  </si>
  <si>
    <t>SSM.2.2 ¿Cómo califica el servicio?</t>
  </si>
  <si>
    <t>SSM.3 Patronato San José (UPMSJ) - Atención a personas en situación de calle.</t>
  </si>
  <si>
    <t>SSM.3.1 ¿Se benefició de alguna manera del  trabajo de esta institución?</t>
  </si>
  <si>
    <t>SSM.3.2 ¿Cómo califica el servicio?</t>
  </si>
  <si>
    <t>SSM.4 Cuerpo de Agentes de Control Metropolitano de Quito (CACMQ) - Mantener el orden y la seguridad.</t>
  </si>
  <si>
    <t>SSM.4.1 ¿Se benefició de alguna manera del  trabajo de esta institución?</t>
  </si>
  <si>
    <t>SSM.4.2 ¿Cómo califica el servicio?</t>
  </si>
  <si>
    <t>SSM.5 Cuerpo de Bombero de Quito (CBQ) - Prevención, control y respuesta de emergencias a incendios, rescates y desastres.</t>
  </si>
  <si>
    <t>SSM.5.1 ¿Se benefició de alguna manera del  trabajo de esta institución?</t>
  </si>
  <si>
    <t>SSM.5.2 ¿Cómo califica el servicio?</t>
  </si>
  <si>
    <t>SSM.6 Agencia Metropolitana de Tránsito (AMT) - Regular, gestionar y controlar el tránsito y la movilidad.</t>
  </si>
  <si>
    <t>SSM.6.1 ¿Se benefició de alguna manera del  trabajo de esta institución?</t>
  </si>
  <si>
    <t>SSM.6.2 ¿Cómo califica el servicio?</t>
  </si>
  <si>
    <t>SSM.7 Empresa Metropolitana de Aseo (EMASEO) - Recolección, transporte y disposición de residuos.</t>
  </si>
  <si>
    <t>SSM.7.1 ¿Se benefició de alguna manera del  trabajo de esta institución?</t>
  </si>
  <si>
    <t>SSM.7.2 ¿Cómo califica el servicio?</t>
  </si>
  <si>
    <t>SSM.8 Policía Nacional (PN) - Garantizar el orden público y la protección de la ciudadania.</t>
  </si>
  <si>
    <t>SSM.8.1 ¿Se benefició de alguna manera del  trabajo de esta institución?</t>
  </si>
  <si>
    <t>SSM.8.2 ¿Cómo califica el servicio?</t>
  </si>
  <si>
    <t>SSM.9 Fuerzas Armadas del Ecuador (FFAA) - Defensa de la soberanía e integridad territorial del país.</t>
  </si>
  <si>
    <t>SSM.9.1 ¿Se benefició de alguna manera del  trabajo de esta institución?</t>
  </si>
  <si>
    <t>SSM.9.2 ¿Cómo califica el servicio?</t>
  </si>
  <si>
    <t>SSM.10 Secretaría General de Seguridad Ciudadana y Gestión de Riesgos (SGSCGR) -  Coordinar políticas, estrategías y acciones de fortalecimiento de la seguridad ciudadana y gestión de riesgos.</t>
  </si>
  <si>
    <t>SSM.10.1 ¿Se benefició de alguna manera del  trabajo de esta institución?</t>
  </si>
  <si>
    <t>SSM.10.2 ¿Cómo califica el servicio?</t>
  </si>
  <si>
    <t>SSM.13 Para finalizar la encuesta, por favor me puede mencionar qué siente usted cuando está en el parque? Enc. RE y RM</t>
  </si>
  <si>
    <t>1.</t>
  </si>
  <si>
    <t>2.</t>
  </si>
  <si>
    <t>3.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</si>
  <si>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</si>
  <si>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</si>
  <si>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</si>
  <si>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</si>
  <si>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</si>
  <si>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</si>
  <si>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</si>
  <si>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</si>
  <si>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</si>
  <si>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</si>
  <si>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OM</t>
  </si>
  <si>
    <t>GB-CP</t>
  </si>
  <si>
    <t>AMA</t>
  </si>
  <si>
    <t>2. Semanalmente</t>
  </si>
  <si>
    <t>1. Hombre</t>
  </si>
  <si>
    <t>1. Sí</t>
  </si>
  <si>
    <t>6. Mestiza(o)</t>
  </si>
  <si>
    <t>5. Universitario</t>
  </si>
  <si>
    <t>1. Completa</t>
  </si>
  <si>
    <t>1. Trabajar</t>
  </si>
  <si>
    <t>2. de $471 a $919</t>
  </si>
  <si>
    <t>1. Deporte / ejercicio</t>
  </si>
  <si>
    <t>2. Mañana  (06:00 a 11:59)</t>
  </si>
  <si>
    <t>3. de 2 hora a 3 horas</t>
  </si>
  <si>
    <t>4. Pistas para correr</t>
  </si>
  <si>
    <t>2. No</t>
  </si>
  <si>
    <t>2. SEGURO</t>
  </si>
  <si>
    <t>VE PRESENCIA DE GUARDIAS Y MUNICIPALES</t>
  </si>
  <si>
    <t>98. No Aplica</t>
  </si>
  <si>
    <t>3. Mejoró</t>
  </si>
  <si>
    <t>K L</t>
  </si>
  <si>
    <t>1. Aumentó</t>
  </si>
  <si>
    <t>3. Disminuyó</t>
  </si>
  <si>
    <t>1. POCO FRECUENTE</t>
  </si>
  <si>
    <t>2. FRECUENTE</t>
  </si>
  <si>
    <t>POR EL MOMENTO MÁS SEGURO</t>
  </si>
  <si>
    <t>66ebac4d-00ef-421d-b908-18eefd4d3cb6</t>
  </si>
  <si>
    <t>submitted_via_web</t>
  </si>
  <si>
    <t>vhGz9QPwmdkBybuGFUbzwe</t>
  </si>
  <si>
    <t>CP</t>
  </si>
  <si>
    <t>3. al menos 2 veces al mes</t>
  </si>
  <si>
    <t>3. Secundaria/ Bachillerato</t>
  </si>
  <si>
    <t>4. Es estudiante</t>
  </si>
  <si>
    <t>1. Menos de $470</t>
  </si>
  <si>
    <t>4. De paso</t>
  </si>
  <si>
    <t>3. Tarde (12:00 a 17:59)</t>
  </si>
  <si>
    <t>1. menos a 1 hora</t>
  </si>
  <si>
    <t>1. Canchas de fútbol y basquet 7. Áreas verdes</t>
  </si>
  <si>
    <t>3. INSEGURO</t>
  </si>
  <si>
    <t>ROBOS</t>
  </si>
  <si>
    <t>4. MUY INSEGURO</t>
  </si>
  <si>
    <t>2. Esta igual</t>
  </si>
  <si>
    <t>B G</t>
  </si>
  <si>
    <t>2. Se mantuvo</t>
  </si>
  <si>
    <t>3. MUY FRECUENTE</t>
  </si>
  <si>
    <t>2. BUENO</t>
  </si>
  <si>
    <t>1. MUY BUENO</t>
  </si>
  <si>
    <t>INSEGURO</t>
  </si>
  <si>
    <t>b4616808-16c9-434f-9ad3-a54e3196e9b5</t>
  </si>
  <si>
    <t>GH</t>
  </si>
  <si>
    <t>JC</t>
  </si>
  <si>
    <t>6. Post grado</t>
  </si>
  <si>
    <t>4. de $1340 a $1839</t>
  </si>
  <si>
    <t>4. más de 4 horas</t>
  </si>
  <si>
    <t>7. Áreas verdes</t>
  </si>
  <si>
    <t>POLICIA NACIONAL</t>
  </si>
  <si>
    <t>GENTE</t>
  </si>
  <si>
    <t>F</t>
  </si>
  <si>
    <t>FELIZ</t>
  </si>
  <si>
    <t>SEGURO</t>
  </si>
  <si>
    <t>06be3637-a871-4cb9-b79b-1ce7658ce689</t>
  </si>
  <si>
    <t>v5uNQoYdGp6CCoWUMSjVDf</t>
  </si>
  <si>
    <t>CC</t>
  </si>
  <si>
    <t>1. Indígena</t>
  </si>
  <si>
    <t>NO HAY POLICÍA NACIONAL</t>
  </si>
  <si>
    <t>MUCHOS PERROS</t>
  </si>
  <si>
    <t>E F K L</t>
  </si>
  <si>
    <t>PAZ</t>
  </si>
  <si>
    <t>72837e5c-f2ec-49c5-9380-24d6b0140da3</t>
  </si>
  <si>
    <t>BP</t>
  </si>
  <si>
    <t>2. Mujer</t>
  </si>
  <si>
    <t>2. Incompleta</t>
  </si>
  <si>
    <t>5. Recreación/Ocio</t>
  </si>
  <si>
    <t>1. Canchas de fútbol y basquet</t>
  </si>
  <si>
    <t>VE POLICÍAS EN EL PARQUE</t>
  </si>
  <si>
    <t>E</t>
  </si>
  <si>
    <t>SE SIENTE BIEN EL PARQUE PORQUE VIENEN CON SUS HIJOS</t>
  </si>
  <si>
    <t>020128e7-54da-48d1-94e4-b2240361509a</t>
  </si>
  <si>
    <t>5. Quehaceres domésticos</t>
  </si>
  <si>
    <t>2. de 1 a 2 horas</t>
  </si>
  <si>
    <t>POLICÍA NACIONAL</t>
  </si>
  <si>
    <t>POLICÍA METROPOLITANA</t>
  </si>
  <si>
    <t>SEGURA</t>
  </si>
  <si>
    <t>9ea69c9a-49b6-47a7-90ad-67201e67dcbd</t>
  </si>
  <si>
    <t>JP</t>
  </si>
  <si>
    <t>AS</t>
  </si>
  <si>
    <t>MJM</t>
  </si>
  <si>
    <t>99. NS/NC</t>
  </si>
  <si>
    <t>1. Deporte / ejercicio 3. Compras 6. Otra</t>
  </si>
  <si>
    <t>CAMINATA</t>
  </si>
  <si>
    <t>2. Mañana  (06:00 a 11:59) 3. Tarde (12:00 a 17:59)</t>
  </si>
  <si>
    <t>DELINCUENCIA</t>
  </si>
  <si>
    <t>1. Empeoró</t>
  </si>
  <si>
    <t>D</t>
  </si>
  <si>
    <t>VI.2 Robo  (con violencia)</t>
  </si>
  <si>
    <t>1. Arma blanca</t>
  </si>
  <si>
    <t>EMOCION</t>
  </si>
  <si>
    <t>RELAJACION</t>
  </si>
  <si>
    <t>0beb0ce7-75db-447c-bd4a-fed425022c5f</t>
  </si>
  <si>
    <t>GB-CE</t>
  </si>
  <si>
    <t>4. Tecnicatura/Tecnología</t>
  </si>
  <si>
    <t>POLICIA</t>
  </si>
  <si>
    <t>TRANQUILO</t>
  </si>
  <si>
    <t>f5d394e7-828b-4d32-a5f4-233fb0dc632c</t>
  </si>
  <si>
    <t>1. Deporte / ejercicio 2. Culturales y sociales 3. Compras 6. Otra</t>
  </si>
  <si>
    <t>3. Caminos de ciclismo 4. Pistas para correr</t>
  </si>
  <si>
    <t>CLASE DE PERSONAS SOSPECHOSAS</t>
  </si>
  <si>
    <t>98. No aplica</t>
  </si>
  <si>
    <t>NO HAY CONTENEDORES</t>
  </si>
  <si>
    <t>FELIZ POR MIS HIJOS ESTEB VIEN</t>
  </si>
  <si>
    <t>CALMADA</t>
  </si>
  <si>
    <t>EMOCIONADA</t>
  </si>
  <si>
    <t>5167d46e-8e3b-47d0-ac79-3f61af88c3f1</t>
  </si>
  <si>
    <t>AFC</t>
  </si>
  <si>
    <t>JA</t>
  </si>
  <si>
    <t>MUCHA GENTE</t>
  </si>
  <si>
    <t>MUCHA SEGURIDAD</t>
  </si>
  <si>
    <t>TRANQUILIDAD</t>
  </si>
  <si>
    <t>SEGURIDAD</t>
  </si>
  <si>
    <t>a6bdab0e-0af3-4d34-9114-7277139e4188</t>
  </si>
  <si>
    <t>1. Diariamente</t>
  </si>
  <si>
    <t>2. Mañana  (06:00 a 11:59) 3. Tarde (12:00 a 17:59) 4. Noche  (18:00 a 23:59)</t>
  </si>
  <si>
    <t>1. Canchas de fútbol y basquet 4. Pistas para correr 6. Área para perros</t>
  </si>
  <si>
    <t>CPNSUMO DE DROGAS</t>
  </si>
  <si>
    <t>ALEGRIA</t>
  </si>
  <si>
    <t>CONEXION CON LA NATURALEZA</t>
  </si>
  <si>
    <t>e6911d88-e43f-44bb-acd2-c0bd8d5c0dfa</t>
  </si>
  <si>
    <t>8. Otro</t>
  </si>
  <si>
    <t>CRIOLLO</t>
  </si>
  <si>
    <t>7. Dueña/o de su propio negocio</t>
  </si>
  <si>
    <t>3. de $920 a $1339</t>
  </si>
  <si>
    <t>1. Deporte / ejercicio 5. Recreación/Ocio</t>
  </si>
  <si>
    <t>6. Área para perros</t>
  </si>
  <si>
    <t>POR INFORMACION EN NOTICIAS</t>
  </si>
  <si>
    <t>POR GENTE ESTRANJERA</t>
  </si>
  <si>
    <t>CONSUMO DE DROGAS Y ALCOHOL</t>
  </si>
  <si>
    <t>H</t>
  </si>
  <si>
    <t>INSEGURIDAD</t>
  </si>
  <si>
    <t>NO HAY CUIDADO CON LOS ANIMALES DE COMPANIA</t>
  </si>
  <si>
    <t>6233d3a2-fdb4-4cf7-b822-3cc8251c816f</t>
  </si>
  <si>
    <t>GB-LS</t>
  </si>
  <si>
    <t>1. MUY SEGURO</t>
  </si>
  <si>
    <t>PERSONAS CORRIENDO</t>
  </si>
  <si>
    <t>SI LA POLICÍA</t>
  </si>
  <si>
    <t>B</t>
  </si>
  <si>
    <t>78106956-a91f-4146-a1c8-11a028896e10</t>
  </si>
  <si>
    <t>GB-MA</t>
  </si>
  <si>
    <t>3. Es jubilada/o o pensionista/o</t>
  </si>
  <si>
    <t>8. Otro.</t>
  </si>
  <si>
    <t>BOULEVARES</t>
  </si>
  <si>
    <t>CONTROL POLICIAL</t>
  </si>
  <si>
    <t>Ninguno</t>
  </si>
  <si>
    <t>2f51918b-00c5-462f-9820-60e0a8cc611b</t>
  </si>
  <si>
    <t>GB-SCH</t>
  </si>
  <si>
    <t>AE</t>
  </si>
  <si>
    <t>2. Culturales y sociales</t>
  </si>
  <si>
    <t>NO HAY PRESENCIA POLICIAL</t>
  </si>
  <si>
    <t>DISTRACCION</t>
  </si>
  <si>
    <t>eadfec1d-d788-47c9-a0c7-679ee430a7fe</t>
  </si>
  <si>
    <t>GB-EG</t>
  </si>
  <si>
    <t>3. Compras</t>
  </si>
  <si>
    <t>3. Caminos de ciclismo</t>
  </si>
  <si>
    <t>SE SIENTE SEGURA PORQUE HAY GUARDIAS</t>
  </si>
  <si>
    <t>d54d8678-3934-44cf-9852-297996d0f60e</t>
  </si>
  <si>
    <t>GR</t>
  </si>
  <si>
    <t>4. Mulata(o)</t>
  </si>
  <si>
    <t>HAY VENTA AMBULANTE</t>
  </si>
  <si>
    <t>PERSONAS EXTRAÑAS</t>
  </si>
  <si>
    <t>C</t>
  </si>
  <si>
    <t>fec05417-39aa-498b-8b1b-2995d03b8d28</t>
  </si>
  <si>
    <t>AMC</t>
  </si>
  <si>
    <t>7. Blanca(o)</t>
  </si>
  <si>
    <t>7. Doctorado</t>
  </si>
  <si>
    <t>FALTA MAS LUMINARIA</t>
  </si>
  <si>
    <t>FALTA MAS POLICIAS</t>
  </si>
  <si>
    <t>LE GUSTA, FELIZ EN EL PARQUE</t>
  </si>
  <si>
    <t>d76b0a94-7246-494b-b90c-2337a81fd3f1</t>
  </si>
  <si>
    <t>5. más de $1840</t>
  </si>
  <si>
    <t>EL HORARIO</t>
  </si>
  <si>
    <t>G</t>
  </si>
  <si>
    <t>CONTACTO CON LA NATURALEZA</t>
  </si>
  <si>
    <t>b858451d-7a10-4b16-8cf3-f4187d471374</t>
  </si>
  <si>
    <t>GP-CE</t>
  </si>
  <si>
    <t>CAMINERA</t>
  </si>
  <si>
    <t>HORARIOS SIN POLICIAS</t>
  </si>
  <si>
    <t>PERSONAS CONSUMO DE DROGAS</t>
  </si>
  <si>
    <t>DISTRAIDO</t>
  </si>
  <si>
    <t>RELAJADO</t>
  </si>
  <si>
    <t>LIBRE</t>
  </si>
  <si>
    <t>f1bf8872-307b-4321-9a68-20b109b8f3ba</t>
  </si>
  <si>
    <t>AGLOMERACION DE GENTE</t>
  </si>
  <si>
    <t>26b7ac5d-31aa-4ce6-87a6-cda0c1f3a4ba</t>
  </si>
  <si>
    <t>GB-CCH</t>
  </si>
  <si>
    <t>MUCHA VENTA INFORMAL</t>
  </si>
  <si>
    <t>L</t>
  </si>
  <si>
    <t>2. Blanca</t>
  </si>
  <si>
    <t>NO TAN SEGURA</t>
  </si>
  <si>
    <t>4fa3a2a1-9cae-4ff3-95af-857e3c33e6ff</t>
  </si>
  <si>
    <t>GP-CP</t>
  </si>
  <si>
    <t>1. Deporte / ejercicio 4. De paso 5. Recreación/Ocio</t>
  </si>
  <si>
    <t>NO HA TENIDO NINGUN ATRACO</t>
  </si>
  <si>
    <t>ALEGRIA EN TIEMPO DE OCIO</t>
  </si>
  <si>
    <t>09ca7bab-6a07-4497-b769-2d893c9d8c52</t>
  </si>
  <si>
    <t>PORQUE NO HAY RIESGO DE ROBO</t>
  </si>
  <si>
    <t>AMBIENTE TRANQUILO</t>
  </si>
  <si>
    <t>1622aa7f-5bdc-4b18-847e-c8113f1e48fd</t>
  </si>
  <si>
    <t>PORQUE VENGO EN LA MAÑANA Y ACOMPAÑADA</t>
  </si>
  <si>
    <t>BIEN TRANQUILA</t>
  </si>
  <si>
    <t>56e98e4f-0cdf-4394-892e-68cf472e0876</t>
  </si>
  <si>
    <t>GENTE EXTRANJERA</t>
  </si>
  <si>
    <t>NO HAY POLICIA</t>
  </si>
  <si>
    <t>GENTE TOMANDO</t>
  </si>
  <si>
    <t>C D</t>
  </si>
  <si>
    <t>INSERIO</t>
  </si>
  <si>
    <t>cd312ea7-c3bf-45f3-b8b2-7abc237954b0</t>
  </si>
  <si>
    <t>MQ</t>
  </si>
  <si>
    <t>SIEMPRE VE QUE RONDA POLICÍA NACIONAL</t>
  </si>
  <si>
    <t>GUARDIAS</t>
  </si>
  <si>
    <t>B I J</t>
  </si>
  <si>
    <t>CHEVERE</t>
  </si>
  <si>
    <t>RELAJARSE</t>
  </si>
  <si>
    <t>SE DESESTREZA</t>
  </si>
  <si>
    <t>2bb735ca-9206-476f-9743-b2f9488e0a13</t>
  </si>
  <si>
    <t>1. Canchas de fútbol y basquet 8. Otro.</t>
  </si>
  <si>
    <t>BASQUET</t>
  </si>
  <si>
    <t>BASTANTE PERSONAL SEGURIDAD, POLICIA NACIONAL, GUARDIA, CACMQ</t>
  </si>
  <si>
    <t>A B C E F G K L</t>
  </si>
  <si>
    <t>SIENTE BIEN POR SEGURIDAD Y CONTROL</t>
  </si>
  <si>
    <t>ee5647db-d392-445e-acae-a6ca38a13334</t>
  </si>
  <si>
    <t>GB-GC</t>
  </si>
  <si>
    <t>A</t>
  </si>
  <si>
    <t>CONTENTO</t>
  </si>
  <si>
    <t>0c4a8d58-f61d-4039-9c17-e46e1758937f</t>
  </si>
  <si>
    <t>3. Caminos de ciclismo 7. Áreas verdes</t>
  </si>
  <si>
    <t>MOVIMIENTO DEL PERSONAL DE SEGURIDAD</t>
  </si>
  <si>
    <t>SE SIENTE TRANQUILO</t>
  </si>
  <si>
    <t>DESESTRESARSE</t>
  </si>
  <si>
    <t>08048248-9a8c-49d8-984a-73e41e23a1f1</t>
  </si>
  <si>
    <t>PORQUE LES HA OIDO ASALTAN EN LA NOCHE</t>
  </si>
  <si>
    <t>SE SIENTE FELIZ AL PARQUE PORQUE HAY SEGURIDAD EN LA NOCHE</t>
  </si>
  <si>
    <t>0bbe6c9c-95a3-416b-b925-71b35c8d3108</t>
  </si>
  <si>
    <t>NO HA TENIDO NINGUN PROBLEMA</t>
  </si>
  <si>
    <t>EN LA MAÑANA SI ES SEGURO EN LA NOCHE NO VENDRÍA AL PARQUE</t>
  </si>
  <si>
    <t>ceb5ed80-f330-4545-99ec-0105afd7e5d4</t>
  </si>
  <si>
    <t>DD</t>
  </si>
  <si>
    <t>ALERTAS EN EL PARQUE</t>
  </si>
  <si>
    <t>DESPEJADO</t>
  </si>
  <si>
    <t>32a9fc52-98f5-4b6c-9bd1-e1bd36142c42</t>
  </si>
  <si>
    <t>vW5mhy2Axz2h6R9j6EeZpr</t>
  </si>
  <si>
    <t>GUARDABOSQUES</t>
  </si>
  <si>
    <t>defc8cc0-72e9-479a-99ff-66785a6dcd01</t>
  </si>
  <si>
    <t>GP-GC</t>
  </si>
  <si>
    <t>DROGA</t>
  </si>
  <si>
    <t>MENDIGOS</t>
  </si>
  <si>
    <t>B K</t>
  </si>
  <si>
    <t>1. De fuego 2. Blanca</t>
  </si>
  <si>
    <t>FELICIDAD POR LOS TRABAJOS</t>
  </si>
  <si>
    <t>AGUSTO</t>
  </si>
  <si>
    <t>2598d64d-62cd-4c0b-8095-7bc670bd5d03</t>
  </si>
  <si>
    <t>6. No trabaja</t>
  </si>
  <si>
    <t>4. De paso 5. Recreación/Ocio</t>
  </si>
  <si>
    <t>HORARIO Y LA GENTE</t>
  </si>
  <si>
    <t>ESTABLECIMIENTOS</t>
  </si>
  <si>
    <t>GUSTO</t>
  </si>
  <si>
    <t>e18d1009-da2e-4323-96ee-4d549e899610</t>
  </si>
  <si>
    <t>GP-RQ</t>
  </si>
  <si>
    <t>VE GUARDIANIA</t>
  </si>
  <si>
    <t>HAY BUEN MANTENIMIENTO DEL PARQUE</t>
  </si>
  <si>
    <t>POR LA AFLUENCIA DE PERSONAS</t>
  </si>
  <si>
    <t>A C</t>
  </si>
  <si>
    <t>MEJORA SU SALUD FÍSICA Y MENTAL</t>
  </si>
  <si>
    <t>SE SIENTE RESPALDADO POR LA GENTE</t>
  </si>
  <si>
    <t>SIENTE SEGURIDAD</t>
  </si>
  <si>
    <t>c01fc14b-5cea-4260-843d-99418e0c40e3</t>
  </si>
  <si>
    <t>POLICÍA DESDE LAS 5 QUE HACEN RONDAS</t>
  </si>
  <si>
    <t>NO HA ESCUCHADO NOVEDADES</t>
  </si>
  <si>
    <t>E I</t>
  </si>
  <si>
    <t>SE VE COSAS BUENAS EN EL PARQUE</t>
  </si>
  <si>
    <t>SEGURO - TRANQUILO</t>
  </si>
  <si>
    <t>592484ce-f43a-45fe-b0e7-879b736bbf19</t>
  </si>
  <si>
    <t>BASTANTE GENTE</t>
  </si>
  <si>
    <t>5c33b3da-c220-4195-9d13-889379e1be35</t>
  </si>
  <si>
    <t>GB-JG</t>
  </si>
  <si>
    <t>1. Madrugada (00:00 a 05:59)</t>
  </si>
  <si>
    <t>PRESENCIA POLICIA</t>
  </si>
  <si>
    <t>3b369c24-c972-4cb6-be1f-bb08ca51fbf7</t>
  </si>
  <si>
    <t>DA</t>
  </si>
  <si>
    <t>NO HAY DELINCUENCIA</t>
  </si>
  <si>
    <t>PRESENCIA DE SEGURIDAD</t>
  </si>
  <si>
    <t>FELICIDAD</t>
  </si>
  <si>
    <t>b288637a-d7d8-4185-b3c4-a17eec899f6c</t>
  </si>
  <si>
    <t>AFLUENCIA DE GENTE</t>
  </si>
  <si>
    <t>BIEN</t>
  </si>
  <si>
    <t>26731132-5c9e-4197-93f6-93b969e9d96f</t>
  </si>
  <si>
    <t>SEGUIRDAD</t>
  </si>
  <si>
    <t>cc8c50c5-ce40-409d-8f88-ecc1c4229bd6</t>
  </si>
  <si>
    <t>PERSONAS DE OTRA NACIONALIDAD QUE UTILIZAN EL PARQUE PARA CONSUMIR SUSTANCIAS</t>
  </si>
  <si>
    <t>C E</t>
  </si>
  <si>
    <t>VI.3 Hurto (sin violencia) VI.11 Agresión verbal</t>
  </si>
  <si>
    <t>6. Ninguna</t>
  </si>
  <si>
    <t>ESTADO DE BIENESTAR</t>
  </si>
  <si>
    <t>TRANQUILIDAD PORQUE SALE DE LO COTIDIANO</t>
  </si>
  <si>
    <t>SENTIMIENTO DE INSEGURIDAD POR ESTAFAS</t>
  </si>
  <si>
    <t>42d96b39-76f1-4b82-9436-1d9b6bb58f49</t>
  </si>
  <si>
    <t>PB-MA</t>
  </si>
  <si>
    <t>RECORRIDO POLICIAS</t>
  </si>
  <si>
    <t>937844ee-f246-4f86-aa3e-10bf9e42b75d</t>
  </si>
  <si>
    <t>GB-NC</t>
  </si>
  <si>
    <t>FUNCIONARIOS DEL PARQUE</t>
  </si>
  <si>
    <t>CONFIADO</t>
  </si>
  <si>
    <t>77f076c6-c297-4bac-904a-e64a3c5d3c2d</t>
  </si>
  <si>
    <t>MUNDO JUVENIL</t>
  </si>
  <si>
    <t>PARQUE LIMPIO</t>
  </si>
  <si>
    <t>GUARDIAS SEGURIDAD</t>
  </si>
  <si>
    <t>I L</t>
  </si>
  <si>
    <t>NORMAL</t>
  </si>
  <si>
    <t>TRANQUILA</t>
  </si>
  <si>
    <t>d520aa3f-8212-4857-a099-efce1cf2c87c</t>
  </si>
  <si>
    <t>1. Canchas de fútbol y basquet 4. Pistas para correr</t>
  </si>
  <si>
    <t>POR TRANQUILIDAD</t>
  </si>
  <si>
    <t>PERROS AGRESIVOS</t>
  </si>
  <si>
    <t>54aee364-d950-4d30-9cc2-12984c8fefcc</t>
  </si>
  <si>
    <t>PASEO</t>
  </si>
  <si>
    <t>PARA NIÑOS</t>
  </si>
  <si>
    <t>POR DELINCUENCIA</t>
  </si>
  <si>
    <t>PRESENTIMIENTO</t>
  </si>
  <si>
    <t>ALEGRÍA</t>
  </si>
  <si>
    <t>DISTRACCIÓN</t>
  </si>
  <si>
    <t>793002f4-bd23-4abf-9a10-3291ed38556a</t>
  </si>
  <si>
    <t>7. Áreas verdes 8. Otro.</t>
  </si>
  <si>
    <t>SENDEROS</t>
  </si>
  <si>
    <t>FALTA SEGURIDAD</t>
  </si>
  <si>
    <t>C D E I J</t>
  </si>
  <si>
    <t>DEBE HABER WIFI EN EL PARQUE</t>
  </si>
  <si>
    <t>DESESTRESADO</t>
  </si>
  <si>
    <t>e6a53c45-7993-4739-b7b9-97c16bd1aa62</t>
  </si>
  <si>
    <t>1. Deporte / ejercicio 2. Culturales y sociales 5. Recreación/Ocio</t>
  </si>
  <si>
    <t>PRESENCIA DE GENTE Y ES VISIBLE</t>
  </si>
  <si>
    <t>RECREACIÓN</t>
  </si>
  <si>
    <t>INSERTIDUMBRE POR SI LLEGA A PASAR ALGO</t>
  </si>
  <si>
    <t>1446a2a1-57f9-494f-9b3a-507e151d2d19</t>
  </si>
  <si>
    <t>PRESENCIA DE POLICÍA Y MUNICIPALES</t>
  </si>
  <si>
    <t>CIERTO GRADO DE TRANQUILIDAD</t>
  </si>
  <si>
    <t>4784fe5d-4ebe-4c93-a8f7-120f52160303</t>
  </si>
  <si>
    <t>1. Deporte / ejercicio 3. Compras</t>
  </si>
  <si>
    <t>HAY MOVIMIENTO DE PERSONAS Y POLICIAS</t>
  </si>
  <si>
    <t>LUGAR DE RECREACIÓN</t>
  </si>
  <si>
    <t>d6d7684c-cb86-4ca2-a807-3ed6b8c42504</t>
  </si>
  <si>
    <t>NO HA VISTO PELIGRO</t>
  </si>
  <si>
    <t>3. MALO</t>
  </si>
  <si>
    <t>83f395b8-ded2-42af-8ed0-68b72f789223</t>
  </si>
  <si>
    <t>ME ROBARON</t>
  </si>
  <si>
    <t>POCO ALUMBRADO</t>
  </si>
  <si>
    <t>VI.3 Hurto (sin violencia)</t>
  </si>
  <si>
    <t>RELAJACIÓN</t>
  </si>
  <si>
    <t>f2e2e407-789d-455f-86ae-91a081d280ac</t>
  </si>
  <si>
    <t>NO HA VISTO ROBOS EN LA CAROLINA</t>
  </si>
  <si>
    <t>SI ESTA BONITO VENIR AL PARQUE PORQUE ESTA MUY BONITO</t>
  </si>
  <si>
    <t>30bf9fb0-f732-4019-9f12-64d464b88a61</t>
  </si>
  <si>
    <t>HA VISTO SEGURIDAD EN EL PARQUE</t>
  </si>
  <si>
    <t>EN EL DIA SI ES SEGURO HASTA LAS 18:00 DE AHI ES PELIGROSO</t>
  </si>
  <si>
    <t>1a8c3f66-32ca-4077-a7cf-a3d7442df82c</t>
  </si>
  <si>
    <t>HAY BASTANTE GENTE CORRIENDO</t>
  </si>
  <si>
    <t>SI SE SIENTE FELIZ AL VENIR AL PARQUE</t>
  </si>
  <si>
    <t>b6a218ff-3306-478f-afcd-cb8d3becf3bf</t>
  </si>
  <si>
    <t>PORQUE SI VE SEGURIDAD EN EL PARQUE</t>
  </si>
  <si>
    <t>SE SIENTE FELIZ POR LAS AREAS PARA CORRER EN LAS NOCHES NO RECOMIENDA VENIR</t>
  </si>
  <si>
    <t>07c0d9c3-7e92-4195-a213-8ff77c2aeba1</t>
  </si>
  <si>
    <t>AFLUENCIA DE PERSONAS</t>
  </si>
  <si>
    <t>PRESENCIA POLICIA NACIONAL</t>
  </si>
  <si>
    <t>B E F</t>
  </si>
  <si>
    <t>5f5d2fae-6e52-421d-b6c5-39d72e169df7</t>
  </si>
  <si>
    <t>NO HAY MUCHOS ROBOS</t>
  </si>
  <si>
    <t>PRESENCIA DE POLICÍA NACIONAL</t>
  </si>
  <si>
    <t>B G J</t>
  </si>
  <si>
    <t>MOLESTO</t>
  </si>
  <si>
    <t>731e72a7-8c06-4981-9b3a-0217d6d93f3c</t>
  </si>
  <si>
    <t>HA VISTO GENTE SOSPECHOSA GENTE DROGÁNDOSE</t>
  </si>
  <si>
    <t>VI.12 Otros</t>
  </si>
  <si>
    <t>INTENTO DE ROBO</t>
  </si>
  <si>
    <t>4. MUY MALO</t>
  </si>
  <si>
    <t>SE SIENTE BIEN EL PARQUE SI SE DEBE MEJORAR LA SEGURIDAD</t>
  </si>
  <si>
    <t>d23659c9-f17a-47f5-ba16-433cd6610026</t>
  </si>
  <si>
    <t>EMOCIÓN</t>
  </si>
  <si>
    <t>cbd61863-bd5f-46d7-ba50-5e6744fcad24</t>
  </si>
  <si>
    <t>6. Área para perros 7. Áreas verdes</t>
  </si>
  <si>
    <t>CUANDO HAY VIGILANCIA Y PRESENCIA DE GENTE</t>
  </si>
  <si>
    <t>A C D H</t>
  </si>
  <si>
    <t>EN HORARIOS DEL DÍA, RELAJADO</t>
  </si>
  <si>
    <t>EN HORARIOS DE TARDE Y NOCHE, INSEGURO</t>
  </si>
  <si>
    <t>a4b61c1a-54fa-4e34-b60a-3e2ee9fb07cc</t>
  </si>
  <si>
    <t>2. Primaria</t>
  </si>
  <si>
    <t>SE VE A LA POLICÍA</t>
  </si>
  <si>
    <t>J</t>
  </si>
  <si>
    <t>bcaeb920-acb6-4865-a626-5d3acee50dba</t>
  </si>
  <si>
    <t>6. Otra</t>
  </si>
  <si>
    <t>PROFESOR DE EDUCACIÓN FÍSICA</t>
  </si>
  <si>
    <t>PRESENCIA DE POLICIA NACIONAL</t>
  </si>
  <si>
    <t>PRESENCIA DE PERSONAS</t>
  </si>
  <si>
    <t>9c5be5c1-a4af-454d-836d-0dd949ecdc37</t>
  </si>
  <si>
    <t>ES BIEN ILUMINADO Y SE SIENTE SEGURO</t>
  </si>
  <si>
    <t>SI SE PUEDE VENIR PORQUE HAY SEGURIDAD</t>
  </si>
  <si>
    <t>f96066f2-17bc-48e3-a6b7-88561bf6ea64</t>
  </si>
  <si>
    <t>SE SIENTE SEGURO PORQUE HAY SEGURIDAD</t>
  </si>
  <si>
    <t>SE SIENTE BIEN SE MOTIVA AL VER HACIENDO DEPORTE</t>
  </si>
  <si>
    <t>d6d4641d-fd25-4c89-9cf9-5c70abc0428d</t>
  </si>
  <si>
    <t>MIGRACIÓN</t>
  </si>
  <si>
    <t>MUCHA DELINCUENCIA</t>
  </si>
  <si>
    <t>967abca9-7f3c-4d20-88fb-d2ad8d5005d8</t>
  </si>
  <si>
    <t>CONOACO EL PARQUE</t>
  </si>
  <si>
    <t>A B D H I J</t>
  </si>
  <si>
    <t>11016bd5-15aa-43a4-a142-c1aaef0878b9</t>
  </si>
  <si>
    <t>4. Pistas para correr 7. Áreas verdes</t>
  </si>
  <si>
    <t>PRESENCIA DE POLICIA</t>
  </si>
  <si>
    <t>TRANQUILIDAD RELAJARSE</t>
  </si>
  <si>
    <t>PAZ CONFIABLE</t>
  </si>
  <si>
    <t>OLVIDO DE TODO</t>
  </si>
  <si>
    <t>85f2b0f3-0b64-4ceb-a03c-a2181574c30a</t>
  </si>
  <si>
    <t>POLICÍA Y METROPOLITANOS EN EL PUNTO</t>
  </si>
  <si>
    <t>SE SIENTE BIEN</t>
  </si>
  <si>
    <t>3d27456b-70b5-483e-9cce-8e0c22522423</t>
  </si>
  <si>
    <t>NERVIOSA</t>
  </si>
  <si>
    <t>b3e03e4b-1130-42c5-b9f8-bf940109dbaa</t>
  </si>
  <si>
    <t>1. Deporte / ejercicio 2. Culturales y sociales</t>
  </si>
  <si>
    <t>ESTÁ ACOMPAÑADA</t>
  </si>
  <si>
    <t>6d03a9fb-3d30-44d1-b193-f3dc6bf00e5d</t>
  </si>
  <si>
    <t>NO SIENTE MUCHA SEGURIDAD EN EL PARQUE</t>
  </si>
  <si>
    <t>d388915f-a871-43ec-b12b-113961b6dab3</t>
  </si>
  <si>
    <t>VE POLICIAS EN EL PARQUE</t>
  </si>
  <si>
    <t>I</t>
  </si>
  <si>
    <t>LE GUSTA VENIR AL PARQUE A RECREAR LA MENTE</t>
  </si>
  <si>
    <t>00c40db6-f525-49f5-a88c-7ca3d3339988</t>
  </si>
  <si>
    <t>HE VISTO POLICIAS HAY MAS GENTE</t>
  </si>
  <si>
    <t>A LA HORA QUE VIENE SI VE SEGURIDAD EN LA MAÑANA, EN LA NOCHE NO LO RECOMIENDA</t>
  </si>
  <si>
    <t>27fb9402-69c5-4dfb-bf6f-531c6eea8bb2</t>
  </si>
  <si>
    <t>AREA DE JUEGOS</t>
  </si>
  <si>
    <t>MUCHOS VEHÍCULOS</t>
  </si>
  <si>
    <t>9125b0d4-3e03-476d-9950-eff6baa30907</t>
  </si>
  <si>
    <t>5. Montubia(o)</t>
  </si>
  <si>
    <t>AGLOMERACIÓN DE GENTE</t>
  </si>
  <si>
    <t>4a403361-b755-467c-90ba-14732fada833</t>
  </si>
  <si>
    <t>GB-GP</t>
  </si>
  <si>
    <t>HAY PRSENCIA DE GENTE</t>
  </si>
  <si>
    <t>SIENTE TRANQUILIDAD Y SEGURIDAD</t>
  </si>
  <si>
    <t>29cf0556-3841-4117-a268-2a14bc0446e0</t>
  </si>
  <si>
    <t>LA HORA</t>
  </si>
  <si>
    <t>LA AFLUENCIA DE GENTE</t>
  </si>
  <si>
    <t>LIBERTAD</t>
  </si>
  <si>
    <t>1b43937c-ca62-440c-ab84-27a106336cea</t>
  </si>
  <si>
    <t>POR LA TRANQUILIDAD</t>
  </si>
  <si>
    <t>ZONA ABIERTA</t>
  </si>
  <si>
    <t>HAY GENTE</t>
  </si>
  <si>
    <t>a643d525-1859-447b-aab2-e61a855469e8</t>
  </si>
  <si>
    <t>HAN VISTO SEGURIDAD EN EL PARQUE</t>
  </si>
  <si>
    <t>SI SE PUEDE VENIR AL PARQUE CON SEGURIDAD</t>
  </si>
  <si>
    <t>ec526916-ee5c-42d0-afda-57e0e98c03a1</t>
  </si>
  <si>
    <t>HAN VISTO GENTE CORRIENDO</t>
  </si>
  <si>
    <t>POLICIAS A CABALLO</t>
  </si>
  <si>
    <t>SI RECOMIENDO VENIR EN LA MAÑANA EN LA NOCHE NO</t>
  </si>
  <si>
    <t>7f92ea98-d61d-4acc-aec8-0ac98ddcaa13</t>
  </si>
  <si>
    <t>AGENTES DE CONTROL</t>
  </si>
  <si>
    <t>PARADA DEL METRO</t>
  </si>
  <si>
    <t>B C E F I J L</t>
  </si>
  <si>
    <t>ESTADO DE ALERTA</t>
  </si>
  <si>
    <t>c50cc21b-1d22-4a41-a592-a4f2d0085ae3</t>
  </si>
  <si>
    <t>580b29eb-3b5f-40bc-8db1-447d0b4b6f9e</t>
  </si>
  <si>
    <t>POLICIA METROPOLITANA</t>
  </si>
  <si>
    <t>857504b9-1f57-4af2-903c-69ed43bfd895</t>
  </si>
  <si>
    <t>A C H</t>
  </si>
  <si>
    <t>f4398469-538b-491f-8c54-9c742ddeaadc</t>
  </si>
  <si>
    <t>ROBOS Y ASALTOS EN LA ZONA</t>
  </si>
  <si>
    <t>MAL POR LA INSEGURIDAD</t>
  </si>
  <si>
    <t>ce4e9688-8cb1-4c34-9f5e-8713fb227c7a</t>
  </si>
  <si>
    <t>HAY ROBOS EN LOS PARQUES</t>
  </si>
  <si>
    <t>SIEMPRE QUE PUEDE HACER ACTIVIDADES RECREATIVAS PERO TIENE QUE ESTAR PENDIENTE</t>
  </si>
  <si>
    <t>f046f3e3-4a3a-4501-b1d4-9a10032165ea</t>
  </si>
  <si>
    <t>vmxwtQnXvFyvzTikPHa7PQ</t>
  </si>
  <si>
    <t>PORQUE VE POLICIAS</t>
  </si>
  <si>
    <t>SE SIENTE SEGURO EN EL PARQUE PORQUE VIENE EN LA MAÑANA</t>
  </si>
  <si>
    <t>199c5ccb-f085-44fb-9bbd-a429f227a39e</t>
  </si>
  <si>
    <t>GB JG</t>
  </si>
  <si>
    <t>5d8511a8-3dbb-4514-8b76-73ed910f0897</t>
  </si>
  <si>
    <t>ACAMPAÑADA DE AMIGOS</t>
  </si>
  <si>
    <t>fc29f7cf-7373-42fb-820a-6b99c1fc33a7</t>
  </si>
  <si>
    <t>PORQUE VE GENTE CORRIENDO EN EL PARQUE</t>
  </si>
  <si>
    <t>SE SIENTE TRANQUILA PORQUE NO HA TENIDO PROBLEMAS</t>
  </si>
  <si>
    <t>3b2bd05e-8d85-4ee1-b5ec-6b32e56d8fea</t>
  </si>
  <si>
    <t>PRESENCIA POLICÍA NACIONAL</t>
  </si>
  <si>
    <t>ab3ff9ce-42b6-4ee3-8712-417fe29be3db</t>
  </si>
  <si>
    <t>GB-JP</t>
  </si>
  <si>
    <t>PRESENCIA DE INDIGENTES</t>
  </si>
  <si>
    <t>FALTA DE POLICIA</t>
  </si>
  <si>
    <t>INTRANQUILIDAD POR PRESENCIA DE PERSONAS EN SITUACION DE CALLE Y VENTAS INFORMALES</t>
  </si>
  <si>
    <t>30553c01-7ea9-419d-89ad-dbe0225ebd91</t>
  </si>
  <si>
    <t>HA VISTO POLICIAS</t>
  </si>
  <si>
    <t>SE SIENTE FELIZ PORQUE HAY MAS SEGURIDAD</t>
  </si>
  <si>
    <t>64c63937-4ddb-4cba-9587-be39d831dbe6</t>
  </si>
  <si>
    <t>400528cd-c98f-4156-8bf8-66bff8143c64</t>
  </si>
  <si>
    <t>1. Madrugada (00:00 a 05:59) 3. Tarde (12:00 a 17:59)</t>
  </si>
  <si>
    <t>PORQUE ROBAN EN LA PARTE DE LA LAGUNA</t>
  </si>
  <si>
    <t>SE SIENTE FELIZ PERO SI DEBERIA HABER MAS SEGURIDAD</t>
  </si>
  <si>
    <t>f301a2ee-7018-4194-ac0c-b4b12924eebc</t>
  </si>
  <si>
    <t>TODO BIEN</t>
  </si>
  <si>
    <t>2aaad907-cc4d-4a04-884b-2378eba0a04f</t>
  </si>
  <si>
    <t>ACOMPAÑADO</t>
  </si>
  <si>
    <t>DIVERSIÓN</t>
  </si>
  <si>
    <t>862b958c-c644-4098-bd80-c4a023e33841</t>
  </si>
  <si>
    <t>HAY POLICIAS EN EL PARQUE</t>
  </si>
  <si>
    <t>SE SIENTE FELIZ POR LAS AREAS VERDES</t>
  </si>
  <si>
    <t>50719472-6784-4238-b999-e24608ff9053</t>
  </si>
  <si>
    <t>NO HAY PRESENCIA PERMANENTE DE POLICÍA NACIONAL</t>
  </si>
  <si>
    <t>MUCHAS VENTAS</t>
  </si>
  <si>
    <t>K</t>
  </si>
  <si>
    <t>INSEGURA</t>
  </si>
  <si>
    <t>MIEDO</t>
  </si>
  <si>
    <t>4dffd2d3-ce45-470c-82ae-06f1aa9bc33b</t>
  </si>
  <si>
    <t>POR CONSUMO DE DROGAS</t>
  </si>
  <si>
    <t>a2d7747f-916f-4bed-bd1d-04ae419b7cd8</t>
  </si>
  <si>
    <t>FALTA DE POLICÍA NACIONAL</t>
  </si>
  <si>
    <t>900531b5-8946-435f-aeb3-0124aa938d1d</t>
  </si>
  <si>
    <t>POR PROBLEMAS DE DROGADICCIÓN</t>
  </si>
  <si>
    <t>TRANQUILIDAD Y PREOCUPACIÓN</t>
  </si>
  <si>
    <t>113fbf66-485c-4183-bd37-9a87d2dc47c4</t>
  </si>
  <si>
    <t>SI RECOMIENDO VENIR AL PARQUE PORQUE SI HAY SEGURIDAD</t>
  </si>
  <si>
    <t>b65645e5-a4d8-49f4-be51-5128e4ac1007</t>
  </si>
  <si>
    <t>PERSONAS DESCONOCIDAS</t>
  </si>
  <si>
    <t>e5294007-928b-414d-bb7e-e6ed43d4e376</t>
  </si>
  <si>
    <t>NUNCA LE HA PASADO NADA</t>
  </si>
  <si>
    <t>SI LE GUSTA VENIR AL PARQUE ESPECIALMENTE A LAS AREAS VERDES</t>
  </si>
  <si>
    <t>1379a36b-f77a-4c6a-8e23-3d93cf49cb3b</t>
  </si>
  <si>
    <t>ESTAR ACOMPAÑADO</t>
  </si>
  <si>
    <t>TRANQUILO LA MENTE DESPEJADA</t>
  </si>
  <si>
    <t>072caf04-a490-4661-8d0b-4fd23334ce8b</t>
  </si>
  <si>
    <t>MEDIOS DE COMUNICACIÓN QUE INFORMAN MAL</t>
  </si>
  <si>
    <t>TRANQUILIDAD EN EL DIA</t>
  </si>
  <si>
    <t>NERVIOSISMO</t>
  </si>
  <si>
    <t>31cab61b-0f48-4bb5-b80a-3d23c11b3aba</t>
  </si>
  <si>
    <t>HA VISTO LOS POLICIAS A CABALLO</t>
  </si>
  <si>
    <t>SI ES SEGURO EN EL DIA POR LA SEGURIDAD EN LA NOCHE NO LO HARIA</t>
  </si>
  <si>
    <t>37bdd53b-b5fd-4bf3-b5a2-00233b49b9e2</t>
  </si>
  <si>
    <t>INDEPENDIENTE</t>
  </si>
  <si>
    <t>CON HAMBRE</t>
  </si>
  <si>
    <t>DESHIDRATADO</t>
  </si>
  <si>
    <t>7fa5d127-2838-40b2-a1d2-51a80edbb3a6</t>
  </si>
  <si>
    <t>29e3d8be-eece-4479-9dbb-cdc3926a55bc</t>
  </si>
  <si>
    <t>PORQUE HAY ÁREA PARA LOS PERRITOS</t>
  </si>
  <si>
    <t>FALTA DE BASUREROS EN EL PARQUE</t>
  </si>
  <si>
    <t>LE GUSTA VENIR CON SU PERRITO A LAS ÁREAS VERDES</t>
  </si>
  <si>
    <t>d628ebc9-76c7-48a6-90db-5c7653ca7036</t>
  </si>
  <si>
    <t>029a32a7-c3de-433b-aced-203cadd82796</t>
  </si>
  <si>
    <t>COLOMBIANA</t>
  </si>
  <si>
    <t>LE PARECE MUY BONITO EL PARQUE, LAS ÁREAS VERDES</t>
  </si>
  <si>
    <t>bc086a75-bff7-4990-b2b6-2782553b473d</t>
  </si>
  <si>
    <t>HA VISTO POLICÍAS</t>
  </si>
  <si>
    <t>SE SIENTE SEGURO POR LAS CANCHAS, EL ÁREA DEPORTIVA</t>
  </si>
  <si>
    <t>ab2ed224-d584-4f8f-901a-6aa833e5e96b</t>
  </si>
  <si>
    <t>CONTROL DE PERSONAL DEL PARQUE</t>
  </si>
  <si>
    <t>aa8ecacc-b579-4a30-b2c7-43f988bfd2a9</t>
  </si>
  <si>
    <t>1. Canchas de fútbol y basquet 2. Rampas para patineta 3. Caminos de ciclismo 4. Pistas para correr 6. Área para perros 7. Áreas verdes</t>
  </si>
  <si>
    <t>POR LAS NOTICIAS</t>
  </si>
  <si>
    <t>LA DELINCUENCIA</t>
  </si>
  <si>
    <t>4bc7c761-1ad4-49e2-8223-1ee53c3fdb01</t>
  </si>
  <si>
    <t>HA VISTO QUE A LA GENTE LE ROBAN LAS COSAS</t>
  </si>
  <si>
    <t>SE SIENTE TRANQUILA DENTRO DEL PARQUE</t>
  </si>
  <si>
    <t>e78a2880-ed00-4bdd-b9e0-d791be030d7a</t>
  </si>
  <si>
    <t>NO ME HA PASADO NADA</t>
  </si>
  <si>
    <t>LO QUE BUSCO ENCUENTRO</t>
  </si>
  <si>
    <t>MUY BIEN</t>
  </si>
  <si>
    <t>RELAJADA</t>
  </si>
  <si>
    <t>1827c05d-612f-4fbe-aadc-261dda59d23a</t>
  </si>
  <si>
    <t>PORQUE HAY POLICIA NACIONAL</t>
  </si>
  <si>
    <t>4cce9c1e-85f5-484b-a4a0-f7811afac9ab</t>
  </si>
  <si>
    <t>HA OBSERVADO QUE SI HAY POLICIAS EN EL PARQUE</t>
  </si>
  <si>
    <t>SE SIENTE FELIZ AL VENIR AL PARQUE PERO TOMANDO PRECAUCIONES</t>
  </si>
  <si>
    <t>5fbbbde3-d99b-401b-9d8f-f58e34b87e78</t>
  </si>
  <si>
    <t>5. Recreación/Ocio 6. Otra</t>
  </si>
  <si>
    <t>LA LAGUNA</t>
  </si>
  <si>
    <t>PERSONAS SOSPECHOSAS</t>
  </si>
  <si>
    <t>TARROS DE BASURA DISPENSADORES DE BASURA</t>
  </si>
  <si>
    <t>9291bb89-9434-46d8-a3eb-e623cbf102e7</t>
  </si>
  <si>
    <t>3. Compras 6. Otra</t>
  </si>
  <si>
    <t>4. Pistas para correr 8. Otro.</t>
  </si>
  <si>
    <t>CONTROL DE LOS SERVICIOS PUBLICOS</t>
  </si>
  <si>
    <t>COMODIDAD</t>
  </si>
  <si>
    <t>22ef9090-4a72-4a3a-a2b9-d5d3d64436b3</t>
  </si>
  <si>
    <t>MAS GENTE</t>
  </si>
  <si>
    <t>RESELO</t>
  </si>
  <si>
    <t>ANGUSTIA</t>
  </si>
  <si>
    <t>a2c8487c-030f-4136-97c9-5a6a41f74ef4</t>
  </si>
  <si>
    <t>2. Culturales y sociales 3. Compras 5. Recreación/Ocio</t>
  </si>
  <si>
    <t>DISFRUTAR DEL PARQUE</t>
  </si>
  <si>
    <t>POR PRESENCIA DE VIGILANCIA</t>
  </si>
  <si>
    <t>SEÑALIZACION DE SERVICIOS BASICOS</t>
  </si>
  <si>
    <t>DESESTRES</t>
  </si>
  <si>
    <t>ME SIENTO COMO EN MI CASA</t>
  </si>
  <si>
    <t>85f3b3b5-5876-4a70-8293-e1a381a2b960</t>
  </si>
  <si>
    <t>3. Compras 4. De paso</t>
  </si>
  <si>
    <t>4. Pistas para correr 6. Área para perros</t>
  </si>
  <si>
    <t>NO HAY VIGILANCIA</t>
  </si>
  <si>
    <t>39f998e8-8b1b-406a-ab77-6885f6eaf8bd</t>
  </si>
  <si>
    <t>PRESENCIA DE AUTORIDAD</t>
  </si>
  <si>
    <t>d1545e39-6b51-42fb-82f7-0d4cf27c7745</t>
  </si>
  <si>
    <t>1. Deporte / ejercicio 4. De paso</t>
  </si>
  <si>
    <t>1. Canchas de fútbol y basquet 2. Rampas para patineta 3. Caminos de ciclismo</t>
  </si>
  <si>
    <t>PRESENCIA POLICIAL</t>
  </si>
  <si>
    <t>ff4c10f0-32f4-4cf4-8453-66758593fdb9</t>
  </si>
  <si>
    <t>CE</t>
  </si>
  <si>
    <t>LAGUNA</t>
  </si>
  <si>
    <t>VIOLENCIA</t>
  </si>
  <si>
    <t>95cd2b5e-e20d-435b-bcc7-1672f1a489af</t>
  </si>
  <si>
    <t>1. Canchas de fútbol y basquet 7. Áreas verdes 8. Otro.</t>
  </si>
  <si>
    <t>RESPETUOSO</t>
  </si>
  <si>
    <t>00a5c06d-f7b9-4aa4-973b-0efd27fff820</t>
  </si>
  <si>
    <t>GB-RQ</t>
  </si>
  <si>
    <t>NO HAY SEGURIDAD (ENTES DE SEGURIDAD)</t>
  </si>
  <si>
    <t>INFORMALIDAD</t>
  </si>
  <si>
    <t>E F</t>
  </si>
  <si>
    <t>UN POCO DE INSEGURIDAD</t>
  </si>
  <si>
    <t>TRISTE POR EL DAÑO A LA VEGETACION POR LA LLUVIA</t>
  </si>
  <si>
    <t>2d792a58-9908-4f8c-b6f0-5df7241e60c0</t>
  </si>
  <si>
    <t>SEGURIDAD CON SU FAMILIA</t>
  </si>
  <si>
    <t>PRESENCIA DE SEGURIDAD PUBLICA</t>
  </si>
  <si>
    <t>DESESTREZADA</t>
  </si>
  <si>
    <t>2f5738c0-adef-4670-91ef-1baa9ccfcd24</t>
  </si>
  <si>
    <t>NO HA VISTO ASALTOS</t>
  </si>
  <si>
    <t>HA VISTO GUARDIAS</t>
  </si>
  <si>
    <t>HAY TRANQUILIDAD</t>
  </si>
  <si>
    <t>SIENTE PAZ</t>
  </si>
  <si>
    <t>86e5865a-a182-4348-980f-c00f6020ab13</t>
  </si>
  <si>
    <t>3. Tarde (12:00 a 17:59) 4. Noche  (18:00 a 23:59)</t>
  </si>
  <si>
    <t>CAMINERAS</t>
  </si>
  <si>
    <t>PORQUE HAY CONSUMO DE DROGA</t>
  </si>
  <si>
    <t>HAY GENTE (DELINCUENTES) ARMADOS</t>
  </si>
  <si>
    <t>PRESENCIA DE EXTRANJEROS</t>
  </si>
  <si>
    <t>LE MOLESTA LA BASURA</t>
  </si>
  <si>
    <t>LE MOLESTA DESECHO DE ANIMALES</t>
  </si>
  <si>
    <t>7ac3e3f3-3f15-4719-97fb-09aa6031d00b</t>
  </si>
  <si>
    <t>1. Deporte / ejercicio 2. Culturales y sociales 3. Compras 4. De paso 5. Recreación/Ocio</t>
  </si>
  <si>
    <t>3. Caminos de ciclismo 4. Pistas para correr 7. Áreas verdes</t>
  </si>
  <si>
    <t>VE GENTE</t>
  </si>
  <si>
    <t>VE SEGURIDAD</t>
  </si>
  <si>
    <t>VE ESPACIO DE PARQUEADERO SEGURO</t>
  </si>
  <si>
    <t>BIENESTAR EN EL HORARIO DE LA MAÑANA</t>
  </si>
  <si>
    <t>SE DISTRAE</t>
  </si>
  <si>
    <t>POR EL AIRE PURO</t>
  </si>
  <si>
    <t>9034be8c-347f-46cf-b65f-1848e506ca49</t>
  </si>
  <si>
    <t>HAY CONCURRENCIA DE GENTE</t>
  </si>
  <si>
    <t>HAY SEGURIDAD</t>
  </si>
  <si>
    <t>PIENSA QUE EN LA MAÑANA HAY SEGURIDAD</t>
  </si>
  <si>
    <t>A B E</t>
  </si>
  <si>
    <t>ARMONIA</t>
  </si>
  <si>
    <t>BUENA RESPIRACION</t>
  </si>
  <si>
    <t>3ff5cb2f-5986-4ab0-944a-89d7d506ce6e</t>
  </si>
  <si>
    <t>1. Canchas de fútbol y basquet 3. Caminos de ciclismo</t>
  </si>
  <si>
    <t>PELIGRO DE DELINCUENCIA</t>
  </si>
  <si>
    <t>NO HAY PERSONAL DE SEGURIDAD</t>
  </si>
  <si>
    <t>MUCHA INFORMALIDAD</t>
  </si>
  <si>
    <t>CON PAZ</t>
  </si>
  <si>
    <t>06b94fd7-5a36-41ff-9d4b-d26c3b9a6eb2</t>
  </si>
  <si>
    <t>DESORDEN EN LA VENTA</t>
  </si>
  <si>
    <t>TENSION</t>
  </si>
  <si>
    <t>NERVIOSISMO POR ACOSO DE VENDEDORES</t>
  </si>
  <si>
    <t>9507ec9f-08bc-4106-a895-21b01716ff87</t>
  </si>
  <si>
    <t>BULEVAR</t>
  </si>
  <si>
    <t>RÓTULOS AZULES HAY INSEGURIDAD CERCA AMAZONAS</t>
  </si>
  <si>
    <t>FALTA ALUMBRADO</t>
  </si>
  <si>
    <t>VI.2 Robo  (con violencia) VI.10 Agresión física VI.11 Agresión verbal</t>
  </si>
  <si>
    <t>EN ALERTA NO CONFIADO</t>
  </si>
  <si>
    <t>92f382e9-bc52-4c00-afa0-6f60ab8c5021</t>
  </si>
  <si>
    <t>ACOMPAÑAMIENTO DE AMIGOS</t>
  </si>
  <si>
    <t>CAMARAS DE SEGURIDAD</t>
  </si>
  <si>
    <t>AMBIENTE BUENO</t>
  </si>
  <si>
    <t>AIRE PURO</t>
  </si>
  <si>
    <t>MUY SEGURO</t>
  </si>
  <si>
    <t>5eed023a-2935-4ab3-ab4f-8f9a043fa900</t>
  </si>
  <si>
    <t>1. Deporte / ejercicio 6. Otra</t>
  </si>
  <si>
    <t>CAMINAR</t>
  </si>
  <si>
    <t>1. Canchas de fútbol y basquet 3. Caminos de ciclismo 4. Pistas para correr</t>
  </si>
  <si>
    <t>POR VENIR EN DIA Y HORA ESPECIFICA</t>
  </si>
  <si>
    <t>CAMPAÑA DE CAMINATA NOCTURNA</t>
  </si>
  <si>
    <t>NOSTALGIA</t>
  </si>
  <si>
    <t>FACILIDADES PARA VISITAR EL PARQUE</t>
  </si>
  <si>
    <t>7409e028-76b0-46e2-9bed-d56e5321c4fb</t>
  </si>
  <si>
    <t>VIGILANCIA</t>
  </si>
  <si>
    <t>FALTA CONTROL</t>
  </si>
  <si>
    <t>PREOCUPACION</t>
  </si>
  <si>
    <t>DESORGANIZACION</t>
  </si>
  <si>
    <t>4b72de0f-0e21-4a4d-b838-5e90ad4f481e</t>
  </si>
  <si>
    <t>ILUMINACIÓN</t>
  </si>
  <si>
    <t>DISPENSADOR DE FUNDAS</t>
  </si>
  <si>
    <t>AMA EL PARQUE</t>
  </si>
  <si>
    <t>PAZ ALEGRIA</t>
  </si>
  <si>
    <t>c979cd4a-55c2-4644-8daa-1f63e68fdf0d</t>
  </si>
  <si>
    <t>POR MI PROPIA CUENTA</t>
  </si>
  <si>
    <t>INSPIRACION</t>
  </si>
  <si>
    <t>RESPIRACION DE AIRE LIMPIO</t>
  </si>
  <si>
    <t>62ebf8be-50d8-4e82-a0fa-b45447ffa411</t>
  </si>
  <si>
    <t>DISPENSADORES DE FUNDAS PARA PERROS</t>
  </si>
  <si>
    <t>FALTA DE ILUSION POR MEJORA</t>
  </si>
  <si>
    <t>TRISTEZA</t>
  </si>
  <si>
    <t>b5a9d394-9fe8-44af-8925-de85900fc19d</t>
  </si>
  <si>
    <t>NO HAY MUCHA SEGURIDAD</t>
  </si>
  <si>
    <t>2cc39917-adcf-4da0-999b-803f69501c8b</t>
  </si>
  <si>
    <t>2. Rampas para patineta 3. Caminos de ciclismo 7. Áreas verdes</t>
  </si>
  <si>
    <t>COMIDA MALA</t>
  </si>
  <si>
    <t>FALTA DE CONTROL</t>
  </si>
  <si>
    <t>LUGAR BIEN CUIDADO</t>
  </si>
  <si>
    <t>9677d92b-5733-4d96-bb8e-b95358714f35</t>
  </si>
  <si>
    <t>3. Caminos de ciclismo 6. Área para perros 7. Áreas verdes</t>
  </si>
  <si>
    <t>A L</t>
  </si>
  <si>
    <t>1. De fuego 2. Blanca 3. Contundente</t>
  </si>
  <si>
    <t>LUGAR BONITO</t>
  </si>
  <si>
    <t>MUCHA AFLUENCIA DE GENTE ESTORBA</t>
  </si>
  <si>
    <t>eab18eac-a5dc-42c7-a093-8fe570689dd8</t>
  </si>
  <si>
    <t>VENEZOLANA</t>
  </si>
  <si>
    <t>TRAQUILA</t>
  </si>
  <si>
    <t>d6a8f0eb-1166-4f40-bc2d-58dc28311731</t>
  </si>
  <si>
    <t>PRESENCIA DE GUARDIAS</t>
  </si>
  <si>
    <t>20b51f06-5df4-42eb-97ca-d00c91cded5b</t>
  </si>
  <si>
    <t>PERSONAL DE SEGURIDAD</t>
  </si>
  <si>
    <t>87bb7e7a-cbe5-4139-8de9-39bb583998f9</t>
  </si>
  <si>
    <t>MAS RONDAS</t>
  </si>
  <si>
    <t>84400033-9931-44fc-99f0-10daff215467</t>
  </si>
  <si>
    <t>NO HAY GENTE EN CIERTOS LUGARES</t>
  </si>
  <si>
    <t>5ae5585b-b290-4ff0-8729-b5f821c136b6</t>
  </si>
  <si>
    <t>POR TEMAS DE DELINCUENCIA</t>
  </si>
  <si>
    <t>NO HAY SEGURIDAD</t>
  </si>
  <si>
    <t>d1232a0c-331c-44d4-94ec-49b23be9af72</t>
  </si>
  <si>
    <t>J L</t>
  </si>
  <si>
    <t>eb6bed48-e31b-4dae-b64a-8ded5bfbfbec</t>
  </si>
  <si>
    <t>3. Compras 5. Recreación/Ocio</t>
  </si>
  <si>
    <t>VENDEDORES NO REGULARIZADOS</t>
  </si>
  <si>
    <t>INDIGENCIA</t>
  </si>
  <si>
    <t>MASCOTAS SUELTAS</t>
  </si>
  <si>
    <t>ACOSO DE VENDEDORES</t>
  </si>
  <si>
    <t>TEMOR</t>
  </si>
  <si>
    <t>ee279e7a-1165-47c2-9a01-2a5b39ace5d1</t>
  </si>
  <si>
    <t>2. Culturales y sociales 5. Recreación/Ocio</t>
  </si>
  <si>
    <t>VE MUCHO PERSONAL</t>
  </si>
  <si>
    <t>PRESENCIA POLICIAL ALREDEDOR</t>
  </si>
  <si>
    <t>SE VE LIMPIO</t>
  </si>
  <si>
    <t>RECREA LA MENTE</t>
  </si>
  <si>
    <t>PAZ POR LA VEGETACION</t>
  </si>
  <si>
    <t>2eb5ce99-07de-48e7-aa22-f85a1226953f</t>
  </si>
  <si>
    <t>TENGO PREOCUPACION</t>
  </si>
  <si>
    <t>GUARDIAS COMIENCEN POR LOS PASAJES</t>
  </si>
  <si>
    <t>1. De fuego</t>
  </si>
  <si>
    <t>LE RELAJA</t>
  </si>
  <si>
    <t>1bb0c17e-5e8f-4982-be51-a102abd1a26a</t>
  </si>
  <si>
    <t>PRESENCIA DE HABITANTES DE CALLE ESTRANJEROS</t>
  </si>
  <si>
    <t>MELANCOLIA</t>
  </si>
  <si>
    <t>LE GUSTA EL PULMON DE QUITO</t>
  </si>
  <si>
    <t>d70c90d9-5a0a-4796-a6f8-3ed338a216fb</t>
  </si>
  <si>
    <t>HAU MUCHO MOVIMIENTO (ACTIVIDADES)</t>
  </si>
  <si>
    <t>POR LOS MULTIPLES ESPACIOS</t>
  </si>
  <si>
    <t>A B</t>
  </si>
  <si>
    <t>SE SIENTE UN AMBIENTE SANO</t>
  </si>
  <si>
    <t>SE SIENTE COMODA POR LOS VARIOS SERVICIOS QUE HAY EN EL PARQUE</t>
  </si>
  <si>
    <t>49f1f732-b194-4ad3-8271-2ac63e2b9a89</t>
  </si>
  <si>
    <t>SIEMPRE HAY GENTE</t>
  </si>
  <si>
    <t>SATISFECHA</t>
  </si>
  <si>
    <t>COMPARTIR CON LA FAMILIA</t>
  </si>
  <si>
    <t>273d18df-7e31-476c-a1c3-b398b591910f</t>
  </si>
  <si>
    <t>PRESENCIA DE VIGILANTES</t>
  </si>
  <si>
    <t>SERENIDAD</t>
  </si>
  <si>
    <t>00af2e30-79bd-4a84-b79d-ea95c74022a9</t>
  </si>
  <si>
    <t>PRESENCIA DE PERSONAS SOSPECHOSAS</t>
  </si>
  <si>
    <t>RESPIRAR AIRE LIMPIO</t>
  </si>
  <si>
    <t>CONECTAR CON LA NATURALEZA</t>
  </si>
  <si>
    <t>ef712119-f4de-4405-85de-94bd42877ad0</t>
  </si>
  <si>
    <t>SOLA ESTAR</t>
  </si>
  <si>
    <t>ADMIRACION</t>
  </si>
  <si>
    <t>INCERTIDUMBRE</t>
  </si>
  <si>
    <t>0cee4984-97e1-4d26-a7b9-8c062d682266</t>
  </si>
  <si>
    <t>NO HAY MUCHA GENTE</t>
  </si>
  <si>
    <t>NO HA TENIDO MALAS EXPERIENCIAS</t>
  </si>
  <si>
    <t>AGREDIDA</t>
  </si>
  <si>
    <t>CON AMOR AL PARQUE</t>
  </si>
  <si>
    <t>03d6c077-9fd1-4a04-80f1-d2310ff16c3e</t>
  </si>
  <si>
    <t>PASANTIAS</t>
  </si>
  <si>
    <t>SE VE POLICIAS</t>
  </si>
  <si>
    <t>A LA SALIDA VA ACOMPAÑADA</t>
  </si>
  <si>
    <t>EN LA MAÑANA HAY TRANQUILIDAD</t>
  </si>
  <si>
    <t>EN LA TARDE SIENTE UN POCO DE INSEGURIDAD</t>
  </si>
  <si>
    <t>CUANDO HAY GENTE SE SIENTE SEGURA</t>
  </si>
  <si>
    <t>98c2940d-0278-4475-970b-c461ed4e8646</t>
  </si>
  <si>
    <t>DESCANSO</t>
  </si>
  <si>
    <t>324a4569-ce5e-49e1-9d7b-d57cab957fdd</t>
  </si>
  <si>
    <t>ACOMPÑADO POR LA GENTE</t>
  </si>
  <si>
    <t>A C E L</t>
  </si>
  <si>
    <t>fcbc8f71-41bd-4bbf-ba7e-0b7c58734c25</t>
  </si>
  <si>
    <t>3. Caminos de ciclismo 6. Área para perros</t>
  </si>
  <si>
    <t>FUE ASALTADA</t>
  </si>
  <si>
    <t>NO HAY NINGUN TIPO DE CONTROL</t>
  </si>
  <si>
    <t>FALTA DE SEGURIDAD</t>
  </si>
  <si>
    <t>MOLESTIA POR EL DESORDEN</t>
  </si>
  <si>
    <t>SE SIENTE IRRESPETADA POR EL MAL USO DEL PARQUE</t>
  </si>
  <si>
    <t>a6a3cfec-9bce-4f5f-b021-f03efb7dbff4</t>
  </si>
  <si>
    <t>BASTANTE VIGILANCIA</t>
  </si>
  <si>
    <t>7ccb3d83-37c8-46b7-b831-86a9138e29b6</t>
  </si>
  <si>
    <t>INCOMODO</t>
  </si>
  <si>
    <t>f8720bff-a4d9-4e99-82f2-aab1eba8fac6</t>
  </si>
  <si>
    <t>NO LE HAN ROBADO</t>
  </si>
  <si>
    <t>NO LE HAN ACOSADO</t>
  </si>
  <si>
    <t>CREE QUE ES SEGURO</t>
  </si>
  <si>
    <t>ESTRESADA CUANDO HAY MUCHA GENTE</t>
  </si>
  <si>
    <t>b55113af-53e5-4497-aa63-d8170fb40d97</t>
  </si>
  <si>
    <t>VIGILANCIA POLICIAL</t>
  </si>
  <si>
    <t>BASURA CON FALTA DE CONTENEDORES</t>
  </si>
  <si>
    <t>CALMA</t>
  </si>
  <si>
    <t>UN PARO DE CAOS FIN DE SEMANA</t>
  </si>
  <si>
    <t>9e98af94-000f-40cb-8c11-ac99f87136d7</t>
  </si>
  <si>
    <t>COLUMPIOS Y JUEGOS</t>
  </si>
  <si>
    <t>LADRONES</t>
  </si>
  <si>
    <t>LIBADORES</t>
  </si>
  <si>
    <t>VENDEDORES INFORMALES</t>
  </si>
  <si>
    <t>VI.11 Agresión verbal</t>
  </si>
  <si>
    <t>PAZ TRANQUILIDAD</t>
  </si>
  <si>
    <t>SE RELAJA</t>
  </si>
  <si>
    <t>4735c30f-fc9b-4423-9788-530ccf605b8c</t>
  </si>
  <si>
    <t>CAMARA DE SEGURIDAD</t>
  </si>
  <si>
    <t>4. Constrictora</t>
  </si>
  <si>
    <t>af4f08be-9d55-4d83-b87d-3b7ad1360da2</t>
  </si>
  <si>
    <t>NUNCA HA SIDO VICTIMA</t>
  </si>
  <si>
    <t>306215cf-7782-4388-9486-fde9c320f4a8</t>
  </si>
  <si>
    <t>PRESENCIA DE PERSONAL</t>
  </si>
  <si>
    <t>0768693f-3f32-48f3-a325-51cde5bec2b1</t>
  </si>
  <si>
    <t>GENTE SOSPECHOSA</t>
  </si>
  <si>
    <t>PRESENCIA DE EXTRANJEROS MAL VISTOS</t>
  </si>
  <si>
    <t>45428cc9-6cde-426f-a151-cbbf92486c4c</t>
  </si>
  <si>
    <t>POR PRESENCIA DE SEGURIDAD</t>
  </si>
  <si>
    <t>FALTA DE PROPAGANDA PARA PERSONAS QUE USAN EL PARQUE</t>
  </si>
  <si>
    <t>RESPETO</t>
  </si>
  <si>
    <t>588f4088-bcf5-429b-aeb8-e9b307b22b28</t>
  </si>
  <si>
    <t>NO HA PRESENCIADO ROBOS</t>
  </si>
  <si>
    <t>IMPOTENCIA ANTE LA FALTA DE ASEO</t>
  </si>
  <si>
    <t>3ceae076-85bf-436f-b06b-1d993f3ec912</t>
  </si>
  <si>
    <t>GP-RP</t>
  </si>
  <si>
    <t>COMIDAS</t>
  </si>
  <si>
    <t>VE QUE HAY GUARDIAS</t>
  </si>
  <si>
    <t>VE POLICIA NACIONAL</t>
  </si>
  <si>
    <t>PORQUE VE TRANSITO DE GENTE</t>
  </si>
  <si>
    <t>5117ea72-56dc-4f0f-9338-379cd82376ce</t>
  </si>
  <si>
    <t>3f382700-55b4-4397-b595-7c90bb0673a6</t>
  </si>
  <si>
    <t>GENTE RELAJADA</t>
  </si>
  <si>
    <t>ESTRATO SOCIAL BUENO</t>
  </si>
  <si>
    <t>NO HAY SERVICIO GRATUITO DE SERVICIO HIGIENICO</t>
  </si>
  <si>
    <t>FELICIDAD EN EL PARQUE</t>
  </si>
  <si>
    <t>1c320e31-57ce-495d-bf55-12c7faf101bc</t>
  </si>
  <si>
    <t>ESPACIO ABIERTO</t>
  </si>
  <si>
    <t>ESTA ILUMINADO</t>
  </si>
  <si>
    <t>A B C D E I</t>
  </si>
  <si>
    <t>MOTIVADO</t>
  </si>
  <si>
    <t>7f7fd55a-7073-41b2-8ba5-76e4fc16fc9e</t>
  </si>
  <si>
    <t>GB -RP</t>
  </si>
  <si>
    <t>TRABAJO</t>
  </si>
  <si>
    <t>1. Madrugada (00:00 a 05:59) 2. Mañana  (06:00 a 11:59) 3. Tarde (12:00 a 17:59) 4. Noche  (18:00 a 23:59)</t>
  </si>
  <si>
    <t>CARPAS DE VENTA</t>
  </si>
  <si>
    <t>HAY GUARDAPARQUES</t>
  </si>
  <si>
    <t>HAY POLICIA NACIONAL</t>
  </si>
  <si>
    <t>HAY GUARDIANIA</t>
  </si>
  <si>
    <t>E L</t>
  </si>
  <si>
    <t>ff8040a8-d58b-40fe-873b-eeae578504f1</t>
  </si>
  <si>
    <t>BG-NC</t>
  </si>
  <si>
    <t>2. Afro Ecuatoriana(o)/Afro Descendiente</t>
  </si>
  <si>
    <t>SIEMPRE HAY GENTE DE SEGURIDAD</t>
  </si>
  <si>
    <t>PAAZ INTERIOR</t>
  </si>
  <si>
    <t>a2586dc0-7dfb-4fdc-bddd-5b997924a98c</t>
  </si>
  <si>
    <t>POR GASTRONOMIA</t>
  </si>
  <si>
    <t>ESPARCIMIENTO</t>
  </si>
  <si>
    <t>ENTORNO SANO PARA ACTIVIDADES RECREATIVAS</t>
  </si>
  <si>
    <t>acb5fff6-5cdd-4c2e-b6c3-ecb542b3c903</t>
  </si>
  <si>
    <t>3. Negra(o)</t>
  </si>
  <si>
    <t>SIEMPRE HAY MUCHA GENTE</t>
  </si>
  <si>
    <t>d0752d2e-f632-4e3d-a04a-8cf214394781</t>
  </si>
  <si>
    <t>CAMINAR LE FUNCIONA</t>
  </si>
  <si>
    <t>POR MUCHA GENTE EN EL PARQUE</t>
  </si>
  <si>
    <t>7075236a-91b1-47c7-b65a-147f8596f49a</t>
  </si>
  <si>
    <t>2. Rampas para patineta 3. Caminos de ciclismo</t>
  </si>
  <si>
    <t>d5550d38-7a08-4bdf-9f4a-7970efd635bc</t>
  </si>
  <si>
    <t>2. Es rentista (arrendador)</t>
  </si>
  <si>
    <t>d82842fa-4d0b-4c97-bfe2-44072d2b8c10</t>
  </si>
  <si>
    <t>PEATONALES</t>
  </si>
  <si>
    <t>PORQUE POR EL JARDÍN BOTANICO ES INSEGURO</t>
  </si>
  <si>
    <t>FALTA PRESENCIA DE POLICÍA NACIONAL Y CACM</t>
  </si>
  <si>
    <t>E K L</t>
  </si>
  <si>
    <t>PENDIENTE</t>
  </si>
  <si>
    <t>315aa359-c45e-49d3-9bca-f472c7a4a6b7</t>
  </si>
  <si>
    <t>FALTA DE POLICÍA</t>
  </si>
  <si>
    <t>PORQUE EL LUGAR ES OSCURO</t>
  </si>
  <si>
    <t>82baaa81-3113-4a99-9a44-f1f4acf45a5f</t>
  </si>
  <si>
    <t>HAY BUENA SEGURIDAD, USO EN LA MAÑANA</t>
  </si>
  <si>
    <t>HAY BUENAS ACTIVIDADES</t>
  </si>
  <si>
    <t>ME SIENTO BIEN</t>
  </si>
  <si>
    <t>08aa7db9-50c4-47d4-9343-a2b05ae9100d</t>
  </si>
  <si>
    <t>DE VEZ EN CUANDO ASOMA LA POLICÍA</t>
  </si>
  <si>
    <t>ESTÁ MÁS EN LA MAÑANA</t>
  </si>
  <si>
    <t>LO DISFRUTA</t>
  </si>
  <si>
    <t>7e3ff5c9-e692-4e99-a0fe-90068d2154cc</t>
  </si>
  <si>
    <t>PRESENCIA DE CACM</t>
  </si>
  <si>
    <t>c1ecf800-804c-46de-8b0c-2e75213f4ee6</t>
  </si>
  <si>
    <t>FALTA DE CONTROL A PERSONAS QUE CONSUMEN DROGAS</t>
  </si>
  <si>
    <t>MÁS POLICÍAS</t>
  </si>
  <si>
    <t>A VECES SEGURO O INSEGURO</t>
  </si>
  <si>
    <t>461d4af2-36a4-4c64-8817-77159e127a44</t>
  </si>
  <si>
    <t>MENOS VENTAS</t>
  </si>
  <si>
    <t>8b70dc2a-eb33-4ddf-8f76-c54ca2b96514</t>
  </si>
  <si>
    <t>ROBOS DENTRO DEL PARQUE</t>
  </si>
  <si>
    <t>MUCHO ALCOHOL</t>
  </si>
  <si>
    <t>INSEGURO, MUCHA DELINCUENCIA</t>
  </si>
  <si>
    <t>1fd80731-229d-414b-ba8d-5f0e6a7dbe0d</t>
  </si>
  <si>
    <t>GUARDAPARQUES</t>
  </si>
  <si>
    <t>C F</t>
  </si>
  <si>
    <t>4290de4a-ac2e-4d14-80ff-619eda65bc01</t>
  </si>
  <si>
    <t>B E I J K L</t>
  </si>
  <si>
    <t>cbe85fa1-9bb9-4cec-bb92-bd89b6ea7a5b</t>
  </si>
  <si>
    <t>MÁS PRESENCIA DE POLÍA</t>
  </si>
  <si>
    <t>MÁS GENTE</t>
  </si>
  <si>
    <t>BIEN TODO</t>
  </si>
  <si>
    <t>SE ALEGRA QUE LE ARREGLEN EL PARQUE</t>
  </si>
  <si>
    <t>94df0ee9-43ac-497f-89ff-bb219d7d563e</t>
  </si>
  <si>
    <t>ESCUELA MUNDO JUVENIL</t>
  </si>
  <si>
    <t>SE ENCUENTRAN GUARDIAS EN LOS PARQUEADEROS</t>
  </si>
  <si>
    <t>B F J</t>
  </si>
  <si>
    <t>BIENESTAR</t>
  </si>
  <si>
    <t>PONERSE DE ACUERDO CON EL COBRO DE DISCAPACIDAD EN EL PARQUEADERO</t>
  </si>
  <si>
    <t>bcc7c1ca-763e-4858-833c-7bf2f822c2a2</t>
  </si>
  <si>
    <t>7a74c4d2-b730-4f6d-a0f2-b0a5e833543c</t>
  </si>
  <si>
    <t>CROSSFIT</t>
  </si>
  <si>
    <t>MAS USUARIOS</t>
  </si>
  <si>
    <t>MARAVILLOSO</t>
  </si>
  <si>
    <t>20eb591f-60b9-47ce-8c3f-b4512704305f</t>
  </si>
  <si>
    <t>PORQUE NO LE HA PASADO NADA</t>
  </si>
  <si>
    <t>TODO EN ORDEN</t>
  </si>
  <si>
    <t>MUY SEGURO GUARDIAS QUE LES PROTEGEN</t>
  </si>
  <si>
    <t>487696d3-4263-4311-a8e6-4417f35a0d62</t>
  </si>
  <si>
    <t>HACE FALTA DICIPLINA DENTRO DEL PARQUE</t>
  </si>
  <si>
    <t>PASEA EN LA MAÑANA</t>
  </si>
  <si>
    <t>afdfde99-6ccc-4c47-a125-af5b5d037d9e</t>
  </si>
  <si>
    <t>ENCANTADA DE ESTAR EN EL PARQUE</t>
  </si>
  <si>
    <t>FALTA EDUCACIÓN A LA GENTE</t>
  </si>
  <si>
    <t>EMOSION DE VER EL PARQUE HERMOSO</t>
  </si>
  <si>
    <t>SITIOS RECREATIVOS</t>
  </si>
  <si>
    <t>fe8f6037-9995-4101-9e95-d32b746fb005</t>
  </si>
  <si>
    <t>HAY MÁS GENTE USUARIOS</t>
  </si>
  <si>
    <t>526f7f42-9ae5-4697-b101-5e19f9e02f33</t>
  </si>
  <si>
    <t>CONSUMO DE DROGAS</t>
  </si>
  <si>
    <t>POLICIA NACIONAL FALTA</t>
  </si>
  <si>
    <t>CACMQ FALTA</t>
  </si>
  <si>
    <t>C D H I</t>
  </si>
  <si>
    <t>NERVIOSO</t>
  </si>
  <si>
    <t>ESTRESADO</t>
  </si>
  <si>
    <t>3d86eab0-23b1-48b5-83a0-97159d371e38</t>
  </si>
  <si>
    <t>1. Ninguno</t>
  </si>
  <si>
    <t>a621059d-18d9-4b19-a19b-c081f032d2cb</t>
  </si>
  <si>
    <t>UN AMBIENTE TRANQUILO</t>
  </si>
  <si>
    <t>LA GENTE ESTÁ EN SUS COSAS</t>
  </si>
  <si>
    <t>76290af0-7769-4d5b-a4cd-5fb7a8ecae42</t>
  </si>
  <si>
    <t>NO EXISTE PERSONAL SEGURIDAD</t>
  </si>
  <si>
    <t>NO HAY BOTÓN DE PÁNICO EN LAS AREAS</t>
  </si>
  <si>
    <t>INTRANQUILIDAD</t>
  </si>
  <si>
    <t>970de7e4-eaf9-4a6a-8ec9-8d28daf3c194</t>
  </si>
  <si>
    <t>SE ENCUENTRA POLICÍA</t>
  </si>
  <si>
    <t>VIENEN EN GRUPO</t>
  </si>
  <si>
    <t>D L</t>
  </si>
  <si>
    <t>ARTESANOS</t>
  </si>
  <si>
    <t>SE SIENTE INSEGURO EN LA MAÑANA Y EN LA NOCHE</t>
  </si>
  <si>
    <t>f576b875-651c-438f-b112-1f7b86b9153d</t>
  </si>
  <si>
    <t>PERSONAS INDIGENTES DELINCUENTES</t>
  </si>
  <si>
    <t>A B C D E L</t>
  </si>
  <si>
    <t>CAMPAÑAS COMERCIALIZACIÓN</t>
  </si>
  <si>
    <t>INTRANQUILO</t>
  </si>
  <si>
    <t>4b6be8b0-0406-4778-9734-9d2a4949c840</t>
  </si>
  <si>
    <t>TODO TRANQUILO</t>
  </si>
  <si>
    <t>SE SIENTE BIEN Y LE GUSTA</t>
  </si>
  <si>
    <t>QUE SE MANTENGA IGUAL EL PARQUE</t>
  </si>
  <si>
    <t>3a25ed1d-d33d-41aa-be8e-bd7e7dc78e2d</t>
  </si>
  <si>
    <t>GENTE TRANQUILA</t>
  </si>
  <si>
    <t>LA ATENCIÓN DE LOS SERVIDORES ES BUENA</t>
  </si>
  <si>
    <t>3280fe32-e03d-4ecd-bbe7-efb330a90d37</t>
  </si>
  <si>
    <t>MUY BIEN DENTRO DEL PARQUE</t>
  </si>
  <si>
    <t>VIVE CERCA AL PARQUE</t>
  </si>
  <si>
    <t>BIENESTAR AL ORGANISMO</t>
  </si>
  <si>
    <t>MENTALMENTE</t>
  </si>
  <si>
    <t>e26209c8-f58b-4488-a8bd-44b2668e940c</t>
  </si>
  <si>
    <t>ROBOS EN LA NOCHE</t>
  </si>
  <si>
    <t>SATISFACCIÓN BUENA</t>
  </si>
  <si>
    <t>0d4410d9-3261-48fa-9c82-c99af3e9427a</t>
  </si>
  <si>
    <t>4. Noche  (18:00 a 23:59)</t>
  </si>
  <si>
    <t>FALTA ILUMINACIÓN</t>
  </si>
  <si>
    <t>ALERTA</t>
  </si>
  <si>
    <t>a1b75b57-2134-4780-a5cb-fe12f563dc18</t>
  </si>
  <si>
    <t>TODO BIEN TRANQUILO</t>
  </si>
  <si>
    <t>SATISFECHO</t>
  </si>
  <si>
    <t>TRANQUILO SEGURO EN PAZ CON LA FAMILIA</t>
  </si>
  <si>
    <t>608f1ee4-00c8-4606-839e-4086faf28293</t>
  </si>
  <si>
    <t>SITIOS DE CONCURRENCIA</t>
  </si>
  <si>
    <t>EXISTENCIA PRESENCIA DE GENTE</t>
  </si>
  <si>
    <t>0926a9d5-f38d-4cee-8557-8a5cf9b4bbd0</t>
  </si>
  <si>
    <t>PORQUE HAY GENTE</t>
  </si>
  <si>
    <t>NO ROBAN</t>
  </si>
  <si>
    <t>8b2e4d56-3f66-48f1-8e03-f4a625404030</t>
  </si>
  <si>
    <t>HASTA AHORA SEGURO</t>
  </si>
  <si>
    <t>NO HABIDO ROBOS CUANDO PASA</t>
  </si>
  <si>
    <t>SEGURA TRANQUILA</t>
  </si>
  <si>
    <t>ESTABILIDAD</t>
  </si>
  <si>
    <t>12f6b014-c9e8-4c79-8aaa-19429c1dffdb</t>
  </si>
  <si>
    <t>EXISTE GENTE</t>
  </si>
  <si>
    <t>ACUDE A LUGARES CON GENTE DEL PARQUE</t>
  </si>
  <si>
    <t>B D E I J</t>
  </si>
  <si>
    <t>tranquila</t>
  </si>
  <si>
    <t>2d39b4ac-af59-484b-a885-2498ab675bad</t>
  </si>
  <si>
    <t>ANDA EN LA BICICLETA Y NO SE DETIENE</t>
  </si>
  <si>
    <t>SE SIENTE CALMADO</t>
  </si>
  <si>
    <t>ec69968b-bd69-4bbb-956c-ffc55f11005b</t>
  </si>
  <si>
    <t>SERVICIOS</t>
  </si>
  <si>
    <t>SEGURIDAD GUARDIANIA</t>
  </si>
  <si>
    <t>a210f9e4-ac6e-44fb-9579-9efbe911a495</t>
  </si>
  <si>
    <t>2. Culturales y sociales 4. De paso</t>
  </si>
  <si>
    <t>HAY BASTANTE GENTE</t>
  </si>
  <si>
    <t>VENDEDORES AMBULANTES, MUSICA A ALTO VOLUMEN, BASURA EL SABADO Y DOMINGO O DIAS FERIADOS</t>
  </si>
  <si>
    <t>LE GUSTA DESCANSAR SOBRE UNA BANCA</t>
  </si>
  <si>
    <t>7d5fccb5-4436-4a4e-b3a9-91f33a459737</t>
  </si>
  <si>
    <t>MUCHA VIGILANCIA</t>
  </si>
  <si>
    <t>MOTORIZADO POLICIA NACIONAL</t>
  </si>
  <si>
    <t>POCO TRANQUILO</t>
  </si>
  <si>
    <t>1012ee64-2f78-46a6-9f43-113aa6908e64</t>
  </si>
  <si>
    <t>PROTEJIDO</t>
  </si>
  <si>
    <t>d1e5a6d1-ebe7-416a-97d8-522620405562</t>
  </si>
  <si>
    <t>JUEGOS INFANTILES</t>
  </si>
  <si>
    <t>HAY MAS POLICIA Y VIGILANCIA</t>
  </si>
  <si>
    <t>FELICIDAD COMPARTE CON SU HIJA</t>
  </si>
  <si>
    <t>718b0c5b-2fed-44bd-a0e9-f59770a9e1a9</t>
  </si>
  <si>
    <t>ROBO</t>
  </si>
  <si>
    <t>INSEGURIDAD NOCHE</t>
  </si>
  <si>
    <t>3aa461aa-0b59-44bc-b22f-000b348a9406</t>
  </si>
  <si>
    <t>A B C D E F G H I J K L</t>
  </si>
  <si>
    <t>c613648e-8513-473c-90c7-3e7ffcc6e4d2</t>
  </si>
  <si>
    <t>4. Pistas para correr 6. Área para perros 8. Otro.</t>
  </si>
  <si>
    <t>JUEGOS</t>
  </si>
  <si>
    <t>PERSONAL DE CONTROL</t>
  </si>
  <si>
    <t>617f86cd-bbcf-459c-a7d4-75fbfc024db3</t>
  </si>
  <si>
    <t>FRECUENCIA DE PERSONAL POLICIAL</t>
  </si>
  <si>
    <t>CALMADO</t>
  </si>
  <si>
    <t>29311de7-5fcb-49ed-b45a-1bf554591173</t>
  </si>
  <si>
    <t>SE SIENTE SEGURO PORQUE A LA HORA QUE ESTA EN EL PARQUE HAY GENTE</t>
  </si>
  <si>
    <t>b7a298ec-8217-4199-b14b-81cd5570103e</t>
  </si>
  <si>
    <t>LB</t>
  </si>
  <si>
    <t>UNO TIENE QUE ESTAR PENDIENTE DE SUS COSAS</t>
  </si>
  <si>
    <t>G L</t>
  </si>
  <si>
    <t>LIBERAR ESTRES</t>
  </si>
  <si>
    <t>7ba98817-3642-4342-9493-c053b111636a</t>
  </si>
  <si>
    <t>5ac291f5-06e3-4f5e-abd0-20a376daddd3</t>
  </si>
  <si>
    <t>MUCHAS PERSONAS QUE FUMAN SUSTANCIAS PSICOTROPICAS</t>
  </si>
  <si>
    <t>VENDEDORES VENEZOLANOS</t>
  </si>
  <si>
    <t>VIENE A CORRER</t>
  </si>
  <si>
    <t>DISFRUTA CON LA FAMILIA</t>
  </si>
  <si>
    <t>38c0162a-4a4c-4f2c-be00-4faf852d59bb</t>
  </si>
  <si>
    <t>NO SABE QUE CLASE DE GENTE VIENE</t>
  </si>
  <si>
    <t>e408c536-da53-4f0d-8cd6-4d601eddc0ca</t>
  </si>
  <si>
    <t>PORQUE HAY PRESENCIA POLICIAL</t>
  </si>
  <si>
    <t>PORQUE VIENE ACOMPAÑADA</t>
  </si>
  <si>
    <t>DISTRACCION PARA LA MENTE</t>
  </si>
  <si>
    <t>b853f2b8-acbe-4ec3-bd9f-0ca388f5c4ea</t>
  </si>
  <si>
    <t>1. Canchas de fútbol y basquet 2. Rampas para patineta</t>
  </si>
  <si>
    <t>GUARDIA DE SEGURIDAD</t>
  </si>
  <si>
    <t>6439093d-870f-4eae-b575-20db68a65268</t>
  </si>
  <si>
    <t>ILUMINACION LAS NOCHES</t>
  </si>
  <si>
    <t>REALIZAN NEGOCIOS CON LOS CANCHAS DE FUTBOL</t>
  </si>
  <si>
    <t>NO REALIZAR NEGOCIO CON LAS COSAS DEL PARQUE</t>
  </si>
  <si>
    <t>5f5a3b2e-0fe6-40cf-b53d-6dc648f29b43</t>
  </si>
  <si>
    <t>NO HAY GUARDIAS</t>
  </si>
  <si>
    <t>NO HAY POLICIAS</t>
  </si>
  <si>
    <t>MENDICIDAD</t>
  </si>
  <si>
    <t>051fdac5-3246-4113-bb76-93bf9afffd33</t>
  </si>
  <si>
    <t>SE CUIDA SOLO</t>
  </si>
  <si>
    <t>81a5460b-3b3c-4254-be9b-28ebbb5ae6ea</t>
  </si>
  <si>
    <t>MUCHAS PERSONAS QUE FUMAN DROGA</t>
  </si>
  <si>
    <t>PERSONAS QUE POSAN BESANDOSE</t>
  </si>
  <si>
    <t>MOMENTO DE DISTRACCION</t>
  </si>
  <si>
    <t>b1d4885c-ee2f-4330-8df0-2a7349a2bc51</t>
  </si>
  <si>
    <t>ARREGLARON EL PARQUE</t>
  </si>
  <si>
    <t>HAY MAS CUIDADO DEL MUNICIPIO</t>
  </si>
  <si>
    <t>SALUD</t>
  </si>
  <si>
    <t>7203550b-0b22-4af1-832a-7885ce3b7200</t>
  </si>
  <si>
    <t>3. Caminos de ciclismo 4. Pistas para correr 6. Área para perros</t>
  </si>
  <si>
    <t>PATRULLEROS</t>
  </si>
  <si>
    <t>ILUMINACION</t>
  </si>
  <si>
    <t>8642b79a-a767-4095-8ff4-1ae90ccbf6c0</t>
  </si>
  <si>
    <t>ALUENCIA DE GENTE</t>
  </si>
  <si>
    <t>c35c70db-e18e-4ac6-91d8-640ed9fb891f</t>
  </si>
  <si>
    <t>HAY PARQUEADEROS</t>
  </si>
  <si>
    <t>ESTA CUIDADO EL PARQUE</t>
  </si>
  <si>
    <t>db2e67fc-91e1-4ae9-8e4b-765f63b0ee1e</t>
  </si>
  <si>
    <t>ESTACIONAMIENTO</t>
  </si>
  <si>
    <t>SSHH</t>
  </si>
  <si>
    <t>CONFORTABLE</t>
  </si>
  <si>
    <t>744a7edc-5102-4d60-9687-14b4f613b347</t>
  </si>
  <si>
    <t>FALTA DE SEGURIDAD EN EL PARQUEADERO</t>
  </si>
  <si>
    <t>FALTA DE CAMARAS</t>
  </si>
  <si>
    <t>SIN PROBLEMA</t>
  </si>
  <si>
    <t>24a5f948-1061-45c3-906d-d445f5cc6363</t>
  </si>
  <si>
    <t>1. Madrugada (00:00 a 05:59) 2. Mañana  (06:00 a 11:59)</t>
  </si>
  <si>
    <t>SI ES SEGURO PERO SI SE NECESITA MAS SEGURIDAD</t>
  </si>
  <si>
    <t>SE SIENTE FELIZ YA QUE SU MASCOTA ES FELIZ AQUI</t>
  </si>
  <si>
    <t>9aecd5cf-4574-43b1-9c1a-e7a2578c8e35</t>
  </si>
  <si>
    <t>c80cfbc5-3104-4ce9-8cf3-dd290c094310</t>
  </si>
  <si>
    <t>e7fa4c7e-eaf1-48b8-b4bb-f29d818d2e9d</t>
  </si>
  <si>
    <t>VISITA CUANDO HAY GENTE</t>
  </si>
  <si>
    <t>3bafa109-c48a-449a-b269-2066bb826d8d</t>
  </si>
  <si>
    <t>SIEMPRE HAY POLICIAS EN EL SECTOR</t>
  </si>
  <si>
    <t>GURADIAS DE SEGURIDAD</t>
  </si>
  <si>
    <t>fdef02bf-2e4e-429f-88a8-0fb41cfa9074</t>
  </si>
  <si>
    <t>POR FALTA DE INFORMACION</t>
  </si>
  <si>
    <t>b1e50f98-8522-4ec5-a6be-c4ead2b025b9</t>
  </si>
  <si>
    <t>SIEMPRE VIENE EN EL DIA</t>
  </si>
  <si>
    <t>PARECE FERIA DE COMIDA</t>
  </si>
  <si>
    <t>MUCHA AGLOMERACION DE PERSONAS</t>
  </si>
  <si>
    <t>ae0fda5c-4f99-4b76-b55c-22726e889f5f</t>
  </si>
  <si>
    <t>5b9b1d30-8037-44de-ad79-f4b37306b56f</t>
  </si>
  <si>
    <t>3. Caminos de ciclismo 4. Pistas para correr 8. Otro.</t>
  </si>
  <si>
    <t>SEGURO EN EL HORARIO QUE VIENEN</t>
  </si>
  <si>
    <t>A B C D E H I L</t>
  </si>
  <si>
    <t>SATISFACCION</t>
  </si>
  <si>
    <t>3fd4f33c-2938-45b7-87be-bc2f039f06de</t>
  </si>
  <si>
    <t>PORQUE HAY MAS PERSONAS</t>
  </si>
  <si>
    <t>B C D E H I J L</t>
  </si>
  <si>
    <t>DESPEJA LA MENTE</t>
  </si>
  <si>
    <t>ALEGRIA EN CIERTOS SITIOS</t>
  </si>
  <si>
    <t>632cb02f-4fec-4ab2-ac9c-c2785f877bd3</t>
  </si>
  <si>
    <t>MUY CUIDADO</t>
  </si>
  <si>
    <t>5517ad43-11dd-4e87-b9ea-04ce7b9ebd6e</t>
  </si>
  <si>
    <t>SE ACERCAN VENDEDORES AMBULANTES ENOJADOS</t>
  </si>
  <si>
    <t>NO ES MUY ADECUADO LAS INSTALACIONES</t>
  </si>
  <si>
    <t>31d5a73b-659a-43a8-990d-230e8c51cfc1</t>
  </si>
  <si>
    <t>FUERZA POLICIAL</t>
  </si>
  <si>
    <t>24d7bb6e-8917-4d60-9c1c-b0728e5cc4c0</t>
  </si>
  <si>
    <t>JUGAR CON LA NIÑA TRANQUILA</t>
  </si>
  <si>
    <t>DISFRUTA DEL AMBIENTE</t>
  </si>
  <si>
    <t>c86df783-e0d5-49af-b512-2cf137973d3e</t>
  </si>
  <si>
    <t>GB-IG</t>
  </si>
  <si>
    <t>PRESENCIA DE LA POLICIA</t>
  </si>
  <si>
    <t>TRANQUILA Y MIEDO POR LAS PERSONAS EN SITUACIÓN DE CALLE</t>
  </si>
  <si>
    <t>572a3526-8f17-4289-8476-4fa1b6f9d14f</t>
  </si>
  <si>
    <t>BASTANTE SEGURIDAD</t>
  </si>
  <si>
    <t>MENOS VENTAS INFORMALES</t>
  </si>
  <si>
    <t>ed6ad36b-4a9d-405e-95d1-e130b9feed63</t>
  </si>
  <si>
    <t>NO HA TENIDO NINGUNO</t>
  </si>
  <si>
    <t>PASAR EL TIEMPO</t>
  </si>
  <si>
    <t>f3cac0e8-79af-4ea0-b41f-e60770e24c28</t>
  </si>
  <si>
    <t>5dbc6041-1290-41cd-9434-3304f94cef8d</t>
  </si>
  <si>
    <t>PRESENCIA DE POLICIA MONTADA</t>
  </si>
  <si>
    <t>DISFRUTA</t>
  </si>
  <si>
    <t>fc67dbab-f3f1-497a-91ed-c89588fbe5a4</t>
  </si>
  <si>
    <t>SER ECUATORIANA</t>
  </si>
  <si>
    <t>8d24d5f9-a03a-45a6-b046-2397ab63da34</t>
  </si>
  <si>
    <t>POR LUGARES MUY CONCURRIDOS</t>
  </si>
  <si>
    <t>DISFRUTA LAS AREAS VERDES</t>
  </si>
  <si>
    <t>DIVERSION</t>
  </si>
  <si>
    <t>53e5f039-ab84-49dc-bad5-74e780ba3c81</t>
  </si>
  <si>
    <t>PATRULLAJE CONTINUOS</t>
  </si>
  <si>
    <t>f85e6782-7868-483d-a90c-87edcd6ebe65</t>
  </si>
  <si>
    <t>PORQUE VEO GENTE EN EL LUGAR</t>
  </si>
  <si>
    <t>SALIR CON EL PERRO</t>
  </si>
  <si>
    <t>d55f3bbe-fd80-4662-8c05-cea5b81dc7d9</t>
  </si>
  <si>
    <t>NO HA TENIDO INCONVENIENTES</t>
  </si>
  <si>
    <t>93909537-f17d-4507-bf10-f69be99e7ff5</t>
  </si>
  <si>
    <t>POR ESTAR ACOMPAÑADA</t>
  </si>
  <si>
    <t>MIEDO POR LA INSEGURIDAD</t>
  </si>
  <si>
    <t>d790b2a6-7db4-4c74-8899-14f2ce70c212</t>
  </si>
  <si>
    <t>NO ES SEGURO</t>
  </si>
  <si>
    <t>INSEGURIDAD EN EL PARQUE</t>
  </si>
  <si>
    <t>bf8a3b84-ae79-4ac2-b51b-a36715584bc4</t>
  </si>
  <si>
    <t>EJERCICIO</t>
  </si>
  <si>
    <t>RECREACION</t>
  </si>
  <si>
    <t>MEDIANAMENTE SEGURO</t>
  </si>
  <si>
    <t>dd9d0037-c703-428b-a900-a6c84e6a642c</t>
  </si>
  <si>
    <t>GB-CV</t>
  </si>
  <si>
    <t>SEGURO DENTRO DEL PARQUE POR POLICIA</t>
  </si>
  <si>
    <t>ME DA TRANQUILIDAD</t>
  </si>
  <si>
    <t>DISFRUTA DE LOS ARBOLES</t>
  </si>
  <si>
    <t>3798071c-d008-43a5-aa4e-2cf9d4019b1e</t>
  </si>
  <si>
    <t>VENTAS</t>
  </si>
  <si>
    <t>FALTAN VIGILANTES</t>
  </si>
  <si>
    <t>INSEGURIDAD EN E</t>
  </si>
  <si>
    <t>8f958ec9-e580-4b26-be97-f84f5b33af8c</t>
  </si>
  <si>
    <t>POCA POLICIA NACIONAL</t>
  </si>
  <si>
    <t>POR EL AIRE Y LOS ARBOLES</t>
  </si>
  <si>
    <t>4f7a3266-ba86-480d-bae5-78dfb709db3a</t>
  </si>
  <si>
    <t>4abafc4e-d284-43b5-af0c-b1bfed627482</t>
  </si>
  <si>
    <t>POLICIAS</t>
  </si>
  <si>
    <t>4786a69f-3fab-49bb-a8f4-4eded1e66c92</t>
  </si>
  <si>
    <t>CAMINA CON SEGURIDAD</t>
  </si>
  <si>
    <t>d40efd8e-291c-47c8-8763-9d98b08649f1</t>
  </si>
  <si>
    <t>PORQUE VENGO ACOMPAÑADA</t>
  </si>
  <si>
    <t>ES BONITO PORQUE VIENE A RELAJARSE</t>
  </si>
  <si>
    <t>3b94f60f-515d-4353-8a0f-c82c4189ac94</t>
  </si>
  <si>
    <t>AM</t>
  </si>
  <si>
    <t>PORQUE HAY SEGURIDAD</t>
  </si>
  <si>
    <t>2. Blanca 3. Contundente 5. Otras</t>
  </si>
  <si>
    <t>CUCHILLO Y PIEDRAS</t>
  </si>
  <si>
    <t>TRANQUILIDAD CONFORMIDAD Y SEGURIDAD</t>
  </si>
  <si>
    <t>aa3f61e4-4152-4771-8da6-7f2d292556f6</t>
  </si>
  <si>
    <t>TRABAJAR</t>
  </si>
  <si>
    <t>MUCHOS DELINCUENTES</t>
  </si>
  <si>
    <t>TRANQUILA Y SEGURA POR LA POLICIA</t>
  </si>
  <si>
    <t>85227087-d399-41e6-8e21-f5b655471a0d</t>
  </si>
  <si>
    <t>TRANQUILIDAD EN EL PARQUE PORQUE SI HAY POLICIA</t>
  </si>
  <si>
    <t>cba6bcf8-cbb3-4f99-b6a4-67019a6dbf1d</t>
  </si>
  <si>
    <t>VENDER</t>
  </si>
  <si>
    <t>PORQUE HAY POLICIAS</t>
  </si>
  <si>
    <t>SE SIENTE BIEN TRANQUILA</t>
  </si>
  <si>
    <t>086f9401-f426-44ef-9544-efd3a053a926</t>
  </si>
  <si>
    <t>POR VENIR EN LA MAÑANA</t>
  </si>
  <si>
    <t>BIEN EN EL PARQUE PORQUE ES SANO</t>
  </si>
  <si>
    <t>bb140e25-bd6e-4ea5-a9c8-07656fe5a8cb</t>
  </si>
  <si>
    <t>PORQUE VIENE EN LA MAÑANA</t>
  </si>
  <si>
    <t>220d8553-cdeb-4c10-be0d-556215cec8d4</t>
  </si>
  <si>
    <t>GD</t>
  </si>
  <si>
    <t>f81cfc13-8ddc-4cc8-9c6e-c30cdefa441b</t>
  </si>
  <si>
    <t>SEGURO CON POLICIA</t>
  </si>
  <si>
    <t>3ffb09ce-9b07-47ab-9193-f5f1a3a4877f</t>
  </si>
  <si>
    <t>ME SIENTO MUY SEGURO DÓNDE HAY MAS USUARIOS</t>
  </si>
  <si>
    <t>SE SIENTE BIEN CUANDO HAY POLICIAS Y GUARDIAS DE SEGURIDAD</t>
  </si>
  <si>
    <t>49d7a69b-2e39-4c99-867a-04eca10f65ba</t>
  </si>
  <si>
    <t>PORQUE HAY GUARDIAS QUE CUIDAN EL PARQUE</t>
  </si>
  <si>
    <t>SEGURA CUANDO HAY PRESENCIA POLICIAL</t>
  </si>
  <si>
    <t>5ed52995-1353-42fb-b1d2-f8a9128460f0</t>
  </si>
  <si>
    <t>PERSONAL</t>
  </si>
  <si>
    <t>BIEN CUIDADO</t>
  </si>
  <si>
    <t>0aecea6a-f040-4cbe-9e6b-710fd355b911</t>
  </si>
  <si>
    <t>POCO DE SEGURIDAD</t>
  </si>
  <si>
    <t>14a7ab64-2328-496a-888a-818bbf1ac9cb</t>
  </si>
  <si>
    <t>HURTO</t>
  </si>
  <si>
    <t>DROGAS</t>
  </si>
  <si>
    <t>FALTA DE TRABAJO</t>
  </si>
  <si>
    <t>DEPORTE</t>
  </si>
  <si>
    <t>51bcca1c-f35d-4965-a9b6-42a8a64419b7</t>
  </si>
  <si>
    <t>ed84b0e6-e921-4f74-a416-765cabb02d18</t>
  </si>
  <si>
    <t>1. Deporte / ejercicio 2. Culturales y sociales 3. Compras 4. De paso 5. Recreación/Ocio 6. Otra</t>
  </si>
  <si>
    <t>POR LA GENTE</t>
  </si>
  <si>
    <t>GUARDIAS DE SEGURIDAD</t>
  </si>
  <si>
    <t>ab29c204-e4c8-4444-a6b6-f80d5e3af713</t>
  </si>
  <si>
    <t>EN EL HORARIO QUE VIENE HAY MAS GENTE</t>
  </si>
  <si>
    <t>b30463b1-3439-4e9f-a55d-75112197ceaf</t>
  </si>
  <si>
    <t>de230f8c-8cb2-4e33-984e-07fa4fabd92a</t>
  </si>
  <si>
    <t>LUGARES DE COMIDA</t>
  </si>
  <si>
    <t>4efe9245-4dcc-41ba-85e7-ea22ec6be026</t>
  </si>
  <si>
    <t>POR LA COMPAÑIA DE SUS MASCOTAS</t>
  </si>
  <si>
    <t>ESTA EN UN SITIO NO CONTAMINADO</t>
  </si>
  <si>
    <t>6792f6be-35c1-45b9-9dfa-2e748948006e</t>
  </si>
  <si>
    <t>GB.SCH</t>
  </si>
  <si>
    <t>UDY</t>
  </si>
  <si>
    <t>PRESENCIA PERSONAL DEL PARQUE</t>
  </si>
  <si>
    <t>1fbab38d-a87c-4141-bb35-0859491e854f</t>
  </si>
  <si>
    <t>POR MUCHA DELINCUANCIA</t>
  </si>
  <si>
    <t>POR GENTE QUE SE DROGA</t>
  </si>
  <si>
    <t>F L</t>
  </si>
  <si>
    <t>ALEGRE</t>
  </si>
  <si>
    <t>e538772e-5e1b-4457-a531-0d7e626e0bef</t>
  </si>
  <si>
    <t>4. Pistas para correr 7. Áreas verdes 8. Otro.</t>
  </si>
  <si>
    <t>CROSFIT</t>
  </si>
  <si>
    <t>AREA TRANQUILA</t>
  </si>
  <si>
    <t>GENTE DEPORTISTA</t>
  </si>
  <si>
    <t>POLICIA NACIONAL Y METROPOLITANA</t>
  </si>
  <si>
    <t>SARISFECHA POR MANTENER CONTROL DE SEGURIDAD Y LIMPIEZA</t>
  </si>
  <si>
    <t>5bac022e-583d-425c-b28c-b7c1b769d66d</t>
  </si>
  <si>
    <t>PARQUE MUY CIRCULADO</t>
  </si>
  <si>
    <t>ENTRETENIDO</t>
  </si>
  <si>
    <t>617ffcef-3a20-44a0-ae1b-09d73f967761</t>
  </si>
  <si>
    <t>3. Caminos de ciclismo 8. Otro.</t>
  </si>
  <si>
    <t>PRECENSIA POLICIAL</t>
  </si>
  <si>
    <t>ed039bc2-5294-4ed3-84ce-8bc25abe3a87</t>
  </si>
  <si>
    <t>DEPENDE EL HORARIO EN LA MAÑANA</t>
  </si>
  <si>
    <t>34cf3001-9610-48f9-b521-ea1f545bd8e8</t>
  </si>
  <si>
    <t>VENIT ACOMPAÑADA</t>
  </si>
  <si>
    <t>01bc9e19-cbe9-4f44-b8f6-8780ea1d60d9</t>
  </si>
  <si>
    <t>GB-SGH</t>
  </si>
  <si>
    <t>TRABAJA Y ESTUDIA</t>
  </si>
  <si>
    <t>FALTA DE ILUMINACION</t>
  </si>
  <si>
    <t>cca8f230-808c-4793-8a43-53251ed882c8</t>
  </si>
  <si>
    <t>3. Caminos de ciclismo 7. Áreas verdes 8. Otro.</t>
  </si>
  <si>
    <t>EN EL HORARIO QUE VIENE HAY GENTE</t>
  </si>
  <si>
    <t>RELAJACIÒN</t>
  </si>
  <si>
    <t>ec95a53f-fdca-4b09-9f96-034cdd0cd3e9</t>
  </si>
  <si>
    <t>PASEO CACHORRO</t>
  </si>
  <si>
    <t>1. Canchas de fútbol y basquet 6. Área para perros</t>
  </si>
  <si>
    <t>GENTE CAMINANDO</t>
  </si>
  <si>
    <t>NO HAY SITUACION DE CALLE(MUCHO)</t>
  </si>
  <si>
    <t>EL COMERCIO E ILUMINACION</t>
  </si>
  <si>
    <t>RELAJANTE</t>
  </si>
  <si>
    <t>NATURALEZA</t>
  </si>
  <si>
    <t>c4db05d6-85b4-4fe7-8a2b-10527168a2aa</t>
  </si>
  <si>
    <t>GB-JA</t>
  </si>
  <si>
    <t>BULEVARES</t>
  </si>
  <si>
    <t>FALTA DE PERSONAS EN LA NOCHE</t>
  </si>
  <si>
    <t>FELIZ POR LA NATURALEZA</t>
  </si>
  <si>
    <t>e0f54b19-d757-4a0f-9713-03e87dfe34a1</t>
  </si>
  <si>
    <t>CAMINA TRANQUILO</t>
  </si>
  <si>
    <t>NO ROBOS</t>
  </si>
  <si>
    <t>6788aa88-5eec-468c-9569-a1777ee24168</t>
  </si>
  <si>
    <t>NO HA PRECENSIADO VIOLENCIA</t>
  </si>
  <si>
    <t>3147c053-fd50-43a1-b5b1-43ad5de11f48</t>
  </si>
  <si>
    <t>HAY SEGURIDAD PERSONAS CAMINANDO</t>
  </si>
  <si>
    <t>SE SIENTE LIBRE</t>
  </si>
  <si>
    <t>MUY FELIZ</t>
  </si>
  <si>
    <t>388adf08-acdd-45c8-b177-337eaed1080c</t>
  </si>
  <si>
    <t>NO ME HA PASADO NADA Y SALE EN EL DIA</t>
  </si>
  <si>
    <t>EN EL DIA TRANQUILIDAD</t>
  </si>
  <si>
    <t>5376e84d-d74c-4de7-83ef-642c3eea8868</t>
  </si>
  <si>
    <t>POR PERSONAS QUE CONSUMEN DROGRA</t>
  </si>
  <si>
    <t>APROVECHA</t>
  </si>
  <si>
    <t>144f9741-28d6-43c1-8cff-e10b845c580e</t>
  </si>
  <si>
    <t>HAY MUCHA SEGURIDAD</t>
  </si>
  <si>
    <t>0eee9b72-e918-43e0-b70b-ea9873135b46</t>
  </si>
  <si>
    <t>NÚMERO DE GENTE</t>
  </si>
  <si>
    <t>LA LUZ</t>
  </si>
  <si>
    <t>MOTOS ELÉCTRICAS</t>
  </si>
  <si>
    <t>PAISAJE</t>
  </si>
  <si>
    <t>26550644-1180-472b-9b26-007593e94f92</t>
  </si>
  <si>
    <t>LA SEGURIDAD DE UNO MISMO</t>
  </si>
  <si>
    <t>QUITAR LOS PUESTOS DE COMIDA POR LA SUCIEDAD</t>
  </si>
  <si>
    <t>BIEM</t>
  </si>
  <si>
    <t>CONFORT</t>
  </si>
  <si>
    <t>CONTROLAR LOS TRABAJOS DEL PARQUE</t>
  </si>
  <si>
    <t>04533a7e-a3c5-4ff7-b529-980eb3b72567</t>
  </si>
  <si>
    <t>ILUMINACION A MEJORADO</t>
  </si>
  <si>
    <t>DISFRUTA LA NATURALEZA</t>
  </si>
  <si>
    <t>HACER DEPORTE</t>
  </si>
  <si>
    <t>f6b1d478-648d-44f6-8df4-d8b09b8a363d</t>
  </si>
  <si>
    <t>MUCHOS VENEZOLANOS TRAE INSEGURIDAD</t>
  </si>
  <si>
    <t>MUY POCA PRESENCIA DE POLICIAS</t>
  </si>
  <si>
    <t>MUCHOS ALUMNOS DE COLEGIO SE QUEDAN EN EL PARQUE</t>
  </si>
  <si>
    <t>6d4a4e74-4289-4a8d-b6c7-4f863cd67deb</t>
  </si>
  <si>
    <t>SIEMPRE VISUALIZA A POLICIAS</t>
  </si>
  <si>
    <t>TAMBIEN CUENTA CON GUARDIANIA</t>
  </si>
  <si>
    <t>2a7c1917-5e12-46f8-b9ab-f87c0d834d13</t>
  </si>
  <si>
    <t>MUCHAS MOTOCICLETAS EN EL SECTOR</t>
  </si>
  <si>
    <t>FALTA PRESENCIA POLICIAL</t>
  </si>
  <si>
    <t>FALTA BASUREROS</t>
  </si>
  <si>
    <t>6196f5ea-31ee-4783-ab91-46c699875f3f</t>
  </si>
  <si>
    <t>2. Rampas para patineta</t>
  </si>
  <si>
    <t>PRESENCIA DE POLICIA NACIONAL EN CABALLOS</t>
  </si>
  <si>
    <t>EXISTE GUARDIAS EN EL PARQUE</t>
  </si>
  <si>
    <t>TRANQUILIDADs</t>
  </si>
  <si>
    <t>SIN PREOCUPACIONES</t>
  </si>
  <si>
    <t>22fad28a-864f-44e8-920d-674b84d7fe78</t>
  </si>
  <si>
    <t>CONTROL POLICIA NACIONAL</t>
  </si>
  <si>
    <t>HA MEJORADO EL ASPECTO DEL PARQUE</t>
  </si>
  <si>
    <t>ILUMINADO TODO EL PARQUE</t>
  </si>
  <si>
    <t>a7baf49f-1277-4156-af88-12c323689fe4</t>
  </si>
  <si>
    <t>NO ES MUY SEGUIDO LOS PATRULLAJES DE POLICIA</t>
  </si>
  <si>
    <t>MUCHA MENDICIDAD</t>
  </si>
  <si>
    <t>INCOMODIDAD POR LOS VENEZOLANOS</t>
  </si>
  <si>
    <t>c3ded6a1-5032-4fdb-bc1b-9b5b46f096b7</t>
  </si>
  <si>
    <t>VI.2 Robo  (con violencia) VI.12 Otros</t>
  </si>
  <si>
    <t>LE DROGARON</t>
  </si>
  <si>
    <t>7. Otra</t>
  </si>
  <si>
    <t>ARRANCHAMIENTO</t>
  </si>
  <si>
    <t>4. Sustancias</t>
  </si>
  <si>
    <t>ALIVIO Y TRANQUILIDAD</t>
  </si>
  <si>
    <t>3d6f1828-67ad-4179-9f32-24d37d095b13</t>
  </si>
  <si>
    <t>HA VISTO DELINCUENTES EN EL PARQUE</t>
  </si>
  <si>
    <t>EN LA ACTUALIDAD MAS SEGURA PORQUE HAY MAS POLICIAS</t>
  </si>
  <si>
    <t>78c7581b-8e38-45df-9dd6-c5998a832c7d</t>
  </si>
  <si>
    <t>317</t>
  </si>
  <si>
    <t>PRESENCIA POLICIA METROPOLITANA</t>
  </si>
  <si>
    <t>7a79290b-30ae-4260-b240-620ebb3ba8f6</t>
  </si>
  <si>
    <t>HAY PRECENCIA DE POLICIA</t>
  </si>
  <si>
    <t>PASAN PATRULLAS EN MOTO DE GUARDIAS Y POLICIAS</t>
  </si>
  <si>
    <t>2bf03303-11cc-45ba-878f-4e52fc8c34f1</t>
  </si>
  <si>
    <t>NO LE HA PASADO NADA</t>
  </si>
  <si>
    <t>f3926202-3e58-4144-a28c-fc8c741f4b06</t>
  </si>
  <si>
    <t>AMIGOS COMPAÑIA</t>
  </si>
  <si>
    <t>fa813da5-fdeb-4bff-ade2-9d58f5a5ac81</t>
  </si>
  <si>
    <t>SI HA VISTO POLICÍA NACIONAL</t>
  </si>
  <si>
    <t>SE SIENTE FELIZ PORQUE HAY UN LUGAR SEGURO PARA CAMINAR</t>
  </si>
  <si>
    <t>3611e2ac-cb5d-44b5-b078-85e67e4bd967</t>
  </si>
  <si>
    <t>HA VISTO A POLOCÍA NACIONAL</t>
  </si>
  <si>
    <t>SE SIENTE UN POCO INSEGURA PERO LE GUSTA CAMINAR EN EL PARQUE</t>
  </si>
  <si>
    <t>e1ffa8e3-fe42-4ba6-82cd-e48818ac7495</t>
  </si>
  <si>
    <t>POCA PRESENCIA POLICIAL PARA NIÑOS ADULTOS Y MUJERES</t>
  </si>
  <si>
    <t>FALTAN MILITARES</t>
  </si>
  <si>
    <t>B F L</t>
  </si>
  <si>
    <t>NO SE SIENTE TAN INSEGURO, PERO PUEDE MEJORAR LA SEGURIDAD</t>
  </si>
  <si>
    <t>EN LOS PUNTOS SIN ILUMINACIÓN SE SIENTE INSEGURO</t>
  </si>
  <si>
    <t>SIENTE DESCONFIANZA</t>
  </si>
  <si>
    <t>ad48e8ca-2410-4fe1-8d94-d1810b1eb389</t>
  </si>
  <si>
    <t>NO IR POR SITIOS DESOLADOS</t>
  </si>
  <si>
    <t>8deae680-5e25-444a-aec7-a6447c0a95ac</t>
  </si>
  <si>
    <t>HABIDO RONDAS DE POLICIAS A CABALLO</t>
  </si>
  <si>
    <t>MUY BIEN SIN NOVEDADES</t>
  </si>
  <si>
    <t>ESPERA NUNCA TENER PROBLEMAS</t>
  </si>
  <si>
    <t>e65e5352-d2a4-4620-8c2a-4e87ea6e6d48</t>
  </si>
  <si>
    <t>VOLEY</t>
  </si>
  <si>
    <t>a4fe56a3-20ce-40e1-aadf-d2810c3a9081</t>
  </si>
  <si>
    <t>PORQUE HA VISTO QUE ASALTAN</t>
  </si>
  <si>
    <t>EN LA MAÑANA SE SIENTE SEGURO</t>
  </si>
  <si>
    <t>EN LA NOCHE YA NO</t>
  </si>
  <si>
    <t>c7a9a200-bbc8-4e65-bf7c-b4fea94823b3</t>
  </si>
  <si>
    <t>MISIONERO</t>
  </si>
  <si>
    <t>INSEGURO POR EXPENDIO DE DROGAS</t>
  </si>
  <si>
    <t>SIENTE PAZ EN CIERTOS HORARIOS</t>
  </si>
  <si>
    <t>INSEGURIDAD CON LA SITUACIÓN DEL PAIS</t>
  </si>
  <si>
    <t>c0f277a5-ada5-45f1-ab05-2b378397cbf5</t>
  </si>
  <si>
    <t>34d4de49-a949-4b88-a45f-c700402bc165</t>
  </si>
  <si>
    <t>MOVILIDAD DE LA GENTE</t>
  </si>
  <si>
    <t>c3694da8-03a3-4f72-a350-72782b7bb077</t>
  </si>
  <si>
    <t>ed65020b-d870-4b1a-9b79-f7ce65ffa772</t>
  </si>
  <si>
    <t>HA VISTO QUE LES ARRANCHAN LAS COSAS</t>
  </si>
  <si>
    <t>SE SIENTE FELIZ PORQUE VIENE CON EL ÑIETO</t>
  </si>
  <si>
    <t>4d29457c-52b7-42b2-8348-ea281a0f8761</t>
  </si>
  <si>
    <t>LEER</t>
  </si>
  <si>
    <t>SIN SEGURIDAD</t>
  </si>
  <si>
    <t>SIN POLICIA</t>
  </si>
  <si>
    <t>SOSPECHOSOS</t>
  </si>
  <si>
    <t>EL SILENCIO</t>
  </si>
  <si>
    <t>fb371de0-82f5-460e-8825-4d5715c2f892</t>
  </si>
  <si>
    <t>VE A POLICIA NACIONAL CON LOS CUADRONES Y LOS CABALLOS</t>
  </si>
  <si>
    <t>SE SIENTE SEGURO AL CAMINAR POR EL PARQUE</t>
  </si>
  <si>
    <t>4c23bb35-1274-48d2-9f59-7bdd27cff239</t>
  </si>
  <si>
    <t>SITRUACIÓN DE CALLE</t>
  </si>
  <si>
    <t>VI.6 Robo accesorios de vehículo</t>
  </si>
  <si>
    <t>CENTRICO</t>
  </si>
  <si>
    <t>6caadb05-94a4-4389-9fd6-78ea13aa6d4b</t>
  </si>
  <si>
    <t>MUCHA GENTE EXTRANJERA EN MENDICIDAD Y DELINCUENCIA</t>
  </si>
  <si>
    <t>ANSIEDAD</t>
  </si>
  <si>
    <t>e26a0d19-d702-4e22-8cd6-c2e4792c912a</t>
  </si>
  <si>
    <t>GENTE RESPETUOSA</t>
  </si>
  <si>
    <t>ACOSO</t>
  </si>
  <si>
    <t>ASEO</t>
  </si>
  <si>
    <t>NO RUIDO</t>
  </si>
  <si>
    <t>60101bf6-cbb9-42d7-ae78-3fc877a0c464</t>
  </si>
  <si>
    <t>NO HAY DELINCUANCIA</t>
  </si>
  <si>
    <t>f438e83f-3f4b-44f1-b65f-fea6285404c5</t>
  </si>
  <si>
    <t>LE DA DESCONFIANZA LOS EXTRANJEROS</t>
  </si>
  <si>
    <t>SE SIENTE INSEGURA PERO LE GUSTA VENIR AL PARQUE</t>
  </si>
  <si>
    <t>6a7a4d9e-e776-4d7e-9d8e-e82aa94220a1</t>
  </si>
  <si>
    <t>MAS PERSONAS QUE CUIDEN SU  SEGURIDAD</t>
  </si>
  <si>
    <t>TRANQUILIDAD YA QUE CONCE EL LUGAR Y TRABAJA CERCA</t>
  </si>
  <si>
    <t>be4cb084-74b0-49cb-a29a-8a7a23052e2b</t>
  </si>
  <si>
    <t>VISITA LUGARES DONDE HAY MÁS GENTE</t>
  </si>
  <si>
    <t>8a8902eb-b23a-4c2f-9318-2a8f4e6dab01</t>
  </si>
  <si>
    <t>SE SIENTEN SEGUROS</t>
  </si>
  <si>
    <t>bcc0a18e-38a1-49ee-a64d-ef953a0cbe7e</t>
  </si>
  <si>
    <t>ALUMBRADO PÚBLICO</t>
  </si>
  <si>
    <t>VENTAS AMBULANTES E INDIGENTES</t>
  </si>
  <si>
    <t>VI.3 Hurto (sin violencia) VI.10 Agresión física</t>
  </si>
  <si>
    <t>3. Arma de fuego</t>
  </si>
  <si>
    <t>INSEGURA EN TARDES Y NOCHES</t>
  </si>
  <si>
    <t>MEDIANAMENTE SEGURO EN LA MAÑANA Y TARDE</t>
  </si>
  <si>
    <t>7996ffc2-2128-488b-8085-805ab11f9c75</t>
  </si>
  <si>
    <t>SON ZONAS TRANQUILAS</t>
  </si>
  <si>
    <t>DISTRACCION DE LO COTIDIANO</t>
  </si>
  <si>
    <t>7695338d-1713-4270-8e9f-a8193fbe600b</t>
  </si>
  <si>
    <t>VIENGO ACOMPAÑADA</t>
  </si>
  <si>
    <t>63dd958b-4ccf-4d9a-81a5-d22f0193f1ed</t>
  </si>
  <si>
    <t>VISITA HORARIOS EN EL DÍA CON TRANSITO DE PERSONAS</t>
  </si>
  <si>
    <t>CONFORME</t>
  </si>
  <si>
    <t>4dce290a-61c8-42ee-b877-47e687b6ab0f</t>
  </si>
  <si>
    <t>PORQUE ES MUJER Y ES PROPENSA</t>
  </si>
  <si>
    <t>ANTECEDENTES DE ROBO A FAMILIARES</t>
  </si>
  <si>
    <t>E F L</t>
  </si>
  <si>
    <t>EN EL DIA ES SEGURO</t>
  </si>
  <si>
    <t>EN LA NOCHE ES INSEGURO</t>
  </si>
  <si>
    <t>57569e6f-0624-4200-b94c-e762e5e1d376</t>
  </si>
  <si>
    <t>A VISTO PERSONAS DE CALLE</t>
  </si>
  <si>
    <t>FELIZ PORQUE TIENE DONDE CORRER</t>
  </si>
  <si>
    <t>6b833722-8118-48a8-8e92-4057769d01e7</t>
  </si>
  <si>
    <t>EN LOS BULEVARES HAY CONTROL</t>
  </si>
  <si>
    <t>TRANQUILIDAD EN LOS BULEVARES POR PRESENCIA DE INSTITUCIONES</t>
  </si>
  <si>
    <t>b808bc82-c712-44a1-b6a6-c6a0fbdfafe1</t>
  </si>
  <si>
    <t>AMIGOS</t>
  </si>
  <si>
    <t>6f107db7-1323-4ef9-bb98-53cd8e5f2235</t>
  </si>
  <si>
    <t>SIEMPRE HAY MAS DEPORTISTAS</t>
  </si>
  <si>
    <t>5753a00e-6b9f-4fac-9fe1-b198a924f6e7</t>
  </si>
  <si>
    <t>EL HORARIO EN EL QUE VISITO AL PARQUE</t>
  </si>
  <si>
    <t>SENSACIÓN BUENA RESPIRANDO AIRE PURO</t>
  </si>
  <si>
    <t>SE MANTIENE BIEN EL PARUQE</t>
  </si>
  <si>
    <t>779a61ee-5d61-4acb-a915-3c12cb62d800</t>
  </si>
  <si>
    <t>ACOMPAÑAMIENTO</t>
  </si>
  <si>
    <t>CAMCQ</t>
  </si>
  <si>
    <t>SE PUEDE RESPIRAR AIRE FRESCO</t>
  </si>
  <si>
    <t>a8013e52-02a8-49f5-a668-a1431b927379</t>
  </si>
  <si>
    <t>FALTA LUZ</t>
  </si>
  <si>
    <t>1d31ff48-9fac-4f50-af8d-6aa3138159b7</t>
  </si>
  <si>
    <t>POQUITO INSEGURO</t>
  </si>
  <si>
    <t>47424b6b-7afb-4fbe-9c18-5a772b58e3d2</t>
  </si>
  <si>
    <t>SEGURIDAD QUE HAY</t>
  </si>
  <si>
    <t>a8cd0dbd-09c8-4ea1-8753-25512ed7b418</t>
  </si>
  <si>
    <t>58659f53-d1f4-4145-8428-b6e434c47d2a</t>
  </si>
  <si>
    <t>NEGOCIOS ABIERTOS</t>
  </si>
  <si>
    <t>F I</t>
  </si>
  <si>
    <t>20eac2b8-d181-4a76-8a46-bae98c1c658a</t>
  </si>
  <si>
    <t>HAY MUCHOS USUARIOS</t>
  </si>
  <si>
    <t>AMBIENTE NATURAL</t>
  </si>
  <si>
    <t>48690da2-0191-4164-b2e7-4c2296a2a0c8</t>
  </si>
  <si>
    <t>PARTES SIN ILUMINACION</t>
  </si>
  <si>
    <t>FALTA POLICIA NACIONAL</t>
  </si>
  <si>
    <t>F I J</t>
  </si>
  <si>
    <t>RECELO</t>
  </si>
  <si>
    <t>04ab8b5b-6866-4c72-bfc5-2930e4c4170c</t>
  </si>
  <si>
    <t>HAY MAS GENTE</t>
  </si>
  <si>
    <t>VI.2 Robo  (con violencia) VI.11 Agresión verbal</t>
  </si>
  <si>
    <t>ac2ec09b-2def-4beb-ae43-5565b0097b55</t>
  </si>
  <si>
    <t>2. Culturales y sociales 5. Recreación/Ocio 6. Otra</t>
  </si>
  <si>
    <t>LUGAR SEGURO</t>
  </si>
  <si>
    <t>PANICO</t>
  </si>
  <si>
    <t>SE SIENTE VIGILADO</t>
  </si>
  <si>
    <t>51970d39-6c6b-43f9-8e84-7cd21e6809e5</t>
  </si>
  <si>
    <t>FALTA CONTROL POLICIAL O MILITAR</t>
  </si>
  <si>
    <t>INCOMODIDAD POR LAS VENTAS AMBULANTES</t>
  </si>
  <si>
    <t>TRISTEZA DEBEN REALIZAR MAS CONTROL</t>
  </si>
  <si>
    <t>DEPORTACION EXTRANJERA, COMERCIANTES</t>
  </si>
  <si>
    <t>7b5bb12c-f684-4c81-a15e-6ed44b07cea9</t>
  </si>
  <si>
    <t>NO HAY PRESENCIA SEGURIDAD</t>
  </si>
  <si>
    <t>A E L</t>
  </si>
  <si>
    <t>TRANQUILA MIENTRAS NO HAYA NADA MALO</t>
  </si>
  <si>
    <t>3b2d2faf-381f-4df6-8f02-98bd7cbce73d</t>
  </si>
  <si>
    <t>NO HAY PRESENCIA DE POLICÍA</t>
  </si>
  <si>
    <t>POCA SEGURIDAD</t>
  </si>
  <si>
    <t>RESPIRAR TRANQUILO</t>
  </si>
  <si>
    <t>DISTRAER LA MENTE</t>
  </si>
  <si>
    <t>LOS NIÑOS SE DISTRAEN CON LOS PAYASOS TITERES</t>
  </si>
  <si>
    <t>ea904b2d-ea16-4977-ab1a-21d43f8b651f</t>
  </si>
  <si>
    <t>AGRADABLE</t>
  </si>
  <si>
    <t>LIMPIO</t>
  </si>
  <si>
    <t>3788785e-e2f4-49b7-89b4-e1b9b57222d1</t>
  </si>
  <si>
    <t>JUEGOS INFLABLES</t>
  </si>
  <si>
    <t>PRESENCIA SEGURIDAD</t>
  </si>
  <si>
    <t>MANTENIMIENTO PARQUE</t>
  </si>
  <si>
    <t>B F</t>
  </si>
  <si>
    <t>MEDIA TRANQUILA</t>
  </si>
  <si>
    <t>MEDIA SEGURIDAD</t>
  </si>
  <si>
    <t>LA ORGANIZACION Y EL ORDEN ME SIENTA BIEN</t>
  </si>
  <si>
    <t>76cf901c-b040-4984-8638-d4d721f6cbcc</t>
  </si>
  <si>
    <t>GENTE DE DUDOSA PROCEDENCIA</t>
  </si>
  <si>
    <t>AYUDA</t>
  </si>
  <si>
    <t>e321f3a7-9929-4b5b-96d7-e9a090c72e60</t>
  </si>
  <si>
    <t>EMPRENDEDOR</t>
  </si>
  <si>
    <t>ES DE DIA</t>
  </si>
  <si>
    <t>PRESENCIA POLICIA NACIOAL Y METROPOLITANA</t>
  </si>
  <si>
    <t>PREOCUPADO</t>
  </si>
  <si>
    <t>81f8136a-57a2-498f-8e68-3614d451f51b</t>
  </si>
  <si>
    <t>PREDICA LA PALABRA</t>
  </si>
  <si>
    <t>PREDICAR LA PALABRA</t>
  </si>
  <si>
    <t>f49e9154-acb0-4d0e-bac6-183428b608ab</t>
  </si>
  <si>
    <t>BUENA ILUMINACION</t>
  </si>
  <si>
    <t>HAY SEGURIDAD-GUARDIAS</t>
  </si>
  <si>
    <t>A C D E H I</t>
  </si>
  <si>
    <t>CULTURALMENTE ASEO</t>
  </si>
  <si>
    <t>a51a5f8a-96ee-41f8-a405-1f68f46d4176</t>
  </si>
  <si>
    <t>PARQUEADEROS INSEGUROS</t>
  </si>
  <si>
    <t>f4b2faca-41c7-4d32-aa40-7a885194c611</t>
  </si>
  <si>
    <t>EN LA MAÑANA ES MAS TRANQUILO</t>
  </si>
  <si>
    <t>TRANQUILA POR LA RECREACION</t>
  </si>
  <si>
    <t>a63d9285-2792-43cb-bbef-0b884c476abf</t>
  </si>
  <si>
    <t>PORQUE HAY ZONAS DESOLADAS</t>
  </si>
  <si>
    <t>PORQUE LOS VENDEDORES AMBULANTES RODEAN PARA VENDER</t>
  </si>
  <si>
    <t>FALTA CONTROL POLICIAL</t>
  </si>
  <si>
    <t>4405b934-6638-4af3-a862-2630d71df956</t>
  </si>
  <si>
    <t>CONTENTA POR DESPEJAR LA MENTE</t>
  </si>
  <si>
    <t>BUEN AIRE POR LOS ARBOLES</t>
  </si>
  <si>
    <t>b484e57b-3386-4088-ba5c-2a45fd885dbb</t>
  </si>
  <si>
    <t>08efa614-9083-446c-bd86-b963c9753a82</t>
  </si>
  <si>
    <t>1. Canchas de fútbol y basquet 3. Caminos de ciclismo 7. Áreas verdes 8. Otro.</t>
  </si>
  <si>
    <t>HAY MAS SEGURIDAD</t>
  </si>
  <si>
    <t>CONFIANZA DE VENIR</t>
  </si>
  <si>
    <t>CUIDADOR DE PARQUE MOTIVA HACER DEPORTE</t>
  </si>
  <si>
    <t>5204ff97-5231-4a07-b055-ade0237869b5</t>
  </si>
  <si>
    <t>POR LA DELINCUENCIA</t>
  </si>
  <si>
    <t>LUGARES DESOLADOS</t>
  </si>
  <si>
    <t>FALTA DE PERSONAL DE SEGURIDAD</t>
  </si>
  <si>
    <t>C L</t>
  </si>
  <si>
    <t>OBLIGACION A COMPRAR POR INFORMALES</t>
  </si>
  <si>
    <t>CUANDO HAY GENTE MUY SEGURA</t>
  </si>
  <si>
    <t>8dce0ed0-441e-4ffd-97ff-ddafbab8ccf9</t>
  </si>
  <si>
    <t>HAY MÁS POLICIA</t>
  </si>
  <si>
    <t>TRANQUILA Y SEGURA</t>
  </si>
  <si>
    <t>cfd5e948-19d1-4908-bc7f-ce3bb06a10ed</t>
  </si>
  <si>
    <t>HAY CONTROL DE SEGURIDAD</t>
  </si>
  <si>
    <t>MUCHAS AREAS DE RECREACION</t>
  </si>
  <si>
    <t>SEGURA POR PRESENCIA DE GENTE</t>
  </si>
  <si>
    <t>fd66b88a-67ef-4d3d-866b-0739989ab490</t>
  </si>
  <si>
    <t>EEUU</t>
  </si>
  <si>
    <t>1. Madrugada (00:00 a 05:59) 3. Tarde (12:00 a 17:59) 4. Noche  (18:00 a 23:59)</t>
  </si>
  <si>
    <t>PRESENCIA DE VENEZOLANOS</t>
  </si>
  <si>
    <t>A C F G</t>
  </si>
  <si>
    <t>ASUSTADA</t>
  </si>
  <si>
    <t>58a179c4-e76e-49d5-b27f-2bf547b906e7</t>
  </si>
  <si>
    <t>A GUSTO</t>
  </si>
  <si>
    <t>13d4b9af-979d-4fc5-81e7-9a7ffcbef5aa</t>
  </si>
  <si>
    <t>VIENE ACOMPAÑADO</t>
  </si>
  <si>
    <t>PRESENCIA DE AGENTES DE CONTROL</t>
  </si>
  <si>
    <t>EVITA CAMINAR SOBRE LUGARES DESOLADOS</t>
  </si>
  <si>
    <t>A E</t>
  </si>
  <si>
    <t>8d2b6a8f-12cc-402d-b793-4546996029cc</t>
  </si>
  <si>
    <t>NO HA PRESENTADO UN ATRACO</t>
  </si>
  <si>
    <t>TRANQUILIDAD Y ARMONIA</t>
  </si>
  <si>
    <t>89707696-1471-488d-92e1-41f99f815495</t>
  </si>
  <si>
    <t>NO HA TENIDO ATRACOS</t>
  </si>
  <si>
    <t>SE SIENTE RELAJADO</t>
  </si>
  <si>
    <t>DISFRUTA DE LAS AREAS VERDES</t>
  </si>
  <si>
    <t>286f4fbe-0341-44ee-9520-1e3d376848d2</t>
  </si>
  <si>
    <t>GD-GP</t>
  </si>
  <si>
    <t>PERUANA</t>
  </si>
  <si>
    <t>NO HA TENIDO ATRACOS NI FALTAS DE RESPETO</t>
  </si>
  <si>
    <t>SE SIENTE SEGURO</t>
  </si>
  <si>
    <t>8a0c6368-5273-40e7-a06f-94ad8fe529e8</t>
  </si>
  <si>
    <t>GP-GP</t>
  </si>
  <si>
    <t>NO VE NINGUN PELIGRO</t>
  </si>
  <si>
    <t>00e8b1c8-752c-4c53-b4af-5b66700051f3</t>
  </si>
  <si>
    <t>MUCHA GENTE MALA</t>
  </si>
  <si>
    <t>NERVIOS</t>
  </si>
  <si>
    <t>DESESPERA</t>
  </si>
  <si>
    <t>ANSIEDAD Y TEMOR EN LAS NOCHES</t>
  </si>
  <si>
    <t>e37136f4-9de1-4c66-9165-a4672a808f89</t>
  </si>
  <si>
    <t>PERSONAS MALAS</t>
  </si>
  <si>
    <t>FALTA DE PATRULLAJE POLICIAL</t>
  </si>
  <si>
    <t>BUEN AMBIENTE</t>
  </si>
  <si>
    <t>bfb85e30-7466-45e6-ae2e-be8eb68af5e8</t>
  </si>
  <si>
    <t>INSEGURIDAD POR VENTAS</t>
  </si>
  <si>
    <t>8df2c1ec-c334-42fe-89bc-de9b8f4ed2d6</t>
  </si>
  <si>
    <t>MAS SEGURIDAD POLICIAL</t>
  </si>
  <si>
    <t>NO HAY PERSONAL FIJO EN LA PISTA DE PATINAJE</t>
  </si>
  <si>
    <t>MI PROPIEDAD</t>
  </si>
  <si>
    <t>ENCANTADOR Y MAGICO</t>
  </si>
  <si>
    <t>b8e26257-9358-4537-9658-f09ebe3c6d8d</t>
  </si>
  <si>
    <t>MÁS SEGURIDAD</t>
  </si>
  <si>
    <t>DESPEJAR LA MENTE</t>
  </si>
  <si>
    <t>ca3b6c9a-6524-4d24-b39c-d3efbba3afac</t>
  </si>
  <si>
    <t>PATRULLAS</t>
  </si>
  <si>
    <t>ffa16b7b-e3b1-4762-b69f-54554118f1ba</t>
  </si>
  <si>
    <t>POLICÍA</t>
  </si>
  <si>
    <t>0ea723c8-65e9-4fff-a0a4-01d44ce34b0c</t>
  </si>
  <si>
    <t>DS</t>
  </si>
  <si>
    <t>POR PRECENCIA POLICIAL</t>
  </si>
  <si>
    <t>a942ee3c-10ef-496b-8686-c58b504d5b62</t>
  </si>
  <si>
    <t>B D</t>
  </si>
  <si>
    <t>SENSACIÓN DE QUE NO ESTÁ CUIDADO EL PARQUE</t>
  </si>
  <si>
    <t>bcac2866-af38-4050-b08f-a4586de0a8ad</t>
  </si>
  <si>
    <t>POR MUCHOS LADRONES</t>
  </si>
  <si>
    <t>a450f00c-b16e-46c3-bcb6-296d8e62aa3a</t>
  </si>
  <si>
    <t>NO HE VISTO VIOLENCIA</t>
  </si>
  <si>
    <t>AMOR A LA NATURALEZA</t>
  </si>
  <si>
    <t>GUSTO POR EL AGUA</t>
  </si>
  <si>
    <t>f7ddfd88-ce63-493c-832b-b0c3237b9123</t>
  </si>
  <si>
    <t>COMPANÍA FAMILIAR</t>
  </si>
  <si>
    <t>332a2325-d43a-4961-8e98-86e370596d94</t>
  </si>
  <si>
    <t>2. Mañana  (06:00 a 11:59) 4. Noche  (18:00 a 23:59)</t>
  </si>
  <si>
    <t>1. Canchas de fútbol y basquet 2. Rampas para patineta 4. Pistas para correr</t>
  </si>
  <si>
    <t>04b26e99-33f6-4c4c-bd11-d8653a9cadd0</t>
  </si>
  <si>
    <t>VI.4 Robo de vehículo</t>
  </si>
  <si>
    <t>fd3b7517-e412-454d-ab7f-d9265668ef0b</t>
  </si>
  <si>
    <t>NO HAY POLICÍAS NI METROPOLITANOS</t>
  </si>
  <si>
    <t>NO SABE A LO QUE SE PUEDE  Y PONER</t>
  </si>
  <si>
    <t>f74cf0fa-fc81-4668-8b11-3c46ab57cada</t>
  </si>
  <si>
    <t>ALIVIO</t>
  </si>
  <si>
    <t>SE DESPEJA UN MOMENTO</t>
  </si>
  <si>
    <t>9c4089d3-3f93-40c5-83ad-edca6fb4b061</t>
  </si>
  <si>
    <t>BOTES</t>
  </si>
  <si>
    <t>VIENE A RECORDAR VIEJOS TIEMPOS</t>
  </si>
  <si>
    <t>ba741e20-c92a-49a4-816f-63aab53b5181</t>
  </si>
  <si>
    <t>LA DELINCUENCIA ESTA TERRIBLE</t>
  </si>
  <si>
    <t>RESPIRA AIRE PURO</t>
  </si>
  <si>
    <t>ESTÁ TRANQUILA</t>
  </si>
  <si>
    <t>93ff3902-d607-4d45-9669-1e11e8ccc05d</t>
  </si>
  <si>
    <t>PORQUE CUALQUIER PERSONA LA PUEDE ATACAR</t>
  </si>
  <si>
    <t>0ef3e6fa-f8e8-4894-ba84-603dd1f95a7f</t>
  </si>
  <si>
    <t>HAY GUARDIAS</t>
  </si>
  <si>
    <t>56bb0783-9d7a-458e-ae6d-1ec7cddcbd19</t>
  </si>
  <si>
    <t>TIENE TEMOR DE QUIEN ESTÁ DETRÁS DE ELLA</t>
  </si>
  <si>
    <t>LE GUSTA PORQUE RESPIRA AIRE PURO</t>
  </si>
  <si>
    <t>RECIBE EL SOL</t>
  </si>
  <si>
    <t>f308f522-15e7-4bad-9121-5599e43599d7</t>
  </si>
  <si>
    <t>522bb72a-9c98-475e-9ec5-dea1399bdf1e</t>
  </si>
  <si>
    <t>HAY VENEZOLANOS QUE PERNOCTAN</t>
  </si>
  <si>
    <t>MOTOS EN LOS CAMINOS</t>
  </si>
  <si>
    <t>NO HAY A QUIEN QUEJARSE</t>
  </si>
  <si>
    <t>7263ec58-0a53-4a11-94ba-c5e63395955a</t>
  </si>
  <si>
    <t>ENCUESTAS</t>
  </si>
  <si>
    <t>NO SIENTE RIESGOS</t>
  </si>
  <si>
    <t>LA GENTE QUE TRABAJA EN LAS CARPAS LE CUIDAN</t>
  </si>
  <si>
    <t>SE SIENTE FRESCO</t>
  </si>
  <si>
    <t>6fcd44aa-3f5d-4fc0-ab01-e4ddf68e46a2</t>
  </si>
  <si>
    <t>SECTOR SOLITARIO</t>
  </si>
  <si>
    <t>SE DESESPEREZA</t>
  </si>
  <si>
    <t>DE TARDE INSEGURIDAD</t>
  </si>
  <si>
    <t>6102e39b-d2ad-4c4a-9680-0970b31d8526</t>
  </si>
  <si>
    <t>TARDE ES OSCURO Y NO HAY MUCHA GENTE</t>
  </si>
  <si>
    <t>PLACER DE VER UNA ÁREA VERDE</t>
  </si>
  <si>
    <t>c35a0a2d-e960-4b23-b615-8c67e6a80670</t>
  </si>
  <si>
    <t>MAQUINAS</t>
  </si>
  <si>
    <t>POR LA HORA EN LA QUE VIENE</t>
  </si>
  <si>
    <t>MAS MOVIMIENTO DE GENTE</t>
  </si>
  <si>
    <t>PERSONAL DEL MUNICIPIO</t>
  </si>
  <si>
    <t>3c5e25bf-16d1-48ae-97d7-e5aa5ff09351</t>
  </si>
  <si>
    <t>ESTÁN LOS METROPOLITANOS QUE VIGILAN</t>
  </si>
  <si>
    <t>DESCANZO</t>
  </si>
  <si>
    <t>d3efbd24-dcf9-42e8-8b66-fec375398762</t>
  </si>
  <si>
    <t>LA DELINCUENCIA ESTÁ MALA</t>
  </si>
  <si>
    <t>ESTE ESPACIO GENERA INSEGURIDAD</t>
  </si>
  <si>
    <t>HA MEJORADO</t>
  </si>
  <si>
    <t>LE DA ALEGRÍA PORQUE LO MANTIENEN</t>
  </si>
  <si>
    <t>IMPLEMENTACIÓN DE ÁREAS DEPORTIVAS</t>
  </si>
  <si>
    <t>e60257d5-e4ae-43f1-9e3c-5d159a1866ed</t>
  </si>
  <si>
    <t>EMOCIONADO POR VENIR A DISTRAER Y SATISFACCIÓN</t>
  </si>
  <si>
    <t>46c318bc-e651-4d96-8417-f72871b53da0</t>
  </si>
  <si>
    <t>PORQUE VENGO CON COMPAÑEROS</t>
  </si>
  <si>
    <t>SE SIENTE LIBRE Y SEGURO</t>
  </si>
  <si>
    <t>a5991ea7-5c6c-4558-985e-d1cf334b4bdb</t>
  </si>
  <si>
    <t>MADRUGO Y VENGO ACOMPAÑADO</t>
  </si>
  <si>
    <t>RESPIRO AIRE PURO Y SEGURIDAD</t>
  </si>
  <si>
    <t>f9bbb4b8-d215-4467-9851-965171b153f2</t>
  </si>
  <si>
    <t>PORQUE HAY POLICÍAS Y CAMINOS ILUMINADOS</t>
  </si>
  <si>
    <t>MUCHA TRANQUILIDAD Y FELICIDAD</t>
  </si>
  <si>
    <t>4ed5971d-f121-4830-85e3-db6c5e3cb0eb</t>
  </si>
  <si>
    <t>PORQUE ME SE CUIDAR</t>
  </si>
  <si>
    <t>SIENTO PAZ Y A LA VEZ TEMOR POR LA DELINCUENCIA</t>
  </si>
  <si>
    <t>f8c3454f-27af-4ad3-904d-007bcb563ff6</t>
  </si>
  <si>
    <t>PORQUE VENGO CON MI HIJO AL PARQUE</t>
  </si>
  <si>
    <t>EN LA MAÑANA RESPIRO AIRE PURO Y TRANQUILIDAD</t>
  </si>
  <si>
    <t>6c03b8a7-96f0-4a5b-9c3a-03f35ad15a15</t>
  </si>
  <si>
    <t>4f09be59-aac0-4717-b118-bd4557eb1a63</t>
  </si>
  <si>
    <t>HAY POLICIAS Y AGENTES</t>
  </si>
  <si>
    <t>SI SE SIENTE SEGURO EN EL PARQUE</t>
  </si>
  <si>
    <t>PUEDE JUGAR CON SU HIJO</t>
  </si>
  <si>
    <t>5474b63d-764f-412a-a55b-4f6eaf8c7636</t>
  </si>
  <si>
    <t>PERSONAS CON EXPERIENCIA EN CALLE</t>
  </si>
  <si>
    <t>NO HAY POLICÍAS</t>
  </si>
  <si>
    <t>AMISTAD</t>
  </si>
  <si>
    <t>05bad8a9-1aee-4760-b7eb-0624f1388775</t>
  </si>
  <si>
    <t>PORQUE HA VISTO POLICÍAS</t>
  </si>
  <si>
    <t>SE SIENTE FELIZ EN EL PARQUE</t>
  </si>
  <si>
    <t>HAY AREAS PARA CORRER</t>
  </si>
  <si>
    <t>dc3344ed-01c2-43ae-8150-ce47e256189e</t>
  </si>
  <si>
    <t>HA VISTO QUE LIMPIAN EL PARQUE</t>
  </si>
  <si>
    <t>HA VISTO LOS GUARDIAS</t>
  </si>
  <si>
    <t>LE GUSTA EL PARQUE PORQUE SE VE SEGURIDAD EN EL PARQUE</t>
  </si>
  <si>
    <t>HAY AREAS PARA LOS PERRITOS</t>
  </si>
  <si>
    <t>fc2c30cd-cc6d-4b07-98a3-59bf7c1368c5</t>
  </si>
  <si>
    <t>HAY POLICÍAS A CABALLO</t>
  </si>
  <si>
    <t>EN EL DÍA SI ES SEGURO</t>
  </si>
  <si>
    <t>EN LA NOCHE NO ES SEGURO</t>
  </si>
  <si>
    <t>4df2d6da-96e0-4161-8630-d341b4f38f5d</t>
  </si>
  <si>
    <t>HA VISTO SEGURIDAD</t>
  </si>
  <si>
    <t>POLICIAS A CABALLO EN MOTOS</t>
  </si>
  <si>
    <t>SE SIENTE SEGURO EN EL PARQUE PORQUE SI HAY SEGURIDAD</t>
  </si>
  <si>
    <t>HAY PISTAS PARA CORRER</t>
  </si>
  <si>
    <t>34af8e23-0a57-4a61-bda8-2dcec2f46c3a</t>
  </si>
  <si>
    <t>AL ESTAR ACOMPAÑADO</t>
  </si>
  <si>
    <t>PRESENCIA DE POLICÍA</t>
  </si>
  <si>
    <t>997fe6ef-8d5d-4585-9053-4520d2723ada</t>
  </si>
  <si>
    <t>PERSONAS DE BUEN CORAZÓN</t>
  </si>
  <si>
    <t>4739ac41-d103-4403-9055-79aac5fa9180</t>
  </si>
  <si>
    <t>B J</t>
  </si>
  <si>
    <t>DESPEJAR POR COMERCIO INFORMAL</t>
  </si>
  <si>
    <t>MAL USO PARQUE</t>
  </si>
  <si>
    <t>d1ce506f-424b-4015-b0e5-d90b750cf846</t>
  </si>
  <si>
    <t>CUANDO VIENEN HACER OPERATIVOS ESTAN AMONTONADOS CON MALA GANA</t>
  </si>
  <si>
    <t>PISTA PATINAJE VENDEN DROGA</t>
  </si>
  <si>
    <t>NADIE HACE NADA</t>
  </si>
  <si>
    <t>ABANDONO AUTORIDADES</t>
  </si>
  <si>
    <t>QUE NO TENEMOS ALCALDE</t>
  </si>
  <si>
    <t>EN VEZ DE CONTRATAR ARTISTAS QUE INSULTAN A LOS DEMAS GASTEN DINERO EN SEGURIDAD</t>
  </si>
  <si>
    <t>d9194dd2-153e-4219-ab50-a9f412e161f0</t>
  </si>
  <si>
    <t>NIVEL DE SEGURIDAD</t>
  </si>
  <si>
    <t>TRABAJO INFANTIL</t>
  </si>
  <si>
    <t>48d87d6e-28f4-42a6-af6c-c2488a52e1ff</t>
  </si>
  <si>
    <t>HAY METODOS VIGILANCIA</t>
  </si>
  <si>
    <t>HAY DONDE ACUDIR EN EMERGENCIA</t>
  </si>
  <si>
    <t>HAY LUGARES DE CONTROL</t>
  </si>
  <si>
    <t>LIBRE DE CONTAMINACION</t>
  </si>
  <si>
    <t>d91546e0-373d-4c34-a777-1bcc069837be</t>
  </si>
  <si>
    <t>GM</t>
  </si>
  <si>
    <t>PUEDE CAMINAR TRANQUILAMENTE</t>
  </si>
  <si>
    <t>LE GUSTA LAS AREAS DEL PARQUE</t>
  </si>
  <si>
    <t>UNA SEGURIDAD</t>
  </si>
  <si>
    <t>ALIVIO POR LOS ARBOLES</t>
  </si>
  <si>
    <t>2f1f84e4-608b-4e33-9ffd-4f659d3914c3</t>
  </si>
  <si>
    <t>EB</t>
  </si>
  <si>
    <t>POLICIA (PRESENCIA)</t>
  </si>
  <si>
    <t>83c9acdb-f2fe-4d44-9192-07c8f42e6f33</t>
  </si>
  <si>
    <t>HAY PRESENCIA DE GUARDIAS</t>
  </si>
  <si>
    <t>SEGURO EN PRESENCIA DE DIFERENTES ENTIDADES</t>
  </si>
  <si>
    <t>206ec98d-f383-435a-80f6-b419feedd502</t>
  </si>
  <si>
    <t>NO SE ANDA CON SEGURIDAD</t>
  </si>
  <si>
    <t>LA EPOCA ESTA MUY DURA</t>
  </si>
  <si>
    <t>SE DISTRAE EN EL PARQUE</t>
  </si>
  <si>
    <t>ME DA MUCHA ALEGRIA</t>
  </si>
  <si>
    <t>11feba1a-32d4-4eb9-811f-c2ad1f949152</t>
  </si>
  <si>
    <t>HAY MOVIMIENTO GENTE</t>
  </si>
  <si>
    <t>A B D E F I J K L</t>
  </si>
  <si>
    <t>ESATR EN FAMILIA</t>
  </si>
  <si>
    <t>edd48247-be7b-451e-9261-8b34c91d686a</t>
  </si>
  <si>
    <t>CONTROL DE POLICIA</t>
  </si>
  <si>
    <t>LIBRE ESTRES</t>
  </si>
  <si>
    <t>CONTENTA</t>
  </si>
  <si>
    <t>da8de56e-54f3-4862-8f82-8ac5af359bc3</t>
  </si>
  <si>
    <t>PERSONAL VIGILANCIA POLICIA</t>
  </si>
  <si>
    <t>SIENTE SEGURO</t>
  </si>
  <si>
    <t>JUGAR</t>
  </si>
  <si>
    <t>3b8cda82-adb4-4853-bbfc-dc5d16726b13</t>
  </si>
  <si>
    <t>A B D F I J</t>
  </si>
  <si>
    <t>SENSACION SEGURIDAD</t>
  </si>
  <si>
    <t>POSITIVO</t>
  </si>
  <si>
    <t>328f061f-1659-45cc-bae2-f2a0a9102195</t>
  </si>
  <si>
    <t>ef960b8a-64ce-4d79-8ab5-1e2022ab38ba</t>
  </si>
  <si>
    <t>NO HAY MUCHA VIGILANCIA</t>
  </si>
  <si>
    <t>MUCHA DROGA</t>
  </si>
  <si>
    <t>COMPAÑIA</t>
  </si>
  <si>
    <t>ff5e6f7e-3770-4848-9e72-916000be6a4b</t>
  </si>
  <si>
    <t>PRESENCIA VIGILANCIA</t>
  </si>
  <si>
    <t>CUANDO HAY GENTE A LAS 09</t>
  </si>
  <si>
    <t>B E F I K L</t>
  </si>
  <si>
    <t>COMPARTEN CON FAMILIA</t>
  </si>
  <si>
    <t>feaa79df-ebe1-4bf7-9d71-f45fcca49afe</t>
  </si>
  <si>
    <t>1. Madrugada (00:00 a 05:59) 2. Mañana  (06:00 a 11:59) 3. Tarde (12:00 a 17:59)</t>
  </si>
  <si>
    <t>UN POCO MOLESTO POR LOS EXTRANJEROS COMO LOS VENEZOLANOS</t>
  </si>
  <si>
    <t>1e5cdc0b-3b2e-45d4-9d71-6c30f0d85ac2</t>
  </si>
  <si>
    <t>A D G I J</t>
  </si>
  <si>
    <t>PASEAN</t>
  </si>
  <si>
    <t>DISTRAEN</t>
  </si>
  <si>
    <t>PASA BIEN CON LA FAMILIA</t>
  </si>
  <si>
    <t>ee04e706-4e45-4cd8-a46e-a45818713691</t>
  </si>
  <si>
    <t>MUCHO MENDIGO</t>
  </si>
  <si>
    <t>POCA ILUMINACION</t>
  </si>
  <si>
    <t>MAS ILUMINACION</t>
  </si>
  <si>
    <t>MAS GUARDIAS</t>
  </si>
  <si>
    <t>91845e43-0850-4643-830a-e4bea19b1c76</t>
  </si>
  <si>
    <t>SIEMPRE OBSERVA GUARDIAS</t>
  </si>
  <si>
    <t>8ff5930b-e8ae-4e84-a24d-1a66150aee51</t>
  </si>
  <si>
    <t>MUCHA GENTE REALIZANDO COSAS INDEBIDAS</t>
  </si>
  <si>
    <t>MUCHO VENDEDOR</t>
  </si>
  <si>
    <t>3. Contundente</t>
  </si>
  <si>
    <t>SE SIENTE BIEN FELIZ</t>
  </si>
  <si>
    <t>PERO TIENE QUE ESTAR MUY ALERTA</t>
  </si>
  <si>
    <t>98ebea7e-5695-4468-9ac8-6c642352055e</t>
  </si>
  <si>
    <t>RONDA POLICIAL</t>
  </si>
  <si>
    <t>B E</t>
  </si>
  <si>
    <t>CANTAR</t>
  </si>
  <si>
    <t>3e4ac009-21f9-46c2-a353-404ccd6774ab</t>
  </si>
  <si>
    <t>PATRULLAJES</t>
  </si>
  <si>
    <t>GUARDIAS QUE VIGILAN</t>
  </si>
  <si>
    <t>SEGURIDADEN SUS HIJOS</t>
  </si>
  <si>
    <t>PAZ EN EL PARQUE</t>
  </si>
  <si>
    <t>66834938-883f-4da3-b986-fd7a6b3f5269</t>
  </si>
  <si>
    <t>HAY POLICIA</t>
  </si>
  <si>
    <t>B F I</t>
  </si>
  <si>
    <t>PASION</t>
  </si>
  <si>
    <t>JUGAR A LOS NIÑOS</t>
  </si>
  <si>
    <t>c5d57ef3-912e-42bf-b077-22ef0ff2fd61</t>
  </si>
  <si>
    <t>A C E K L</t>
  </si>
  <si>
    <t>fb1c5f67-b910-4101-b075-bcd235ae290c</t>
  </si>
  <si>
    <t>POCO PERSONAL DE SEGURIDAD</t>
  </si>
  <si>
    <t>MUCHO VENEZOLANO</t>
  </si>
  <si>
    <t>TRANQUILIDAD PERSO SOLO EN LA MAÑANA</t>
  </si>
  <si>
    <t>ffdbd547-5ebd-4654-81b6-adbb62c8a661</t>
  </si>
  <si>
    <t>PORQUEHAY GENTE</t>
  </si>
  <si>
    <t>HAY CONTROL GUARDIAS</t>
  </si>
  <si>
    <t>NO ME SIENTO SEGURO COMO ANTES</t>
  </si>
  <si>
    <t>1bcf9644-1cb6-42ac-88c1-f0ce90b016d4</t>
  </si>
  <si>
    <t>aee1d770-ef2b-4693-8bc9-ff6fa08ebb2c</t>
  </si>
  <si>
    <t>3b61657b-2914-438f-81d5-7d74e8d859f5</t>
  </si>
  <si>
    <t>SABADO Y DOMINGO HAY MUCHA SEGURIDAD</t>
  </si>
  <si>
    <t>GUARDIAS PRIVADOS</t>
  </si>
  <si>
    <t>LE GUSTA VER LOS PAJAROS</t>
  </si>
  <si>
    <t>43af99ac-cd9f-45c1-9789-a6cc6a34fd73</t>
  </si>
  <si>
    <t>PRESENCIA DE LA GENTE</t>
  </si>
  <si>
    <t>00d17d7a-cf1e-4c7c-b773-bae4e42c6bd1</t>
  </si>
  <si>
    <t>F K L</t>
  </si>
  <si>
    <t>NOS GUSTA</t>
  </si>
  <si>
    <t>RELAX</t>
  </si>
  <si>
    <t>4a02fe5f-9dd8-4b3b-afe6-e7fa07e1a00c</t>
  </si>
  <si>
    <t>NO HAY PATRULLAJE DE LA POLICÍA</t>
  </si>
  <si>
    <t>POCO DE INCERTIDUMBRE PORQUE NO SE PUEDE DISFRUTAR DEL PAISAJE</t>
  </si>
  <si>
    <t>be8428a7-8823-421b-9f3b-fcc570edcf8c</t>
  </si>
  <si>
    <t>B F I J</t>
  </si>
  <si>
    <t>DISTRAÍDO</t>
  </si>
  <si>
    <t>b00c90b5-674c-47f4-9f51-68cb13c09084</t>
  </si>
  <si>
    <t>PORQUE MUCHA GENTE</t>
  </si>
  <si>
    <t>4f9b497e-f1fa-47af-a888-3753d24e5642</t>
  </si>
  <si>
    <t>1612a63d-e1f3-4afe-a96c-0ee6dce059f6</t>
  </si>
  <si>
    <t>NO HA PASADO NADA</t>
  </si>
  <si>
    <t>POLICIA NACIONAL GUARIDA CACMQ</t>
  </si>
  <si>
    <t>B C D I</t>
  </si>
  <si>
    <t>dec5832b-e921-465b-8377-3eaf0d15c11a</t>
  </si>
  <si>
    <t>VIGILANCIA GUARDIAS</t>
  </si>
  <si>
    <t>31c6e95b-fea7-4d7c-ac46-cdb902c341dc</t>
  </si>
  <si>
    <t>PISTA BICICLETAS</t>
  </si>
  <si>
    <t>DISFRUTAR UNA REUNÓN CON LA FAMILIAR</t>
  </si>
  <si>
    <t>8ddeb7eb-1d91-46ca-a314-558793463df3</t>
  </si>
  <si>
    <t>SEGURIDAD GUARDIAS</t>
  </si>
  <si>
    <t>PENDIENTES</t>
  </si>
  <si>
    <t>fa3db4e9-8a6c-4e6d-ad42-a65a1ff57342</t>
  </si>
  <si>
    <t>DESPEJAR LA MENTE EN FAMILIA</t>
  </si>
  <si>
    <t>8c8b37f2-7edd-4188-bb58-9b5e232a8ead</t>
  </si>
  <si>
    <t>HAY CONTROL POLICIAL</t>
  </si>
  <si>
    <t>GENTE ES SOLIDARIA</t>
  </si>
  <si>
    <t>QUERER MAS SEGURIDAD</t>
  </si>
  <si>
    <t>MAS POLICIAS QUE DEN SEGURIDAD</t>
  </si>
  <si>
    <t>7032a3d2-593c-4e64-a294-a3e9bdbb03c0</t>
  </si>
  <si>
    <t>SE ESTRESA POR LA AGLOMERACIÓN DE PERSONAS</t>
  </si>
  <si>
    <t>MUCHOS VENEZOLANOS</t>
  </si>
  <si>
    <t>3d9c0f02-3c36-4825-a785-06d8ba031589</t>
  </si>
  <si>
    <t>HAY PRESENCIA DE POLICIAS</t>
  </si>
  <si>
    <t>SIEMPRE VIENE EN EL DÍA</t>
  </si>
  <si>
    <t>e65bb351-954a-4dd8-b6a1-371f252c3b40</t>
  </si>
  <si>
    <t>POR LOS GUARDIA</t>
  </si>
  <si>
    <t>POCO SEGURA</t>
  </si>
  <si>
    <t>a3aa9920-0b36-4cac-9035-0d0e5d98ca39</t>
  </si>
  <si>
    <t>HAY GENTE QUE HACE SEGURO EL PARQUE</t>
  </si>
  <si>
    <t>CONFIANZA</t>
  </si>
  <si>
    <t>09387111-633d-4770-90f0-6d1eac6b7743</t>
  </si>
  <si>
    <t>POR COMENTARIOS</t>
  </si>
  <si>
    <t>73bbe307-5707-4388-87d2-12f87e14a984</t>
  </si>
  <si>
    <t>HAY GENTE QUE BRINDA SEGURIDAD</t>
  </si>
  <si>
    <t>FELIZ TRANQUILIDAD</t>
  </si>
  <si>
    <t>1c2f9015-6036-467b-9afe-8f7a5ac286b8</t>
  </si>
  <si>
    <t>POLICIA MUNICIPAL</t>
  </si>
  <si>
    <t>MUY LINDO</t>
  </si>
  <si>
    <t>POCO SEGURO</t>
  </si>
  <si>
    <t>05f04b10-568f-49c4-a514-b06ed2374b8e</t>
  </si>
  <si>
    <t>GUARDIA</t>
  </si>
  <si>
    <t>2486227b-a4c9-4db9-aa21-9b8f078f8d90</t>
  </si>
  <si>
    <t>POR PRESENCIA DE VENEZOLANOS</t>
  </si>
  <si>
    <t>6c96ec91-52ac-44fe-86d9-7b4e84b6c656</t>
  </si>
  <si>
    <t>EN LA MAÑANA HAY ALUENCIA DE GENTE</t>
  </si>
  <si>
    <t>HAY POLICÍA</t>
  </si>
  <si>
    <t>ee6a259a-1dca-43e9-af36-0444c1136970</t>
  </si>
  <si>
    <t>2. Rampas para patineta 4. Pistas para correr 6. Área para perros</t>
  </si>
  <si>
    <t>PERSONAL POLICIAL</t>
  </si>
  <si>
    <t>bbd24722-1c03-4cf1-bbe9-067d8590cc53</t>
  </si>
  <si>
    <t>4b8e8536-9f18-4e69-ad55-74b4bee1f381</t>
  </si>
  <si>
    <t>4. Pistas para correr 6. Área para perros 7. Áreas verdes</t>
  </si>
  <si>
    <t>VENTA AMBULANTES</t>
  </si>
  <si>
    <t>PERSONAS DE LA CALLE</t>
  </si>
  <si>
    <t>C E G</t>
  </si>
  <si>
    <t>b27299e9-92e6-47a5-adc1-5b20674b73aa</t>
  </si>
  <si>
    <t>ROTULOS AZULES HAY INSEGURIDAD CERCA AMAZONAS</t>
  </si>
  <si>
    <t>308f8a1b-d928-4536-8884-2c2314f5e18e</t>
  </si>
  <si>
    <t>GUATEMALTECA</t>
  </si>
  <si>
    <t>CHILENA</t>
  </si>
  <si>
    <t>Etiquetas de fila</t>
  </si>
  <si>
    <t>Total general</t>
  </si>
  <si>
    <t>Suma de AP. 1 ¿Cuáles son las actividades que realiza en el parque Enc. RE y RM/1. Deporte / ejercicio</t>
  </si>
  <si>
    <t>Suma de AP. 1 ¿Cuáles son las actividades que realiza en el parque Enc. RE y RM/2. Culturales y sociales</t>
  </si>
  <si>
    <t>Suma de AP. 1 ¿Cuáles son las actividades que realiza en el parque Enc. RE y RM/3. Compras</t>
  </si>
  <si>
    <t>Suma de AP. 1 ¿Cuáles son las actividades que realiza en el parque Enc. RE y RM/4. De paso</t>
  </si>
  <si>
    <t>Suma de AP. 1 ¿Cuáles son las actividades que realiza en el parque Enc. RE y RM/5. Recreación/Ocio</t>
  </si>
  <si>
    <t>Suma de AP. 1 ¿Cuáles son las actividades que realiza en el parque Enc. RE y RM/6. Otra</t>
  </si>
  <si>
    <t>Suma de AP. 2 Por lo general, ¿en qué horarios visita este parque? Enc. RE y RM/1. Madrugada (00:00 a 05:59)</t>
  </si>
  <si>
    <t>Suma de AP. 2 Por lo general, ¿en qué horarios visita este parque? Enc. RE y RM/2. Mañana  (06:00 a 11:59)</t>
  </si>
  <si>
    <t>Suma de AP. 2 Por lo general, ¿en qué horarios visita este parque? Enc. RE y RM/3. Tarde (12:00 a 17:59)</t>
  </si>
  <si>
    <t>Suma de AP. 2 Por lo general, ¿en qué horarios visita este parque? Enc. RE y RM/4. Noche  (18:00 a 23:59)</t>
  </si>
  <si>
    <t>Cuenta de AP. 3 ¿Cuánto tiempo se queda en el parque cada vez que lo visita? Enc. Leer opciones y RU.</t>
  </si>
  <si>
    <t>(en blanco)</t>
  </si>
  <si>
    <t>Suma de AP. 4 ¿Qué instalaciones suele utilizar en el parque? Enc. RE y RM/1. Canchas de fútbol y basquet</t>
  </si>
  <si>
    <t>Suma de AP. 4 ¿Qué instalaciones suele utilizar en el parque? Enc. RE y RM/2. Rampas para patineta</t>
  </si>
  <si>
    <t>Suma de AP. 4 ¿Qué instalaciones suele utilizar en el parque? Enc. RE y RM/3. Caminos de ciclismo</t>
  </si>
  <si>
    <t>Suma de AP. 4 ¿Qué instalaciones suele utilizar en el parque? Enc. RE y RM/4. Pistas para correr</t>
  </si>
  <si>
    <t>Suma de AP. 4 ¿Qué instalaciones suele utilizar en el parque? Enc. RE y RM/6. Área para perros</t>
  </si>
  <si>
    <t>Suma de AP. 4 ¿Qué instalaciones suele utilizar en el parque? Enc. RE y RM/7. Áreas verdes</t>
  </si>
  <si>
    <t>Suma de AP. 4 ¿Qué instalaciones suele utilizar en el parque? Enc. RE y RM/8. Otro.</t>
  </si>
  <si>
    <t>Cuenta de AP. 5 ¿Por lo general, viene acompañado/a al parque? Enc. RE y RU</t>
  </si>
  <si>
    <t>Cuenta de AP. 5.1 ¿Cree que influye en su seguridad el estar acompañado/a dentro del parque? Enc. RE y RU</t>
  </si>
  <si>
    <t>APROPIACIÓN DEL PARQUE (AP)</t>
  </si>
  <si>
    <t>PERCEPCIÓN SEGURIDAD CIUDADANA</t>
  </si>
  <si>
    <t>Cuenta de PSC.1 En los últimos 6 meses, es decir, de septiembre 2024 a la fecha. EN TÉRMINOS DE SU SEGURIDAD PERSONAL, ¿cómo se sintió usted en este parque? Enc. leer opciones y RU</t>
  </si>
  <si>
    <t>Cuenta de PSC.2 Con la presencia de habitantes de calle (mendigos) en el parque?</t>
  </si>
  <si>
    <t>Cuenta de PSC.3 Con la presencia de vendedores ambulantes en el parque?</t>
  </si>
  <si>
    <t>Cuenta de PSC.4 Transitando por sitios con basura en el parque?</t>
  </si>
  <si>
    <t>Cuenta de PSC.5 En espectáculos públicos como conciertos y/o actividades recreativas en este parque?</t>
  </si>
  <si>
    <t>Cuenta de PSC.6 En restaurantes/cafeterías/comedores del parque?</t>
  </si>
  <si>
    <t>Cuenta de PSC.7 Caminando sola/o en el día por este parque?</t>
  </si>
  <si>
    <t>Cuenta de PSC.8 Caminando sola/o en la noche por este parque?</t>
  </si>
  <si>
    <t>Cuenta de PSC.9 ¿En los últimos 6 meses, ¿usted diría que la delincuencia en el parque y sus inmediaciones: Enc. Leer opciones y RU .</t>
  </si>
  <si>
    <t>Cuenta de CH.1 la frecuencia con la que transita solo/a por el parque</t>
  </si>
  <si>
    <t>CAMBIO DE HÁBITOS</t>
  </si>
  <si>
    <t>Cuenta de CH.2 la frecuencia con la que asiste a espectáculos públicos del parque</t>
  </si>
  <si>
    <t>Cuenta de CH.3  la frecuencia con la que visita restaurantes, cafeterías y comedores del parque</t>
  </si>
  <si>
    <t>Cuenta de CH.4 Por motivos de seguridad, en los últimos 6 meses, ¿ha cambiado su horario de visita al parque?. Enc. RE y RU</t>
  </si>
  <si>
    <t>VICTIMIZACIÓN</t>
  </si>
  <si>
    <t>Cuenta de VI.1 En los últimos 6 meses, es decir, de septiembre 2024 a la fecha. Ud. ha sido víctima de algún tipo de delito en este parque?. Enc. RE y RU</t>
  </si>
  <si>
    <t>Cuenta de CC.1 Alguien puso música a un volumen excesivo o hizo mucho ruido y eso le molestó?</t>
  </si>
  <si>
    <t>CONVIVENCIA CIUDADANA</t>
  </si>
  <si>
    <t>Cuenta de CC.2 Grafitis no artisticos que le molestan?</t>
  </si>
  <si>
    <t>Cuenta de CC.3 Personas que orinan en el parque?</t>
  </si>
  <si>
    <t>Cuenta de CC.4 Desechos de animales ?</t>
  </si>
  <si>
    <t>Cuenta de CC.5 Áreas sin iluminación ?</t>
  </si>
  <si>
    <t>Cuenta de CC.6 Peleas o riñas ?</t>
  </si>
  <si>
    <t>Cuenta de CC.7 Habitantes en situación de calle (mendicidad) ?</t>
  </si>
  <si>
    <t>Cuenta de CC.8 Consumo de alcohol?</t>
  </si>
  <si>
    <t>Cuenta de CC.9 Venta de alcohol?</t>
  </si>
  <si>
    <t>Cuenta de CC.10 Consumo de drogas?</t>
  </si>
  <si>
    <t>Cuenta de CC.11 Venta de drogas?</t>
  </si>
  <si>
    <t>Cuenta de CC.12 Daño a la propiedad pública y privada?</t>
  </si>
  <si>
    <t>Cuenta de CC.13 Fauna Urbana? (animales sin hogar)</t>
  </si>
  <si>
    <t>Cuenta de CC.14 Basura y suciedad?</t>
  </si>
  <si>
    <t>Cuenta de CC.16 Trabajo sexual (prostitución)?</t>
  </si>
  <si>
    <t>Cuenta de CC.17 Aglomeración de personas?</t>
  </si>
  <si>
    <t>Cuenta de CC.18 ¿Alguna otra que no le haya mencionado?</t>
  </si>
  <si>
    <t>PERCEPCION COMERCIO AUTONOMO</t>
  </si>
  <si>
    <t>Cuenta de PCA.1 En los últimos 6 meses, es decir, de septiembre 2024 a la fecha. ¿Usted ha presenciado ventas ambulantes en el parque ? Enc. RE y RU. Si la respuesta es "SI" preguntar con que frecuencia</t>
  </si>
  <si>
    <t>Cuenta de PCA.1.1 Le molestan las ventas ambulantes en el parque? Enc. RE y RU.</t>
  </si>
  <si>
    <t>PORTE DE ARMAS</t>
  </si>
  <si>
    <t>Cuenta de PA.1 Excluyendo a militares y policías en servicio activo, durante los últimos 6 meses. ¿Usted ha visto en el parque La Carolina a personas que porten armas? Enc. RE y RU.</t>
  </si>
  <si>
    <t>Suma de PA.2 ¿Qué tipo de armas? Enc. RE y RM/1. De fuego</t>
  </si>
  <si>
    <t>Suma de PA.2 ¿Qué tipo de armas? Enc. RE y RM/2. Blanca</t>
  </si>
  <si>
    <t>Suma de PA.2 ¿Qué tipo de armas? Enc. RE y RM/3. Contundente</t>
  </si>
  <si>
    <t>Suma de PA.2 ¿Qué tipo de armas? Enc. RE y RM/4. Constrictora</t>
  </si>
  <si>
    <t>Suma de PA.2 ¿Qué tipo de armas? Enc. RE y RM/5. Otras</t>
  </si>
  <si>
    <t>Cuenta de PA.3 Durante los últimos 6 meses. ¿Ud. ha presenciado alguna situación de violencia relacionada con armas en el parque? Enc. RE y RU.</t>
  </si>
  <si>
    <t>SATISFACCIÓN SERVICIOS</t>
  </si>
  <si>
    <t>Cuenta de SSM.1 Agencia Metropolitana de Control (AMC) - Encargados de cumplir las normativas y regulaciones metropolitanas.</t>
  </si>
  <si>
    <t>VIO</t>
  </si>
  <si>
    <t>Cuenta de SSM.2 Agencia Metropolitana de Control de Comercio (AMCC) - Encargados de regular y fortalecer el comercio de Quito.</t>
  </si>
  <si>
    <t>Cuenta de SSM.3 Patronato San José (UPMSJ) - Atención a personas en situación de calle.</t>
  </si>
  <si>
    <t>Cuenta de SSM.4 Cuerpo de Agentes de Control Metropolitano de Quito (CACMQ) - Mantener el orden y la seguridad.</t>
  </si>
  <si>
    <t>Cuenta de SSM.5 Cuerpo de Bombero de Quito (CBQ) - Prevención, control y respuesta de emergencias a incendios, rescates y desastres.</t>
  </si>
  <si>
    <t>Cuenta de SSM.6 Agencia Metropolitana de Tránsito (AMT) - Regular, gestionar y controlar el tránsito y la movilidad.</t>
  </si>
  <si>
    <t>Cuenta de SSM.7 Empresa Metropolitana de Aseo (EMASEO) - Recolección, transporte y disposición de residuos.</t>
  </si>
  <si>
    <t>Cuenta de SSM.8 Policía Nacional (PN) - Garantizar el orden público y la protección de la ciudadania.</t>
  </si>
  <si>
    <t>Cuenta de SSM.9 Fuerzas Armadas del Ecuador (FFAA) - Defensa de la soberanía e integridad territorial del país.</t>
  </si>
  <si>
    <t>Cuenta de SSM.10 Secretaría General de Seguridad Ciudadana y Gestión de Riesgos (SGSCGR) -  Coordinar políticas, estrategías y acciones de fortalecimiento de la seguridad ciudadana y gestión de riesgos.</t>
  </si>
  <si>
    <t>Cuenta de SSM.1.1 ¿Se benefició de alguna manera del  trabajo de esta institución?</t>
  </si>
  <si>
    <t>SE BENEFICIÓ</t>
  </si>
  <si>
    <t>Cuenta de SSM.2.1 ¿Se benefició de alguna manera del  trabajo de esta institución?</t>
  </si>
  <si>
    <t>Cuenta de SSM.3.1 ¿Se benefició de alguna manera del  trabajo de esta institución?</t>
  </si>
  <si>
    <t>Cuenta de SSM.4.1 ¿Se benefició de alguna manera del  trabajo de esta institución?</t>
  </si>
  <si>
    <t>Cuenta de SSM.5.1 ¿Se benefició de alguna manera del  trabajo de esta institución?</t>
  </si>
  <si>
    <t>Cuenta de SSM.6.1 ¿Se benefició de alguna manera del  trabajo de esta institución?</t>
  </si>
  <si>
    <t>Cuenta de SSM.7.1 ¿Se benefició de alguna manera del  trabajo de esta institución?</t>
  </si>
  <si>
    <t>Cuenta de SSM.8.1 ¿Se benefició de alguna manera del  trabajo de esta institución?</t>
  </si>
  <si>
    <t>Cuenta de SSM.9.1 ¿Se benefició de alguna manera del  trabajo de esta institución?</t>
  </si>
  <si>
    <t>Cuenta de SSM.10.1 ¿Se benefició de alguna manera del  trabajo de esta institución?</t>
  </si>
  <si>
    <t>Cuenta de SSM.1.2 ¿Cómo califica el servicio?</t>
  </si>
  <si>
    <t>Cuenta de SSM.2.2 ¿Cómo califica el servicio?</t>
  </si>
  <si>
    <t>Cuenta de SSM.3.2 ¿Cómo califica el servicio?</t>
  </si>
  <si>
    <t>Cuenta de SSM.4.2 ¿Cómo califica el servicio?</t>
  </si>
  <si>
    <t>Cuenta de SSM.5.2 ¿Cómo califica el servicio?</t>
  </si>
  <si>
    <t>Cuenta de SSM.6.2 ¿Cómo califica el servicio?</t>
  </si>
  <si>
    <t>Cuenta de SSM.7.2 ¿Cómo califica el servicio?</t>
  </si>
  <si>
    <t>Cuenta de SSM.8.2 ¿Cómo califica el servicio?</t>
  </si>
  <si>
    <t>Cuenta de SSM.9.2 ¿Cómo califica el servicio?</t>
  </si>
  <si>
    <t>Cuenta de SSM.10.2 ¿Cómo califica el servicio?</t>
  </si>
  <si>
    <t>Sexo</t>
  </si>
  <si>
    <t>Etiquetas de columna</t>
  </si>
  <si>
    <t>Cuenta de DD. 1 Sexo</t>
  </si>
  <si>
    <t>Rango etario</t>
  </si>
  <si>
    <t>de 18 a 25 años</t>
  </si>
  <si>
    <t>de 26 a 40 años</t>
  </si>
  <si>
    <t>de 41 a 55 años</t>
  </si>
  <si>
    <t>de 56 a más</t>
  </si>
  <si>
    <t>rango_etario</t>
  </si>
  <si>
    <t>Cuenta de rango_etario</t>
  </si>
  <si>
    <t>Cuenta de DD. 5 ¿Cuál es su nivel de estudios aprobados? Enc. respuesta espontánea y RU.</t>
  </si>
  <si>
    <t>Nivel de estudios aprobados</t>
  </si>
  <si>
    <t>Transitando por sitios con basura</t>
  </si>
  <si>
    <t>Presencia de habitantes de calle (mendigos)</t>
  </si>
  <si>
    <t>Presencia de vendedores ambulantes</t>
  </si>
  <si>
    <t>Espectáculos públicos y/o actividades recreativas</t>
  </si>
  <si>
    <t>Restaurantes/cafeterías/comedores</t>
  </si>
  <si>
    <t>Caminando sola/o en el día</t>
  </si>
  <si>
    <t>Caminando sola/o en la noche</t>
  </si>
  <si>
    <t>Transita solo/a por el parque</t>
  </si>
  <si>
    <t>Asiste a espectáculos públicos del parque</t>
  </si>
  <si>
    <t xml:space="preserve"> Visita restaurantes, cafeterías y comedores del parque</t>
  </si>
  <si>
    <t>Ha cambiado su horario de visita al parque</t>
  </si>
  <si>
    <t>CH4</t>
  </si>
  <si>
    <t>Cuenta de ¿De qué delitos fue víctima? Enc. respuesta espontáne. RM</t>
  </si>
  <si>
    <t>delitos</t>
  </si>
  <si>
    <t>Presenciado</t>
  </si>
  <si>
    <t>Frecuencia</t>
  </si>
  <si>
    <t>Si</t>
  </si>
  <si>
    <t>No</t>
  </si>
  <si>
    <t>Poco frecuente</t>
  </si>
  <si>
    <t>Frecuente</t>
  </si>
  <si>
    <t>Muy frecuente</t>
  </si>
  <si>
    <t>Daño a la propiedad pública y privada</t>
  </si>
  <si>
    <t>Aglomeración de personas</t>
  </si>
  <si>
    <t>Cuenta de CC.1.1 ¿Con qué frecuencia?</t>
  </si>
  <si>
    <t>Cuenta de CC.2.1 ¿Con qué frecuencia?</t>
  </si>
  <si>
    <t>Cuenta de CC.3.1 ¿Con qué frecuencia?</t>
  </si>
  <si>
    <t>Cuenta de CC.4.1 ¿Con qué frecuencia?</t>
  </si>
  <si>
    <t>Cuenta de CC.5.1 ¿Con qué frecuencia?</t>
  </si>
  <si>
    <t>Cuenta de CC.6.1 ¿Con qué frecuencia?</t>
  </si>
  <si>
    <t>Cuenta de CC.7.1 ¿Con qué frecuencia?</t>
  </si>
  <si>
    <t>Cuenta de CC.8.1 ¿Con qué frecuencia?</t>
  </si>
  <si>
    <t>Cuenta de CC.9.1 ¿Con qué frecuencia?</t>
  </si>
  <si>
    <t>Cuenta de CC.10.1 ¿Con qué frecuencia?</t>
  </si>
  <si>
    <t>Cuenta de CC.11.1 ¿Con qué frecuencia?</t>
  </si>
  <si>
    <t>Cuenta de CC.12.1 ¿Con qué frecuencia?</t>
  </si>
  <si>
    <t>Cuenta de CC.13.2 ¿Con qué frecuencia?</t>
  </si>
  <si>
    <t>Cuenta de CC.14.2 ¿Con qué frecuencia?</t>
  </si>
  <si>
    <t>Cuenta de CC.16.2 ¿Con qué frecuencia?</t>
  </si>
  <si>
    <t>Cuenta de CC.17.2 ¿Con qué frecuencia?</t>
  </si>
  <si>
    <t>Cuenta de CC.18.2 ¿Con qué frecuencia?</t>
  </si>
  <si>
    <t>Alguien puso música a un volumen excesivo o hizo mucho ruido y eso le molestó</t>
  </si>
  <si>
    <t>Grafitis no artisticos que le molestan</t>
  </si>
  <si>
    <t>Personas que orinan en el parque</t>
  </si>
  <si>
    <t>Desechos de animales</t>
  </si>
  <si>
    <t>Áreas sin iluminación</t>
  </si>
  <si>
    <t>Peleas o riñas</t>
  </si>
  <si>
    <t>Habitantes en situación de calle (mendicidad)</t>
  </si>
  <si>
    <t>Consumo de alcohol</t>
  </si>
  <si>
    <t>Venta de alcohol</t>
  </si>
  <si>
    <t>Consumo de drogas</t>
  </si>
  <si>
    <t>Venta de drogas</t>
  </si>
  <si>
    <t>Fauna Urbana</t>
  </si>
  <si>
    <t xml:space="preserve"> Basura y suciedad</t>
  </si>
  <si>
    <t>Trabajo sexual (prostitución)</t>
  </si>
  <si>
    <t>Alguna otra que no se haya mencionado</t>
  </si>
  <si>
    <t>NS/NC</t>
  </si>
  <si>
    <t xml:space="preserve"> </t>
  </si>
  <si>
    <t>Vio?</t>
  </si>
  <si>
    <t>¿Utilizó algún servicio o guía?</t>
  </si>
  <si>
    <t>En una escala del 1 al 4, donde 1 es MUY BUENO y 4 es MUY MALO ¿Cómo califica el servicio?</t>
  </si>
  <si>
    <t>Muy bueno</t>
  </si>
  <si>
    <t>Bueno</t>
  </si>
  <si>
    <t xml:space="preserve"> Malo</t>
  </si>
  <si>
    <t>Muy malo</t>
  </si>
  <si>
    <t>Ns/Nc</t>
  </si>
  <si>
    <t>Patronato San José (UPMSJ)</t>
  </si>
  <si>
    <t>Cuerpo de Agentes de Control Metropolitano de Quito (CACMQ)</t>
  </si>
  <si>
    <t>Cuerpo de Bombero de Quito (CBQ)</t>
  </si>
  <si>
    <t>Agencia Metropolitana de Tránsito (AMT)</t>
  </si>
  <si>
    <t>Empresa Metropolitana de Aseo (EMASEO)</t>
  </si>
  <si>
    <t>Fuerzas Armadas del Ecuador (FFAA)</t>
  </si>
  <si>
    <t xml:space="preserve">Agencia Metropolitana de Control (AMC) </t>
  </si>
  <si>
    <t>Agencia Metropolitana de Control de Comercio (AMCC)</t>
  </si>
  <si>
    <t>Policía Nacional (PN)</t>
  </si>
  <si>
    <t>Secretaría General de Seguridad Ciudadana y Gestión de Riesgos (SGSCGR)</t>
  </si>
  <si>
    <t>De fuego</t>
  </si>
  <si>
    <t>Blanca</t>
  </si>
  <si>
    <t>Contundente</t>
  </si>
  <si>
    <t>Constrictora</t>
  </si>
  <si>
    <t>Otras</t>
  </si>
  <si>
    <t>HA VISTO PERSONAS QUE PORTEN ARMAS</t>
  </si>
  <si>
    <t>PRESENCIADO SITUACION DE VIOLENCIA RELACIONADA CON ARMAS EN PARQUE</t>
  </si>
  <si>
    <t>Actividades recurrentes que realizan en el parque</t>
  </si>
  <si>
    <t>Horario recurrente de visita al parque</t>
  </si>
  <si>
    <t>Instalaciones recurrentes utilizadas en parque</t>
  </si>
  <si>
    <t>Deporte / ejercicio</t>
  </si>
  <si>
    <t>Culturales y sociales</t>
  </si>
  <si>
    <t>Compras</t>
  </si>
  <si>
    <t>De paso</t>
  </si>
  <si>
    <t>Recreación/Ocio</t>
  </si>
  <si>
    <t>Otra</t>
  </si>
  <si>
    <t>Madrugada (00:00 a 05:59)</t>
  </si>
  <si>
    <t>Mañana  (06:00 a 11:59)</t>
  </si>
  <si>
    <t>Tarde (12:00 a 17:59)</t>
  </si>
  <si>
    <t>Noche  (18:00 a 23:59)</t>
  </si>
  <si>
    <t>a</t>
  </si>
  <si>
    <t>Áreas verdes</t>
  </si>
  <si>
    <t>Pistas para correr</t>
  </si>
  <si>
    <t>Caminos de ciclismo</t>
  </si>
  <si>
    <t>Canchas de fútbol y basquet</t>
  </si>
  <si>
    <t>Otro.</t>
  </si>
  <si>
    <t>Área para perros</t>
  </si>
  <si>
    <t>Rampas para patineta</t>
  </si>
  <si>
    <t>menos a 1 hora</t>
  </si>
  <si>
    <t>de 1 a 2 horas</t>
  </si>
  <si>
    <t>de 2 hora a 3 horas</t>
  </si>
  <si>
    <t>más de 4 horas</t>
  </si>
  <si>
    <t>En los últimos 12 meses, es decir, de Noviembre del 2023 a Octubre 2024.En términos de seguridad personal en los espacios públicos de la ciudad (avenidas, calles, plazas y parques)</t>
  </si>
  <si>
    <t>Gegrafía / Percepción</t>
  </si>
  <si>
    <t>Muy Seguro</t>
  </si>
  <si>
    <t>Seguro</t>
  </si>
  <si>
    <t>Inseguro</t>
  </si>
  <si>
    <t>Muy Inseguro</t>
  </si>
  <si>
    <t>No/Aplica</t>
  </si>
  <si>
    <t>D.M.Q</t>
  </si>
  <si>
    <t>Eugenio Espejo</t>
  </si>
  <si>
    <t>La Carolina</t>
  </si>
  <si>
    <t>Recuento de PSC.1 En los últimos 6 meses, es decir, de septiembre 2024 a la fecha. EN TÉRMINOS DE SU SEGURIDAD P</t>
  </si>
  <si>
    <t>En los últimos 6 meses, es decir, de septiembre 2024 a febrero 2025. En términos de seguridad personal en el parque.</t>
  </si>
  <si>
    <t>No Aplica</t>
  </si>
  <si>
    <t>Aumentó</t>
  </si>
  <si>
    <t>Se mantuvo</t>
  </si>
  <si>
    <t>Disminuyó</t>
  </si>
  <si>
    <t>No aplica</t>
  </si>
  <si>
    <t>Sí</t>
  </si>
  <si>
    <t>Hombre</t>
  </si>
  <si>
    <t>Mujer</t>
  </si>
  <si>
    <t>Cuenta de PCA.1.0 ¿Con qué frecuencia?</t>
  </si>
  <si>
    <t>Primaria</t>
  </si>
  <si>
    <t>Secundaria/ Bachillerato</t>
  </si>
  <si>
    <t>Tecnicatura/Tecnología</t>
  </si>
  <si>
    <t>Universitario</t>
  </si>
  <si>
    <t>Post grado</t>
  </si>
  <si>
    <t>Doctorado</t>
  </si>
  <si>
    <t>Robo  (con violencia)</t>
  </si>
  <si>
    <t>Agresión verbal</t>
  </si>
  <si>
    <t>Otros</t>
  </si>
  <si>
    <t>Hurto (sin violencia)</t>
  </si>
  <si>
    <t>Agresión física</t>
  </si>
  <si>
    <t>Robo de vehículo</t>
  </si>
  <si>
    <t>Robo accesorios de vehículo</t>
  </si>
  <si>
    <t>S+MS</t>
  </si>
  <si>
    <t>I+MI</t>
  </si>
  <si>
    <t>Otro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</si>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</sst>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name val="Arial"/>
    </font>
    <font>
      <b/>
      <sz val="12"/>
      <color rgb="FFFFFFFF"/>
      <name val="Montserrat"/>
    </font>
    <font>
      <b/>
      <sz val="12"/>
      <color rgb="FF000000"/>
      <name val="Montserrat"/>
    </font>
    <font>
      <b/>
      <sz val="11"/>
      <color rgb="FFFFFFFF"/>
      <name val="Montserrat"/>
    </font>
    <font>
      <b/>
      <sz val="9"/>
      <color rgb="FFFFFFFF"/>
      <name val="Montserrat"/>
    </font>
    <font>
      <b/>
      <sz val="10"/>
      <color rgb="FF000000"/>
      <name val="Montserrat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2" borderId="2" xfId="0" applyFont="1" applyFill="1" applyBorder="1"/>
    <xf numFmtId="10" fontId="0" fillId="0" borderId="0" xfId="0" applyNumberFormat="1"/>
    <xf numFmtId="0" fontId="0" fillId="0" borderId="0" xfId="0" applyAlignment="1">
      <alignment horizontal="center"/>
    </xf>
    <xf numFmtId="10" fontId="0" fillId="0" borderId="0" xfId="1" applyNumberFormat="1" applyFont="1"/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0" fillId="3" borderId="0" xfId="0" applyFill="1"/>
    <xf numFmtId="0" fontId="8" fillId="5" borderId="7" xfId="0" applyFont="1" applyFill="1" applyBorder="1" applyAlignment="1">
      <alignment horizontal="center" vertical="center" wrapText="1" readingOrder="1"/>
    </xf>
    <xf numFmtId="0" fontId="8" fillId="5" borderId="8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left"/>
    </xf>
    <xf numFmtId="0" fontId="3" fillId="0" borderId="0" xfId="0" applyFont="1"/>
    <xf numFmtId="10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9" fillId="0" borderId="0" xfId="0" applyFont="1" applyAlignment="1">
      <alignment wrapText="1" readingOrder="1"/>
    </xf>
    <xf numFmtId="0" fontId="0" fillId="3" borderId="0" xfId="0" applyFill="1" applyAlignment="1">
      <alignment horizontal="center"/>
    </xf>
    <xf numFmtId="0" fontId="9" fillId="0" borderId="0" xfId="0" applyFont="1" applyAlignment="1">
      <alignment horizontal="center" wrapText="1" readingOrder="1"/>
    </xf>
    <xf numFmtId="0" fontId="9" fillId="0" borderId="9" xfId="0" applyFont="1" applyBorder="1" applyAlignment="1">
      <alignment horizontal="center" wrapText="1" readingOrder="1"/>
    </xf>
    <xf numFmtId="0" fontId="7" fillId="5" borderId="5" xfId="0" applyFont="1" applyFill="1" applyBorder="1" applyAlignment="1">
      <alignment horizontal="center" vertical="center" wrapText="1" readingOrder="1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6" xfId="0" applyFont="1" applyFill="1" applyBorder="1" applyAlignment="1">
      <alignment horizontal="center" vertical="center" wrapText="1" readingOrder="1"/>
    </xf>
    <xf numFmtId="0" fontId="6" fillId="0" borderId="0" xfId="0" applyFont="1" applyAlignment="1">
      <alignment horizontal="center" wrapText="1" readingOrder="1"/>
    </xf>
    <xf numFmtId="0" fontId="6" fillId="0" borderId="9" xfId="0" applyFont="1" applyBorder="1" applyAlignment="1">
      <alignment horizontal="center" wrapText="1" readingOrder="1"/>
    </xf>
    <xf numFmtId="0" fontId="7" fillId="0" borderId="0" xfId="0" applyFont="1" applyAlignment="1">
      <alignment horizontal="center" vertical="center" wrapText="1" readingOrder="1"/>
    </xf>
    <xf numFmtId="0" fontId="7" fillId="0" borderId="3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4" borderId="6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center" vertical="center" wrapText="1" readingOrder="1"/>
    </xf>
    <xf numFmtId="0" fontId="5" fillId="4" borderId="4" xfId="0" applyFont="1" applyFill="1" applyBorder="1" applyAlignment="1">
      <alignment horizontal="center" vertical="center" wrapText="1" readingOrder="1"/>
    </xf>
    <xf numFmtId="0" fontId="5" fillId="4" borderId="10" xfId="0" applyFont="1" applyFill="1" applyBorder="1" applyAlignment="1">
      <alignment horizontal="center" vertical="center" wrapText="1" readingOrder="1"/>
    </xf>
    <xf numFmtId="0" fontId="5" fillId="4" borderId="1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</cellXfs>
  <cellStyles count="2">
    <cellStyle name="Normal" xfId="0" builtinId="0"/>
    <cellStyle name="Porcentaje" xfId="1" builtinId="5"/>
  </cellStyles>
  <dxfs count="25">
    <dxf>
      <numFmt numFmtId="14" formatCode="0.00%"/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2C4D75"/>
      <color rgb="FFF79646"/>
      <color rgb="FF4BACC6"/>
      <color rgb="FF8064A2"/>
      <color rgb="FF9BBB59"/>
      <color rgb="FFC0504D"/>
      <color rgb="FF4F81BD"/>
      <color rgb="FFE57373"/>
      <color rgb="FF81C784"/>
      <color rgb="FFA2D2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4591221550007401E-2"/>
          <c:y val="4.4757019164902746E-2"/>
          <c:w val="0.95081755689998515"/>
          <c:h val="0.9041175576588026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88C9A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AD-4FD9-B1BE-6EA8421EAE2D}"/>
              </c:ext>
            </c:extLst>
          </c:dPt>
          <c:dPt>
            <c:idx val="1"/>
            <c:invertIfNegative val="0"/>
            <c:bubble3D val="0"/>
            <c:spPr>
              <a:solidFill>
                <a:srgbClr val="81C78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AD-4FD9-B1BE-6EA8421EAE2D}"/>
              </c:ext>
            </c:extLst>
          </c:dPt>
          <c:dPt>
            <c:idx val="2"/>
            <c:invertIfNegative val="0"/>
            <c:bubble3D val="0"/>
            <c:spPr>
              <a:solidFill>
                <a:srgbClr val="FFC10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AD-4FD9-B1BE-6EA8421EAE2D}"/>
              </c:ext>
            </c:extLst>
          </c:dPt>
          <c:dPt>
            <c:idx val="3"/>
            <c:invertIfNegative val="0"/>
            <c:bubble3D val="0"/>
            <c:spPr>
              <a:solidFill>
                <a:srgbClr val="E5737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AD-4FD9-B1BE-6EA8421EAE2D}"/>
              </c:ext>
            </c:extLst>
          </c:dPt>
          <c:dLbls>
            <c:dLbl>
              <c:idx val="0"/>
              <c:layout>
                <c:manualLayout>
                  <c:x val="0"/>
                  <c:y val="-4.320173519976669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CAD-4FD9-B1BE-6EA8421EAE2D}"/>
                </c:ext>
              </c:extLst>
            </c:dLbl>
            <c:dLbl>
              <c:idx val="1"/>
              <c:layout>
                <c:manualLayout>
                  <c:x val="-2.7777777777778286E-3"/>
                  <c:y val="-0.324002260134149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CAD-4FD9-B1BE-6EA8421EAE2D}"/>
                </c:ext>
              </c:extLst>
            </c:dLbl>
            <c:dLbl>
              <c:idx val="2"/>
              <c:layout>
                <c:manualLayout>
                  <c:x val="2.3383802797024076E-3"/>
                  <c:y val="-0.1597227664692490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DCAD-4FD9-B1BE-6EA8421EAE2D}"/>
                </c:ext>
              </c:extLst>
            </c:dLbl>
            <c:dLbl>
              <c:idx val="3"/>
              <c:layout>
                <c:manualLayout>
                  <c:x val="-1.1948789325812075E-16"/>
                  <c:y val="-5.207844629325010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DCAD-4FD9-B1BE-6EA8421EAE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grafos!$A$4:$A$7</c:f>
              <c:strCache>
                <c:ptCount val="4"/>
                <c:pt idx="0">
                  <c:v>Muy Seguro</c:v>
                </c:pt>
                <c:pt idx="1">
                  <c:v>Seguro</c:v>
                </c:pt>
                <c:pt idx="2">
                  <c:v>Inseguro</c:v>
                </c:pt>
                <c:pt idx="3">
                  <c:v>Muy Inseguro</c:v>
                </c:pt>
              </c:strCache>
            </c:strRef>
          </c:cat>
          <c:val>
            <c:numRef>
              <c:f>grafos!$B$4:$B$7</c:f>
              <c:numCache>
                <c:formatCode>0.00%</c:formatCode>
                <c:ptCount val="4"/>
                <c:pt idx="0">
                  <c:v>4.1501976284584984E-2</c:v>
                </c:pt>
                <c:pt idx="1">
                  <c:v>0.67391304347826086</c:v>
                </c:pt>
                <c:pt idx="2">
                  <c:v>0.2608695652173913</c:v>
                </c:pt>
                <c:pt idx="3">
                  <c:v>2.3715415019762844E-2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CAD-4FD9-B1BE-6EA8421EAE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30"/>
        <c:overlap val="100"/>
        <c:axId val="1441266848"/>
        <c:axId val="1441023904"/>
      </c:barChart>
      <c:catAx>
        <c:axId val="144126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441023904"/>
        <c:crosses val="autoZero"/>
        <c:auto val="1"/>
        <c:lblAlgn val="ctr"/>
        <c:lblOffset val="100"/>
        <c:noMultiLvlLbl val="0"/>
      </c:catAx>
      <c:valAx>
        <c:axId val="1441023904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44126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32814181581034"/>
          <c:y val="0.11904761904761904"/>
          <c:w val="0.76561596263135412"/>
          <c:h val="0.8371594622100808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grafos!$K$5</c:f>
              <c:strCache>
                <c:ptCount val="1"/>
                <c:pt idx="0">
                  <c:v>Muy Seguro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grafos!$I$6:$J$18</c:f>
              <c:multiLvlStrCache>
                <c:ptCount val="13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  <c:pt idx="6">
                    <c:v>Ninguno</c:v>
                  </c:pt>
                  <c:pt idx="7">
                    <c:v>Primaria</c:v>
                  </c:pt>
                  <c:pt idx="8">
                    <c:v>Secundaria/ Bachillerato</c:v>
                  </c:pt>
                  <c:pt idx="9">
                    <c:v>Tecnicatura/Tecnología</c:v>
                  </c:pt>
                  <c:pt idx="10">
                    <c:v>Universitario</c:v>
                  </c:pt>
                  <c:pt idx="11">
                    <c:v>Post grado</c:v>
                  </c:pt>
                  <c:pt idx="12">
                    <c:v>Doctorado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grafos!$K$6:$K$18</c:f>
              <c:numCache>
                <c:formatCode>0.00%</c:formatCode>
                <c:ptCount val="13"/>
                <c:pt idx="0">
                  <c:v>4.878048780487805E-2</c:v>
                </c:pt>
                <c:pt idx="1">
                  <c:v>3.4615384615384617E-2</c:v>
                </c:pt>
                <c:pt idx="2">
                  <c:v>0.11290322580645161</c:v>
                </c:pt>
                <c:pt idx="3">
                  <c:v>2.2988505747126436E-2</c:v>
                </c:pt>
                <c:pt idx="4">
                  <c:v>2.2058823529411766E-2</c:v>
                </c:pt>
                <c:pt idx="5">
                  <c:v>5.2238805970149252E-2</c:v>
                </c:pt>
                <c:pt idx="6">
                  <c:v>0</c:v>
                </c:pt>
                <c:pt idx="7">
                  <c:v>2.4390243902439025E-2</c:v>
                </c:pt>
                <c:pt idx="8">
                  <c:v>4.5977011494252873E-2</c:v>
                </c:pt>
                <c:pt idx="9">
                  <c:v>0</c:v>
                </c:pt>
                <c:pt idx="10">
                  <c:v>4.5685279187817257E-2</c:v>
                </c:pt>
                <c:pt idx="11">
                  <c:v>4.1666666666666664E-2</c:v>
                </c:pt>
                <c:pt idx="1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4AA-4CCD-8B60-47F78BF1B78C}"/>
            </c:ext>
          </c:extLst>
        </c:ser>
        <c:ser>
          <c:idx val="1"/>
          <c:order val="1"/>
          <c:tx>
            <c:strRef>
              <c:f>grafos!$L$5</c:f>
              <c:strCache>
                <c:ptCount val="1"/>
                <c:pt idx="0">
                  <c:v>Seguro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grafos!$I$6:$J$18</c:f>
              <c:multiLvlStrCache>
                <c:ptCount val="13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  <c:pt idx="6">
                    <c:v>Ninguno</c:v>
                  </c:pt>
                  <c:pt idx="7">
                    <c:v>Primaria</c:v>
                  </c:pt>
                  <c:pt idx="8">
                    <c:v>Secundaria/ Bachillerato</c:v>
                  </c:pt>
                  <c:pt idx="9">
                    <c:v>Tecnicatura/Tecnología</c:v>
                  </c:pt>
                  <c:pt idx="10">
                    <c:v>Universitario</c:v>
                  </c:pt>
                  <c:pt idx="11">
                    <c:v>Post grado</c:v>
                  </c:pt>
                  <c:pt idx="12">
                    <c:v>Doctorado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grafos!$L$6:$L$18</c:f>
              <c:numCache>
                <c:formatCode>0.00%</c:formatCode>
                <c:ptCount val="13"/>
                <c:pt idx="0">
                  <c:v>0.71544715447154472</c:v>
                </c:pt>
                <c:pt idx="1">
                  <c:v>0.63461538461538458</c:v>
                </c:pt>
                <c:pt idx="2">
                  <c:v>0.58064516129032262</c:v>
                </c:pt>
                <c:pt idx="3">
                  <c:v>0.6954022988505747</c:v>
                </c:pt>
                <c:pt idx="4">
                  <c:v>0.70588235294117652</c:v>
                </c:pt>
                <c:pt idx="5">
                  <c:v>0.65671641791044777</c:v>
                </c:pt>
                <c:pt idx="6">
                  <c:v>0.5</c:v>
                </c:pt>
                <c:pt idx="7">
                  <c:v>0.70731707317073167</c:v>
                </c:pt>
                <c:pt idx="8">
                  <c:v>0.68390804597701149</c:v>
                </c:pt>
                <c:pt idx="9">
                  <c:v>0.68421052631578949</c:v>
                </c:pt>
                <c:pt idx="10">
                  <c:v>0.68020304568527923</c:v>
                </c:pt>
                <c:pt idx="11">
                  <c:v>0.58333333333333337</c:v>
                </c:pt>
                <c:pt idx="12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4AA-4CCD-8B60-47F78BF1B78C}"/>
            </c:ext>
          </c:extLst>
        </c:ser>
        <c:ser>
          <c:idx val="2"/>
          <c:order val="2"/>
          <c:tx>
            <c:strRef>
              <c:f>grafos!$M$5</c:f>
              <c:strCache>
                <c:ptCount val="1"/>
                <c:pt idx="0">
                  <c:v>Inseguro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grafos!$I$6:$J$18</c:f>
              <c:multiLvlStrCache>
                <c:ptCount val="13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  <c:pt idx="6">
                    <c:v>Ninguno</c:v>
                  </c:pt>
                  <c:pt idx="7">
                    <c:v>Primaria</c:v>
                  </c:pt>
                  <c:pt idx="8">
                    <c:v>Secundaria/ Bachillerato</c:v>
                  </c:pt>
                  <c:pt idx="9">
                    <c:v>Tecnicatura/Tecnología</c:v>
                  </c:pt>
                  <c:pt idx="10">
                    <c:v>Universitario</c:v>
                  </c:pt>
                  <c:pt idx="11">
                    <c:v>Post grado</c:v>
                  </c:pt>
                  <c:pt idx="12">
                    <c:v>Doctorado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grafos!$M$6:$M$18</c:f>
              <c:numCache>
                <c:formatCode>0.00%</c:formatCode>
                <c:ptCount val="13"/>
                <c:pt idx="0">
                  <c:v>0.21951219512195122</c:v>
                </c:pt>
                <c:pt idx="1">
                  <c:v>0.3</c:v>
                </c:pt>
                <c:pt idx="2">
                  <c:v>0.24193548387096775</c:v>
                </c:pt>
                <c:pt idx="3">
                  <c:v>0.26436781609195403</c:v>
                </c:pt>
                <c:pt idx="4">
                  <c:v>0.25735294117647056</c:v>
                </c:pt>
                <c:pt idx="5">
                  <c:v>0.26865671641791045</c:v>
                </c:pt>
                <c:pt idx="6">
                  <c:v>0.5</c:v>
                </c:pt>
                <c:pt idx="7">
                  <c:v>0.21951219512195122</c:v>
                </c:pt>
                <c:pt idx="8">
                  <c:v>0.25287356321839083</c:v>
                </c:pt>
                <c:pt idx="9">
                  <c:v>0.28947368421052633</c:v>
                </c:pt>
                <c:pt idx="10">
                  <c:v>0.26903553299492383</c:v>
                </c:pt>
                <c:pt idx="11">
                  <c:v>0.27083333333333331</c:v>
                </c:pt>
                <c:pt idx="1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4AA-4CCD-8B60-47F78BF1B78C}"/>
            </c:ext>
          </c:extLst>
        </c:ser>
        <c:ser>
          <c:idx val="3"/>
          <c:order val="3"/>
          <c:tx>
            <c:strRef>
              <c:f>grafos!$N$5</c:f>
              <c:strCache>
                <c:ptCount val="1"/>
                <c:pt idx="0">
                  <c:v>Muy Inseguro</c:v>
                </c:pt>
              </c:strCache>
            </c:strRef>
          </c:tx>
          <c:spPr>
            <a:solidFill>
              <a:srgbClr val="E573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grafos!$I$6:$J$18</c:f>
              <c:multiLvlStrCache>
                <c:ptCount val="13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  <c:pt idx="6">
                    <c:v>Ninguno</c:v>
                  </c:pt>
                  <c:pt idx="7">
                    <c:v>Primaria</c:v>
                  </c:pt>
                  <c:pt idx="8">
                    <c:v>Secundaria/ Bachillerato</c:v>
                  </c:pt>
                  <c:pt idx="9">
                    <c:v>Tecnicatura/Tecnología</c:v>
                  </c:pt>
                  <c:pt idx="10">
                    <c:v>Universitario</c:v>
                  </c:pt>
                  <c:pt idx="11">
                    <c:v>Post grado</c:v>
                  </c:pt>
                  <c:pt idx="12">
                    <c:v>Doctorado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grafos!$N$6:$N$18</c:f>
              <c:numCache>
                <c:formatCode>0.00%</c:formatCode>
                <c:ptCount val="13"/>
                <c:pt idx="0">
                  <c:v>1.6260162601626018E-2</c:v>
                </c:pt>
                <c:pt idx="1">
                  <c:v>3.0769230769230771E-2</c:v>
                </c:pt>
                <c:pt idx="2">
                  <c:v>6.4516129032258063E-2</c:v>
                </c:pt>
                <c:pt idx="3">
                  <c:v>1.7241379310344827E-2</c:v>
                </c:pt>
                <c:pt idx="4">
                  <c:v>1.4705882352941176E-2</c:v>
                </c:pt>
                <c:pt idx="5">
                  <c:v>2.2388059701492536E-2</c:v>
                </c:pt>
                <c:pt idx="6">
                  <c:v>0</c:v>
                </c:pt>
                <c:pt idx="7">
                  <c:v>4.878048780487805E-2</c:v>
                </c:pt>
                <c:pt idx="8">
                  <c:v>1.7241379310344827E-2</c:v>
                </c:pt>
                <c:pt idx="9">
                  <c:v>2.6315789473684209E-2</c:v>
                </c:pt>
                <c:pt idx="10">
                  <c:v>5.076142131979695E-3</c:v>
                </c:pt>
                <c:pt idx="11">
                  <c:v>0.10416666666666667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4AA-4CCD-8B60-47F78BF1B7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40120240"/>
        <c:axId val="1640123568"/>
      </c:barChart>
      <c:catAx>
        <c:axId val="164012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40123568"/>
        <c:crosses val="autoZero"/>
        <c:auto val="1"/>
        <c:lblAlgn val="ctr"/>
        <c:lblOffset val="100"/>
        <c:noMultiLvlLbl val="0"/>
      </c:catAx>
      <c:valAx>
        <c:axId val="164012356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401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52773895919068"/>
          <c:y val="4.1241094863142112E-2"/>
          <c:w val="0.84628751883370756"/>
          <c:h val="5.739836091917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6651908202196376"/>
          <c:y val="0.16708333333333336"/>
          <c:w val="0.59079068724656836"/>
          <c:h val="0.8001695100612423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grafos!$O$34</c:f>
              <c:strCache>
                <c:ptCount val="1"/>
                <c:pt idx="0">
                  <c:v>Muy Seguro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grafos!$N$35:$N$41</c:f>
              <c:strCache>
                <c:ptCount val="7"/>
                <c:pt idx="0">
                  <c:v>Presencia de habitantes de calle (mendigos)</c:v>
                </c:pt>
                <c:pt idx="1">
                  <c:v>Transitando por sitios con basura</c:v>
                </c:pt>
                <c:pt idx="2">
                  <c:v>Presencia de vendedores ambulantes</c:v>
                </c:pt>
                <c:pt idx="3">
                  <c:v>Caminando sola/o en la noche</c:v>
                </c:pt>
                <c:pt idx="4">
                  <c:v>Espectáculos públicos y/o actividades recreativas</c:v>
                </c:pt>
                <c:pt idx="5">
                  <c:v>Caminando sola/o en el día</c:v>
                </c:pt>
                <c:pt idx="6">
                  <c:v>Restaurantes/cafeterías/comedores</c:v>
                </c:pt>
              </c:strCache>
            </c:strRef>
          </c:cat>
          <c:val>
            <c:numRef>
              <c:f>grafos!$O$35:$O$41</c:f>
              <c:numCache>
                <c:formatCode>0.00%</c:formatCode>
                <c:ptCount val="7"/>
                <c:pt idx="0">
                  <c:v>5.9288537549407111E-3</c:v>
                </c:pt>
                <c:pt idx="1">
                  <c:v>7.9051383399209481E-3</c:v>
                </c:pt>
                <c:pt idx="2">
                  <c:v>1.383399209486166E-2</c:v>
                </c:pt>
                <c:pt idx="3">
                  <c:v>1.383399209486166E-2</c:v>
                </c:pt>
                <c:pt idx="4">
                  <c:v>1.9762845849802372E-2</c:v>
                </c:pt>
                <c:pt idx="5">
                  <c:v>2.766798418972332E-2</c:v>
                </c:pt>
                <c:pt idx="6">
                  <c:v>1.7786561264822136E-2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E-49FC-AB0F-8CCEDADE4079}"/>
            </c:ext>
          </c:extLst>
        </c:ser>
        <c:ser>
          <c:idx val="1"/>
          <c:order val="1"/>
          <c:tx>
            <c:strRef>
              <c:f>grafos!$P$34</c:f>
              <c:strCache>
                <c:ptCount val="1"/>
                <c:pt idx="0">
                  <c:v>Seguro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grafos!$N$35:$N$41</c:f>
              <c:strCache>
                <c:ptCount val="7"/>
                <c:pt idx="0">
                  <c:v>Presencia de habitantes de calle (mendigos)</c:v>
                </c:pt>
                <c:pt idx="1">
                  <c:v>Transitando por sitios con basura</c:v>
                </c:pt>
                <c:pt idx="2">
                  <c:v>Presencia de vendedores ambulantes</c:v>
                </c:pt>
                <c:pt idx="3">
                  <c:v>Caminando sola/o en la noche</c:v>
                </c:pt>
                <c:pt idx="4">
                  <c:v>Espectáculos públicos y/o actividades recreativas</c:v>
                </c:pt>
                <c:pt idx="5">
                  <c:v>Caminando sola/o en el día</c:v>
                </c:pt>
                <c:pt idx="6">
                  <c:v>Restaurantes/cafeterías/comedores</c:v>
                </c:pt>
              </c:strCache>
            </c:strRef>
          </c:cat>
          <c:val>
            <c:numRef>
              <c:f>grafos!$P$35:$P$41</c:f>
              <c:numCache>
                <c:formatCode>0.00%</c:formatCode>
                <c:ptCount val="7"/>
                <c:pt idx="0">
                  <c:v>0.23122529644268774</c:v>
                </c:pt>
                <c:pt idx="1">
                  <c:v>0.28063241106719367</c:v>
                </c:pt>
                <c:pt idx="2">
                  <c:v>0.49604743083003955</c:v>
                </c:pt>
                <c:pt idx="3">
                  <c:v>0.1324110671936759</c:v>
                </c:pt>
                <c:pt idx="4">
                  <c:v>0.37549407114624506</c:v>
                </c:pt>
                <c:pt idx="5">
                  <c:v>0.59881422924901184</c:v>
                </c:pt>
                <c:pt idx="6">
                  <c:v>0.61067193675889331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CE-49FC-AB0F-8CCEDADE4079}"/>
            </c:ext>
          </c:extLst>
        </c:ser>
        <c:ser>
          <c:idx val="2"/>
          <c:order val="2"/>
          <c:tx>
            <c:strRef>
              <c:f>grafos!$Q$34</c:f>
              <c:strCache>
                <c:ptCount val="1"/>
                <c:pt idx="0">
                  <c:v>Inseguro</c:v>
                </c:pt>
              </c:strCache>
            </c:strRef>
          </c:tx>
          <c:spPr>
            <a:solidFill>
              <a:srgbClr val="FFC107">
                <a:alpha val="6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grafos!$N$35:$N$41</c:f>
              <c:strCache>
                <c:ptCount val="7"/>
                <c:pt idx="0">
                  <c:v>Presencia de habitantes de calle (mendigos)</c:v>
                </c:pt>
                <c:pt idx="1">
                  <c:v>Transitando por sitios con basura</c:v>
                </c:pt>
                <c:pt idx="2">
                  <c:v>Presencia de vendedores ambulantes</c:v>
                </c:pt>
                <c:pt idx="3">
                  <c:v>Caminando sola/o en la noche</c:v>
                </c:pt>
                <c:pt idx="4">
                  <c:v>Espectáculos públicos y/o actividades recreativas</c:v>
                </c:pt>
                <c:pt idx="5">
                  <c:v>Caminando sola/o en el día</c:v>
                </c:pt>
                <c:pt idx="6">
                  <c:v>Restaurantes/cafeterías/comedores</c:v>
                </c:pt>
              </c:strCache>
            </c:strRef>
          </c:cat>
          <c:val>
            <c:numRef>
              <c:f>grafos!$Q$35:$Q$41</c:f>
              <c:numCache>
                <c:formatCode>0.00%</c:formatCode>
                <c:ptCount val="7"/>
                <c:pt idx="0">
                  <c:v>0.59881422924901184</c:v>
                </c:pt>
                <c:pt idx="1">
                  <c:v>0.59288537549407117</c:v>
                </c:pt>
                <c:pt idx="2">
                  <c:v>0.4268774703557312</c:v>
                </c:pt>
                <c:pt idx="3">
                  <c:v>0.37351778656126483</c:v>
                </c:pt>
                <c:pt idx="4">
                  <c:v>0.33992094861660077</c:v>
                </c:pt>
                <c:pt idx="5">
                  <c:v>0.31818181818181818</c:v>
                </c:pt>
                <c:pt idx="6">
                  <c:v>0.1857707509881423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CE-49FC-AB0F-8CCEDADE4079}"/>
            </c:ext>
          </c:extLst>
        </c:ser>
        <c:ser>
          <c:idx val="3"/>
          <c:order val="3"/>
          <c:tx>
            <c:strRef>
              <c:f>grafos!$R$34</c:f>
              <c:strCache>
                <c:ptCount val="1"/>
                <c:pt idx="0">
                  <c:v>Muy Inseguro</c:v>
                </c:pt>
              </c:strCache>
            </c:strRef>
          </c:tx>
          <c:spPr>
            <a:solidFill>
              <a:srgbClr val="E57373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7895074279574925E-2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B23-4D23-85B7-92DAEA2D46D5}"/>
                </c:ext>
              </c:extLst>
            </c:dLbl>
            <c:dLbl>
              <c:idx val="5"/>
              <c:layout>
                <c:manualLayout>
                  <c:x val="-3.0617832909513702E-2"/>
                  <c:y val="-2.11335257759940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B23-4D23-85B7-92DAEA2D46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grafos!$N$35:$N$41</c:f>
              <c:strCache>
                <c:ptCount val="7"/>
                <c:pt idx="0">
                  <c:v>Presencia de habitantes de calle (mendigos)</c:v>
                </c:pt>
                <c:pt idx="1">
                  <c:v>Transitando por sitios con basura</c:v>
                </c:pt>
                <c:pt idx="2">
                  <c:v>Presencia de vendedores ambulantes</c:v>
                </c:pt>
                <c:pt idx="3">
                  <c:v>Caminando sola/o en la noche</c:v>
                </c:pt>
                <c:pt idx="4">
                  <c:v>Espectáculos públicos y/o actividades recreativas</c:v>
                </c:pt>
                <c:pt idx="5">
                  <c:v>Caminando sola/o en el día</c:v>
                </c:pt>
                <c:pt idx="6">
                  <c:v>Restaurantes/cafeterías/comedores</c:v>
                </c:pt>
              </c:strCache>
            </c:strRef>
          </c:cat>
          <c:val>
            <c:numRef>
              <c:f>grafos!$R$35:$R$41</c:f>
              <c:numCache>
                <c:formatCode>0.00%</c:formatCode>
                <c:ptCount val="7"/>
                <c:pt idx="0">
                  <c:v>7.5098814229249009E-2</c:v>
                </c:pt>
                <c:pt idx="1">
                  <c:v>4.7430830039525688E-2</c:v>
                </c:pt>
                <c:pt idx="2">
                  <c:v>4.7430830039525688E-2</c:v>
                </c:pt>
                <c:pt idx="3">
                  <c:v>0.22924901185770752</c:v>
                </c:pt>
                <c:pt idx="4">
                  <c:v>3.9525691699604744E-2</c:v>
                </c:pt>
                <c:pt idx="5">
                  <c:v>2.9644268774703556E-2</c:v>
                </c:pt>
                <c:pt idx="6">
                  <c:v>3.952569169960474E-3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CE-49FC-AB0F-8CCEDADE4079}"/>
            </c:ext>
          </c:extLst>
        </c:ser>
        <c:ser>
          <c:idx val="4"/>
          <c:order val="4"/>
          <c:tx>
            <c:strRef>
              <c:f>grafos!$S$34</c:f>
              <c:strCache>
                <c:ptCount val="1"/>
                <c:pt idx="0">
                  <c:v>No Aplica</c:v>
                </c:pt>
              </c:strCache>
            </c:strRef>
          </c:tx>
          <c:spPr>
            <a:solidFill>
              <a:srgbClr val="A2D2E7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4.1403440277941982E-3"/>
                  <c:y val="3.3281142954323793E-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CB23-4D23-85B7-92DAEA2D46D5}"/>
                </c:ext>
              </c:extLst>
            </c:dLbl>
            <c:dLbl>
              <c:idx val="5"/>
              <c:layout>
                <c:manualLayout>
                  <c:x val="-1.187024041115844E-2"/>
                  <c:y val="-2.112853360455246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B23-4D23-85B7-92DAEA2D46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grafos!$N$35:$N$41</c:f>
              <c:strCache>
                <c:ptCount val="7"/>
                <c:pt idx="0">
                  <c:v>Presencia de habitantes de calle (mendigos)</c:v>
                </c:pt>
                <c:pt idx="1">
                  <c:v>Transitando por sitios con basura</c:v>
                </c:pt>
                <c:pt idx="2">
                  <c:v>Presencia de vendedores ambulantes</c:v>
                </c:pt>
                <c:pt idx="3">
                  <c:v>Caminando sola/o en la noche</c:v>
                </c:pt>
                <c:pt idx="4">
                  <c:v>Espectáculos públicos y/o actividades recreativas</c:v>
                </c:pt>
                <c:pt idx="5">
                  <c:v>Caminando sola/o en el día</c:v>
                </c:pt>
                <c:pt idx="6">
                  <c:v>Restaurantes/cafeterías/comedores</c:v>
                </c:pt>
              </c:strCache>
            </c:strRef>
          </c:cat>
          <c:val>
            <c:numRef>
              <c:f>grafos!$S$35:$S$41</c:f>
              <c:numCache>
                <c:formatCode>0.00%</c:formatCode>
                <c:ptCount val="7"/>
                <c:pt idx="0">
                  <c:v>7.5098814229249009E-2</c:v>
                </c:pt>
                <c:pt idx="1">
                  <c:v>5.731225296442688E-2</c:v>
                </c:pt>
                <c:pt idx="2">
                  <c:v>1.383399209486166E-2</c:v>
                </c:pt>
                <c:pt idx="3">
                  <c:v>0.24110671936758893</c:v>
                </c:pt>
                <c:pt idx="4">
                  <c:v>0.1857707509881423</c:v>
                </c:pt>
                <c:pt idx="5">
                  <c:v>2.5691699604743084E-2</c:v>
                </c:pt>
                <c:pt idx="6">
                  <c:v>0.14229249011857709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CE-49FC-AB0F-8CCEDADE4079}"/>
            </c:ext>
          </c:extLst>
        </c:ser>
        <c:ser>
          <c:idx val="5"/>
          <c:order val="5"/>
          <c:tx>
            <c:strRef>
              <c:f>grafos!$T$34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C8A-4E53-9D6D-99E3C03074B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C8A-4E53-9D6D-99E3C03074B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C8A-4E53-9D6D-99E3C03074B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C8A-4E53-9D6D-99E3C03074B4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C8A-4E53-9D6D-99E3C03074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grafos!$N$35:$N$41</c:f>
              <c:strCache>
                <c:ptCount val="7"/>
                <c:pt idx="0">
                  <c:v>Presencia de habitantes de calle (mendigos)</c:v>
                </c:pt>
                <c:pt idx="1">
                  <c:v>Transitando por sitios con basura</c:v>
                </c:pt>
                <c:pt idx="2">
                  <c:v>Presencia de vendedores ambulantes</c:v>
                </c:pt>
                <c:pt idx="3">
                  <c:v>Caminando sola/o en la noche</c:v>
                </c:pt>
                <c:pt idx="4">
                  <c:v>Espectáculos públicos y/o actividades recreativas</c:v>
                </c:pt>
                <c:pt idx="5">
                  <c:v>Caminando sola/o en el día</c:v>
                </c:pt>
                <c:pt idx="6">
                  <c:v>Restaurantes/cafeterías/comedores</c:v>
                </c:pt>
              </c:strCache>
            </c:strRef>
          </c:cat>
          <c:val>
            <c:numRef>
              <c:f>grafos!$T$35:$T$41</c:f>
              <c:numCache>
                <c:formatCode>0.00%</c:formatCode>
                <c:ptCount val="7"/>
                <c:pt idx="0">
                  <c:v>1.383399209486166E-2</c:v>
                </c:pt>
                <c:pt idx="1">
                  <c:v>1.383399209486166E-2</c:v>
                </c:pt>
                <c:pt idx="2">
                  <c:v>1.976284584980237E-3</c:v>
                </c:pt>
                <c:pt idx="3">
                  <c:v>9.881422924901186E-3</c:v>
                </c:pt>
                <c:pt idx="4">
                  <c:v>3.9525691699604744E-2</c:v>
                </c:pt>
                <c:pt idx="5">
                  <c:v>0</c:v>
                </c:pt>
                <c:pt idx="6">
                  <c:v>3.9525691699604744E-2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A-4E53-9D6D-99E3C03074B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103686064"/>
        <c:axId val="1103693136"/>
      </c:barChart>
      <c:catAx>
        <c:axId val="110368606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103693136"/>
        <c:crosses val="autoZero"/>
        <c:auto val="1"/>
        <c:lblAlgn val="ctr"/>
        <c:lblOffset val="100"/>
        <c:noMultiLvlLbl val="0"/>
      </c:catAx>
      <c:valAx>
        <c:axId val="1103693136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10368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473167287385657"/>
          <c:y val="7.0385818045816367E-2"/>
          <c:w val="0.45191217275713469"/>
          <c:h val="3.66821240667370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311089238845143"/>
          <c:y val="6.9992816876869604E-2"/>
          <c:w val="0.4789446631671041"/>
          <c:h val="0.8690009817195376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grafos!$M$98</c:f>
              <c:strCache>
                <c:ptCount val="1"/>
                <c:pt idx="0">
                  <c:v>Aumentó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7.557832294676905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56-4D3D-9FD7-9617B13687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0"/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grafos!$L$99:$L$101</c:f>
              <c:strCache>
                <c:ptCount val="3"/>
                <c:pt idx="0">
                  <c:v>Transita solo/a por el parque</c:v>
                </c:pt>
                <c:pt idx="1">
                  <c:v>Asiste a espectáculos públicos del parque</c:v>
                </c:pt>
                <c:pt idx="2">
                  <c:v> Visita restaurantes, cafeterías y comedores del parque</c:v>
                </c:pt>
              </c:strCache>
            </c:strRef>
          </c:cat>
          <c:val>
            <c:numRef>
              <c:f>grafos!$M$99:$M$101</c:f>
              <c:numCache>
                <c:formatCode>0.00%</c:formatCode>
                <c:ptCount val="3"/>
                <c:pt idx="0">
                  <c:v>0.1007905138339921</c:v>
                </c:pt>
                <c:pt idx="1">
                  <c:v>4.1501976284584984E-2</c:v>
                </c:pt>
                <c:pt idx="2">
                  <c:v>4.9407114624505928E-2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56-4D3D-9FD7-9617B1368721}"/>
            </c:ext>
          </c:extLst>
        </c:ser>
        <c:ser>
          <c:idx val="1"/>
          <c:order val="1"/>
          <c:tx>
            <c:strRef>
              <c:f>grafos!$N$98</c:f>
              <c:strCache>
                <c:ptCount val="1"/>
                <c:pt idx="0">
                  <c:v>Se mantuvo</c:v>
                </c:pt>
              </c:strCache>
            </c:strRef>
          </c:tx>
          <c:spPr>
            <a:solidFill>
              <a:srgbClr val="A2D2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grafos!$L$99:$L$101</c:f>
              <c:strCache>
                <c:ptCount val="3"/>
                <c:pt idx="0">
                  <c:v>Transita solo/a por el parque</c:v>
                </c:pt>
                <c:pt idx="1">
                  <c:v>Asiste a espectáculos públicos del parque</c:v>
                </c:pt>
                <c:pt idx="2">
                  <c:v> Visita restaurantes, cafeterías y comedores del parque</c:v>
                </c:pt>
              </c:strCache>
            </c:strRef>
          </c:cat>
          <c:val>
            <c:numRef>
              <c:f>grafos!$N$99:$N$101</c:f>
              <c:numCache>
                <c:formatCode>0.00%</c:formatCode>
                <c:ptCount val="3"/>
                <c:pt idx="0">
                  <c:v>0.69565217391304346</c:v>
                </c:pt>
                <c:pt idx="1">
                  <c:v>0.47035573122529645</c:v>
                </c:pt>
                <c:pt idx="2">
                  <c:v>0.49604743083003955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56-4D3D-9FD7-9617B1368721}"/>
            </c:ext>
          </c:extLst>
        </c:ser>
        <c:ser>
          <c:idx val="2"/>
          <c:order val="2"/>
          <c:tx>
            <c:strRef>
              <c:f>grafos!$O$98</c:f>
              <c:strCache>
                <c:ptCount val="1"/>
                <c:pt idx="0">
                  <c:v>Disminuyó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grafos!$L$99:$L$101</c:f>
              <c:strCache>
                <c:ptCount val="3"/>
                <c:pt idx="0">
                  <c:v>Transita solo/a por el parque</c:v>
                </c:pt>
                <c:pt idx="1">
                  <c:v>Asiste a espectáculos públicos del parque</c:v>
                </c:pt>
                <c:pt idx="2">
                  <c:v> Visita restaurantes, cafeterías y comedores del parque</c:v>
                </c:pt>
              </c:strCache>
            </c:strRef>
          </c:cat>
          <c:val>
            <c:numRef>
              <c:f>grafos!$O$99:$O$101</c:f>
              <c:numCache>
                <c:formatCode>0.00%</c:formatCode>
                <c:ptCount val="3"/>
                <c:pt idx="0">
                  <c:v>0.16996047430830039</c:v>
                </c:pt>
                <c:pt idx="1">
                  <c:v>0.24308300395256918</c:v>
                </c:pt>
                <c:pt idx="2">
                  <c:v>0.23517786561264822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56-4D3D-9FD7-9617B1368721}"/>
            </c:ext>
          </c:extLst>
        </c:ser>
        <c:ser>
          <c:idx val="3"/>
          <c:order val="3"/>
          <c:tx>
            <c:strRef>
              <c:f>grafos!$P$98</c:f>
              <c:strCache>
                <c:ptCount val="1"/>
                <c:pt idx="0">
                  <c:v>No aplica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grafos!$L$99:$L$101</c:f>
              <c:strCache>
                <c:ptCount val="3"/>
                <c:pt idx="0">
                  <c:v>Transita solo/a por el parque</c:v>
                </c:pt>
                <c:pt idx="1">
                  <c:v>Asiste a espectáculos públicos del parque</c:v>
                </c:pt>
                <c:pt idx="2">
                  <c:v> Visita restaurantes, cafeterías y comedores del parque</c:v>
                </c:pt>
              </c:strCache>
            </c:strRef>
          </c:cat>
          <c:val>
            <c:numRef>
              <c:f>grafos!$P$99:$P$101</c:f>
              <c:numCache>
                <c:formatCode>0.00%</c:formatCode>
                <c:ptCount val="3"/>
                <c:pt idx="0">
                  <c:v>3.3596837944664032E-2</c:v>
                </c:pt>
                <c:pt idx="1">
                  <c:v>0.24505928853754941</c:v>
                </c:pt>
                <c:pt idx="2">
                  <c:v>0.21936758893280633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56-4D3D-9FD7-9617B1368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68995600"/>
        <c:axId val="1669002672"/>
      </c:barChart>
      <c:catAx>
        <c:axId val="1668995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69002672"/>
        <c:crosses val="autoZero"/>
        <c:auto val="1"/>
        <c:lblAlgn val="ctr"/>
        <c:lblOffset val="100"/>
        <c:noMultiLvlLbl val="0"/>
      </c:catAx>
      <c:valAx>
        <c:axId val="166900267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689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3841197817041385E-2"/>
          <c:y val="2.0498767338448839E-2"/>
          <c:w val="0.91615880218295864"/>
          <c:h val="4.8596425075964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Montserrat Black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311089238845143"/>
          <c:y val="6.9992816876869604E-2"/>
          <c:w val="0.4789446631671041"/>
          <c:h val="0.86900098171953766"/>
        </c:manualLayout>
      </c:layout>
      <c:barChart>
        <c:barDir val="bar"/>
        <c:grouping val="clustered"/>
        <c:varyColors val="0"/>
        <c:ser>
          <c:idx val="2"/>
          <c:order val="0"/>
          <c:tx>
            <c:strRef>
              <c:f>grafos!$O$130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grafos!$N$131</c:f>
              <c:strCache>
                <c:ptCount val="1"/>
                <c:pt idx="0">
                  <c:v>Ha cambiado su horario de visita al parque</c:v>
                </c:pt>
              </c:strCache>
            </c:strRef>
          </c:cat>
          <c:val>
            <c:numRef>
              <c:f>grafos!$O$131</c:f>
              <c:numCache>
                <c:formatCode>0.00%</c:formatCode>
                <c:ptCount val="1"/>
                <c:pt idx="0">
                  <c:v>0.21936758893280633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40-4BA8-9252-B94BF52B0D2B}"/>
            </c:ext>
          </c:extLst>
        </c:ser>
        <c:ser>
          <c:idx val="3"/>
          <c:order val="1"/>
          <c:tx>
            <c:strRef>
              <c:f>grafos!$P$130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grafos!$N$131</c:f>
              <c:strCache>
                <c:ptCount val="1"/>
                <c:pt idx="0">
                  <c:v>Ha cambiado su horario de visita al parque</c:v>
                </c:pt>
              </c:strCache>
            </c:strRef>
          </c:cat>
          <c:val>
            <c:numRef>
              <c:f>grafos!$P$131</c:f>
              <c:numCache>
                <c:formatCode>0.00%</c:formatCode>
                <c:ptCount val="1"/>
                <c:pt idx="0">
                  <c:v>0.78063241106719372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40-4BA8-9252-B94BF52B0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668995600"/>
        <c:axId val="1669002672"/>
      </c:barChart>
      <c:catAx>
        <c:axId val="16689956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69002672"/>
        <c:crosses val="autoZero"/>
        <c:auto val="1"/>
        <c:lblAlgn val="ctr"/>
        <c:lblOffset val="100"/>
        <c:noMultiLvlLbl val="0"/>
      </c:catAx>
      <c:valAx>
        <c:axId val="1669002672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6689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871570368175123"/>
          <c:y val="2.0498767338448839E-2"/>
          <c:w val="0.49128427922369877"/>
          <c:h val="4.85964250759646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Montserrat Black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87208745734448"/>
          <c:y val="0.10637990036688501"/>
          <c:w val="0.74055695381622222"/>
          <c:h val="0.79691109929958315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grafos!$N$143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grafos!$L$144:$M$149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grafos!$N$144:$N$149</c:f>
              <c:numCache>
                <c:formatCode>0.00%</c:formatCode>
                <c:ptCount val="6"/>
                <c:pt idx="0">
                  <c:v>0.1951219512195122</c:v>
                </c:pt>
                <c:pt idx="1">
                  <c:v>0.24230769230769231</c:v>
                </c:pt>
                <c:pt idx="2">
                  <c:v>0.32258064516129031</c:v>
                </c:pt>
                <c:pt idx="3">
                  <c:v>0.2471264367816092</c:v>
                </c:pt>
                <c:pt idx="4">
                  <c:v>0.21323529411764705</c:v>
                </c:pt>
                <c:pt idx="5">
                  <c:v>0.1417910447761194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41-4719-BE4C-BE0942D870EA}"/>
            </c:ext>
          </c:extLst>
        </c:ser>
        <c:ser>
          <c:idx val="1"/>
          <c:order val="1"/>
          <c:tx>
            <c:strRef>
              <c:f>grafos!$O$143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grafos!$L$144:$M$149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grafos!$O$144:$O$149</c:f>
              <c:numCache>
                <c:formatCode>0.00%</c:formatCode>
                <c:ptCount val="6"/>
                <c:pt idx="0">
                  <c:v>0.80487804878048785</c:v>
                </c:pt>
                <c:pt idx="1">
                  <c:v>0.75769230769230766</c:v>
                </c:pt>
                <c:pt idx="2">
                  <c:v>0.67741935483870963</c:v>
                </c:pt>
                <c:pt idx="3">
                  <c:v>0.75287356321839083</c:v>
                </c:pt>
                <c:pt idx="4">
                  <c:v>0.78676470588235292</c:v>
                </c:pt>
                <c:pt idx="5">
                  <c:v>0.85820895522388063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41-4719-BE4C-BE0942D870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14184688"/>
        <c:axId val="1414185520"/>
      </c:barChart>
      <c:catAx>
        <c:axId val="141418468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414185520"/>
        <c:crosses val="autoZero"/>
        <c:auto val="1"/>
        <c:lblAlgn val="ctr"/>
        <c:lblOffset val="100"/>
        <c:noMultiLvlLbl val="0"/>
      </c:catAx>
      <c:valAx>
        <c:axId val="1414185520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41418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1BD-4071-824A-893DD61AD8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BD-4071-824A-893DD61AD806}"/>
              </c:ext>
            </c:extLst>
          </c:dPt>
          <c:cat>
            <c:strRef>
              <c:f>grafos!$K$170:$L$170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grafos!$K$171:$L$171</c:f>
              <c:numCache>
                <c:formatCode>0.00%</c:formatCode>
                <c:ptCount val="2"/>
                <c:pt idx="0">
                  <c:v>4.9407114624505928E-2</c:v>
                </c:pt>
                <c:pt idx="1">
                  <c:v>0.95059288537549402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BD-4071-824A-893DD61AD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grafos!$J$188</c:f>
              <c:strCache>
                <c:ptCount val="1"/>
                <c:pt idx="0">
                  <c:v>Sí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2679983865066543E-2"/>
                  <c:y val="2.2585323968774782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9BD9-4A6D-BC4B-87F8362F95CB}"/>
                </c:ext>
              </c:extLst>
            </c:dLbl>
            <c:dLbl>
              <c:idx val="1"/>
              <c:layout>
                <c:manualLayout>
                  <c:x val="2.8349979831332728E-3"/>
                  <c:y val="-2.868336143700452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BD9-4A6D-BC4B-87F8362F95CB}"/>
                </c:ext>
              </c:extLst>
            </c:dLbl>
            <c:dLbl>
              <c:idx val="4"/>
              <c:layout>
                <c:manualLayout>
                  <c:x val="1.7009987898799948E-2"/>
                  <c:y val="2.869013703419463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BD9-4A6D-BC4B-87F8362F95CB}"/>
                </c:ext>
              </c:extLst>
            </c:dLbl>
            <c:dLbl>
              <c:idx val="5"/>
              <c:layout>
                <c:manualLayout>
                  <c:x val="1.417498991566657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BD9-4A6D-BC4B-87F8362F95CB}"/>
                </c:ext>
              </c:extLst>
            </c:dLbl>
            <c:dLbl>
              <c:idx val="6"/>
              <c:layout>
                <c:manualLayout>
                  <c:x val="8.5049939493999221E-3"/>
                  <c:y val="-2.86833614370047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BD9-4A6D-BC4B-87F8362F95CB}"/>
                </c:ext>
              </c:extLst>
            </c:dLbl>
            <c:dLbl>
              <c:idx val="7"/>
              <c:layout>
                <c:manualLayout>
                  <c:x val="1.9844985881933272E-2"/>
                  <c:y val="2.2585323966145504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BD9-4A6D-BC4B-87F8362F95CB}"/>
                </c:ext>
              </c:extLst>
            </c:dLbl>
            <c:dLbl>
              <c:idx val="8"/>
              <c:layout>
                <c:manualLayout>
                  <c:x val="2.8349979831332728E-3"/>
                  <c:y val="1.0517111032337651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9BD9-4A6D-BC4B-87F8362F95CB}"/>
                </c:ext>
              </c:extLst>
            </c:dLbl>
            <c:dLbl>
              <c:idx val="9"/>
              <c:layout>
                <c:manualLayout>
                  <c:x val="3.685497378073322E-2"/>
                  <c:y val="-2.833843731719342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9BD9-4A6D-BC4B-87F8362F95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grafos!$H$189:$I$199</c:f>
              <c:multiLvlStrCache>
                <c:ptCount val="11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  <c:pt idx="6">
                    <c:v>Primaria</c:v>
                  </c:pt>
                  <c:pt idx="7">
                    <c:v>Secundaria/ Bachillerato</c:v>
                  </c:pt>
                  <c:pt idx="8">
                    <c:v>Tecnicatura/Tecnología</c:v>
                  </c:pt>
                  <c:pt idx="9">
                    <c:v>Universitario</c:v>
                  </c:pt>
                  <c:pt idx="10">
                    <c:v>Post grado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grafos!$J$189:$J$199</c:f>
              <c:numCache>
                <c:formatCode>0.00%</c:formatCode>
                <c:ptCount val="11"/>
                <c:pt idx="0">
                  <c:v>4.4715447154471545E-2</c:v>
                </c:pt>
                <c:pt idx="1">
                  <c:v>5.3846153846153849E-2</c:v>
                </c:pt>
                <c:pt idx="2">
                  <c:v>0.11290322580645161</c:v>
                </c:pt>
                <c:pt idx="3">
                  <c:v>6.8965517241379309E-2</c:v>
                </c:pt>
                <c:pt idx="4">
                  <c:v>4.4117647058823532E-2</c:v>
                </c:pt>
                <c:pt idx="5">
                  <c:v>0</c:v>
                </c:pt>
                <c:pt idx="6">
                  <c:v>4.878048780487805E-2</c:v>
                </c:pt>
                <c:pt idx="7">
                  <c:v>2.8735632183908046E-2</c:v>
                </c:pt>
                <c:pt idx="8">
                  <c:v>2.6315789473684209E-2</c:v>
                </c:pt>
                <c:pt idx="9">
                  <c:v>6.0913705583756347E-2</c:v>
                </c:pt>
                <c:pt idx="10">
                  <c:v>0.10416666666666667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BD9-4A6D-BC4B-87F8362F95CB}"/>
            </c:ext>
          </c:extLst>
        </c:ser>
        <c:ser>
          <c:idx val="1"/>
          <c:order val="1"/>
          <c:tx>
            <c:strRef>
              <c:f>grafos!$K$188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grafos!$H$189:$I$199</c:f>
              <c:multiLvlStrCache>
                <c:ptCount val="11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  <c:pt idx="6">
                    <c:v>Primaria</c:v>
                  </c:pt>
                  <c:pt idx="7">
                    <c:v>Secundaria/ Bachillerato</c:v>
                  </c:pt>
                  <c:pt idx="8">
                    <c:v>Tecnicatura/Tecnología</c:v>
                  </c:pt>
                  <c:pt idx="9">
                    <c:v>Universitario</c:v>
                  </c:pt>
                  <c:pt idx="10">
                    <c:v>Post grado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  <c:pt idx="6">
                    <c:v>Nivel de estudios aprobados</c:v>
                  </c:pt>
                </c:lvl>
              </c:multiLvlStrCache>
            </c:multiLvlStrRef>
          </c:cat>
          <c:val>
            <c:numRef>
              <c:f>grafos!$K$189:$K$199</c:f>
              <c:numCache>
                <c:formatCode>0.00%</c:formatCode>
                <c:ptCount val="11"/>
                <c:pt idx="0">
                  <c:v>0.95528455284552849</c:v>
                </c:pt>
                <c:pt idx="1">
                  <c:v>0.94615384615384612</c:v>
                </c:pt>
                <c:pt idx="2">
                  <c:v>0.88709677419354838</c:v>
                </c:pt>
                <c:pt idx="3">
                  <c:v>0.93103448275862066</c:v>
                </c:pt>
                <c:pt idx="4">
                  <c:v>0.95588235294117652</c:v>
                </c:pt>
                <c:pt idx="5">
                  <c:v>1</c:v>
                </c:pt>
                <c:pt idx="6">
                  <c:v>0.95121951219512191</c:v>
                </c:pt>
                <c:pt idx="7">
                  <c:v>0.97126436781609193</c:v>
                </c:pt>
                <c:pt idx="8">
                  <c:v>0.97368421052631582</c:v>
                </c:pt>
                <c:pt idx="9">
                  <c:v>0.93908629441624369</c:v>
                </c:pt>
                <c:pt idx="10">
                  <c:v>0.89583333333333337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BD9-4A6D-BC4B-87F8362F9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669014320"/>
        <c:axId val="1669003088"/>
      </c:barChart>
      <c:catAx>
        <c:axId val="16690143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69003088"/>
        <c:crosses val="autoZero"/>
        <c:auto val="1"/>
        <c:lblAlgn val="ctr"/>
        <c:lblOffset val="100"/>
        <c:noMultiLvlLbl val="0"/>
      </c:catAx>
      <c:valAx>
        <c:axId val="1669003088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669014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5571723533431568"/>
          <c:y val="3.6494672352555775E-2"/>
          <c:w val="0.42038896798906222"/>
          <c:h val="0.927010655294888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grafos!$S$205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grafos!$R$206:$R$214</c:f>
              <c:strCache>
                <c:ptCount val="9"/>
                <c:pt idx="0">
                  <c:v>Robo  (con violencia)</c:v>
                </c:pt>
                <c:pt idx="1">
                  <c:v>Agresión verbal</c:v>
                </c:pt>
                <c:pt idx="2">
                  <c:v>Agresión verbal</c:v>
                </c:pt>
                <c:pt idx="3">
                  <c:v>Otros</c:v>
                </c:pt>
                <c:pt idx="4">
                  <c:v>Hurto (sin violencia)</c:v>
                </c:pt>
                <c:pt idx="5">
                  <c:v>Agresión verbal</c:v>
                </c:pt>
                <c:pt idx="6">
                  <c:v>Agresión física</c:v>
                </c:pt>
                <c:pt idx="7">
                  <c:v>Robo de vehículo</c:v>
                </c:pt>
                <c:pt idx="8">
                  <c:v>Robo accesorios de vehículo</c:v>
                </c:pt>
              </c:strCache>
            </c:strRef>
          </c:cat>
          <c:val>
            <c:numRef>
              <c:f>grafos!$S$206:$S$214</c:f>
              <c:numCache>
                <c:formatCode>0.00%</c:formatCode>
                <c:ptCount val="9"/>
                <c:pt idx="0">
                  <c:v>0.27906976744186046</c:v>
                </c:pt>
                <c:pt idx="1">
                  <c:v>0.13953488372093023</c:v>
                </c:pt>
                <c:pt idx="2">
                  <c:v>0.13953488372093023</c:v>
                </c:pt>
                <c:pt idx="3">
                  <c:v>0.11627906976744186</c:v>
                </c:pt>
                <c:pt idx="4">
                  <c:v>0.11627906976744186</c:v>
                </c:pt>
                <c:pt idx="5">
                  <c:v>9.3023255813953487E-2</c:v>
                </c:pt>
                <c:pt idx="6">
                  <c:v>6.9767441860465115E-2</c:v>
                </c:pt>
                <c:pt idx="7">
                  <c:v>2.3255813953488372E-2</c:v>
                </c:pt>
                <c:pt idx="8">
                  <c:v>2.3255813953488372E-2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02-44EE-8802-99A5DAF1C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8600176"/>
        <c:axId val="1118601424"/>
      </c:barChart>
      <c:catAx>
        <c:axId val="1118600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118601424"/>
        <c:crosses val="autoZero"/>
        <c:auto val="1"/>
        <c:lblAlgn val="ctr"/>
        <c:lblOffset val="100"/>
        <c:noMultiLvlLbl val="0"/>
      </c:catAx>
      <c:valAx>
        <c:axId val="1118601424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11860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grafos!$S$205</c:f>
              <c:strCache>
                <c:ptCount val="1"/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CECE-4684-811C-1835AF25E69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CECE-4684-811C-1835AF25E693}"/>
                </c:ext>
              </c:extLst>
            </c:dLbl>
            <c:dLbl>
              <c:idx val="2"/>
              <c:layout>
                <c:manualLayout>
                  <c:x val="1.3188280793522664E-2"/>
                  <c:y val="-4.558206153111561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ECE-4684-811C-1835AF25E693}"/>
                </c:ext>
              </c:extLst>
            </c:dLbl>
            <c:dLbl>
              <c:idx val="3"/>
              <c:layout>
                <c:manualLayout>
                  <c:x val="1.824749821466663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ECE-4684-811C-1835AF25E693}"/>
                </c:ext>
              </c:extLst>
            </c:dLbl>
            <c:dLbl>
              <c:idx val="4"/>
              <c:layout>
                <c:manualLayout>
                  <c:x val="7.714031329122675E-3"/>
                  <c:y val="4.558924093913919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ECE-4684-811C-1835AF25E69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EC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CECE-4684-811C-1835AF25E6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grafos!$H$383:$H$387</c:f>
              <c:strCache>
                <c:ptCount val="5"/>
                <c:pt idx="0">
                  <c:v>Blanca</c:v>
                </c:pt>
                <c:pt idx="1">
                  <c:v>De fuego</c:v>
                </c:pt>
                <c:pt idx="2">
                  <c:v>Contundente</c:v>
                </c:pt>
                <c:pt idx="3">
                  <c:v>Constrictora</c:v>
                </c:pt>
                <c:pt idx="4">
                  <c:v>Otras</c:v>
                </c:pt>
              </c:strCache>
            </c:strRef>
          </c:cat>
          <c:val>
            <c:numRef>
              <c:f>grafos!$I$383:$I$387</c:f>
              <c:numCache>
                <c:formatCode>0.00%</c:formatCode>
                <c:ptCount val="5"/>
                <c:pt idx="0">
                  <c:v>0.625</c:v>
                </c:pt>
                <c:pt idx="1">
                  <c:v>0.27500000000000002</c:v>
                </c:pt>
                <c:pt idx="2">
                  <c:v>0.05</c:v>
                </c:pt>
                <c:pt idx="3">
                  <c:v>2.5000000000000001E-2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CE-4684-811C-1835AF25E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118600176"/>
        <c:axId val="1118601424"/>
      </c:barChart>
      <c:catAx>
        <c:axId val="11186001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118601424"/>
        <c:crosses val="autoZero"/>
        <c:auto val="1"/>
        <c:lblAlgn val="ctr"/>
        <c:lblOffset val="100"/>
        <c:noMultiLvlLbl val="0"/>
      </c:catAx>
      <c:valAx>
        <c:axId val="1118601424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118600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705-4657-AFDC-A64A5E6E7FD3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705-4657-AFDC-A64A5E6E7FD3}"/>
              </c:ext>
            </c:extLst>
          </c:dPt>
          <c:cat>
            <c:strRef>
              <c:f>grafos!$H$391:$I$391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grafos!$H$392:$I$392</c:f>
              <c:numCache>
                <c:formatCode>0.00%</c:formatCode>
                <c:ptCount val="2"/>
                <c:pt idx="0">
                  <c:v>6.9169960474308304E-2</c:v>
                </c:pt>
                <c:pt idx="1">
                  <c:v>0.93083003952569165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5-4657-AFDC-A64A5E6E7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1" i="0" u="none" strike="noStrike" kern="1200" baseline="0">
                    <a:solidFill>
                      <a:schemeClr val="tx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grafos!$H$416:$I$416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grafos!$H$417:$I$417</c:f>
              <c:numCache>
                <c:formatCode>0.00%</c:formatCode>
                <c:ptCount val="2"/>
                <c:pt idx="0">
                  <c:v>0.5714285714285714</c:v>
                </c:pt>
                <c:pt idx="1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4-4896-943F-F57BAD410F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26450975"/>
        <c:axId val="2026448095"/>
      </c:barChart>
      <c:catAx>
        <c:axId val="20264509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2026448095"/>
        <c:crosses val="autoZero"/>
        <c:auto val="1"/>
        <c:lblAlgn val="ctr"/>
        <c:lblOffset val="100"/>
        <c:noMultiLvlLbl val="0"/>
      </c:catAx>
      <c:valAx>
        <c:axId val="2026448095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2026450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A5C-4BDE-BB48-A3F4B66498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5F6-4D03-938C-F3A2C6A2F3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5F6-4D03-938C-F3A2C6A2F3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A5C-4BDE-BB48-A3F4B66498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A5C-4BDE-BB48-A3F4B66498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5F6-4D03-938C-F3A2C6A2F391}"/>
              </c:ext>
            </c:extLst>
          </c:dPt>
          <c:dLbls>
            <c:dLbl>
              <c:idx val="1"/>
              <c:layout>
                <c:manualLayout>
                  <c:x val="9.2712268205640807E-3"/>
                  <c:y val="-1.2144236792604967E-1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D5F6-4D03-938C-F3A2C6A2F391}"/>
                </c:ext>
              </c:extLst>
            </c:dLbl>
            <c:dLbl>
              <c:idx val="2"/>
              <c:layout>
                <c:manualLayout>
                  <c:x val="-2.3178067051410414E-3"/>
                  <c:y val="4.30573369337021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D5F6-4D03-938C-F3A2C6A2F391}"/>
                </c:ext>
              </c:extLst>
            </c:dLbl>
            <c:dLbl>
              <c:idx val="5"/>
              <c:layout>
                <c:manualLayout>
                  <c:x val="-4.6356134102821678E-3"/>
                  <c:y val="-4.305733693370214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D5F6-4D03-938C-F3A2C6A2F391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grafos!$L$434:$L$439</c:f>
              <c:strCache>
                <c:ptCount val="6"/>
                <c:pt idx="0">
                  <c:v>Deporte / ejercicio</c:v>
                </c:pt>
                <c:pt idx="1">
                  <c:v>Culturales y sociales</c:v>
                </c:pt>
                <c:pt idx="2">
                  <c:v>Compras</c:v>
                </c:pt>
                <c:pt idx="3">
                  <c:v>De paso</c:v>
                </c:pt>
                <c:pt idx="4">
                  <c:v>Recreación/Ocio</c:v>
                </c:pt>
                <c:pt idx="5">
                  <c:v>Otra</c:v>
                </c:pt>
              </c:strCache>
            </c:strRef>
          </c:cat>
          <c:val>
            <c:numRef>
              <c:f>grafos!$M$434:$M$439</c:f>
              <c:numCache>
                <c:formatCode>General</c:formatCode>
                <c:ptCount val="6"/>
                <c:pt idx="0">
                  <c:v>256</c:v>
                </c:pt>
                <c:pt idx="1">
                  <c:v>23</c:v>
                </c:pt>
                <c:pt idx="2">
                  <c:v>19</c:v>
                </c:pt>
                <c:pt idx="3">
                  <c:v>119</c:v>
                </c:pt>
                <c:pt idx="4">
                  <c:v>151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6-4D03-938C-F3A2C6A2F39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844709834006064E-2"/>
          <c:y val="4.8204960452609039E-2"/>
          <c:w val="0.93966979535965356"/>
          <c:h val="0.94631616795063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grafos!$L$443</c:f>
              <c:strCache>
                <c:ptCount val="1"/>
                <c:pt idx="0">
                  <c:v>Madrugada (00:00 a 05:59)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grafos!$M$443</c:f>
              <c:numCache>
                <c:formatCode>0.00%</c:formatCode>
                <c:ptCount val="1"/>
                <c:pt idx="0">
                  <c:v>4.0707964601769911E-2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7-4C40-BDDF-ED11A1FD15F0}"/>
            </c:ext>
          </c:extLst>
        </c:ser>
        <c:ser>
          <c:idx val="1"/>
          <c:order val="1"/>
          <c:tx>
            <c:strRef>
              <c:f>grafos!$L$444</c:f>
              <c:strCache>
                <c:ptCount val="1"/>
                <c:pt idx="0">
                  <c:v>Mañana  (06:00 a 11:59)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grafos!$M$444</c:f>
              <c:numCache>
                <c:formatCode>0.00%</c:formatCode>
                <c:ptCount val="1"/>
                <c:pt idx="0">
                  <c:v>0.67079646017699113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27-4C40-BDDF-ED11A1FD15F0}"/>
            </c:ext>
          </c:extLst>
        </c:ser>
        <c:ser>
          <c:idx val="2"/>
          <c:order val="2"/>
          <c:tx>
            <c:strRef>
              <c:f>grafos!$L$445</c:f>
              <c:strCache>
                <c:ptCount val="1"/>
                <c:pt idx="0">
                  <c:v>Tarde (12:00 a 17:59)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grafos!$M$445</c:f>
              <c:numCache>
                <c:formatCode>0.00%</c:formatCode>
                <c:ptCount val="1"/>
                <c:pt idx="0">
                  <c:v>0.26371681415929205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27-4C40-BDDF-ED11A1FD15F0}"/>
            </c:ext>
          </c:extLst>
        </c:ser>
        <c:ser>
          <c:idx val="3"/>
          <c:order val="3"/>
          <c:tx>
            <c:strRef>
              <c:f>grafos!$L$446</c:f>
              <c:strCache>
                <c:ptCount val="1"/>
                <c:pt idx="0">
                  <c:v>Noche  (18:00 a 23:59)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grafos!$M$446</c:f>
              <c:numCache>
                <c:formatCode>0.00%</c:formatCode>
                <c:ptCount val="1"/>
                <c:pt idx="0">
                  <c:v>2.4778761061946902E-2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27-4C40-BDDF-ED11A1FD15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62"/>
        <c:overlap val="100"/>
        <c:axId val="1682674496"/>
        <c:axId val="1682678336"/>
      </c:barChart>
      <c:catAx>
        <c:axId val="16826744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82678336"/>
        <c:crosses val="autoZero"/>
        <c:auto val="1"/>
        <c:lblAlgn val="ctr"/>
        <c:lblOffset val="100"/>
        <c:noMultiLvlLbl val="0"/>
      </c:catAx>
      <c:valAx>
        <c:axId val="168267833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68267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grafos!$L$459</c:f>
              <c:strCache>
                <c:ptCount val="1"/>
                <c:pt idx="0">
                  <c:v>Áreas verdes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grafos!$M$459</c:f>
              <c:numCache>
                <c:formatCode>0.00%</c:formatCode>
                <c:ptCount val="1"/>
                <c:pt idx="0">
                  <c:v>0.28700906344410876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1-4828-A0AB-A1D558A28764}"/>
            </c:ext>
          </c:extLst>
        </c:ser>
        <c:ser>
          <c:idx val="1"/>
          <c:order val="1"/>
          <c:tx>
            <c:strRef>
              <c:f>grafos!$L$460</c:f>
              <c:strCache>
                <c:ptCount val="1"/>
                <c:pt idx="0">
                  <c:v>Pistas para correr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grafos!$M$460</c:f>
              <c:numCache>
                <c:formatCode>0.00%</c:formatCode>
                <c:ptCount val="1"/>
                <c:pt idx="0">
                  <c:v>0.18429003021148035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E1-4828-A0AB-A1D558A28764}"/>
            </c:ext>
          </c:extLst>
        </c:ser>
        <c:ser>
          <c:idx val="2"/>
          <c:order val="2"/>
          <c:tx>
            <c:strRef>
              <c:f>grafos!$L$461</c:f>
              <c:strCache>
                <c:ptCount val="1"/>
                <c:pt idx="0">
                  <c:v>Caminos de ciclismo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grafos!$M$461</c:f>
              <c:numCache>
                <c:formatCode>0.00%</c:formatCode>
                <c:ptCount val="1"/>
                <c:pt idx="0">
                  <c:v>0.1646525679758308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E1-4828-A0AB-A1D558A28764}"/>
            </c:ext>
          </c:extLst>
        </c:ser>
        <c:ser>
          <c:idx val="3"/>
          <c:order val="3"/>
          <c:tx>
            <c:strRef>
              <c:f>grafos!$L$462</c:f>
              <c:strCache>
                <c:ptCount val="1"/>
                <c:pt idx="0">
                  <c:v>Canchas de fútbol y basquet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grafos!$M$462</c:f>
              <c:numCache>
                <c:formatCode>0.00%</c:formatCode>
                <c:ptCount val="1"/>
                <c:pt idx="0">
                  <c:v>0.15861027190332327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E1-4828-A0AB-A1D558A28764}"/>
            </c:ext>
          </c:extLst>
        </c:ser>
        <c:ser>
          <c:idx val="4"/>
          <c:order val="4"/>
          <c:tx>
            <c:strRef>
              <c:f>grafos!$L$463</c:f>
              <c:strCache>
                <c:ptCount val="1"/>
                <c:pt idx="0">
                  <c:v>Otro.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grafos!$M$463</c:f>
              <c:numCache>
                <c:formatCode>0.00%</c:formatCode>
                <c:ptCount val="1"/>
                <c:pt idx="0">
                  <c:v>0.10876132930513595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E1-4828-A0AB-A1D558A28764}"/>
            </c:ext>
          </c:extLst>
        </c:ser>
        <c:ser>
          <c:idx val="5"/>
          <c:order val="5"/>
          <c:tx>
            <c:strRef>
              <c:f>grafos!$L$464</c:f>
              <c:strCache>
                <c:ptCount val="1"/>
                <c:pt idx="0">
                  <c:v>Área para perros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grafos!$M$464</c:f>
              <c:numCache>
                <c:formatCode>0.00%</c:formatCode>
                <c:ptCount val="1"/>
                <c:pt idx="0">
                  <c:v>7.4018126888217517E-2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E1-4828-A0AB-A1D558A28764}"/>
            </c:ext>
          </c:extLst>
        </c:ser>
        <c:ser>
          <c:idx val="6"/>
          <c:order val="6"/>
          <c:tx>
            <c:strRef>
              <c:f>grafos!$L$465</c:f>
              <c:strCache>
                <c:ptCount val="1"/>
                <c:pt idx="0">
                  <c:v>Rampas para patineta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grafos!$M$465</c:f>
              <c:numCache>
                <c:formatCode>0.00%</c:formatCode>
                <c:ptCount val="1"/>
                <c:pt idx="0">
                  <c:v>2.2658610271903322E-2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E1-4828-A0AB-A1D558A2876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3670640"/>
        <c:axId val="1393672560"/>
      </c:barChart>
      <c:catAx>
        <c:axId val="139367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393672560"/>
        <c:crosses val="autoZero"/>
        <c:auto val="1"/>
        <c:lblAlgn val="ctr"/>
        <c:lblOffset val="100"/>
        <c:noMultiLvlLbl val="0"/>
      </c:catAx>
      <c:valAx>
        <c:axId val="139367256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3936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grafos!$L$483:$L$486</c:f>
              <c:strCache>
                <c:ptCount val="4"/>
                <c:pt idx="0">
                  <c:v>de 1 a 2 horas</c:v>
                </c:pt>
                <c:pt idx="1">
                  <c:v>de 2 hora a 3 horas</c:v>
                </c:pt>
                <c:pt idx="2">
                  <c:v>menos a 1 hora</c:v>
                </c:pt>
                <c:pt idx="3">
                  <c:v>más de 4 horas</c:v>
                </c:pt>
              </c:strCache>
            </c:strRef>
          </c:cat>
          <c:val>
            <c:numRef>
              <c:f>grafos!$M$483:$M$486</c:f>
              <c:numCache>
                <c:formatCode>0.00%</c:formatCode>
                <c:ptCount val="4"/>
                <c:pt idx="0">
                  <c:v>0.44071146245059289</c:v>
                </c:pt>
                <c:pt idx="1">
                  <c:v>0.24505928853754941</c:v>
                </c:pt>
                <c:pt idx="2">
                  <c:v>0.21541501976284586</c:v>
                </c:pt>
                <c:pt idx="3">
                  <c:v>9.8814229249011856E-2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C-4FD6-9A38-F7B1F437AA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84257296"/>
        <c:axId val="1384264976"/>
      </c:barChart>
      <c:catAx>
        <c:axId val="13842572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384264976"/>
        <c:crosses val="autoZero"/>
        <c:auto val="1"/>
        <c:lblAlgn val="ctr"/>
        <c:lblOffset val="100"/>
        <c:noMultiLvlLbl val="0"/>
      </c:catAx>
      <c:valAx>
        <c:axId val="138426497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38425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ofPieChart>
        <c:ofPieType val="pie"/>
        <c:varyColors val="1"/>
        <c:ser>
          <c:idx val="0"/>
          <c:order val="0"/>
          <c:spPr>
            <a:solidFill>
              <a:srgbClr val="92D050"/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FA2-430C-AEEE-4CB02246986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FA2-430C-AEEE-4CB02246986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FA2-430C-AEEE-4CB022469868}"/>
              </c:ext>
            </c:extLst>
          </c:dPt>
          <c:dPt>
            <c:idx val="3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DC3-443A-AD23-8E1D8C8376B4}"/>
              </c:ext>
            </c:extLst>
          </c:dPt>
          <c:dPt>
            <c:idx val="4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FA2-430C-AEEE-4CB022469868}"/>
              </c:ext>
            </c:extLst>
          </c:dPt>
          <c:dLbls>
            <c:dLbl>
              <c:idx val="3"/>
              <c:layout>
                <c:manualLayout>
                  <c:x val="-2.2162620297462816E-2"/>
                  <c:y val="-2.907553222513852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4DC3-443A-AD23-8E1D8C8376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grafos!$L$504:$L$507</c:f>
              <c:strCache>
                <c:ptCount val="4"/>
                <c:pt idx="0">
                  <c:v>Sí</c:v>
                </c:pt>
                <c:pt idx="1">
                  <c:v>No</c:v>
                </c:pt>
                <c:pt idx="2">
                  <c:v>Sí</c:v>
                </c:pt>
                <c:pt idx="3">
                  <c:v>No</c:v>
                </c:pt>
              </c:strCache>
            </c:strRef>
          </c:cat>
          <c:val>
            <c:numRef>
              <c:f>grafos!$M$504:$M$507</c:f>
              <c:numCache>
                <c:formatCode>0.00%</c:formatCode>
                <c:ptCount val="4"/>
                <c:pt idx="0">
                  <c:v>0.67786561264822132</c:v>
                </c:pt>
                <c:pt idx="1">
                  <c:v>0.32213438735177868</c:v>
                </c:pt>
                <c:pt idx="2">
                  <c:v>0.81924198250728864</c:v>
                </c:pt>
                <c:pt idx="3">
                  <c:v>0.18075801749271136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3-443A-AD23-8E1D8C8376B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6358355205599298"/>
          <c:y val="0.89872630504520268"/>
          <c:w val="0.3617217847769028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73-4DC0-9723-23549B8947A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73-4DC0-9723-23549B8947A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grafos!$L$504:$L$505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grafos!$M$504:$M$505</c:f>
              <c:numCache>
                <c:formatCode>0.00%</c:formatCode>
                <c:ptCount val="2"/>
                <c:pt idx="0">
                  <c:v>0.67786561264822132</c:v>
                </c:pt>
                <c:pt idx="1">
                  <c:v>0.32213438735177868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0-4584-B412-50D5642A1DE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32814181581034"/>
          <c:y val="0.19900662064027155"/>
          <c:w val="0.71058950964462775"/>
          <c:h val="0.7572004473502014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grafos!$AF$99</c:f>
              <c:strCache>
                <c:ptCount val="1"/>
                <c:pt idx="0">
                  <c:v>Aumentó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grafos!$AD$100:$AE$105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grafos!$AF$100:$AF$105</c:f>
              <c:numCache>
                <c:formatCode>0.00%</c:formatCode>
                <c:ptCount val="6"/>
                <c:pt idx="0">
                  <c:v>0.10569105691056911</c:v>
                </c:pt>
                <c:pt idx="1">
                  <c:v>9.6153846153846159E-2</c:v>
                </c:pt>
                <c:pt idx="2">
                  <c:v>6.4516129032258063E-2</c:v>
                </c:pt>
                <c:pt idx="3">
                  <c:v>0.10919540229885058</c:v>
                </c:pt>
                <c:pt idx="4">
                  <c:v>6.6176470588235295E-2</c:v>
                </c:pt>
                <c:pt idx="5">
                  <c:v>0.1417910447761194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1-4B6D-A061-3C6CD465F5F7}"/>
            </c:ext>
          </c:extLst>
        </c:ser>
        <c:ser>
          <c:idx val="1"/>
          <c:order val="1"/>
          <c:tx>
            <c:strRef>
              <c:f>grafos!$AG$99</c:f>
              <c:strCache>
                <c:ptCount val="1"/>
                <c:pt idx="0">
                  <c:v>Se mantuvo</c:v>
                </c:pt>
              </c:strCache>
            </c:strRef>
          </c:tx>
          <c:spPr>
            <a:solidFill>
              <a:srgbClr val="A2D2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grafos!$AD$100:$AE$105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grafos!$AG$100:$AG$105</c:f>
              <c:numCache>
                <c:formatCode>0.00%</c:formatCode>
                <c:ptCount val="6"/>
                <c:pt idx="0">
                  <c:v>0.71951219512195119</c:v>
                </c:pt>
                <c:pt idx="1">
                  <c:v>0.67307692307692313</c:v>
                </c:pt>
                <c:pt idx="2">
                  <c:v>0.75806451612903225</c:v>
                </c:pt>
                <c:pt idx="3">
                  <c:v>0.7068965517241379</c:v>
                </c:pt>
                <c:pt idx="4">
                  <c:v>0.69117647058823528</c:v>
                </c:pt>
                <c:pt idx="5">
                  <c:v>0.65671641791044777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1-4B6D-A061-3C6CD465F5F7}"/>
            </c:ext>
          </c:extLst>
        </c:ser>
        <c:ser>
          <c:idx val="2"/>
          <c:order val="2"/>
          <c:tx>
            <c:strRef>
              <c:f>grafos!$AH$99</c:f>
              <c:strCache>
                <c:ptCount val="1"/>
                <c:pt idx="0">
                  <c:v>Disminuyó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grafos!$AD$100:$AE$105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grafos!$AH$100:$AH$105</c:f>
              <c:numCache>
                <c:formatCode>0.00%</c:formatCode>
                <c:ptCount val="6"/>
                <c:pt idx="0">
                  <c:v>0.14634146341463414</c:v>
                </c:pt>
                <c:pt idx="1">
                  <c:v>0.19230769230769232</c:v>
                </c:pt>
                <c:pt idx="2">
                  <c:v>0.16129032258064516</c:v>
                </c:pt>
                <c:pt idx="3">
                  <c:v>0.17241379310344829</c:v>
                </c:pt>
                <c:pt idx="4">
                  <c:v>0.19117647058823528</c:v>
                </c:pt>
                <c:pt idx="5">
                  <c:v>0.14925373134328357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31-4B6D-A061-3C6CD465F5F7}"/>
            </c:ext>
          </c:extLst>
        </c:ser>
        <c:ser>
          <c:idx val="3"/>
          <c:order val="3"/>
          <c:tx>
            <c:strRef>
              <c:f>grafos!$AI$99</c:f>
              <c:strCache>
                <c:ptCount val="1"/>
                <c:pt idx="0">
                  <c:v>No aplica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grafos!$AD$100:$AE$105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grafos!$AI$100:$AI$105</c:f>
              <c:numCache>
                <c:formatCode>0.00%</c:formatCode>
                <c:ptCount val="6"/>
                <c:pt idx="0">
                  <c:v>2.8455284552845527E-2</c:v>
                </c:pt>
                <c:pt idx="1">
                  <c:v>3.8461538461538464E-2</c:v>
                </c:pt>
                <c:pt idx="2">
                  <c:v>1.6129032258064516E-2</c:v>
                </c:pt>
                <c:pt idx="3">
                  <c:v>1.1494252873563218E-2</c:v>
                </c:pt>
                <c:pt idx="4">
                  <c:v>5.1470588235294115E-2</c:v>
                </c:pt>
                <c:pt idx="5">
                  <c:v>5.2238805970149252E-2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31-4B6D-A061-3C6CD465F5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40120240"/>
        <c:axId val="1640123568"/>
      </c:barChart>
      <c:catAx>
        <c:axId val="164012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40123568"/>
        <c:crosses val="autoZero"/>
        <c:auto val="1"/>
        <c:lblAlgn val="ctr"/>
        <c:lblOffset val="100"/>
        <c:noMultiLvlLbl val="0"/>
      </c:catAx>
      <c:valAx>
        <c:axId val="164012356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6401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52773895919068"/>
          <c:y val="4.1241094863142112E-2"/>
          <c:w val="0.84628751883370756"/>
          <c:h val="5.739836091917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32814181581034"/>
          <c:y val="0.19900662064027155"/>
          <c:w val="0.71058950964462775"/>
          <c:h val="0.7572004473502014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grafos!$AF$99</c:f>
              <c:strCache>
                <c:ptCount val="1"/>
                <c:pt idx="0">
                  <c:v>Aumentó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grafos!$AD$108:$AE$113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grafos!$AF$108:$AF$113</c:f>
              <c:numCache>
                <c:formatCode>0.00%</c:formatCode>
                <c:ptCount val="6"/>
                <c:pt idx="0">
                  <c:v>4.4715447154471545E-2</c:v>
                </c:pt>
                <c:pt idx="1">
                  <c:v>3.8461538461538464E-2</c:v>
                </c:pt>
                <c:pt idx="2">
                  <c:v>6.4516129032258063E-2</c:v>
                </c:pt>
                <c:pt idx="3">
                  <c:v>4.0229885057471264E-2</c:v>
                </c:pt>
                <c:pt idx="4">
                  <c:v>2.9411764705882353E-2</c:v>
                </c:pt>
                <c:pt idx="5">
                  <c:v>4.4776119402985072E-2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E-4116-898A-2243EEBCDA97}"/>
            </c:ext>
          </c:extLst>
        </c:ser>
        <c:ser>
          <c:idx val="1"/>
          <c:order val="1"/>
          <c:tx>
            <c:strRef>
              <c:f>grafos!$AG$99</c:f>
              <c:strCache>
                <c:ptCount val="1"/>
                <c:pt idx="0">
                  <c:v>Se mantuvo</c:v>
                </c:pt>
              </c:strCache>
            </c:strRef>
          </c:tx>
          <c:spPr>
            <a:solidFill>
              <a:srgbClr val="A2D2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grafos!$AD$108:$AE$113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grafos!$AG$108:$AG$113</c:f>
              <c:numCache>
                <c:formatCode>0.00%</c:formatCode>
                <c:ptCount val="6"/>
                <c:pt idx="0">
                  <c:v>0.47967479674796748</c:v>
                </c:pt>
                <c:pt idx="1">
                  <c:v>0.46153846153846156</c:v>
                </c:pt>
                <c:pt idx="2">
                  <c:v>0.5</c:v>
                </c:pt>
                <c:pt idx="3">
                  <c:v>0.4942528735632184</c:v>
                </c:pt>
                <c:pt idx="4">
                  <c:v>0.4485294117647059</c:v>
                </c:pt>
                <c:pt idx="5">
                  <c:v>0.44776119402985076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E-4116-898A-2243EEBCDA97}"/>
            </c:ext>
          </c:extLst>
        </c:ser>
        <c:ser>
          <c:idx val="2"/>
          <c:order val="2"/>
          <c:tx>
            <c:strRef>
              <c:f>grafos!$AH$99</c:f>
              <c:strCache>
                <c:ptCount val="1"/>
                <c:pt idx="0">
                  <c:v>Disminuyó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grafos!$AD$108:$AE$113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grafos!$AH$108:$AH$113</c:f>
              <c:numCache>
                <c:formatCode>0.00%</c:formatCode>
                <c:ptCount val="6"/>
                <c:pt idx="0">
                  <c:v>0.24796747967479674</c:v>
                </c:pt>
                <c:pt idx="1">
                  <c:v>0.23846153846153847</c:v>
                </c:pt>
                <c:pt idx="2">
                  <c:v>0.29032258064516131</c:v>
                </c:pt>
                <c:pt idx="3">
                  <c:v>0.27586206896551724</c:v>
                </c:pt>
                <c:pt idx="4">
                  <c:v>0.25</c:v>
                </c:pt>
                <c:pt idx="5">
                  <c:v>0.17164179104477612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E-4116-898A-2243EEBCDA97}"/>
            </c:ext>
          </c:extLst>
        </c:ser>
        <c:ser>
          <c:idx val="3"/>
          <c:order val="3"/>
          <c:tx>
            <c:strRef>
              <c:f>grafos!$AI$99</c:f>
              <c:strCache>
                <c:ptCount val="1"/>
                <c:pt idx="0">
                  <c:v>No aplica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grafos!$AD$108:$AE$113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grafos!$AI$108:$AI$113</c:f>
              <c:numCache>
                <c:formatCode>0.00%</c:formatCode>
                <c:ptCount val="6"/>
                <c:pt idx="0">
                  <c:v>0.22764227642276422</c:v>
                </c:pt>
                <c:pt idx="1">
                  <c:v>0.26153846153846155</c:v>
                </c:pt>
                <c:pt idx="2">
                  <c:v>0.14516129032258066</c:v>
                </c:pt>
                <c:pt idx="3">
                  <c:v>0.18965517241379309</c:v>
                </c:pt>
                <c:pt idx="4">
                  <c:v>0.27205882352941174</c:v>
                </c:pt>
                <c:pt idx="5">
                  <c:v>0.33582089552238809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E-4116-898A-2243EEBCDA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40120240"/>
        <c:axId val="1640123568"/>
      </c:barChart>
      <c:catAx>
        <c:axId val="164012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40123568"/>
        <c:crosses val="autoZero"/>
        <c:auto val="1"/>
        <c:lblAlgn val="ctr"/>
        <c:lblOffset val="100"/>
        <c:noMultiLvlLbl val="0"/>
      </c:catAx>
      <c:valAx>
        <c:axId val="164012356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6401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52773895919068"/>
          <c:y val="4.1241094863142112E-2"/>
          <c:w val="0.84628751883370756"/>
          <c:h val="5.739836091917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132814181581034"/>
          <c:y val="0.19900662064027155"/>
          <c:w val="0.71058950964462775"/>
          <c:h val="0.7572004473502014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grafos!$AF$99</c:f>
              <c:strCache>
                <c:ptCount val="1"/>
                <c:pt idx="0">
                  <c:v>Aumentó</c:v>
                </c:pt>
              </c:strCache>
            </c:strRef>
          </c:tx>
          <c:spPr>
            <a:solidFill>
              <a:srgbClr val="FFC10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grafos!$AD$116:$AE$121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grafos!$AF$116:$AF$121</c:f>
              <c:numCache>
                <c:formatCode>0.00%</c:formatCode>
                <c:ptCount val="6"/>
                <c:pt idx="0">
                  <c:v>5.6910569105691054E-2</c:v>
                </c:pt>
                <c:pt idx="1">
                  <c:v>4.230769230769231E-2</c:v>
                </c:pt>
                <c:pt idx="2">
                  <c:v>4.8387096774193547E-2</c:v>
                </c:pt>
                <c:pt idx="3">
                  <c:v>5.7471264367816091E-2</c:v>
                </c:pt>
                <c:pt idx="4">
                  <c:v>2.9411764705882353E-2</c:v>
                </c:pt>
                <c:pt idx="5">
                  <c:v>5.9701492537313432E-2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9F-4CB8-A44C-A4B391368556}"/>
            </c:ext>
          </c:extLst>
        </c:ser>
        <c:ser>
          <c:idx val="1"/>
          <c:order val="1"/>
          <c:tx>
            <c:strRef>
              <c:f>grafos!$AG$99</c:f>
              <c:strCache>
                <c:ptCount val="1"/>
                <c:pt idx="0">
                  <c:v>Se mantuvo</c:v>
                </c:pt>
              </c:strCache>
            </c:strRef>
          </c:tx>
          <c:spPr>
            <a:solidFill>
              <a:srgbClr val="A2D2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grafos!$AD$116:$AE$121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grafos!$AG$116:$AG$121</c:f>
              <c:numCache>
                <c:formatCode>0.00%</c:formatCode>
                <c:ptCount val="6"/>
                <c:pt idx="0">
                  <c:v>0.53658536585365857</c:v>
                </c:pt>
                <c:pt idx="1">
                  <c:v>0.45769230769230768</c:v>
                </c:pt>
                <c:pt idx="2">
                  <c:v>0.61290322580645162</c:v>
                </c:pt>
                <c:pt idx="3">
                  <c:v>0.52873563218390807</c:v>
                </c:pt>
                <c:pt idx="4">
                  <c:v>0.5220588235294118</c:v>
                </c:pt>
                <c:pt idx="5">
                  <c:v>0.37313432835820898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9F-4CB8-A44C-A4B391368556}"/>
            </c:ext>
          </c:extLst>
        </c:ser>
        <c:ser>
          <c:idx val="2"/>
          <c:order val="2"/>
          <c:tx>
            <c:strRef>
              <c:f>grafos!$AH$99</c:f>
              <c:strCache>
                <c:ptCount val="1"/>
                <c:pt idx="0">
                  <c:v>Disminuyó</c:v>
                </c:pt>
              </c:strCache>
            </c:strRef>
          </c:tx>
          <c:spPr>
            <a:solidFill>
              <a:srgbClr val="81C78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grafos!$AD$116:$AE$121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grafos!$AH$116:$AH$121</c:f>
              <c:numCache>
                <c:formatCode>0.00%</c:formatCode>
                <c:ptCount val="6"/>
                <c:pt idx="0">
                  <c:v>0.21138211382113822</c:v>
                </c:pt>
                <c:pt idx="1">
                  <c:v>0.25769230769230766</c:v>
                </c:pt>
                <c:pt idx="2">
                  <c:v>0.22580645161290322</c:v>
                </c:pt>
                <c:pt idx="3">
                  <c:v>0.2471264367816092</c:v>
                </c:pt>
                <c:pt idx="4">
                  <c:v>0.23529411764705882</c:v>
                </c:pt>
                <c:pt idx="5">
                  <c:v>0.22388059701492538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9F-4CB8-A44C-A4B391368556}"/>
            </c:ext>
          </c:extLst>
        </c:ser>
        <c:ser>
          <c:idx val="3"/>
          <c:order val="3"/>
          <c:tx>
            <c:strRef>
              <c:f>grafos!$AI$99</c:f>
              <c:strCache>
                <c:ptCount val="1"/>
                <c:pt idx="0">
                  <c:v>No aplica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grafos!$AD$116:$AE$121</c:f>
              <c:multiLvlStrCache>
                <c:ptCount val="6"/>
                <c:lvl>
                  <c:pt idx="0">
                    <c:v>Hombre</c:v>
                  </c:pt>
                  <c:pt idx="1">
                    <c:v>Mujer</c:v>
                  </c:pt>
                  <c:pt idx="2">
                    <c:v>de 18 a 25 años</c:v>
                  </c:pt>
                  <c:pt idx="3">
                    <c:v>de 26 a 40 años</c:v>
                  </c:pt>
                  <c:pt idx="4">
                    <c:v>de 41 a 55 años</c:v>
                  </c:pt>
                  <c:pt idx="5">
                    <c:v>de 56 a más</c:v>
                  </c:pt>
                </c:lvl>
                <c:lvl>
                  <c:pt idx="0">
                    <c:v>Sexo</c:v>
                  </c:pt>
                  <c:pt idx="2">
                    <c:v>Rango etario</c:v>
                  </c:pt>
                </c:lvl>
              </c:multiLvlStrCache>
            </c:multiLvlStrRef>
          </c:cat>
          <c:val>
            <c:numRef>
              <c:f>grafos!$AI$116:$AI$121</c:f>
              <c:numCache>
                <c:formatCode>0.00%</c:formatCode>
                <c:ptCount val="6"/>
                <c:pt idx="0">
                  <c:v>0.1951219512195122</c:v>
                </c:pt>
                <c:pt idx="1">
                  <c:v>0.24230769230769231</c:v>
                </c:pt>
                <c:pt idx="2">
                  <c:v>0.11290322580645161</c:v>
                </c:pt>
                <c:pt idx="3">
                  <c:v>0.16666666666666666</c:v>
                </c:pt>
                <c:pt idx="4">
                  <c:v>0.21323529411764705</c:v>
                </c:pt>
                <c:pt idx="5">
                  <c:v>0.34328358208955223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9F-4CB8-A44C-A4B39136855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640120240"/>
        <c:axId val="1640123568"/>
      </c:barChart>
      <c:catAx>
        <c:axId val="1640120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640123568"/>
        <c:crosses val="autoZero"/>
        <c:auto val="1"/>
        <c:lblAlgn val="ctr"/>
        <c:lblOffset val="100"/>
        <c:noMultiLvlLbl val="0"/>
      </c:catAx>
      <c:valAx>
        <c:axId val="1640123568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64012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152773895919068"/>
          <c:y val="4.1241094863142112E-2"/>
          <c:w val="0.84628751883370756"/>
          <c:h val="5.739836091917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050" b="1"/>
              <a:t>¿Vio?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grafos!$E$322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grafos!$A$337:$B$346</c:f>
              <c:strCache>
                <c:ptCount val="10"/>
                <c:pt idx="0">
                  <c:v>Policía Nacional (PN)</c:v>
                </c:pt>
                <c:pt idx="1">
                  <c:v>Empresa Metropolitana de Aseo (EMASEO)</c:v>
                </c:pt>
                <c:pt idx="2">
                  <c:v>Cuerpo de Agentes de Control Metropolitano de Quito (CACMQ)</c:v>
                </c:pt>
                <c:pt idx="3">
                  <c:v>Agencia Metropolitana de Control (AMC) </c:v>
                </c:pt>
                <c:pt idx="4">
                  <c:v>Agencia Metropolitana de Tránsito (AMT)</c:v>
                </c:pt>
                <c:pt idx="5">
                  <c:v>Agencia Metropolitana de Control de Comercio (AMCC)</c:v>
                </c:pt>
                <c:pt idx="6">
                  <c:v>Fuerzas Armadas del Ecuador (FFAA)</c:v>
                </c:pt>
                <c:pt idx="7">
                  <c:v>Cuerpo de Bombero de Quito (CBQ)</c:v>
                </c:pt>
                <c:pt idx="8">
                  <c:v>Patronato San José (UPMSJ)</c:v>
                </c:pt>
                <c:pt idx="9">
                  <c:v>Secretaría General de Seguridad Ciudadana y Gestión de Riesgos (SGSCGR)</c:v>
                </c:pt>
              </c:strCache>
            </c:strRef>
          </c:cat>
          <c:val>
            <c:numRef>
              <c:f>grafos!$E$337:$E$346</c:f>
              <c:numCache>
                <c:formatCode>0.00%</c:formatCode>
                <c:ptCount val="10"/>
                <c:pt idx="0">
                  <c:v>0.79644268774703553</c:v>
                </c:pt>
                <c:pt idx="1">
                  <c:v>0.78458498023715417</c:v>
                </c:pt>
                <c:pt idx="2">
                  <c:v>0.71739130434782605</c:v>
                </c:pt>
                <c:pt idx="3">
                  <c:v>0.5513833992094862</c:v>
                </c:pt>
                <c:pt idx="4">
                  <c:v>0.34782608695652173</c:v>
                </c:pt>
                <c:pt idx="5">
                  <c:v>0.2608695652173913</c:v>
                </c:pt>
                <c:pt idx="6">
                  <c:v>0.20355731225296442</c:v>
                </c:pt>
                <c:pt idx="7">
                  <c:v>0.15217391304347827</c:v>
                </c:pt>
                <c:pt idx="8">
                  <c:v>7.9051383399209488E-2</c:v>
                </c:pt>
                <c:pt idx="9">
                  <c:v>5.9288537549407112E-2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A9-4D9B-B2FE-B5BEB82CFE3C}"/>
            </c:ext>
          </c:extLst>
        </c:ser>
        <c:ser>
          <c:idx val="1"/>
          <c:order val="1"/>
          <c:tx>
            <c:strRef>
              <c:f>grafos!$F$322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grafos!$A$337:$B$346</c:f>
              <c:strCache>
                <c:ptCount val="10"/>
                <c:pt idx="0">
                  <c:v>Policía Nacional (PN)</c:v>
                </c:pt>
                <c:pt idx="1">
                  <c:v>Empresa Metropolitana de Aseo (EMASEO)</c:v>
                </c:pt>
                <c:pt idx="2">
                  <c:v>Cuerpo de Agentes de Control Metropolitano de Quito (CACMQ)</c:v>
                </c:pt>
                <c:pt idx="3">
                  <c:v>Agencia Metropolitana de Control (AMC) </c:v>
                </c:pt>
                <c:pt idx="4">
                  <c:v>Agencia Metropolitana de Tránsito (AMT)</c:v>
                </c:pt>
                <c:pt idx="5">
                  <c:v>Agencia Metropolitana de Control de Comercio (AMCC)</c:v>
                </c:pt>
                <c:pt idx="6">
                  <c:v>Fuerzas Armadas del Ecuador (FFAA)</c:v>
                </c:pt>
                <c:pt idx="7">
                  <c:v>Cuerpo de Bombero de Quito (CBQ)</c:v>
                </c:pt>
                <c:pt idx="8">
                  <c:v>Patronato San José (UPMSJ)</c:v>
                </c:pt>
                <c:pt idx="9">
                  <c:v>Secretaría General de Seguridad Ciudadana y Gestión de Riesgos (SGSCGR)</c:v>
                </c:pt>
              </c:strCache>
            </c:strRef>
          </c:cat>
          <c:val>
            <c:numRef>
              <c:f>grafos!$F$337:$F$346</c:f>
              <c:numCache>
                <c:formatCode>0.00%</c:formatCode>
                <c:ptCount val="10"/>
                <c:pt idx="0">
                  <c:v>0.20355731225296442</c:v>
                </c:pt>
                <c:pt idx="1">
                  <c:v>0.21541501976284586</c:v>
                </c:pt>
                <c:pt idx="2">
                  <c:v>0.28260869565217389</c:v>
                </c:pt>
                <c:pt idx="3">
                  <c:v>0.44861660079051385</c:v>
                </c:pt>
                <c:pt idx="4">
                  <c:v>0.65217391304347827</c:v>
                </c:pt>
                <c:pt idx="5">
                  <c:v>0.73913043478260865</c:v>
                </c:pt>
                <c:pt idx="6">
                  <c:v>0.79644268774703553</c:v>
                </c:pt>
                <c:pt idx="7">
                  <c:v>0.84782608695652173</c:v>
                </c:pt>
                <c:pt idx="8">
                  <c:v>0.92094861660079053</c:v>
                </c:pt>
                <c:pt idx="9">
                  <c:v>0.94071146245059289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A9-4D9B-B2FE-B5BEB82CFE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050" b="1"/>
              <a:t>¿Se</a:t>
            </a:r>
            <a:r>
              <a:rPr lang="es-EC" sz="1050" b="1" baseline="0"/>
              <a:t> benefició de alguna manera del trabajo de la institución</a:t>
            </a:r>
            <a:r>
              <a:rPr lang="es-EC" sz="1050" b="1"/>
              <a:t>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grafos!$E$322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grafos!$A$358:$B$367</c:f>
              <c:strCache>
                <c:ptCount val="10"/>
                <c:pt idx="0">
                  <c:v>Policía Nacional (PN)</c:v>
                </c:pt>
                <c:pt idx="1">
                  <c:v>Empresa Metropolitana de Aseo (EMASEO)</c:v>
                </c:pt>
                <c:pt idx="2">
                  <c:v>Cuerpo de Agentes de Control Metropolitano de Quito (CACMQ)</c:v>
                </c:pt>
                <c:pt idx="3">
                  <c:v>Agencia Metropolitana de Control (AMC) </c:v>
                </c:pt>
                <c:pt idx="4">
                  <c:v>Agencia Metropolitana de Tránsito (AMT)</c:v>
                </c:pt>
                <c:pt idx="5">
                  <c:v>Agencia Metropolitana de Control de Comercio (AMCC)</c:v>
                </c:pt>
                <c:pt idx="6">
                  <c:v>Fuerzas Armadas del Ecuador (FFAA)</c:v>
                </c:pt>
                <c:pt idx="7">
                  <c:v>Cuerpo de Bombero de Quito (CBQ)</c:v>
                </c:pt>
                <c:pt idx="8">
                  <c:v>Patronato San José (UPMSJ)</c:v>
                </c:pt>
                <c:pt idx="9">
                  <c:v>Secretaría General de Seguridad Ciudadana y Gestión de Riesgos (SGSCGR)</c:v>
                </c:pt>
              </c:strCache>
            </c:strRef>
          </c:cat>
          <c:val>
            <c:numRef>
              <c:f>grafos!$E$358:$E$367</c:f>
              <c:numCache>
                <c:formatCode>0.00%</c:formatCode>
                <c:ptCount val="10"/>
                <c:pt idx="0">
                  <c:v>0.5186104218362283</c:v>
                </c:pt>
                <c:pt idx="1">
                  <c:v>0.68010075566750627</c:v>
                </c:pt>
                <c:pt idx="2">
                  <c:v>0.41873278236914602</c:v>
                </c:pt>
                <c:pt idx="3">
                  <c:v>0.36330935251798563</c:v>
                </c:pt>
                <c:pt idx="4">
                  <c:v>0.41477272727272729</c:v>
                </c:pt>
                <c:pt idx="5">
                  <c:v>0.4621212121212121</c:v>
                </c:pt>
                <c:pt idx="6">
                  <c:v>0.47115384615384615</c:v>
                </c:pt>
                <c:pt idx="7">
                  <c:v>0.37662337662337664</c:v>
                </c:pt>
                <c:pt idx="8">
                  <c:v>0.47499999999999998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7-44D6-9074-F8CCA3FB104E}"/>
            </c:ext>
          </c:extLst>
        </c:ser>
        <c:ser>
          <c:idx val="1"/>
          <c:order val="1"/>
          <c:tx>
            <c:strRef>
              <c:f>grafos!$F$322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grafos!$A$358:$B$367</c:f>
              <c:strCache>
                <c:ptCount val="10"/>
                <c:pt idx="0">
                  <c:v>Policía Nacional (PN)</c:v>
                </c:pt>
                <c:pt idx="1">
                  <c:v>Empresa Metropolitana de Aseo (EMASEO)</c:v>
                </c:pt>
                <c:pt idx="2">
                  <c:v>Cuerpo de Agentes de Control Metropolitano de Quito (CACMQ)</c:v>
                </c:pt>
                <c:pt idx="3">
                  <c:v>Agencia Metropolitana de Control (AMC) </c:v>
                </c:pt>
                <c:pt idx="4">
                  <c:v>Agencia Metropolitana de Tránsito (AMT)</c:v>
                </c:pt>
                <c:pt idx="5">
                  <c:v>Agencia Metropolitana de Control de Comercio (AMCC)</c:v>
                </c:pt>
                <c:pt idx="6">
                  <c:v>Fuerzas Armadas del Ecuador (FFAA)</c:v>
                </c:pt>
                <c:pt idx="7">
                  <c:v>Cuerpo de Bombero de Quito (CBQ)</c:v>
                </c:pt>
                <c:pt idx="8">
                  <c:v>Patronato San José (UPMSJ)</c:v>
                </c:pt>
                <c:pt idx="9">
                  <c:v>Secretaría General de Seguridad Ciudadana y Gestión de Riesgos (SGSCGR)</c:v>
                </c:pt>
              </c:strCache>
            </c:strRef>
          </c:cat>
          <c:val>
            <c:numRef>
              <c:f>grafos!$F$358:$F$367</c:f>
              <c:numCache>
                <c:formatCode>0.00%</c:formatCode>
                <c:ptCount val="10"/>
                <c:pt idx="0">
                  <c:v>0.4813895781637717</c:v>
                </c:pt>
                <c:pt idx="1">
                  <c:v>0.31989924433249373</c:v>
                </c:pt>
                <c:pt idx="2">
                  <c:v>0.58126721763085398</c:v>
                </c:pt>
                <c:pt idx="3">
                  <c:v>0.63669064748201443</c:v>
                </c:pt>
                <c:pt idx="4">
                  <c:v>0.58522727272727271</c:v>
                </c:pt>
                <c:pt idx="5">
                  <c:v>0.53787878787878785</c:v>
                </c:pt>
                <c:pt idx="6">
                  <c:v>0.52884615384615385</c:v>
                </c:pt>
                <c:pt idx="7">
                  <c:v>0.62337662337662336</c:v>
                </c:pt>
                <c:pt idx="8">
                  <c:v>0.52500000000000002</c:v>
                </c:pt>
                <c:pt idx="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D7-44D6-9074-F8CCA3FB104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050" b="1"/>
              <a:t>Presenció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grafos!$E$240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grafos!$C$241:$C$249</c:f>
              <c:strCache>
                <c:ptCount val="9"/>
                <c:pt idx="0">
                  <c:v>Desechos de animales</c:v>
                </c:pt>
                <c:pt idx="1">
                  <c:v>Personas que orinan en el parque</c:v>
                </c:pt>
                <c:pt idx="2">
                  <c:v>Habitantes en situación de calle (mendicidad)</c:v>
                </c:pt>
                <c:pt idx="3">
                  <c:v> Basura y suciedad</c:v>
                </c:pt>
                <c:pt idx="4">
                  <c:v>Aglomeración de personas</c:v>
                </c:pt>
                <c:pt idx="5">
                  <c:v>Fauna Urbana</c:v>
                </c:pt>
                <c:pt idx="6">
                  <c:v>Consumo de alcohol</c:v>
                </c:pt>
                <c:pt idx="7">
                  <c:v>Consumo de drogas</c:v>
                </c:pt>
                <c:pt idx="8">
                  <c:v>Alguien puso música a un volumen excesivo o hizo mucho ruido y eso le molestó</c:v>
                </c:pt>
              </c:strCache>
            </c:strRef>
          </c:cat>
          <c:val>
            <c:numRef>
              <c:f>grafos!$E$241:$E$249</c:f>
              <c:numCache>
                <c:formatCode>0.00%</c:formatCode>
                <c:ptCount val="9"/>
                <c:pt idx="0">
                  <c:v>0.6541501976284585</c:v>
                </c:pt>
                <c:pt idx="1">
                  <c:v>0.61660079051383399</c:v>
                </c:pt>
                <c:pt idx="2">
                  <c:v>0.59090909090909094</c:v>
                </c:pt>
                <c:pt idx="3">
                  <c:v>0.57707509881422925</c:v>
                </c:pt>
                <c:pt idx="4">
                  <c:v>0.39920948616600793</c:v>
                </c:pt>
                <c:pt idx="5">
                  <c:v>0.39525691699604742</c:v>
                </c:pt>
                <c:pt idx="6">
                  <c:v>0.34189723320158105</c:v>
                </c:pt>
                <c:pt idx="7">
                  <c:v>0.33201581027667987</c:v>
                </c:pt>
                <c:pt idx="8">
                  <c:v>0.30237154150197626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0-4BB8-87FE-36F4FDC239AB}"/>
            </c:ext>
          </c:extLst>
        </c:ser>
        <c:ser>
          <c:idx val="1"/>
          <c:order val="1"/>
          <c:tx>
            <c:strRef>
              <c:f>grafos!$F$240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grafos!$C$241:$C$249</c:f>
              <c:strCache>
                <c:ptCount val="9"/>
                <c:pt idx="0">
                  <c:v>Desechos de animales</c:v>
                </c:pt>
                <c:pt idx="1">
                  <c:v>Personas que orinan en el parque</c:v>
                </c:pt>
                <c:pt idx="2">
                  <c:v>Habitantes en situación de calle (mendicidad)</c:v>
                </c:pt>
                <c:pt idx="3">
                  <c:v> Basura y suciedad</c:v>
                </c:pt>
                <c:pt idx="4">
                  <c:v>Aglomeración de personas</c:v>
                </c:pt>
                <c:pt idx="5">
                  <c:v>Fauna Urbana</c:v>
                </c:pt>
                <c:pt idx="6">
                  <c:v>Consumo de alcohol</c:v>
                </c:pt>
                <c:pt idx="7">
                  <c:v>Consumo de drogas</c:v>
                </c:pt>
                <c:pt idx="8">
                  <c:v>Alguien puso música a un volumen excesivo o hizo mucho ruido y eso le molestó</c:v>
                </c:pt>
              </c:strCache>
            </c:strRef>
          </c:cat>
          <c:val>
            <c:numRef>
              <c:f>grafos!$F$241:$F$249</c:f>
              <c:numCache>
                <c:formatCode>0.00%</c:formatCode>
                <c:ptCount val="9"/>
                <c:pt idx="0">
                  <c:v>0.3458498023715415</c:v>
                </c:pt>
                <c:pt idx="1">
                  <c:v>0.38339920948616601</c:v>
                </c:pt>
                <c:pt idx="2">
                  <c:v>0.40118577075098816</c:v>
                </c:pt>
                <c:pt idx="3">
                  <c:v>0.42292490118577075</c:v>
                </c:pt>
                <c:pt idx="4">
                  <c:v>0.59683794466403162</c:v>
                </c:pt>
                <c:pt idx="5">
                  <c:v>0.60276679841897229</c:v>
                </c:pt>
                <c:pt idx="6">
                  <c:v>0.65810276679841895</c:v>
                </c:pt>
                <c:pt idx="7">
                  <c:v>0.66798418972332019</c:v>
                </c:pt>
                <c:pt idx="8">
                  <c:v>0.69762845849802368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C0-4BB8-87FE-36F4FDC239AB}"/>
            </c:ext>
          </c:extLst>
        </c:ser>
        <c:ser>
          <c:idx val="2"/>
          <c:order val="2"/>
          <c:tx>
            <c:strRef>
              <c:f>grafos!$G$240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grafos!$C$241:$C$249</c:f>
              <c:strCache>
                <c:ptCount val="9"/>
                <c:pt idx="0">
                  <c:v>Desechos de animales</c:v>
                </c:pt>
                <c:pt idx="1">
                  <c:v>Personas que orinan en el parque</c:v>
                </c:pt>
                <c:pt idx="2">
                  <c:v>Habitantes en situación de calle (mendicidad)</c:v>
                </c:pt>
                <c:pt idx="3">
                  <c:v> Basura y suciedad</c:v>
                </c:pt>
                <c:pt idx="4">
                  <c:v>Aglomeración de personas</c:v>
                </c:pt>
                <c:pt idx="5">
                  <c:v>Fauna Urbana</c:v>
                </c:pt>
                <c:pt idx="6">
                  <c:v>Consumo de alcohol</c:v>
                </c:pt>
                <c:pt idx="7">
                  <c:v>Consumo de drogas</c:v>
                </c:pt>
                <c:pt idx="8">
                  <c:v>Alguien puso música a un volumen excesivo o hizo mucho ruido y eso le molestó</c:v>
                </c:pt>
              </c:strCache>
            </c:strRef>
          </c:cat>
          <c:val>
            <c:numRef>
              <c:f>grafos!$G$241:$G$249</c:f>
              <c:numCache>
                <c:formatCode>General</c:formatCode>
                <c:ptCount val="9"/>
                <c:pt idx="2" formatCode="0.00%">
                  <c:v>7.9051383399209481E-3</c:v>
                </c:pt>
                <c:pt idx="4" formatCode="0.00%">
                  <c:v>3.952569169960474E-3</c:v>
                </c:pt>
                <c:pt idx="5" formatCode="0.00%">
                  <c:v>1.976284584980237E-3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1-4292-A9B1-70C0C80D16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050" b="1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grafos!$E$260</c:f>
              <c:strCache>
                <c:ptCount val="1"/>
                <c:pt idx="0">
                  <c:v>Poco frecuente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grafos!$C$261:$C$269</c:f>
              <c:strCache>
                <c:ptCount val="9"/>
                <c:pt idx="0">
                  <c:v>Desechos de animales</c:v>
                </c:pt>
                <c:pt idx="1">
                  <c:v>Personas que orinan en el parque</c:v>
                </c:pt>
                <c:pt idx="2">
                  <c:v>Habitantes en situación de calle (mendicidad)</c:v>
                </c:pt>
                <c:pt idx="3">
                  <c:v> Basura y suciedad</c:v>
                </c:pt>
                <c:pt idx="4">
                  <c:v>Aglomeración de personas</c:v>
                </c:pt>
                <c:pt idx="5">
                  <c:v>Fauna Urbana</c:v>
                </c:pt>
                <c:pt idx="6">
                  <c:v>Consumo de alcohol</c:v>
                </c:pt>
                <c:pt idx="7">
                  <c:v>Consumo de drogas</c:v>
                </c:pt>
                <c:pt idx="8">
                  <c:v>Alguien puso música a un volumen excesivo o hizo mucho ruido y eso le molestó</c:v>
                </c:pt>
              </c:strCache>
            </c:strRef>
          </c:cat>
          <c:val>
            <c:numRef>
              <c:f>grafos!$E$261:$E$269</c:f>
              <c:numCache>
                <c:formatCode>0.00%</c:formatCode>
                <c:ptCount val="9"/>
                <c:pt idx="0">
                  <c:v>0.37160120845921452</c:v>
                </c:pt>
                <c:pt idx="1">
                  <c:v>0.34615384615384615</c:v>
                </c:pt>
                <c:pt idx="2">
                  <c:v>0.47826086956521741</c:v>
                </c:pt>
                <c:pt idx="3">
                  <c:v>0.49315068493150682</c:v>
                </c:pt>
                <c:pt idx="4">
                  <c:v>0.42574257425742573</c:v>
                </c:pt>
                <c:pt idx="5">
                  <c:v>0.55500000000000005</c:v>
                </c:pt>
                <c:pt idx="6">
                  <c:v>0.4913294797687861</c:v>
                </c:pt>
                <c:pt idx="7">
                  <c:v>0.29166666666666669</c:v>
                </c:pt>
                <c:pt idx="8">
                  <c:v>0.5816993464052288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6F-442D-9EFD-9B78F3431406}"/>
            </c:ext>
          </c:extLst>
        </c:ser>
        <c:ser>
          <c:idx val="1"/>
          <c:order val="1"/>
          <c:tx>
            <c:strRef>
              <c:f>grafos!$F$260</c:f>
              <c:strCache>
                <c:ptCount val="1"/>
                <c:pt idx="0">
                  <c:v>Frecuente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grafos!$C$261:$C$269</c:f>
              <c:strCache>
                <c:ptCount val="9"/>
                <c:pt idx="0">
                  <c:v>Desechos de animales</c:v>
                </c:pt>
                <c:pt idx="1">
                  <c:v>Personas que orinan en el parque</c:v>
                </c:pt>
                <c:pt idx="2">
                  <c:v>Habitantes en situación de calle (mendicidad)</c:v>
                </c:pt>
                <c:pt idx="3">
                  <c:v> Basura y suciedad</c:v>
                </c:pt>
                <c:pt idx="4">
                  <c:v>Aglomeración de personas</c:v>
                </c:pt>
                <c:pt idx="5">
                  <c:v>Fauna Urbana</c:v>
                </c:pt>
                <c:pt idx="6">
                  <c:v>Consumo de alcohol</c:v>
                </c:pt>
                <c:pt idx="7">
                  <c:v>Consumo de drogas</c:v>
                </c:pt>
                <c:pt idx="8">
                  <c:v>Alguien puso música a un volumen excesivo o hizo mucho ruido y eso le molestó</c:v>
                </c:pt>
              </c:strCache>
            </c:strRef>
          </c:cat>
          <c:val>
            <c:numRef>
              <c:f>grafos!$F$261:$F$269</c:f>
              <c:numCache>
                <c:formatCode>0.00%</c:formatCode>
                <c:ptCount val="9"/>
                <c:pt idx="0">
                  <c:v>0.45921450151057402</c:v>
                </c:pt>
                <c:pt idx="1">
                  <c:v>0.48076923076923078</c:v>
                </c:pt>
                <c:pt idx="2">
                  <c:v>0.3612040133779264</c:v>
                </c:pt>
                <c:pt idx="3">
                  <c:v>0.3904109589041096</c:v>
                </c:pt>
                <c:pt idx="4">
                  <c:v>0.48019801980198018</c:v>
                </c:pt>
                <c:pt idx="5">
                  <c:v>0.35</c:v>
                </c:pt>
                <c:pt idx="6">
                  <c:v>0.41040462427745666</c:v>
                </c:pt>
                <c:pt idx="7">
                  <c:v>0.49404761904761907</c:v>
                </c:pt>
                <c:pt idx="8">
                  <c:v>0.31372549019607843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6F-442D-9EFD-9B78F3431406}"/>
            </c:ext>
          </c:extLst>
        </c:ser>
        <c:ser>
          <c:idx val="2"/>
          <c:order val="2"/>
          <c:tx>
            <c:strRef>
              <c:f>grafos!$G$260</c:f>
              <c:strCache>
                <c:ptCount val="1"/>
                <c:pt idx="0">
                  <c:v>Muy frecuente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grafos!$C$261:$C$269</c:f>
              <c:strCache>
                <c:ptCount val="9"/>
                <c:pt idx="0">
                  <c:v>Desechos de animales</c:v>
                </c:pt>
                <c:pt idx="1">
                  <c:v>Personas que orinan en el parque</c:v>
                </c:pt>
                <c:pt idx="2">
                  <c:v>Habitantes en situación de calle (mendicidad)</c:v>
                </c:pt>
                <c:pt idx="3">
                  <c:v> Basura y suciedad</c:v>
                </c:pt>
                <c:pt idx="4">
                  <c:v>Aglomeración de personas</c:v>
                </c:pt>
                <c:pt idx="5">
                  <c:v>Fauna Urbana</c:v>
                </c:pt>
                <c:pt idx="6">
                  <c:v>Consumo de alcohol</c:v>
                </c:pt>
                <c:pt idx="7">
                  <c:v>Consumo de drogas</c:v>
                </c:pt>
                <c:pt idx="8">
                  <c:v>Alguien puso música a un volumen excesivo o hizo mucho ruido y eso le molestó</c:v>
                </c:pt>
              </c:strCache>
            </c:strRef>
          </c:cat>
          <c:val>
            <c:numRef>
              <c:f>grafos!$G$261:$G$269</c:f>
              <c:numCache>
                <c:formatCode>0.00%</c:formatCode>
                <c:ptCount val="9"/>
                <c:pt idx="0">
                  <c:v>0.16918429003021149</c:v>
                </c:pt>
                <c:pt idx="1">
                  <c:v>0.17307692307692307</c:v>
                </c:pt>
                <c:pt idx="2">
                  <c:v>0.16053511705685619</c:v>
                </c:pt>
                <c:pt idx="3">
                  <c:v>0.11643835616438356</c:v>
                </c:pt>
                <c:pt idx="4">
                  <c:v>9.405940594059406E-2</c:v>
                </c:pt>
                <c:pt idx="5">
                  <c:v>9.5000000000000001E-2</c:v>
                </c:pt>
                <c:pt idx="6">
                  <c:v>9.8265895953757232E-2</c:v>
                </c:pt>
                <c:pt idx="7">
                  <c:v>0.21428571428571427</c:v>
                </c:pt>
                <c:pt idx="8">
                  <c:v>0.10457516339869281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6F-442D-9EFD-9B78F343140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4F81B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1A0-466A-B825-538FBC585CA3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1A0-466A-B825-538FBC585CA3}"/>
              </c:ext>
            </c:extLst>
          </c:dPt>
          <c:dPt>
            <c:idx val="2"/>
            <c:invertIfNegative val="0"/>
            <c:bubble3D val="0"/>
            <c:spPr>
              <a:solidFill>
                <a:srgbClr val="9BBB5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1A0-466A-B825-538FBC585CA3}"/>
              </c:ext>
            </c:extLst>
          </c:dPt>
          <c:dPt>
            <c:idx val="3"/>
            <c:invertIfNegative val="0"/>
            <c:bubble3D val="0"/>
            <c:spPr>
              <a:solidFill>
                <a:srgbClr val="8064A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1A0-466A-B825-538FBC585CA3}"/>
              </c:ext>
            </c:extLst>
          </c:dPt>
          <c:dPt>
            <c:idx val="4"/>
            <c:invertIfNegative val="0"/>
            <c:bubble3D val="0"/>
            <c:spPr>
              <a:solidFill>
                <a:srgbClr val="4BAC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1A0-466A-B825-538FBC585CA3}"/>
              </c:ext>
            </c:extLst>
          </c:dPt>
          <c:dPt>
            <c:idx val="5"/>
            <c:invertIfNegative val="0"/>
            <c:bubble3D val="0"/>
            <c:spPr>
              <a:solidFill>
                <a:srgbClr val="F7964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1A0-466A-B825-538FBC585CA3}"/>
              </c:ext>
            </c:extLst>
          </c:dPt>
          <c:dPt>
            <c:idx val="6"/>
            <c:invertIfNegative val="0"/>
            <c:bubble3D val="0"/>
            <c:spPr>
              <a:solidFill>
                <a:srgbClr val="2C4D7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1A0-466A-B825-538FBC585C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grafos!$L$459:$L$465</c:f>
              <c:strCache>
                <c:ptCount val="7"/>
                <c:pt idx="0">
                  <c:v>Áreas verdes</c:v>
                </c:pt>
                <c:pt idx="1">
                  <c:v>Pistas para correr</c:v>
                </c:pt>
                <c:pt idx="2">
                  <c:v>Caminos de ciclismo</c:v>
                </c:pt>
                <c:pt idx="3">
                  <c:v>Canchas de fútbol y basquet</c:v>
                </c:pt>
                <c:pt idx="4">
                  <c:v>Otro.</c:v>
                </c:pt>
                <c:pt idx="5">
                  <c:v>Área para perros</c:v>
                </c:pt>
                <c:pt idx="6">
                  <c:v>Rampas para patineta</c:v>
                </c:pt>
              </c:strCache>
            </c:strRef>
          </c:cat>
          <c:val>
            <c:numRef>
              <c:f>grafos!$M$459:$M$465</c:f>
              <c:numCache>
                <c:formatCode>0.00%</c:formatCode>
                <c:ptCount val="7"/>
                <c:pt idx="0">
                  <c:v>0.28700906344410876</c:v>
                </c:pt>
                <c:pt idx="1">
                  <c:v>0.18429003021148035</c:v>
                </c:pt>
                <c:pt idx="2">
                  <c:v>0.1646525679758308</c:v>
                </c:pt>
                <c:pt idx="3">
                  <c:v>0.15861027190332327</c:v>
                </c:pt>
                <c:pt idx="4">
                  <c:v>0.10876132930513595</c:v>
                </c:pt>
                <c:pt idx="5">
                  <c:v>7.4018126888217517E-2</c:v>
                </c:pt>
                <c:pt idx="6">
                  <c:v>2.2658610271903322E-2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A0-466A-B825-538FBC585CA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442947872"/>
        <c:axId val="1442946912"/>
      </c:barChart>
      <c:catAx>
        <c:axId val="14429478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EC"/>
          </a:p>
        </c:txPr>
        <c:crossAx val="1442946912"/>
        <c:crosses val="autoZero"/>
        <c:auto val="1"/>
        <c:lblAlgn val="ctr"/>
        <c:lblOffset val="100"/>
        <c:noMultiLvlLbl val="0"/>
      </c:catAx>
      <c:valAx>
        <c:axId val="1442946912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44294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8A-489B-A701-56E7CC40EB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8A-489B-A701-56E7CC40EB06}"/>
              </c:ext>
            </c:extLst>
          </c:dPt>
          <c:cat>
            <c:strRef>
              <c:f>grafos!$H$391:$I$391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grafos!$H$404:$I$404</c:f>
              <c:numCache>
                <c:formatCode>0.00%</c:formatCode>
                <c:ptCount val="2"/>
                <c:pt idx="0">
                  <c:v>0.89328063241106714</c:v>
                </c:pt>
                <c:pt idx="1">
                  <c:v>0.1067193675889328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8A-489B-A701-56E7CC40E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104-4EE0-94CE-1276D675809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104-4EE0-94CE-1276D6758091}"/>
              </c:ext>
            </c:extLst>
          </c:dPt>
          <c:cat>
            <c:strRef>
              <c:f>grafos!$H$391:$I$391</c:f>
              <c:strCache>
                <c:ptCount val="2"/>
                <c:pt idx="0">
                  <c:v>Sí</c:v>
                </c:pt>
                <c:pt idx="1">
                  <c:v>No</c:v>
                </c:pt>
              </c:strCache>
            </c:strRef>
          </c:cat>
          <c:val>
            <c:numRef>
              <c:f>grafos!$H$405:$I$405</c:f>
              <c:numCache>
                <c:formatCode>0.00%</c:formatCode>
                <c:ptCount val="2"/>
                <c:pt idx="0">
                  <c:v>0.29646017699115046</c:v>
                </c:pt>
                <c:pt idx="1">
                  <c:v>0.70353982300884954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04-4EE0-94CE-1276D6758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050" b="1"/>
              <a:t>Presenció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grafos!$E$240</c:f>
              <c:strCache>
                <c:ptCount val="1"/>
                <c:pt idx="0">
                  <c:v>Si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grafos!$C$250:$C$257</c:f>
              <c:strCache>
                <c:ptCount val="8"/>
                <c:pt idx="0">
                  <c:v>Áreas sin iluminación</c:v>
                </c:pt>
                <c:pt idx="1">
                  <c:v>Daño a la propiedad pública y privada</c:v>
                </c:pt>
                <c:pt idx="2">
                  <c:v>Grafitis no artisticos que le molestan</c:v>
                </c:pt>
                <c:pt idx="3">
                  <c:v>Peleas o riñas</c:v>
                </c:pt>
                <c:pt idx="4">
                  <c:v>Venta de drogas</c:v>
                </c:pt>
                <c:pt idx="5">
                  <c:v>Venta de alcohol</c:v>
                </c:pt>
                <c:pt idx="6">
                  <c:v>Alguna otra que no se haya mencionado</c:v>
                </c:pt>
                <c:pt idx="7">
                  <c:v>Trabajo sexual (prostitución)</c:v>
                </c:pt>
              </c:strCache>
            </c:strRef>
          </c:cat>
          <c:val>
            <c:numRef>
              <c:f>grafos!$E$250:$E$257</c:f>
              <c:numCache>
                <c:formatCode>0.00%</c:formatCode>
                <c:ptCount val="8"/>
                <c:pt idx="0">
                  <c:v>0.28853754940711462</c:v>
                </c:pt>
                <c:pt idx="1">
                  <c:v>0.25691699604743085</c:v>
                </c:pt>
                <c:pt idx="2">
                  <c:v>0.24308300395256918</c:v>
                </c:pt>
                <c:pt idx="3">
                  <c:v>0.18774703557312253</c:v>
                </c:pt>
                <c:pt idx="4">
                  <c:v>0.12055335968379446</c:v>
                </c:pt>
                <c:pt idx="5">
                  <c:v>9.4861660079051377E-2</c:v>
                </c:pt>
                <c:pt idx="6">
                  <c:v>4.9407114624505928E-2</c:v>
                </c:pt>
                <c:pt idx="7">
                  <c:v>3.5573122529644272E-2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E-4DE7-85AE-C57305408A25}"/>
            </c:ext>
          </c:extLst>
        </c:ser>
        <c:ser>
          <c:idx val="1"/>
          <c:order val="1"/>
          <c:tx>
            <c:strRef>
              <c:f>grafos!$F$240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grafos!$C$250:$C$257</c:f>
              <c:strCache>
                <c:ptCount val="8"/>
                <c:pt idx="0">
                  <c:v>Áreas sin iluminación</c:v>
                </c:pt>
                <c:pt idx="1">
                  <c:v>Daño a la propiedad pública y privada</c:v>
                </c:pt>
                <c:pt idx="2">
                  <c:v>Grafitis no artisticos que le molestan</c:v>
                </c:pt>
                <c:pt idx="3">
                  <c:v>Peleas o riñas</c:v>
                </c:pt>
                <c:pt idx="4">
                  <c:v>Venta de drogas</c:v>
                </c:pt>
                <c:pt idx="5">
                  <c:v>Venta de alcohol</c:v>
                </c:pt>
                <c:pt idx="6">
                  <c:v>Alguna otra que no se haya mencionado</c:v>
                </c:pt>
                <c:pt idx="7">
                  <c:v>Trabajo sexual (prostitución)</c:v>
                </c:pt>
              </c:strCache>
            </c:strRef>
          </c:cat>
          <c:val>
            <c:numRef>
              <c:f>grafos!$F$250:$F$257</c:f>
              <c:numCache>
                <c:formatCode>0.00%</c:formatCode>
                <c:ptCount val="8"/>
                <c:pt idx="0">
                  <c:v>0.62055335968379444</c:v>
                </c:pt>
                <c:pt idx="1">
                  <c:v>0.73913043478260865</c:v>
                </c:pt>
                <c:pt idx="2">
                  <c:v>0.75494071146245056</c:v>
                </c:pt>
                <c:pt idx="3">
                  <c:v>0.80237154150197632</c:v>
                </c:pt>
                <c:pt idx="4">
                  <c:v>0.87747035573122534</c:v>
                </c:pt>
                <c:pt idx="5">
                  <c:v>0.90316205533596838</c:v>
                </c:pt>
                <c:pt idx="6">
                  <c:v>0.95059288537549402</c:v>
                </c:pt>
                <c:pt idx="7">
                  <c:v>0.9486166007905138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E-4DE7-85AE-C57305408A25}"/>
            </c:ext>
          </c:extLst>
        </c:ser>
        <c:ser>
          <c:idx val="2"/>
          <c:order val="2"/>
          <c:tx>
            <c:strRef>
              <c:f>grafos!$G$240</c:f>
              <c:strCache>
                <c:ptCount val="1"/>
                <c:pt idx="0">
                  <c:v>Ns/Nc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grafos!$C$250:$C$257</c:f>
              <c:strCache>
                <c:ptCount val="8"/>
                <c:pt idx="0">
                  <c:v>Áreas sin iluminación</c:v>
                </c:pt>
                <c:pt idx="1">
                  <c:v>Daño a la propiedad pública y privada</c:v>
                </c:pt>
                <c:pt idx="2">
                  <c:v>Grafitis no artisticos que le molestan</c:v>
                </c:pt>
                <c:pt idx="3">
                  <c:v>Peleas o riñas</c:v>
                </c:pt>
                <c:pt idx="4">
                  <c:v>Venta de drogas</c:v>
                </c:pt>
                <c:pt idx="5">
                  <c:v>Venta de alcohol</c:v>
                </c:pt>
                <c:pt idx="6">
                  <c:v>Alguna otra que no se haya mencionado</c:v>
                </c:pt>
                <c:pt idx="7">
                  <c:v>Trabajo sexual (prostitución)</c:v>
                </c:pt>
              </c:strCache>
            </c:strRef>
          </c:cat>
          <c:val>
            <c:numRef>
              <c:f>grafos!$G$250:$G$257</c:f>
              <c:numCache>
                <c:formatCode>0.00%</c:formatCode>
                <c:ptCount val="8"/>
                <c:pt idx="0">
                  <c:v>9.0909090909090912E-2</c:v>
                </c:pt>
                <c:pt idx="1">
                  <c:v>3.952569169960474E-3</c:v>
                </c:pt>
                <c:pt idx="2">
                  <c:v>1.976284584980237E-3</c:v>
                </c:pt>
                <c:pt idx="3">
                  <c:v>9.881422924901186E-3</c:v>
                </c:pt>
                <c:pt idx="4">
                  <c:v>1.976284584980237E-3</c:v>
                </c:pt>
                <c:pt idx="5">
                  <c:v>1.976284584980237E-3</c:v>
                </c:pt>
                <c:pt idx="7">
                  <c:v>1.5810276679841896E-2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E-4B25-93AE-42BF1E6DAA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endParaRPr lang="es-EC"/>
          </a:p>
        </c:txPr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spc="0" baseline="0">
                <a:solidFill>
                  <a:schemeClr val="tx1"/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es-EC" sz="1050" b="1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1" i="0" u="none" strike="noStrike" kern="1200" spc="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grafos!$E$260</c:f>
              <c:strCache>
                <c:ptCount val="1"/>
                <c:pt idx="0">
                  <c:v>Poco frecuente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grafos!$C$270:$C$277</c:f>
              <c:strCache>
                <c:ptCount val="8"/>
                <c:pt idx="0">
                  <c:v>Áreas sin iluminación</c:v>
                </c:pt>
                <c:pt idx="1">
                  <c:v>Daño a la propiedad pública y privada</c:v>
                </c:pt>
                <c:pt idx="2">
                  <c:v>Grafitis no artisticos que le molestan</c:v>
                </c:pt>
                <c:pt idx="3">
                  <c:v>Peleas o riñas</c:v>
                </c:pt>
                <c:pt idx="4">
                  <c:v>Venta de drogas</c:v>
                </c:pt>
                <c:pt idx="5">
                  <c:v>Venta de alcohol</c:v>
                </c:pt>
                <c:pt idx="6">
                  <c:v>Alguna otra que no se haya mencionado</c:v>
                </c:pt>
                <c:pt idx="7">
                  <c:v>Trabajo sexual (prostitución)</c:v>
                </c:pt>
              </c:strCache>
            </c:strRef>
          </c:cat>
          <c:val>
            <c:numRef>
              <c:f>grafos!$E$270:$E$277</c:f>
              <c:numCache>
                <c:formatCode>0.00%</c:formatCode>
                <c:ptCount val="8"/>
                <c:pt idx="0">
                  <c:v>0.33561643835616439</c:v>
                </c:pt>
                <c:pt idx="1">
                  <c:v>0.53846153846153844</c:v>
                </c:pt>
                <c:pt idx="2">
                  <c:v>0.45528455284552843</c:v>
                </c:pt>
                <c:pt idx="3">
                  <c:v>0.64210526315789473</c:v>
                </c:pt>
                <c:pt idx="4">
                  <c:v>0.32786885245901637</c:v>
                </c:pt>
                <c:pt idx="5">
                  <c:v>0.52083333333333337</c:v>
                </c:pt>
                <c:pt idx="6">
                  <c:v>0.26923076923076922</c:v>
                </c:pt>
                <c:pt idx="7">
                  <c:v>0.55555555555555558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B-47EF-8DA5-F6D2A72A1F91}"/>
            </c:ext>
          </c:extLst>
        </c:ser>
        <c:ser>
          <c:idx val="1"/>
          <c:order val="1"/>
          <c:tx>
            <c:strRef>
              <c:f>grafos!$F$260</c:f>
              <c:strCache>
                <c:ptCount val="1"/>
                <c:pt idx="0">
                  <c:v>Frecuente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grafos!$C$270:$C$277</c:f>
              <c:strCache>
                <c:ptCount val="8"/>
                <c:pt idx="0">
                  <c:v>Áreas sin iluminación</c:v>
                </c:pt>
                <c:pt idx="1">
                  <c:v>Daño a la propiedad pública y privada</c:v>
                </c:pt>
                <c:pt idx="2">
                  <c:v>Grafitis no artisticos que le molestan</c:v>
                </c:pt>
                <c:pt idx="3">
                  <c:v>Peleas o riñas</c:v>
                </c:pt>
                <c:pt idx="4">
                  <c:v>Venta de drogas</c:v>
                </c:pt>
                <c:pt idx="5">
                  <c:v>Venta de alcohol</c:v>
                </c:pt>
                <c:pt idx="6">
                  <c:v>Alguna otra que no se haya mencionado</c:v>
                </c:pt>
                <c:pt idx="7">
                  <c:v>Trabajo sexual (prostitución)</c:v>
                </c:pt>
              </c:strCache>
            </c:strRef>
          </c:cat>
          <c:val>
            <c:numRef>
              <c:f>grafos!$F$270:$F$277</c:f>
              <c:numCache>
                <c:formatCode>0.00%</c:formatCode>
                <c:ptCount val="8"/>
                <c:pt idx="0">
                  <c:v>0.47945205479452052</c:v>
                </c:pt>
                <c:pt idx="1">
                  <c:v>0.3923076923076923</c:v>
                </c:pt>
                <c:pt idx="2">
                  <c:v>0.4065040650406504</c:v>
                </c:pt>
                <c:pt idx="3">
                  <c:v>0.3473684210526316</c:v>
                </c:pt>
                <c:pt idx="4">
                  <c:v>0.42622950819672129</c:v>
                </c:pt>
                <c:pt idx="5">
                  <c:v>0.35416666666666669</c:v>
                </c:pt>
                <c:pt idx="6">
                  <c:v>0.46153846153846156</c:v>
                </c:pt>
                <c:pt idx="7">
                  <c:v>0.3888888888888889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1B-47EF-8DA5-F6D2A72A1F91}"/>
            </c:ext>
          </c:extLst>
        </c:ser>
        <c:ser>
          <c:idx val="2"/>
          <c:order val="2"/>
          <c:tx>
            <c:strRef>
              <c:f>grafos!$G$260</c:f>
              <c:strCache>
                <c:ptCount val="1"/>
                <c:pt idx="0">
                  <c:v>Muy frecuente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s-EC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grafos!$C$270:$C$277</c:f>
              <c:strCache>
                <c:ptCount val="8"/>
                <c:pt idx="0">
                  <c:v>Áreas sin iluminación</c:v>
                </c:pt>
                <c:pt idx="1">
                  <c:v>Daño a la propiedad pública y privada</c:v>
                </c:pt>
                <c:pt idx="2">
                  <c:v>Grafitis no artisticos que le molestan</c:v>
                </c:pt>
                <c:pt idx="3">
                  <c:v>Peleas o riñas</c:v>
                </c:pt>
                <c:pt idx="4">
                  <c:v>Venta de drogas</c:v>
                </c:pt>
                <c:pt idx="5">
                  <c:v>Venta de alcohol</c:v>
                </c:pt>
                <c:pt idx="6">
                  <c:v>Alguna otra que no se haya mencionado</c:v>
                </c:pt>
                <c:pt idx="7">
                  <c:v>Trabajo sexual (prostitución)</c:v>
                </c:pt>
              </c:strCache>
            </c:strRef>
          </c:cat>
          <c:val>
            <c:numRef>
              <c:f>grafos!$G$270:$G$277</c:f>
              <c:numCache>
                <c:formatCode>0.00%</c:formatCode>
                <c:ptCount val="8"/>
                <c:pt idx="0">
                  <c:v>0.18493150684931506</c:v>
                </c:pt>
                <c:pt idx="1">
                  <c:v>6.9230769230769235E-2</c:v>
                </c:pt>
                <c:pt idx="2">
                  <c:v>0.13821138211382114</c:v>
                </c:pt>
                <c:pt idx="3">
                  <c:v>1.0526315789473684E-2</c:v>
                </c:pt>
                <c:pt idx="4">
                  <c:v>0.24590163934426229</c:v>
                </c:pt>
                <c:pt idx="5">
                  <c:v>0.125</c:v>
                </c:pt>
                <c:pt idx="6">
                  <c:v>0.26923076923076922</c:v>
                </c:pt>
                <c:pt idx="7">
                  <c:v>5.5555555555555552E-2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11B-47EF-8DA5-F6D2A72A1F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0"/>
        <c:overlap val="100"/>
        <c:axId val="1502078080"/>
        <c:axId val="1502065184"/>
      </c:barChart>
      <c:catAx>
        <c:axId val="1502078080"/>
        <c:scaling>
          <c:orientation val="maxMin"/>
        </c:scaling>
        <c:delete val="1"/>
        <c:axPos val="l"/>
        <c:numFmt formatCode="General" sourceLinked="1"/>
        <c:majorTickMark val="none"/>
        <c:minorTickMark val="none"/>
        <c:tickLblPos val="nextTo"/>
        <c:crossAx val="1502065184"/>
        <c:crosses val="autoZero"/>
        <c:auto val="1"/>
        <c:lblAlgn val="ctr"/>
        <c:lblOffset val="100"/>
        <c:noMultiLvlLbl val="0"/>
      </c:catAx>
      <c:valAx>
        <c:axId val="1502065184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50207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Montserrat" pitchFamily="2" charset="0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solidFill>
            <a:schemeClr val="tx1"/>
          </a:solidFill>
          <a:latin typeface="Montserrat" pitchFamily="2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50000"/>
            <a:lumOff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4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962585</xdr:colOff>
      <xdr:row>7</xdr:row>
      <xdr:rowOff>76199</xdr:rowOff>
    </xdr:from>
    <xdr:to>
      <xdr:col>7</xdr:col>
      <xdr:colOff>1074150</xdr:colOff>
      <xdr:row>31</xdr:row>
      <xdr:rowOff>44269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0DDA15-A020-D65B-14DD-9D3DDD7E60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152400</xdr:rowOff>
    </xdr:from>
    <xdr:to>
      <xdr:col>6</xdr:col>
      <xdr:colOff>136340</xdr:colOff>
      <xdr:row>2</xdr:row>
      <xdr:rowOff>171510</xdr:rowOff>
    </xdr:to>
    <xdr:sp macro="" textlink="">
      <xdr:nvSpPr>
        <xdr:cNvPr id="3" name="CuadroTexto 8">
          <a:extLst>
            <a:ext uri="{FF2B5EF4-FFF2-40B4-BE49-F238E27FC236}">
              <a16:creationId xmlns:a16="http://schemas.microsoft.com/office/drawing/2014/main" id="{D5B94874-3B40-99EF-31FA-0A4CB9921839}"/>
            </a:ext>
          </a:extLst>
        </xdr:cNvPr>
        <xdr:cNvSpPr txBox="1"/>
      </xdr:nvSpPr>
      <xdr:spPr>
        <a:xfrm>
          <a:off x="0" y="152400"/>
          <a:ext cx="4708340" cy="400110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Percepción de Inseguridad</a:t>
          </a:r>
          <a:endParaRPr lang="es-EC" sz="20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25</xdr:col>
      <xdr:colOff>68379</xdr:colOff>
      <xdr:row>28</xdr:row>
      <xdr:rowOff>2447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B16FFFC-D6F0-89C3-4334-70E017E81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23360</xdr:colOff>
      <xdr:row>33</xdr:row>
      <xdr:rowOff>120601</xdr:rowOff>
    </xdr:from>
    <xdr:to>
      <xdr:col>10</xdr:col>
      <xdr:colOff>925281</xdr:colOff>
      <xdr:row>65</xdr:row>
      <xdr:rowOff>34010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D938D2-6467-A012-6534-42C92CCF0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6</xdr:col>
      <xdr:colOff>136340</xdr:colOff>
      <xdr:row>32</xdr:row>
      <xdr:rowOff>19110</xdr:rowOff>
    </xdr:to>
    <xdr:sp macro="" textlink="">
      <xdr:nvSpPr>
        <xdr:cNvPr id="6" name="CuadroTexto 21">
          <a:extLst>
            <a:ext uri="{FF2B5EF4-FFF2-40B4-BE49-F238E27FC236}">
              <a16:creationId xmlns:a16="http://schemas.microsoft.com/office/drawing/2014/main" id="{5162ACD1-2D10-35FF-B238-7D8474A36ECC}"/>
            </a:ext>
          </a:extLst>
        </xdr:cNvPr>
        <xdr:cNvSpPr txBox="1"/>
      </xdr:nvSpPr>
      <xdr:spPr>
        <a:xfrm>
          <a:off x="0" y="5715000"/>
          <a:ext cx="4708340" cy="400110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Percepción de Inseguridad</a:t>
          </a:r>
          <a:endParaRPr lang="es-EC" sz="20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0</xdr:colOff>
      <xdr:row>95</xdr:row>
      <xdr:rowOff>0</xdr:rowOff>
    </xdr:from>
    <xdr:to>
      <xdr:col>6</xdr:col>
      <xdr:colOff>347286</xdr:colOff>
      <xdr:row>97</xdr:row>
      <xdr:rowOff>9340</xdr:rowOff>
    </xdr:to>
    <xdr:sp macro="" textlink="">
      <xdr:nvSpPr>
        <xdr:cNvPr id="7" name="CuadroTexto 7">
          <a:extLst>
            <a:ext uri="{FF2B5EF4-FFF2-40B4-BE49-F238E27FC236}">
              <a16:creationId xmlns:a16="http://schemas.microsoft.com/office/drawing/2014/main" id="{62F4C285-AB11-F4D9-C9EC-3327ACC898F5}"/>
            </a:ext>
          </a:extLst>
        </xdr:cNvPr>
        <xdr:cNvSpPr txBox="1"/>
      </xdr:nvSpPr>
      <xdr:spPr>
        <a:xfrm>
          <a:off x="757115" y="18561538"/>
          <a:ext cx="4132863" cy="400110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Cambio de hábitos</a:t>
          </a:r>
          <a:endParaRPr lang="es-EC" sz="20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158750</xdr:colOff>
      <xdr:row>98</xdr:row>
      <xdr:rowOff>122116</xdr:rowOff>
    </xdr:from>
    <xdr:to>
      <xdr:col>8</xdr:col>
      <xdr:colOff>634999</xdr:colOff>
      <xdr:row>126</xdr:row>
      <xdr:rowOff>3180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1DDDB79-92B2-4BDC-120B-9694EF2C8D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128</xdr:row>
      <xdr:rowOff>0</xdr:rowOff>
    </xdr:from>
    <xdr:to>
      <xdr:col>10</xdr:col>
      <xdr:colOff>122115</xdr:colOff>
      <xdr:row>155</xdr:row>
      <xdr:rowOff>76449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A4F36F4-4D51-4652-B5D9-0D3317F4A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121227</xdr:colOff>
      <xdr:row>149</xdr:row>
      <xdr:rowOff>103909</xdr:rowOff>
    </xdr:from>
    <xdr:to>
      <xdr:col>18</xdr:col>
      <xdr:colOff>316745</xdr:colOff>
      <xdr:row>157</xdr:row>
      <xdr:rowOff>45977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265563CA-6846-4B0F-90A3-880D08CAE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165</xdr:row>
      <xdr:rowOff>0</xdr:rowOff>
    </xdr:from>
    <xdr:to>
      <xdr:col>4</xdr:col>
      <xdr:colOff>735710</xdr:colOff>
      <xdr:row>167</xdr:row>
      <xdr:rowOff>9341</xdr:rowOff>
    </xdr:to>
    <xdr:sp macro="" textlink="">
      <xdr:nvSpPr>
        <xdr:cNvPr id="14" name="CuadroTexto 7">
          <a:extLst>
            <a:ext uri="{FF2B5EF4-FFF2-40B4-BE49-F238E27FC236}">
              <a16:creationId xmlns:a16="http://schemas.microsoft.com/office/drawing/2014/main" id="{9D0CF381-C49E-4AD6-C784-E5B9394DE77F}"/>
            </a:ext>
          </a:extLst>
        </xdr:cNvPr>
        <xdr:cNvSpPr txBox="1"/>
      </xdr:nvSpPr>
      <xdr:spPr>
        <a:xfrm>
          <a:off x="0" y="37709231"/>
          <a:ext cx="3764172" cy="400110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Victimización</a:t>
          </a:r>
          <a:endParaRPr lang="es-EC" sz="105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290635</xdr:colOff>
      <xdr:row>169</xdr:row>
      <xdr:rowOff>8305</xdr:rowOff>
    </xdr:from>
    <xdr:to>
      <xdr:col>6</xdr:col>
      <xdr:colOff>319943</xdr:colOff>
      <xdr:row>183</xdr:row>
      <xdr:rowOff>16120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8C741F6-B7EC-F087-26E5-6C462531B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184</xdr:row>
      <xdr:rowOff>0</xdr:rowOff>
    </xdr:from>
    <xdr:to>
      <xdr:col>6</xdr:col>
      <xdr:colOff>694144</xdr:colOff>
      <xdr:row>206</xdr:row>
      <xdr:rowOff>129192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32951C47-8430-4E92-4977-4422623F71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158750</xdr:colOff>
      <xdr:row>189</xdr:row>
      <xdr:rowOff>24423</xdr:rowOff>
    </xdr:from>
    <xdr:to>
      <xdr:col>14</xdr:col>
      <xdr:colOff>1129393</xdr:colOff>
      <xdr:row>209</xdr:row>
      <xdr:rowOff>42379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1F5A38A-16B8-AD33-D7ED-BAAD82FF30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213</xdr:row>
      <xdr:rowOff>0</xdr:rowOff>
    </xdr:from>
    <xdr:to>
      <xdr:col>5</xdr:col>
      <xdr:colOff>680710</xdr:colOff>
      <xdr:row>215</xdr:row>
      <xdr:rowOff>9340</xdr:rowOff>
    </xdr:to>
    <xdr:sp macro="" textlink="">
      <xdr:nvSpPr>
        <xdr:cNvPr id="22" name="CuadroTexto 7">
          <a:extLst>
            <a:ext uri="{FF2B5EF4-FFF2-40B4-BE49-F238E27FC236}">
              <a16:creationId xmlns:a16="http://schemas.microsoft.com/office/drawing/2014/main" id="{7D633409-C1E4-4EA7-B5D3-CB9FCCB62459}"/>
            </a:ext>
          </a:extLst>
        </xdr:cNvPr>
        <xdr:cNvSpPr txBox="1"/>
      </xdr:nvSpPr>
      <xdr:spPr>
        <a:xfrm>
          <a:off x="0" y="47087692"/>
          <a:ext cx="4466287" cy="400110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Convivencia Ciudadana</a:t>
          </a:r>
          <a:endParaRPr lang="es-EC" sz="200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0</xdr:colOff>
      <xdr:row>315</xdr:row>
      <xdr:rowOff>0</xdr:rowOff>
    </xdr:from>
    <xdr:to>
      <xdr:col>4</xdr:col>
      <xdr:colOff>552651</xdr:colOff>
      <xdr:row>317</xdr:row>
      <xdr:rowOff>9341</xdr:rowOff>
    </xdr:to>
    <xdr:sp macro="" textlink="">
      <xdr:nvSpPr>
        <xdr:cNvPr id="23" name="CuadroTexto 1">
          <a:extLst>
            <a:ext uri="{FF2B5EF4-FFF2-40B4-BE49-F238E27FC236}">
              <a16:creationId xmlns:a16="http://schemas.microsoft.com/office/drawing/2014/main" id="{D17BE229-9A0E-BB30-DBB1-3241C889C617}"/>
            </a:ext>
          </a:extLst>
        </xdr:cNvPr>
        <xdr:cNvSpPr txBox="1"/>
      </xdr:nvSpPr>
      <xdr:spPr>
        <a:xfrm>
          <a:off x="0" y="68128173"/>
          <a:ext cx="4533613" cy="400110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Satisfacción de servicios</a:t>
          </a:r>
          <a:endParaRPr lang="es-EC" sz="105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0</xdr:colOff>
      <xdr:row>374</xdr:row>
      <xdr:rowOff>0</xdr:rowOff>
    </xdr:from>
    <xdr:to>
      <xdr:col>4</xdr:col>
      <xdr:colOff>552651</xdr:colOff>
      <xdr:row>376</xdr:row>
      <xdr:rowOff>14214</xdr:rowOff>
    </xdr:to>
    <xdr:sp macro="" textlink="">
      <xdr:nvSpPr>
        <xdr:cNvPr id="24" name="CuadroTexto 1">
          <a:extLst>
            <a:ext uri="{FF2B5EF4-FFF2-40B4-BE49-F238E27FC236}">
              <a16:creationId xmlns:a16="http://schemas.microsoft.com/office/drawing/2014/main" id="{724DB838-7F84-4948-8EAC-F992E14315CD}"/>
            </a:ext>
          </a:extLst>
        </xdr:cNvPr>
        <xdr:cNvSpPr txBox="1"/>
      </xdr:nvSpPr>
      <xdr:spPr>
        <a:xfrm>
          <a:off x="0" y="80071058"/>
          <a:ext cx="4533613" cy="404983"/>
        </a:xfrm>
        <a:prstGeom prst="rect">
          <a:avLst/>
        </a:prstGeom>
        <a:solidFill>
          <a:srgbClr val="002060"/>
        </a:solidFill>
      </xdr:spPr>
      <xdr:txBody>
        <a:bodyPr wrap="square" rtlCol="0">
          <a:spAutoFit/>
        </a:bodyPr>
        <a:lstStyle>
          <a:defPPr>
            <a:defRPr lang="es-EC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2000" b="1">
              <a:solidFill>
                <a:schemeClr val="bg1"/>
              </a:solidFill>
              <a:latin typeface="Montserrat" panose="00000500000000000000" pitchFamily="2" charset="0"/>
            </a:rPr>
            <a:t>Población Flotante </a:t>
          </a:r>
          <a:r>
            <a:rPr lang="es-ES" sz="1050" b="1">
              <a:solidFill>
                <a:schemeClr val="bg1"/>
              </a:solidFill>
              <a:latin typeface="Montserrat" panose="00000500000000000000" pitchFamily="2" charset="0"/>
            </a:rPr>
            <a:t>Porte</a:t>
          </a:r>
          <a:r>
            <a:rPr lang="es-ES" sz="1050" b="1" baseline="0">
              <a:solidFill>
                <a:schemeClr val="bg1"/>
              </a:solidFill>
              <a:latin typeface="Montserrat" panose="00000500000000000000" pitchFamily="2" charset="0"/>
            </a:rPr>
            <a:t> de armas</a:t>
          </a:r>
          <a:endParaRPr lang="es-EC" sz="1050" b="1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</xdr:col>
      <xdr:colOff>0</xdr:colOff>
      <xdr:row>379</xdr:row>
      <xdr:rowOff>0</xdr:rowOff>
    </xdr:from>
    <xdr:to>
      <xdr:col>6</xdr:col>
      <xdr:colOff>241407</xdr:colOff>
      <xdr:row>399</xdr:row>
      <xdr:rowOff>17956</xdr:rowOff>
    </xdr:to>
    <xdr:graphicFrame macro="">
      <xdr:nvGraphicFramePr>
        <xdr:cNvPr id="25" name="Gráfico 24">
          <a:extLst>
            <a:ext uri="{FF2B5EF4-FFF2-40B4-BE49-F238E27FC236}">
              <a16:creationId xmlns:a16="http://schemas.microsoft.com/office/drawing/2014/main" id="{27A84875-4A18-42F5-B5B1-52E9D0A3B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687509</xdr:colOff>
      <xdr:row>399</xdr:row>
      <xdr:rowOff>179266</xdr:rowOff>
    </xdr:from>
    <xdr:to>
      <xdr:col>5</xdr:col>
      <xdr:colOff>521432</xdr:colOff>
      <xdr:row>413</xdr:row>
      <xdr:rowOff>187081</xdr:rowOff>
    </xdr:to>
    <xdr:graphicFrame macro="">
      <xdr:nvGraphicFramePr>
        <xdr:cNvPr id="26" name="Gráfico 25">
          <a:extLst>
            <a:ext uri="{FF2B5EF4-FFF2-40B4-BE49-F238E27FC236}">
              <a16:creationId xmlns:a16="http://schemas.microsoft.com/office/drawing/2014/main" id="{33C8CBED-2D7E-4384-E849-3DAE136E47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</xdr:col>
      <xdr:colOff>577606</xdr:colOff>
      <xdr:row>415</xdr:row>
      <xdr:rowOff>105996</xdr:rowOff>
    </xdr:from>
    <xdr:to>
      <xdr:col>6</xdr:col>
      <xdr:colOff>411529</xdr:colOff>
      <xdr:row>429</xdr:row>
      <xdr:rowOff>113811</xdr:rowOff>
    </xdr:to>
    <xdr:graphicFrame macro="">
      <xdr:nvGraphicFramePr>
        <xdr:cNvPr id="27" name="Gráfico 26">
          <a:extLst>
            <a:ext uri="{FF2B5EF4-FFF2-40B4-BE49-F238E27FC236}">
              <a16:creationId xmlns:a16="http://schemas.microsoft.com/office/drawing/2014/main" id="{F2A38CAC-1265-58E3-A15C-C66DC69664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14</xdr:col>
      <xdr:colOff>247893</xdr:colOff>
      <xdr:row>425</xdr:row>
      <xdr:rowOff>97693</xdr:rowOff>
    </xdr:from>
    <xdr:to>
      <xdr:col>18</xdr:col>
      <xdr:colOff>1160096</xdr:colOff>
      <xdr:row>445</xdr:row>
      <xdr:rowOff>24423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1C986207-AD76-1DB1-099D-5154626512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14</xdr:col>
      <xdr:colOff>718736</xdr:colOff>
      <xdr:row>445</xdr:row>
      <xdr:rowOff>138793</xdr:rowOff>
    </xdr:from>
    <xdr:to>
      <xdr:col>18</xdr:col>
      <xdr:colOff>1624833</xdr:colOff>
      <xdr:row>460</xdr:row>
      <xdr:rowOff>106066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6CBF8F3D-264A-6CAD-9ABC-462402041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414494</xdr:colOff>
      <xdr:row>461</xdr:row>
      <xdr:rowOff>44937</xdr:rowOff>
    </xdr:from>
    <xdr:to>
      <xdr:col>19</xdr:col>
      <xdr:colOff>25470</xdr:colOff>
      <xdr:row>480</xdr:row>
      <xdr:rowOff>36634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9393FA2-9AE6-3CF8-4372-C8DB863E2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565567</xdr:colOff>
      <xdr:row>481</xdr:row>
      <xdr:rowOff>36565</xdr:rowOff>
    </xdr:from>
    <xdr:to>
      <xdr:col>19</xdr:col>
      <xdr:colOff>176543</xdr:colOff>
      <xdr:row>500</xdr:row>
      <xdr:rowOff>64895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6AB9D0A5-EAD0-B065-ADBA-9F6CBF2E9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14</xdr:col>
      <xdr:colOff>1023326</xdr:colOff>
      <xdr:row>497</xdr:row>
      <xdr:rowOff>191477</xdr:rowOff>
    </xdr:from>
    <xdr:to>
      <xdr:col>18</xdr:col>
      <xdr:colOff>1028211</xdr:colOff>
      <xdr:row>512</xdr:row>
      <xdr:rowOff>3907</xdr:rowOff>
    </xdr:to>
    <xdr:graphicFrame macro="">
      <xdr:nvGraphicFramePr>
        <xdr:cNvPr id="29" name="Gráfico 28">
          <a:extLst>
            <a:ext uri="{FF2B5EF4-FFF2-40B4-BE49-F238E27FC236}">
              <a16:creationId xmlns:a16="http://schemas.microsoft.com/office/drawing/2014/main" id="{B0A7BABF-2C06-23FA-001D-168537B448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180730</xdr:colOff>
      <xdr:row>498</xdr:row>
      <xdr:rowOff>20516</xdr:rowOff>
    </xdr:from>
    <xdr:to>
      <xdr:col>17</xdr:col>
      <xdr:colOff>1040423</xdr:colOff>
      <xdr:row>512</xdr:row>
      <xdr:rowOff>28331</xdr:rowOff>
    </xdr:to>
    <xdr:graphicFrame macro="">
      <xdr:nvGraphicFramePr>
        <xdr:cNvPr id="30" name="Gráfico 29">
          <a:extLst>
            <a:ext uri="{FF2B5EF4-FFF2-40B4-BE49-F238E27FC236}">
              <a16:creationId xmlns:a16="http://schemas.microsoft.com/office/drawing/2014/main" id="{21A9024C-3D1C-146D-E352-3597C73DB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35</xdr:col>
      <xdr:colOff>675411</xdr:colOff>
      <xdr:row>91</xdr:row>
      <xdr:rowOff>51954</xdr:rowOff>
    </xdr:from>
    <xdr:to>
      <xdr:col>43</xdr:col>
      <xdr:colOff>346366</xdr:colOff>
      <xdr:row>106</xdr:row>
      <xdr:rowOff>106356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5620AF95-6BB3-4126-A700-BD79C5F3D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35</xdr:col>
      <xdr:colOff>692727</xdr:colOff>
      <xdr:row>106</xdr:row>
      <xdr:rowOff>138545</xdr:rowOff>
    </xdr:from>
    <xdr:to>
      <xdr:col>43</xdr:col>
      <xdr:colOff>363682</xdr:colOff>
      <xdr:row>122</xdr:row>
      <xdr:rowOff>2447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9C6396C0-A36B-4D01-A59D-C2F652EFAD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35</xdr:col>
      <xdr:colOff>710045</xdr:colOff>
      <xdr:row>122</xdr:row>
      <xdr:rowOff>103909</xdr:rowOff>
    </xdr:from>
    <xdr:to>
      <xdr:col>43</xdr:col>
      <xdr:colOff>381000</xdr:colOff>
      <xdr:row>127</xdr:row>
      <xdr:rowOff>0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472D8183-8AC4-4DFE-A798-51D209B04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</xdr:col>
      <xdr:colOff>666747</xdr:colOff>
      <xdr:row>334</xdr:row>
      <xdr:rowOff>122463</xdr:rowOff>
    </xdr:from>
    <xdr:to>
      <xdr:col>10</xdr:col>
      <xdr:colOff>1782535</xdr:colOff>
      <xdr:row>353</xdr:row>
      <xdr:rowOff>122465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E3D6124-2497-4895-ABFA-F7626737C6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136071</xdr:colOff>
      <xdr:row>354</xdr:row>
      <xdr:rowOff>122465</xdr:rowOff>
    </xdr:from>
    <xdr:to>
      <xdr:col>11</xdr:col>
      <xdr:colOff>54430</xdr:colOff>
      <xdr:row>374</xdr:row>
      <xdr:rowOff>81645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3849B78-E2BE-44F7-AE26-072A8C3EE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13</xdr:col>
      <xdr:colOff>710045</xdr:colOff>
      <xdr:row>220</xdr:row>
      <xdr:rowOff>86592</xdr:rowOff>
    </xdr:from>
    <xdr:to>
      <xdr:col>19</xdr:col>
      <xdr:colOff>249878</xdr:colOff>
      <xdr:row>237</xdr:row>
      <xdr:rowOff>155866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1575AEA-5CCC-41F5-A413-F3A88642D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20</xdr:col>
      <xdr:colOff>190501</xdr:colOff>
      <xdr:row>219</xdr:row>
      <xdr:rowOff>207818</xdr:rowOff>
    </xdr:from>
    <xdr:to>
      <xdr:col>27</xdr:col>
      <xdr:colOff>232561</xdr:colOff>
      <xdr:row>240</xdr:row>
      <xdr:rowOff>1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40173AC6-69C7-4466-A635-A12359AE3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19</xdr:col>
      <xdr:colOff>357498</xdr:colOff>
      <xdr:row>454</xdr:row>
      <xdr:rowOff>47253</xdr:rowOff>
    </xdr:from>
    <xdr:to>
      <xdr:col>29</xdr:col>
      <xdr:colOff>145969</xdr:colOff>
      <xdr:row>479</xdr:row>
      <xdr:rowOff>102671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95A455CA-EFCB-F108-3F07-7AA8BFB2F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7</xdr:col>
      <xdr:colOff>381000</xdr:colOff>
      <xdr:row>420</xdr:row>
      <xdr:rowOff>173181</xdr:rowOff>
    </xdr:from>
    <xdr:to>
      <xdr:col>10</xdr:col>
      <xdr:colOff>509333</xdr:colOff>
      <xdr:row>434</xdr:row>
      <xdr:rowOff>180996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3C134C28-C67C-4E3B-8A84-D2E8F6F753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10</xdr:col>
      <xdr:colOff>1368136</xdr:colOff>
      <xdr:row>414</xdr:row>
      <xdr:rowOff>86591</xdr:rowOff>
    </xdr:from>
    <xdr:to>
      <xdr:col>15</xdr:col>
      <xdr:colOff>405424</xdr:colOff>
      <xdr:row>428</xdr:row>
      <xdr:rowOff>94406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4B979EA6-5A76-4EC0-86EC-F187A5DC1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14</xdr:col>
      <xdr:colOff>1</xdr:colOff>
      <xdr:row>237</xdr:row>
      <xdr:rowOff>173182</xdr:rowOff>
    </xdr:from>
    <xdr:to>
      <xdr:col>19</xdr:col>
      <xdr:colOff>319152</xdr:colOff>
      <xdr:row>257</xdr:row>
      <xdr:rowOff>173184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4ED8F38B-BBD0-4DA5-8FAC-C59D9E7BE4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241</xdr:row>
      <xdr:rowOff>0</xdr:rowOff>
    </xdr:from>
    <xdr:to>
      <xdr:col>27</xdr:col>
      <xdr:colOff>42060</xdr:colOff>
      <xdr:row>260</xdr:row>
      <xdr:rowOff>171332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D95C6702-D496-4F05-8468-2121857774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rman" refreshedDate="45775.922032407405" createdVersion="8" refreshedVersion="8" minRefreshableVersion="3" recordCount="506">
  <cacheSource type="worksheet">
    <worksheetSource ref="A1:HN507" sheet="Sheet1"/>
  </cacheSource>
  <cacheFields count="222">
    <cacheField name="start" numFmtId="164">
      <sharedItems containsSemiMixedTypes="0" containsNonDate="0" containsDate="1" containsString="0" minDate="2025-04-02T11:46:44" maxDate="2025-04-27T14:25:09"/>
    </cacheField>
    <cacheField name="end" numFmtId="164">
      <sharedItems containsSemiMixedTypes="0" containsNonDate="0" containsDate="1" containsString="0" minDate="2025-04-02T11:56:16" maxDate="2025-04-27T14:28:58"/>
    </cacheField>
    <cacheField name="Digitador" numFmtId="0">
      <sharedItems/>
    </cacheField>
    <cacheField name="Cuestionario No." numFmtId="0">
      <sharedItems containsSemiMixedTypes="0" containsString="0" containsNumber="1" containsInteger="1" minValue="1" maxValue="503"/>
    </cacheField>
    <cacheField name="Fecha:" numFmtId="164">
      <sharedItems containsSemiMixedTypes="0" containsNonDate="0" containsDate="1" containsString="0" minDate="2025-02-16T00:00:00" maxDate="2025-04-17T00:00:00"/>
    </cacheField>
    <cacheField name="Grupo:" numFmtId="0">
      <sharedItems containsSemiMixedTypes="0" containsString="0" containsNumber="1" containsInteger="1" minValue="1" maxValue="5"/>
    </cacheField>
    <cacheField name="Encuestador:" numFmtId="0">
      <sharedItems/>
    </cacheField>
    <cacheField name="Supervisor:" numFmtId="0">
      <sharedItems containsBlank="1"/>
    </cacheField>
    <cacheField name="PF.1 ¿Cuántos años tiene?" numFmtId="0">
      <sharedItems containsSemiMixedTypes="0" containsString="0" containsNumber="1" containsInteger="1" minValue="18" maxValue="84"/>
    </cacheField>
    <cacheField name="rango_etario" numFmtId="0">
      <sharedItems count="4">
        <s v="de 26 a 40 años"/>
        <s v="de 56 a más"/>
        <s v="de 41 a 55 años"/>
        <s v="de 18 a 25 años"/>
      </sharedItems>
    </cacheField>
    <cacheField name="PF.2 ¿Con que frecuencia visita este parque?" numFmtId="0">
      <sharedItems/>
    </cacheField>
    <cacheField name="Rechazó la encuesta" numFmtId="0">
      <sharedItems containsSemiMixedTypes="0" containsString="0" containsNumber="1" containsInteger="1" minValue="0" maxValue="6"/>
    </cacheField>
    <cacheField name="No cumple con la cuota" numFmtId="0">
      <sharedItems containsSemiMixedTypes="0" containsString="0" containsNumber="1" containsInteger="1" minValue="0" maxValue="1"/>
    </cacheField>
    <cacheField name="Menor de edad" numFmtId="0">
      <sharedItems containsSemiMixedTypes="0" containsString="0" containsNumber="1" containsInteger="1" minValue="0" maxValue="2"/>
    </cacheField>
    <cacheField name="Dueño de un local comercial del parque" numFmtId="0">
      <sharedItems containsSemiMixedTypes="0" containsString="0" containsNumber="1" containsInteger="1" minValue="0" maxValue="0"/>
    </cacheField>
    <cacheField name="No visita la zona frecuentemente" numFmtId="0">
      <sharedItems containsSemiMixedTypes="0" containsString="0" containsNumber="1" containsInteger="1" minValue="0" maxValue="4"/>
    </cacheField>
    <cacheField name="DD. 1 Sexo" numFmtId="0">
      <sharedItems count="2">
        <s v="1. Hombre"/>
        <s v="2. Mujer"/>
      </sharedItems>
    </cacheField>
    <cacheField name="DD. 3 ¿Su nacionalidad es ecuatoriana?" numFmtId="0">
      <sharedItems/>
    </cacheField>
    <cacheField name="DD3.1 ¿Cuál es su nacionalidad?" numFmtId="0">
      <sharedItems containsBlank="1"/>
    </cacheField>
    <cacheField name="DD. 4 ¿Cómo se identifica usted según su cultura y costumbres?:Enc. leer RU." numFmtId="0">
      <sharedItems/>
    </cacheField>
    <cacheField name="¿Cuál?" numFmtId="0">
      <sharedItems containsBlank="1"/>
    </cacheField>
    <cacheField name="DD. 5 ¿Cuál es su nivel de estudios aprobados? Enc. respuesta espontánea y RU." numFmtId="0">
      <sharedItems count="7">
        <s v="5. Universitario"/>
        <s v="3. Secundaria/ Bachillerato"/>
        <s v="6. Post grado"/>
        <s v="4. Tecnicatura/Tecnología"/>
        <s v="7. Doctorado"/>
        <s v="2. Primaria"/>
        <s v="1. Ninguno"/>
      </sharedItems>
    </cacheField>
    <cacheField name="¿Completa/Incompleta?" numFmtId="0">
      <sharedItems/>
    </cacheField>
    <cacheField name="DD. 6 Actualmente, ¿cuál es su actividad principal?: Enc. RE y RU." numFmtId="0">
      <sharedItems/>
    </cacheField>
    <cacheField name="8.1. ¿Cuál?" numFmtId="0">
      <sharedItems containsBlank="1"/>
    </cacheField>
    <cacheField name="DD. 7 ¿En qué rango se encuentra los ingresos mensuales de su hogar, es decir, de todas las personas que trabajan y/o reciben ingresos? (ingresos laborales, remesas, ayudas, rentas, bonos, entre otros) Enc. leer opciones y RU." numFmtId="0">
      <sharedItems/>
    </cacheField>
    <cacheField name="AP. 1 ¿Cuáles son las actividades que realiza en el parque Enc. RE y RM" numFmtId="0">
      <sharedItems/>
    </cacheField>
    <cacheField name="AP. 1 ¿Cuáles son las actividades que realiza en el parque Enc. RE y RM/1. Deporte / ejercicio" numFmtId="0">
      <sharedItems containsSemiMixedTypes="0" containsString="0" containsNumber="1" containsInteger="1" minValue="0" maxValue="1" count="2">
        <n v="1"/>
        <n v="0"/>
      </sharedItems>
    </cacheField>
    <cacheField name="AP. 1 ¿Cuáles son las actividades que realiza en el parque Enc. RE y RM/2. Culturales y sociales" numFmtId="0">
      <sharedItems containsSemiMixedTypes="0" containsString="0" containsNumber="1" containsInteger="1" minValue="0" maxValue="1" count="2">
        <n v="0"/>
        <n v="1"/>
      </sharedItems>
    </cacheField>
    <cacheField name="AP. 1 ¿Cuáles son las actividades que realiza en el parque Enc. RE y RM/3. Compras" numFmtId="0">
      <sharedItems containsSemiMixedTypes="0" containsString="0" containsNumber="1" containsInteger="1" minValue="0" maxValue="1" count="2">
        <n v="0"/>
        <n v="1"/>
      </sharedItems>
    </cacheField>
    <cacheField name="AP. 1 ¿Cuáles son las actividades que realiza en el parque Enc. RE y RM/4. De paso" numFmtId="0">
      <sharedItems containsSemiMixedTypes="0" containsString="0" containsNumber="1" containsInteger="1" minValue="0" maxValue="1" count="2">
        <n v="0"/>
        <n v="1"/>
      </sharedItems>
    </cacheField>
    <cacheField name="AP. 1 ¿Cuáles son las actividades que realiza en el parque Enc. RE y RM/5. Recreación/Ocio" numFmtId="0">
      <sharedItems containsSemiMixedTypes="0" containsString="0" containsNumber="1" containsInteger="1" minValue="0" maxValue="1" count="2">
        <n v="0"/>
        <n v="1"/>
      </sharedItems>
    </cacheField>
    <cacheField name="AP. 1 ¿Cuáles son las actividades que realiza en el parque Enc. RE y RM/6. Otra" numFmtId="0">
      <sharedItems containsSemiMixedTypes="0" containsString="0" containsNumber="1" containsInteger="1" minValue="0" maxValue="2" count="3">
        <n v="0"/>
        <n v="1"/>
        <n v="2" u="1"/>
      </sharedItems>
    </cacheField>
    <cacheField name="AP.1.1 ¿Cuál?" numFmtId="0">
      <sharedItems containsBlank="1"/>
    </cacheField>
    <cacheField name="AP. 2 Por lo general, ¿en qué horarios visita este parque? Enc. RE y RM" numFmtId="0">
      <sharedItems/>
    </cacheField>
    <cacheField name="AP. 2 Por lo general, ¿en qué horarios visita este parque? Enc. RE y RM/1. Madrugada (00:00 a 05:59)" numFmtId="0">
      <sharedItems containsSemiMixedTypes="0" containsString="0" containsNumber="1" containsInteger="1" minValue="0" maxValue="1" count="2">
        <n v="0"/>
        <n v="1"/>
      </sharedItems>
    </cacheField>
    <cacheField name="AP. 2 Por lo general, ¿en qué horarios visita este parque? Enc. RE y RM/2. Mañana  (06:00 a 11:59)" numFmtId="0">
      <sharedItems containsSemiMixedTypes="0" containsString="0" containsNumber="1" containsInteger="1" minValue="0" maxValue="1" count="2">
        <n v="1"/>
        <n v="0"/>
      </sharedItems>
    </cacheField>
    <cacheField name="AP. 2 Por lo general, ¿en qué horarios visita este parque? Enc. RE y RM/3. Tarde (12:00 a 17:59)" numFmtId="0">
      <sharedItems containsSemiMixedTypes="0" containsString="0" containsNumber="1" containsInteger="1" minValue="0" maxValue="1" count="2">
        <n v="0"/>
        <n v="1"/>
      </sharedItems>
    </cacheField>
    <cacheField name="AP. 2 Por lo general, ¿en qué horarios visita este parque? Enc. RE y RM/4. Noche  (18:00 a 23:59)" numFmtId="0">
      <sharedItems containsSemiMixedTypes="0" containsString="0" containsNumber="1" containsInteger="1" minValue="0" maxValue="1" count="2">
        <n v="0"/>
        <n v="1"/>
      </sharedItems>
    </cacheField>
    <cacheField name="AP. 3 ¿Cuánto tiempo se queda en el parque cada vez que lo visita? Enc. Leer opciones y RU." numFmtId="0">
      <sharedItems count="4">
        <s v="3. de 2 hora a 3 horas"/>
        <s v="1. menos a 1 hora"/>
        <s v="4. más de 4 horas"/>
        <s v="2. de 1 a 2 horas"/>
      </sharedItems>
    </cacheField>
    <cacheField name="AP. 4 ¿Qué instalaciones suele utilizar en el parque? Enc. RE y RM" numFmtId="0">
      <sharedItems/>
    </cacheField>
    <cacheField name="AP. 4 ¿Qué instalaciones suele utilizar en el parque? Enc. RE y RM/1. Canchas de fútbol y basquet" numFmtId="0">
      <sharedItems containsString="0" containsBlank="1" containsNumber="1" containsInteger="1" minValue="0" maxValue="1" count="3">
        <n v="0"/>
        <n v="1"/>
        <m/>
      </sharedItems>
    </cacheField>
    <cacheField name="AP. 4 ¿Qué instalaciones suele utilizar en el parque? Enc. RE y RM/2. Rampas para patineta" numFmtId="0">
      <sharedItems containsString="0" containsBlank="1" containsNumber="1" containsInteger="1" minValue="0" maxValue="1" count="3">
        <n v="0"/>
        <n v="1"/>
        <m/>
      </sharedItems>
    </cacheField>
    <cacheField name="AP. 4 ¿Qué instalaciones suele utilizar en el parque? Enc. RE y RM/3. Caminos de ciclismo" numFmtId="0">
      <sharedItems containsString="0" containsBlank="1" containsNumber="1" containsInteger="1" minValue="0" maxValue="1" count="3">
        <n v="0"/>
        <n v="1"/>
        <m/>
      </sharedItems>
    </cacheField>
    <cacheField name="AP. 4 ¿Qué instalaciones suele utilizar en el parque? Enc. RE y RM/4. Pistas para correr" numFmtId="0">
      <sharedItems containsString="0" containsBlank="1" containsNumber="1" containsInteger="1" minValue="0" maxValue="1" count="3">
        <n v="1"/>
        <n v="0"/>
        <m/>
      </sharedItems>
    </cacheField>
    <cacheField name="AP. 4 ¿Qué instalaciones suele utilizar en el parque? Enc. RE y RM/6. Área para perros" numFmtId="0">
      <sharedItems containsString="0" containsBlank="1" containsNumber="1" containsInteger="1" minValue="0" maxValue="1" count="3">
        <n v="0"/>
        <n v="1"/>
        <m/>
      </sharedItems>
    </cacheField>
    <cacheField name="AP. 4 ¿Qué instalaciones suele utilizar en el parque? Enc. RE y RM/7. Áreas verdes" numFmtId="0">
      <sharedItems containsString="0" containsBlank="1" containsNumber="1" containsInteger="1" minValue="0" maxValue="1" count="3">
        <n v="0"/>
        <n v="1"/>
        <m/>
      </sharedItems>
    </cacheField>
    <cacheField name="AP. 4 ¿Qué instalaciones suele utilizar en el parque? Enc. RE y RM/8. Otro." numFmtId="0">
      <sharedItems containsString="0" containsBlank="1" containsNumber="1" containsInteger="1" minValue="0" maxValue="1" count="3">
        <n v="0"/>
        <n v="1"/>
        <m/>
      </sharedItems>
    </cacheField>
    <cacheField name="¿Cuál?.1" numFmtId="0">
      <sharedItems containsBlank="1"/>
    </cacheField>
    <cacheField name="AP. 5 ¿Por lo general, viene acompañado/a al parque? Enc. RE y RU" numFmtId="0">
      <sharedItems count="2">
        <s v="2. No"/>
        <s v="1. Sí"/>
      </sharedItems>
    </cacheField>
    <cacheField name="AP. 5.1 ¿Cree que influye en su seguridad el estar acompañado/a dentro del parque? Enc. RE y RU" numFmtId="0">
      <sharedItems containsBlank="1" count="3">
        <m/>
        <s v="1. Sí"/>
        <s v="2. No"/>
      </sharedItems>
    </cacheField>
    <cacheField name="PSC.1 En los últimos 6 meses, es decir, de septiembre 2024 a la fecha. EN TÉRMINOS DE SU SEGURIDAD PERSONAL, ¿cómo se sintió usted en este parque? Enc. leer opciones y RU" numFmtId="0">
      <sharedItems count="4">
        <s v="2. SEGURO"/>
        <s v="3. INSEGURO"/>
        <s v="1. MUY SEGURO"/>
        <s v="4. MUY INSEGURO"/>
      </sharedItems>
    </cacheField>
    <cacheField name="PSC.1.1 Razón 1" numFmtId="0">
      <sharedItems/>
    </cacheField>
    <cacheField name="PSC.1.2 Razón 2" numFmtId="0">
      <sharedItems containsBlank="1"/>
    </cacheField>
    <cacheField name="PSC.1.3 Razón 3" numFmtId="0">
      <sharedItems containsBlank="1"/>
    </cacheField>
    <cacheField name="**En los últimos 6 meses. EN TÉRMINOS DE SU SEGURIDAD PERSONAL, ¿Cómo se sintió usted: Enc. Leer opciones y RU**" numFmtId="0">
      <sharedItems containsNonDate="0" containsString="0" containsBlank="1"/>
    </cacheField>
    <cacheField name="PSC.2 Con la presencia de habitantes de calle (mendigos) en el parque?" numFmtId="0">
      <sharedItems count="6">
        <s v="2. SEGURO"/>
        <s v="3. INSEGURO"/>
        <s v="4. MUY INSEGURO"/>
        <s v="99. NS/NC"/>
        <s v="98. No Aplica"/>
        <s v="1. MUY SEGURO"/>
      </sharedItems>
    </cacheField>
    <cacheField name="PSC.3 Con la presencia de vendedores ambulantes en el parque?" numFmtId="0">
      <sharedItems count="6">
        <s v="98. No Aplica"/>
        <s v="3. INSEGURO"/>
        <s v="2. SEGURO"/>
        <s v="4. MUY INSEGURO"/>
        <s v="1. MUY SEGURO"/>
        <s v="99. NS/NC"/>
      </sharedItems>
    </cacheField>
    <cacheField name="PSC.4 Transitando por sitios con basura en el parque?" numFmtId="0">
      <sharedItems count="6">
        <s v="98. No Aplica"/>
        <s v="3. INSEGURO"/>
        <s v="2. SEGURO"/>
        <s v="4. MUY INSEGURO"/>
        <s v="99. NS/NC"/>
        <s v="1. MUY SEGURO"/>
      </sharedItems>
    </cacheField>
    <cacheField name="PSC.5 En espectáculos públicos como conciertos y/o actividades recreativas en este parque?" numFmtId="0">
      <sharedItems count="6">
        <s v="98. No Aplica"/>
        <s v="2. SEGURO"/>
        <s v="3. INSEGURO"/>
        <s v="99. NS/NC"/>
        <s v="1. MUY SEGURO"/>
        <s v="4. MUY INSEGURO"/>
      </sharedItems>
    </cacheField>
    <cacheField name="PSC.6 En restaurantes/cafeterías/comedores del parque?" numFmtId="0">
      <sharedItems count="6">
        <s v="2. SEGURO"/>
        <s v="3. INSEGURO"/>
        <s v="98. No Aplica"/>
        <s v="99. NS/NC"/>
        <s v="1. MUY SEGURO"/>
        <s v="4. MUY INSEGURO"/>
      </sharedItems>
    </cacheField>
    <cacheField name="PSC.7 Caminando sola/o en el día por este parque?" numFmtId="0">
      <sharedItems count="5">
        <s v="98. No Aplica"/>
        <s v="4. MUY INSEGURO"/>
        <s v="3. INSEGURO"/>
        <s v="2. SEGURO"/>
        <s v="1. MUY SEGURO"/>
      </sharedItems>
    </cacheField>
    <cacheField name="PSC.8 Caminando sola/o en la noche por este parque?" numFmtId="0">
      <sharedItems count="6">
        <s v="98. No Aplica"/>
        <s v="4. MUY INSEGURO"/>
        <s v="3. INSEGURO"/>
        <s v="99. NS/NC"/>
        <s v="2. SEGURO"/>
        <s v="1. MUY SEGURO"/>
      </sharedItems>
    </cacheField>
    <cacheField name="PSC.9 ¿En los últimos 6 meses, ¿usted diría que la delincuencia en el parque y sus inmediaciones: Enc. Leer opciones y RU ." numFmtId="0">
      <sharedItems count="3">
        <s v="3. Mejoró"/>
        <s v="2. Esta igual"/>
        <s v="1. Empeoró"/>
      </sharedItems>
    </cacheField>
    <cacheField name="PSC.10 De acuerdo a este mapa y según su criterio, ¿cuál es la zona más insegura para Ud., en el parque?. Enc. mostrar mapa" numFmtId="0">
      <sharedItems/>
    </cacheField>
    <cacheField name="PSC.10 De acuerdo a este mapa y según su criterio, ¿cuál es la zona más insegura para Ud., en el parque?. Enc. mostrar mapa/A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B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C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D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E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F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G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H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I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J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K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L" numFmtId="0">
      <sharedItems containsSemiMixedTypes="0" containsString="0" containsNumber="1" containsInteger="1" minValue="0" maxValue="1"/>
    </cacheField>
    <cacheField name="PSC.10 De acuerdo a este mapa y según su criterio, ¿cuál es la zona más insegura para Ud., en el parque?. Enc. mostrar mapa/Ninguno" numFmtId="0">
      <sharedItems containsSemiMixedTypes="0" containsString="0" containsNumber="1" containsInteger="1" minValue="0" maxValue="1"/>
    </cacheField>
    <cacheField name="CH.1 la frecuencia con la que transita solo/a por el parque" numFmtId="0">
      <sharedItems count="4">
        <s v="1. Aumentó"/>
        <s v="3. Disminuyó"/>
        <s v="2. Se mantuvo"/>
        <s v="98. No aplica"/>
      </sharedItems>
    </cacheField>
    <cacheField name="CH.2 la frecuencia con la que asiste a espectáculos públicos del parque" numFmtId="0">
      <sharedItems count="4">
        <s v="3. Disminuyó"/>
        <s v="1. Aumentó"/>
        <s v="2. Se mantuvo"/>
        <s v="98. No aplica"/>
      </sharedItems>
    </cacheField>
    <cacheField name="CH.3  la frecuencia con la que visita restaurantes, cafeterías y comedores del parque" numFmtId="0">
      <sharedItems count="4">
        <s v="3. Disminuyó"/>
        <s v="2. Se mantuvo"/>
        <s v="98. No aplica"/>
        <s v="1. Aumentó"/>
      </sharedItems>
    </cacheField>
    <cacheField name="CH.4 Por motivos de seguridad, en los últimos 6 meses, ¿ha cambiado su horario de visita al parque?. Enc. RE y RU" numFmtId="0">
      <sharedItems count="2">
        <s v="2. No"/>
        <s v="1. Sí"/>
      </sharedItems>
    </cacheField>
    <cacheField name="VI.1 En los últimos 6 meses, es decir, de septiembre 2024 a la fecha. Ud. ha sido víctima de algún tipo de delito en este parque?. Enc. RE y RU" numFmtId="0">
      <sharedItems count="2">
        <s v="2. No"/>
        <s v="1. Sí"/>
      </sharedItems>
    </cacheField>
    <cacheField name="¿De qué delitos fue víctima? Enc. respuesta espontáne. RM" numFmtId="0">
      <sharedItems containsBlank="1" count="12">
        <m/>
        <s v="VI.2 Robo  (con violencia)"/>
        <s v="VI.3 Hurto (sin violencia) VI.11 Agresión verbal"/>
        <s v="VI.3 Hurto (sin violencia)"/>
        <s v="VI.12 Otros"/>
        <s v="VI.2 Robo  (con violencia) VI.10 Agresión física VI.11 Agresión verbal"/>
        <s v="VI.11 Agresión verbal"/>
        <s v="VI.2 Robo  (con violencia) VI.12 Otros"/>
        <s v="VI.6 Robo accesorios de vehículo"/>
        <s v="VI.3 Hurto (sin violencia) VI.10 Agresión física"/>
        <s v="VI.2 Robo  (con violencia) VI.11 Agresión verbal"/>
        <s v="VI.4 Robo de vehículo"/>
      </sharedItems>
    </cacheField>
    <cacheField name="¿De qué delitos fue víctima? Enc. respuesta espontáne. RM/VI.2 Robo  (con violencia)" numFmtId="0">
      <sharedItems containsString="0" containsBlank="1" containsNumber="1" containsInteger="1" minValue="0" maxValue="1"/>
    </cacheField>
    <cacheField name="¿De qué delitos fue víctima? Enc. respuesta espontáne. RM/VI.3 Hurto (sin violencia)" numFmtId="0">
      <sharedItems containsString="0" containsBlank="1" containsNumber="1" containsInteger="1" minValue="0" maxValue="1"/>
    </cacheField>
    <cacheField name="¿De qué delitos fue víctima? Enc. respuesta espontáne. RM/VI.4 Robo de vehículo" numFmtId="0">
      <sharedItems containsString="0" containsBlank="1" containsNumber="1" containsInteger="1" minValue="0" maxValue="1"/>
    </cacheField>
    <cacheField name="¿De qué delitos fue víctima? Enc. respuesta espontáne. RM/VI.5 Robo de moto" numFmtId="0">
      <sharedItems containsString="0" containsBlank="1" containsNumber="1" containsInteger="1" minValue="0" maxValue="0"/>
    </cacheField>
    <cacheField name="¿De qué delitos fue víctima? Enc. respuesta espontáne. RM/VI.6 Robo accesorios de vehículo" numFmtId="0">
      <sharedItems containsString="0" containsBlank="1" containsNumber="1" containsInteger="1" minValue="0" maxValue="1"/>
    </cacheField>
    <cacheField name="¿De qué delitos fue víctima? Enc. respuesta espontáne. RM/VI.7 Secuestro express" numFmtId="0">
      <sharedItems containsString="0" containsBlank="1" containsNumber="1" containsInteger="1" minValue="0" maxValue="0"/>
    </cacheField>
    <cacheField name="¿De qué delitos fue víctima? Enc. respuesta espontáne. RM/VI.8 Extorsión" numFmtId="0">
      <sharedItems containsString="0" containsBlank="1" containsNumber="1" containsInteger="1" minValue="0" maxValue="0"/>
    </cacheField>
    <cacheField name="¿De qué delitos fue víctima? Enc. respuesta espontáne. RM/VI.9 Estafa" numFmtId="0">
      <sharedItems containsString="0" containsBlank="1" containsNumber="1" containsInteger="1" minValue="0" maxValue="0"/>
    </cacheField>
    <cacheField name="¿De qué delitos fue víctima? Enc. respuesta espontáne. RM/VI.10 Agresión física" numFmtId="0">
      <sharedItems containsString="0" containsBlank="1" containsNumber="1" containsInteger="1" minValue="0" maxValue="1"/>
    </cacheField>
    <cacheField name="¿De qué delitos fue víctima? Enc. respuesta espontáne. RM/VI.11 Agresión verbal" numFmtId="0">
      <sharedItems containsString="0" containsBlank="1" containsNumber="1" containsInteger="1" minValue="0" maxValue="1"/>
    </cacheField>
    <cacheField name="¿De qué delitos fue víctima? Enc. respuesta espontáne. RM/VI.12 Otros" numFmtId="0">
      <sharedItems containsString="0" containsBlank="1" containsNumber="1" containsInteger="1" minValue="0" maxValue="1"/>
    </cacheField>
    <cacheField name="VI.12.1 ¿Cuál?" numFmtId="0">
      <sharedItems containsBlank="1"/>
    </cacheField>
    <cacheField name="VI.2.1 ¿Denunció Robo  (con violencia)?" numFmtId="0">
      <sharedItems containsBlank="1"/>
    </cacheField>
    <cacheField name="VI.3.1 ¿Denunció Hurto (sin violencia) ?" numFmtId="0">
      <sharedItems containsBlank="1"/>
    </cacheField>
    <cacheField name="VI.4.1 ¿Denunció Robo de vehículo?" numFmtId="0">
      <sharedItems containsBlank="1"/>
    </cacheField>
    <cacheField name="VI.5.1 ¿Denunció Robo de moto ?" numFmtId="0">
      <sharedItems containsNonDate="0" containsString="0" containsBlank="1"/>
    </cacheField>
    <cacheField name="VI.6.1 ¿Denunció Robo accesorios de vehículo?" numFmtId="0">
      <sharedItems containsBlank="1"/>
    </cacheField>
    <cacheField name="VI.7.1 ¿Denunció Secuestro express?" numFmtId="0">
      <sharedItems containsNonDate="0" containsString="0" containsBlank="1"/>
    </cacheField>
    <cacheField name="VI.8.1 ¿Denunció Extorsión?" numFmtId="0">
      <sharedItems containsNonDate="0" containsString="0" containsBlank="1"/>
    </cacheField>
    <cacheField name="VI.9.1 ¿Denunció Estafa?" numFmtId="0">
      <sharedItems containsNonDate="0" containsString="0" containsBlank="1"/>
    </cacheField>
    <cacheField name="VI.10.1 ¿Denunció Agresión física?" numFmtId="0">
      <sharedItems containsBlank="1"/>
    </cacheField>
    <cacheField name="VI.11.1 ¿Denunció Agresión verbal?" numFmtId="0">
      <sharedItems containsBlank="1"/>
    </cacheField>
    <cacheField name="VI.12.1 ¿Denunció este Otro tipo de delito?" numFmtId="0">
      <sharedItems containsBlank="1"/>
    </cacheField>
    <cacheField name="VI.2.2¿Utilizaron algún tipo de arma para cometer este Robo  (con violencia)?" numFmtId="0">
      <sharedItems containsBlank="1"/>
    </cacheField>
    <cacheField name="¿Cuál?.2" numFmtId="0">
      <sharedItems containsBlank="1"/>
    </cacheField>
    <cacheField name="VI.3.2¿Utilizaron algún tipo de arma para cometer este Hurto (sin violencia) ?" numFmtId="0">
      <sharedItems containsBlank="1"/>
    </cacheField>
    <cacheField name="¿Cuál?.3" numFmtId="0">
      <sharedItems containsNonDate="0" containsString="0" containsBlank="1"/>
    </cacheField>
    <cacheField name="VI.4.2¿Utilizaron algún tipo de arma para cometer este Robo de vehículo?" numFmtId="0">
      <sharedItems containsBlank="1"/>
    </cacheField>
    <cacheField name="¿Cuál?.4" numFmtId="0">
      <sharedItems containsNonDate="0" containsString="0" containsBlank="1"/>
    </cacheField>
    <cacheField name="VI.5.2¿Utilizaron algún tipo de arma para cometer este Robo de moto?" numFmtId="0">
      <sharedItems containsNonDate="0" containsString="0" containsBlank="1"/>
    </cacheField>
    <cacheField name="¿Cuál?.5" numFmtId="0">
      <sharedItems containsNonDate="0" containsString="0" containsBlank="1"/>
    </cacheField>
    <cacheField name="VI.6.2¿Utilizaron algún tipo de arma para cometer este Robo accesorios de vehículo?" numFmtId="0">
      <sharedItems containsBlank="1"/>
    </cacheField>
    <cacheField name="¿Cuál?.6" numFmtId="0">
      <sharedItems containsNonDate="0" containsString="0" containsBlank="1"/>
    </cacheField>
    <cacheField name="VI.7.2¿Utilizaron algún tipo de arma para cometer este Secuestro express?" numFmtId="0">
      <sharedItems containsNonDate="0" containsString="0" containsBlank="1"/>
    </cacheField>
    <cacheField name="¿Cuál?.7" numFmtId="0">
      <sharedItems containsNonDate="0" containsString="0" containsBlank="1"/>
    </cacheField>
    <cacheField name="VI.8.2¿Utilizaron algún tipo de arma para cometer esta Extorsión?" numFmtId="0">
      <sharedItems containsNonDate="0" containsString="0" containsBlank="1"/>
    </cacheField>
    <cacheField name="¿Cuál?.8" numFmtId="0">
      <sharedItems containsNonDate="0" containsString="0" containsBlank="1"/>
    </cacheField>
    <cacheField name="VI.9.2¿Utilizaron algún tipo de arma para cometer esta Estafa?" numFmtId="0">
      <sharedItems containsNonDate="0" containsString="0" containsBlank="1"/>
    </cacheField>
    <cacheField name="¿Cuál?.9" numFmtId="0">
      <sharedItems containsNonDate="0" containsString="0" containsBlank="1"/>
    </cacheField>
    <cacheField name="VI.10.2¿Utilizaron algún tipo de arma para cometer esta Agresión física?" numFmtId="0">
      <sharedItems containsBlank="1"/>
    </cacheField>
    <cacheField name="¿Cuál?.10" numFmtId="0">
      <sharedItems containsNonDate="0" containsString="0" containsBlank="1"/>
    </cacheField>
    <cacheField name="VI.11.2¿Utilizaron algún tipo de arma para cometer esta Agresión verbal?" numFmtId="0">
      <sharedItems containsBlank="1"/>
    </cacheField>
    <cacheField name="¿Cuál?.11" numFmtId="0">
      <sharedItems containsNonDate="0" containsString="0" containsBlank="1"/>
    </cacheField>
    <cacheField name="VI.12.2¿Utilizaron algún tipo de arma para cometer este Otro tipo de delitol?" numFmtId="0">
      <sharedItems containsBlank="1"/>
    </cacheField>
    <cacheField name="¿Cuál?.12" numFmtId="0">
      <sharedItems containsNonDate="0" containsString="0" containsBlank="1"/>
    </cacheField>
    <cacheField name="En los últimos 6 meses, es decir, de septiembre 2024 a la fecha. ¿Usted ha presenciado las siguientes situaciones dentro del parque, por ejemplo: Enc. leer opciones  RU." numFmtId="0">
      <sharedItems containsNonDate="0" containsString="0" containsBlank="1"/>
    </cacheField>
    <cacheField name="CC.1 Alguien puso música a un volumen excesivo o hizo mucho ruido y eso le molestó?" numFmtId="0">
      <sharedItems count="2">
        <s v="1. Sí"/>
        <s v="2. No"/>
      </sharedItems>
    </cacheField>
    <cacheField name="CC.1.1 ¿Con qué frecuencia?" numFmtId="0">
      <sharedItems containsBlank="1" count="4">
        <s v="1. POCO FRECUENTE"/>
        <m/>
        <s v="2. FRECUENTE"/>
        <s v="3. MUY FRECUENTE"/>
      </sharedItems>
    </cacheField>
    <cacheField name="CC.2 Grafitis no artisticos que le molestan?" numFmtId="0">
      <sharedItems count="3">
        <s v="2. No"/>
        <s v="1. Sí"/>
        <s v="99. NS/NC"/>
      </sharedItems>
    </cacheField>
    <cacheField name="CC.2.1 ¿Con qué frecuencia?" numFmtId="0">
      <sharedItems containsBlank="1" count="4">
        <m/>
        <s v="1. POCO FRECUENTE"/>
        <s v="2. FRECUENTE"/>
        <s v="3. MUY FRECUENTE"/>
      </sharedItems>
    </cacheField>
    <cacheField name="CC.3 Personas que orinan en el parque?" numFmtId="0">
      <sharedItems count="2">
        <s v="2. No"/>
        <s v="1. Sí"/>
      </sharedItems>
    </cacheField>
    <cacheField name="CC.3.1 ¿Con qué frecuencia?" numFmtId="0">
      <sharedItems containsBlank="1" count="4">
        <m/>
        <s v="2. FRECUENTE"/>
        <s v="1. POCO FRECUENTE"/>
        <s v="3. MUY FRECUENTE"/>
      </sharedItems>
    </cacheField>
    <cacheField name="CC.4 Desechos de animales ?" numFmtId="0">
      <sharedItems count="2">
        <s v="1. Sí"/>
        <s v="2. No"/>
      </sharedItems>
    </cacheField>
    <cacheField name="CC.4.1 ¿Con qué frecuencia?" numFmtId="0">
      <sharedItems containsBlank="1" count="4">
        <s v="2. FRECUENTE"/>
        <m/>
        <s v="1. POCO FRECUENTE"/>
        <s v="3. MUY FRECUENTE"/>
      </sharedItems>
    </cacheField>
    <cacheField name="CC.5 Áreas sin iluminación ?" numFmtId="0">
      <sharedItems count="3">
        <s v="2. No"/>
        <s v="1. Sí"/>
        <s v="99. NS/NC"/>
      </sharedItems>
    </cacheField>
    <cacheField name="CC.5.1 ¿Con qué frecuencia?" numFmtId="0">
      <sharedItems containsBlank="1" count="4">
        <m/>
        <s v="1. POCO FRECUENTE"/>
        <s v="2. FRECUENTE"/>
        <s v="3. MUY FRECUENTE"/>
      </sharedItems>
    </cacheField>
    <cacheField name="CC.6 Peleas o riñas ?" numFmtId="0">
      <sharedItems count="3">
        <s v="2. No"/>
        <s v="1. Sí"/>
        <s v="99. NS/NC"/>
      </sharedItems>
    </cacheField>
    <cacheField name="CC.6.1 ¿Con qué frecuencia?" numFmtId="0">
      <sharedItems containsBlank="1" count="4">
        <m/>
        <s v="2. FRECUENTE"/>
        <s v="1. POCO FRECUENTE"/>
        <s v="3. MUY FRECUENTE"/>
      </sharedItems>
    </cacheField>
    <cacheField name="CC.7 Habitantes en situación de calle (mendicidad) ?" numFmtId="0">
      <sharedItems count="3">
        <s v="1. Sí"/>
        <s v="2. No"/>
        <s v="99. NS/NC"/>
      </sharedItems>
    </cacheField>
    <cacheField name="CC.7.1 ¿Con qué frecuencia?" numFmtId="0">
      <sharedItems containsBlank="1" count="4">
        <s v="1. POCO FRECUENTE"/>
        <m/>
        <s v="2. FRECUENTE"/>
        <s v="3. MUY FRECUENTE"/>
      </sharedItems>
    </cacheField>
    <cacheField name="CC.8 Consumo de alcohol?" numFmtId="0">
      <sharedItems count="2">
        <s v="2. No"/>
        <s v="1. Sí"/>
      </sharedItems>
    </cacheField>
    <cacheField name="CC.8.1 ¿Con qué frecuencia?" numFmtId="0">
      <sharedItems containsBlank="1" count="4">
        <m/>
        <s v="2. FRECUENTE"/>
        <s v="1. POCO FRECUENTE"/>
        <s v="3. MUY FRECUENTE"/>
      </sharedItems>
    </cacheField>
    <cacheField name="CC.9 Venta de alcohol?" numFmtId="0">
      <sharedItems count="3">
        <s v="2. No"/>
        <s v="1. Sí"/>
        <s v="99. NS/NC"/>
      </sharedItems>
    </cacheField>
    <cacheField name="CC.9.1 ¿Con qué frecuencia?" numFmtId="0">
      <sharedItems containsBlank="1" count="4">
        <m/>
        <s v="3. MUY FRECUENTE"/>
        <s v="1. POCO FRECUENTE"/>
        <s v="2. FRECUENTE"/>
      </sharedItems>
    </cacheField>
    <cacheField name="CC.10 Consumo de drogas?" numFmtId="0">
      <sharedItems count="2">
        <s v="2. No"/>
        <s v="1. Sí"/>
      </sharedItems>
    </cacheField>
    <cacheField name="CC.10.1 ¿Con qué frecuencia?" numFmtId="0">
      <sharedItems containsBlank="1" count="4">
        <m/>
        <s v="1. POCO FRECUENTE"/>
        <s v="2. FRECUENTE"/>
        <s v="3. MUY FRECUENTE"/>
      </sharedItems>
    </cacheField>
    <cacheField name="CC.11 Venta de drogas?" numFmtId="0">
      <sharedItems count="3">
        <s v="2. No"/>
        <s v="1. Sí"/>
        <s v="99. NS/NC"/>
      </sharedItems>
    </cacheField>
    <cacheField name="CC.11.1 ¿Con qué frecuencia?" numFmtId="0">
      <sharedItems containsBlank="1" count="4">
        <m/>
        <s v="2. FRECUENTE"/>
        <s v="1. POCO FRECUENTE"/>
        <s v="3. MUY FRECUENTE"/>
      </sharedItems>
    </cacheField>
    <cacheField name="CC.12 Daño a la propiedad pública y privada?" numFmtId="0">
      <sharedItems count="3">
        <s v="2. No"/>
        <s v="1. Sí"/>
        <s v="99. NS/NC"/>
      </sharedItems>
    </cacheField>
    <cacheField name="CC.12.1 ¿Con qué frecuencia?" numFmtId="0">
      <sharedItems containsBlank="1" count="4">
        <m/>
        <s v="2. FRECUENTE"/>
        <s v="1. POCO FRECUENTE"/>
        <s v="3. MUY FRECUENTE"/>
      </sharedItems>
    </cacheField>
    <cacheField name="CC.13 Fauna Urbana? (animales sin hogar)" numFmtId="0">
      <sharedItems count="3">
        <s v="1. Sí"/>
        <s v="2. No"/>
        <s v="99. NS/NC"/>
      </sharedItems>
    </cacheField>
    <cacheField name="CC.13.2 ¿Con qué frecuencia?" numFmtId="0">
      <sharedItems containsBlank="1" count="4">
        <s v="1. POCO FRECUENTE"/>
        <s v="2. FRECUENTE"/>
        <m/>
        <s v="3. MUY FRECUENTE"/>
      </sharedItems>
    </cacheField>
    <cacheField name="CC.14 Basura y suciedad?" numFmtId="0">
      <sharedItems count="2">
        <s v="1. Sí"/>
        <s v="2. No"/>
      </sharedItems>
    </cacheField>
    <cacheField name="CC.14.2 ¿Con qué frecuencia?" numFmtId="0">
      <sharedItems containsBlank="1" count="4">
        <s v="2. FRECUENTE"/>
        <m/>
        <s v="1. POCO FRECUENTE"/>
        <s v="3. MUY FRECUENTE"/>
      </sharedItems>
    </cacheField>
    <cacheField name="CC.16 Trabajo sexual (prostitución)?" numFmtId="0">
      <sharedItems count="3">
        <s v="2. No"/>
        <s v="1. Sí"/>
        <s v="99. NS/NC"/>
      </sharedItems>
    </cacheField>
    <cacheField name="CC.16.2 ¿Con qué frecuencia?" numFmtId="0">
      <sharedItems containsBlank="1" count="4">
        <m/>
        <s v="2. FRECUENTE"/>
        <s v="1. POCO FRECUENTE"/>
        <s v="3. MUY FRECUENTE"/>
      </sharedItems>
    </cacheField>
    <cacheField name="CC.17 Aglomeración de personas?" numFmtId="0">
      <sharedItems count="3">
        <s v="1. Sí"/>
        <s v="2. No"/>
        <s v="99. NS/NC"/>
      </sharedItems>
    </cacheField>
    <cacheField name="CC.17.2 ¿Con qué frecuencia?" numFmtId="0">
      <sharedItems containsBlank="1" count="4">
        <s v="2. FRECUENTE"/>
        <m/>
        <s v="1. POCO FRECUENTE"/>
        <s v="3. MUY FRECUENTE"/>
      </sharedItems>
    </cacheField>
    <cacheField name="CC.18 ¿Alguna otra que no le haya mencionado?" numFmtId="0">
      <sharedItems count="2">
        <s v="2. No"/>
        <s v="1. Sí"/>
      </sharedItems>
    </cacheField>
    <cacheField name="CC.18.1 ¿Cuál?" numFmtId="0">
      <sharedItems containsBlank="1"/>
    </cacheField>
    <cacheField name="CC.18.2 ¿Con qué frecuencia?" numFmtId="0">
      <sharedItems containsBlank="1" count="4">
        <m/>
        <s v="1. POCO FRECUENTE"/>
        <s v="2. FRECUENTE"/>
        <s v="3. MUY FRECUENTE"/>
      </sharedItems>
    </cacheField>
    <cacheField name="PCA.1 En los últimos 6 meses, es decir, de septiembre 2024 a la fecha. ¿Usted ha presenciado ventas ambulantes en el parque ? Enc. RE y RU. Si la respuesta es &quot;SI&quot; preguntar con que frecuencia" numFmtId="0">
      <sharedItems count="2">
        <s v="1. Sí"/>
        <s v="2. No"/>
      </sharedItems>
    </cacheField>
    <cacheField name="PCA.1.0 ¿Con qué frecuencia?" numFmtId="0">
      <sharedItems containsBlank="1" count="4">
        <s v="2. FRECUENTE"/>
        <m/>
        <s v="1. POCO FRECUENTE"/>
        <s v="3. MUY FRECUENTE"/>
      </sharedItems>
    </cacheField>
    <cacheField name="PCA.1.1 Le molestan las ventas ambulantes en el parque? Enc. RE y RU." numFmtId="0">
      <sharedItems containsBlank="1" count="3">
        <s v="1. Sí"/>
        <s v="2. No"/>
        <m/>
      </sharedItems>
    </cacheField>
    <cacheField name="PA.1 Excluyendo a militares y policías en servicio activo, durante los últimos 6 meses. ¿Usted ha visto en el parque La Carolina a personas que porten armas? Enc. RE y RU." numFmtId="0">
      <sharedItems count="2">
        <s v="2. No"/>
        <s v="1. Sí"/>
      </sharedItems>
    </cacheField>
    <cacheField name="PA.2 ¿Qué tipo de armas? Enc. RE y RM" numFmtId="0">
      <sharedItems containsBlank="1"/>
    </cacheField>
    <cacheField name="PA.2 ¿Qué tipo de armas? Enc. RE y RM/1. De fuego" numFmtId="0">
      <sharedItems containsString="0" containsBlank="1" containsNumber="1" containsInteger="1" minValue="0" maxValue="1" count="3">
        <m/>
        <n v="0"/>
        <n v="1"/>
      </sharedItems>
    </cacheField>
    <cacheField name="PA.2 ¿Qué tipo de armas? Enc. RE y RM/2. Blanca" numFmtId="0">
      <sharedItems containsString="0" containsBlank="1" containsNumber="1" containsInteger="1" minValue="0" maxValue="1" count="3">
        <m/>
        <n v="1"/>
        <n v="0"/>
      </sharedItems>
    </cacheField>
    <cacheField name="PA.2 ¿Qué tipo de armas? Enc. RE y RM/3. Contundente" numFmtId="0">
      <sharedItems containsString="0" containsBlank="1" containsNumber="1" containsInteger="1" minValue="0" maxValue="1" count="3">
        <m/>
        <n v="0"/>
        <n v="1"/>
      </sharedItems>
    </cacheField>
    <cacheField name="PA.2 ¿Qué tipo de armas? Enc. RE y RM/4. Constrictora" numFmtId="0">
      <sharedItems containsString="0" containsBlank="1" containsNumber="1" containsInteger="1" minValue="0" maxValue="1" count="3">
        <m/>
        <n v="0"/>
        <n v="1"/>
      </sharedItems>
    </cacheField>
    <cacheField name="PA.2 ¿Qué tipo de armas? Enc. RE y RM/5. Otras" numFmtId="0">
      <sharedItems containsString="0" containsBlank="1" containsNumber="1" containsInteger="1" minValue="0" maxValue="1" count="3">
        <m/>
        <n v="0"/>
        <n v="1"/>
      </sharedItems>
    </cacheField>
    <cacheField name="PA.2.1 ¿Cuál?" numFmtId="0">
      <sharedItems containsBlank="1"/>
    </cacheField>
    <cacheField name="PA.3 Durante los últimos 6 meses. ¿Ud. ha presenciado alguna situación de violencia relacionada con armas en el parque? Enc. RE y RU." numFmtId="0">
      <sharedItems containsBlank="1" count="3">
        <m/>
        <s v="1. Sí"/>
        <s v="2. No"/>
      </sharedItems>
    </cacheField>
    <cacheField name="En los últimos 6 meses, es decir, de septiembre 2024 a la fecha ¿Ud ha visto trabajar dentro del parque a funcionarios de las siguientes instituciones? Enc. si la respuesta es &quot;SI&quot;, por favor preguntar si utilizó algún servicio, calificación, contribución y emoción." numFmtId="0">
      <sharedItems containsNonDate="0" containsString="0" containsBlank="1"/>
    </cacheField>
    <cacheField name="SSM.1 Agencia Metropolitana de Control (AMC) - Encargados de cumplir las normativas y regulaciones metropolitanas." numFmtId="0">
      <sharedItems count="2">
        <s v="1. Sí"/>
        <s v="2. No"/>
      </sharedItems>
    </cacheField>
    <cacheField name="SSM.1.1 ¿Se benefició de alguna manera del  trabajo de esta institución?" numFmtId="0">
      <sharedItems containsBlank="1" count="3">
        <s v="2. No"/>
        <m/>
        <s v="1. Sí"/>
      </sharedItems>
    </cacheField>
    <cacheField name="SSM.1.2 ¿Cómo califica el servicio?" numFmtId="0">
      <sharedItems containsBlank="1" count="5">
        <m/>
        <s v="2. BUENO"/>
        <s v="1. MUY BUENO"/>
        <s v="99. NS/NC"/>
        <s v="3. MALO"/>
      </sharedItems>
    </cacheField>
    <cacheField name="SSM.2 Agencia Metropolitana de Control de Comercio (AMCC) - Encargados de regular y fortalecer el comercio de Quito." numFmtId="0">
      <sharedItems count="2">
        <s v="1. Sí"/>
        <s v="2. No"/>
      </sharedItems>
    </cacheField>
    <cacheField name="SSM.2.1 ¿Se benefició de alguna manera del  trabajo de esta institución?" numFmtId="0">
      <sharedItems containsBlank="1" count="3">
        <s v="2. No"/>
        <m/>
        <s v="1. Sí"/>
      </sharedItems>
    </cacheField>
    <cacheField name="SSM.2.2 ¿Cómo califica el servicio?" numFmtId="0">
      <sharedItems containsBlank="1" count="4">
        <m/>
        <s v="2. BUENO"/>
        <s v="1. MUY BUENO"/>
        <s v="3. MALO"/>
      </sharedItems>
    </cacheField>
    <cacheField name="SSM.3 Patronato San José (UPMSJ) - Atención a personas en situación de calle." numFmtId="0">
      <sharedItems count="2">
        <s v="2. No"/>
        <s v="1. Sí"/>
      </sharedItems>
    </cacheField>
    <cacheField name="SSM.3.1 ¿Se benefició de alguna manera del  trabajo de esta institución?" numFmtId="0">
      <sharedItems containsBlank="1" count="3">
        <m/>
        <s v="1. Sí"/>
        <s v="2. No"/>
      </sharedItems>
    </cacheField>
    <cacheField name="SSM.3.2 ¿Cómo califica el servicio?" numFmtId="0">
      <sharedItems containsBlank="1" count="4">
        <m/>
        <s v="1. MUY BUENO"/>
        <s v="2. BUENO"/>
        <s v="3. MALO"/>
      </sharedItems>
    </cacheField>
    <cacheField name="SSM.4 Cuerpo de Agentes de Control Metropolitano de Quito (CACMQ) - Mantener el orden y la seguridad." numFmtId="0">
      <sharedItems count="2">
        <s v="1. Sí"/>
        <s v="2. No"/>
      </sharedItems>
    </cacheField>
    <cacheField name="SSM.4.1 ¿Se benefició de alguna manera del  trabajo de esta institución?" numFmtId="0">
      <sharedItems containsBlank="1" count="3">
        <s v="2. No"/>
        <s v="1. Sí"/>
        <m/>
      </sharedItems>
    </cacheField>
    <cacheField name="SSM.4.2 ¿Cómo califica el servicio?" numFmtId="0">
      <sharedItems containsBlank="1" count="4">
        <m/>
        <s v="2. BUENO"/>
        <s v="1. MUY BUENO"/>
        <s v="3. MALO"/>
      </sharedItems>
    </cacheField>
    <cacheField name="SSM.5 Cuerpo de Bombero de Quito (CBQ) - Prevención, control y respuesta de emergencias a incendios, rescates y desastres." numFmtId="0">
      <sharedItems count="2">
        <s v="1. Sí"/>
        <s v="2. No"/>
      </sharedItems>
    </cacheField>
    <cacheField name="SSM.5.1 ¿Se benefició de alguna manera del  trabajo de esta institución?" numFmtId="0">
      <sharedItems containsBlank="1" count="3">
        <s v="2. No"/>
        <m/>
        <s v="1. Sí"/>
      </sharedItems>
    </cacheField>
    <cacheField name="SSM.5.2 ¿Cómo califica el servicio?" numFmtId="0">
      <sharedItems containsBlank="1" count="4">
        <m/>
        <s v="1. MUY BUENO"/>
        <s v="2. BUENO"/>
        <s v="99. NS/NC"/>
      </sharedItems>
    </cacheField>
    <cacheField name="SSM.6 Agencia Metropolitana de Tránsito (AMT) - Regular, gestionar y controlar el tránsito y la movilidad." numFmtId="0">
      <sharedItems count="2">
        <s v="1. Sí"/>
        <s v="2. No"/>
      </sharedItems>
    </cacheField>
    <cacheField name="SSM.6.1 ¿Se benefició de alguna manera del  trabajo de esta institución?" numFmtId="0">
      <sharedItems containsBlank="1" count="3">
        <s v="2. No"/>
        <s v="1. Sí"/>
        <m/>
      </sharedItems>
    </cacheField>
    <cacheField name="SSM.6.2 ¿Cómo califica el servicio?" numFmtId="0">
      <sharedItems containsBlank="1" count="4">
        <m/>
        <s v="2. BUENO"/>
        <s v="1. MUY BUENO"/>
        <s v="3. MALO"/>
      </sharedItems>
    </cacheField>
    <cacheField name="SSM.7 Empresa Metropolitana de Aseo (EMASEO) - Recolección, transporte y disposición de residuos." numFmtId="0">
      <sharedItems count="2">
        <s v="2. No"/>
        <s v="1. Sí"/>
      </sharedItems>
    </cacheField>
    <cacheField name="SSM.7.1 ¿Se benefició de alguna manera del  trabajo de esta institución?" numFmtId="0">
      <sharedItems containsBlank="1" count="3">
        <m/>
        <s v="1. Sí"/>
        <s v="2. No"/>
      </sharedItems>
    </cacheField>
    <cacheField name="SSM.7.2 ¿Cómo califica el servicio?" numFmtId="0">
      <sharedItems containsBlank="1" count="5">
        <m/>
        <s v="1. MUY BUENO"/>
        <s v="2. BUENO"/>
        <s v="3. MALO"/>
        <s v="4. MUY MALO"/>
      </sharedItems>
    </cacheField>
    <cacheField name="SSM.8 Policía Nacional (PN) - Garantizar el orden público y la protección de la ciudadania." numFmtId="0">
      <sharedItems count="2">
        <s v="2. No"/>
        <s v="1. Sí"/>
      </sharedItems>
    </cacheField>
    <cacheField name="SSM.8.1 ¿Se benefició de alguna manera del  trabajo de esta institución?" numFmtId="0">
      <sharedItems containsBlank="1" count="3">
        <m/>
        <s v="1. Sí"/>
        <s v="2. No"/>
      </sharedItems>
    </cacheField>
    <cacheField name="SSM.8.2 ¿Cómo califica el servicio?" numFmtId="0">
      <sharedItems containsBlank="1" count="5">
        <m/>
        <s v="2. BUENO"/>
        <s v="1. MUY BUENO"/>
        <s v="3. MALO"/>
        <s v="4. MUY MALO"/>
      </sharedItems>
    </cacheField>
    <cacheField name="SSM.9 Fuerzas Armadas del Ecuador (FFAA) - Defensa de la soberanía e integridad territorial del país." numFmtId="0">
      <sharedItems count="2">
        <s v="2. No"/>
        <s v="1. Sí"/>
      </sharedItems>
    </cacheField>
    <cacheField name="SSM.9.1 ¿Se benefició de alguna manera del  trabajo de esta institución?" numFmtId="0">
      <sharedItems containsBlank="1" count="3">
        <m/>
        <s v="2. No"/>
        <s v="1. Sí"/>
      </sharedItems>
    </cacheField>
    <cacheField name="SSM.9.2 ¿Cómo califica el servicio?" numFmtId="0">
      <sharedItems containsBlank="1" count="5">
        <m/>
        <s v="2. BUENO"/>
        <s v="1. MUY BUENO"/>
        <s v="3. MALO"/>
        <s v="4. MUY MALO"/>
      </sharedItems>
    </cacheField>
    <cacheField name="SSM.10 Secretaría General de Seguridad Ciudadana y Gestión de Riesgos (SGSCGR) -  Coordinar políticas, estrategías y acciones de fortalecimiento de la seguridad ciudadana y gestión de riesgos." numFmtId="0">
      <sharedItems count="2">
        <s v="2. No"/>
        <s v="1. Sí"/>
      </sharedItems>
    </cacheField>
    <cacheField name="SSM.10.1 ¿Se benefició de alguna manera del  trabajo de esta institución?" numFmtId="0">
      <sharedItems containsBlank="1" count="3">
        <m/>
        <s v="2. No"/>
        <s v="1. Sí"/>
      </sharedItems>
    </cacheField>
    <cacheField name="SSM.10.2 ¿Cómo califica el servicio?" numFmtId="0">
      <sharedItems containsBlank="1" count="3">
        <m/>
        <s v="1. MUY BUENO"/>
        <s v="2. BUENO"/>
      </sharedItems>
    </cacheField>
    <cacheField name="SSM.13 Para finalizar la encuesta, por favor me puede mencionar qué siente usted cuando está en el parque? Enc. RE y RM" numFmtId="0">
      <sharedItems containsNonDate="0" containsString="0" containsBlank="1"/>
    </cacheField>
    <cacheField name="1." numFmtId="0">
      <sharedItems/>
    </cacheField>
    <cacheField name="2." numFmtId="0">
      <sharedItems containsBlank="1"/>
    </cacheField>
    <cacheField name="3." numFmtId="0">
      <sharedItems containsBlank="1"/>
    </cacheField>
    <cacheField name="_id" numFmtId="0">
      <sharedItems containsSemiMixedTypes="0" containsString="0" containsNumber="1" containsInteger="1" minValue="82691019" maxValue="84746583"/>
    </cacheField>
    <cacheField name="_uuid" numFmtId="0">
      <sharedItems/>
    </cacheField>
    <cacheField name="_submission_time" numFmtId="164">
      <sharedItems containsSemiMixedTypes="0" containsNonDate="0" containsDate="1" containsString="0" minDate="2025-04-02T16:56:10" maxDate="2025-04-27T19:28:58"/>
    </cacheField>
    <cacheField name="_validation_status" numFmtId="0">
      <sharedItems containsNonDate="0" containsString="0" containsBlank="1"/>
    </cacheField>
    <cacheField name="_notes" numFmtId="0">
      <sharedItems containsNonDate="0" containsString="0" containsBlank="1"/>
    </cacheField>
    <cacheField name="_status" numFmtId="0">
      <sharedItems/>
    </cacheField>
    <cacheField name="_submitted_by" numFmtId="0">
      <sharedItems containsNonDate="0" containsString="0" containsBlank="1"/>
    </cacheField>
    <cacheField name="__version__" numFmtId="0">
      <sharedItems/>
    </cacheField>
    <cacheField name="_tags" numFmtId="0">
      <sharedItems containsNonDate="0" containsString="0" containsBlank="1"/>
    </cacheField>
    <cacheField name="_index" numFmtId="0">
      <sharedItems containsSemiMixedTypes="0" containsString="0" containsNumber="1" containsInteger="1" minValue="1" maxValue="5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German" refreshedDate="45780.90118414352" backgroundQuery="1" createdVersion="8" refreshedVersion="8" minRefreshableVersion="3" recordCount="0" supportSubquery="1" supportAdvancedDrill="1">
  <cacheSource type="external" connectionId="1"/>
  <cacheFields count="2">
    <cacheField name="[Rango].[PSC.1 En los últimos 6 meses, es decir, de septiembre 2024 a la fecha. EN TÉRMINOS DE SU SEGURIDAD P].[PSC.1 En los últimos 6 meses, es decir, de septiembre 2024 a la fecha. EN TÉRMINOS DE SU SEGURIDAD P]" caption="PSC.1 En los últimos 6 meses, es decir, de septiembre 2024 a la fecha. EN TÉRMINOS DE SU SEGURIDAD P" numFmtId="0" level="1">
      <sharedItems count="4">
        <s v="1. MUY SEGURO"/>
        <s v="2. SEGURO"/>
        <s v="3. INSEGURO"/>
        <s v="4. MUY INSEGURO"/>
      </sharedItems>
    </cacheField>
    <cacheField name="[Measures].[Recuento de PSC.1 En los últimos 6 meses, es decir, de septiembre 2024 a la fecha. EN TÉRMINOS DE SU ]" caption="Recuento de PSC.1 En los últimos 6 meses, es decir, de septiembre 2024 a la fecha. EN TÉRMINOS DE SU " numFmtId="0" hierarchy="3" level="32767"/>
  </cacheFields>
  <cacheHierarchies count="4">
    <cacheHierarchy uniqueName="[Rango].[PSC.1 En los últimos 6 meses, es decir, de septiembre 2024 a la fecha. EN TÉRMINOS DE SU SEGURIDAD P]" caption="PSC.1 En los últimos 6 meses, es decir, de septiembre 2024 a la fecha. EN TÉRMINOS DE SU SEGURIDAD P" attribute="1" defaultMemberUniqueName="[Rango].[PSC.1 En los últimos 6 meses, es decir, de septiembre 2024 a la fecha. EN TÉRMINOS DE SU SEGURIDAD P].[All]" allUniqueName="[Rango].[PSC.1 En los últimos 6 meses, es decir, de septiembre 2024 a la fecha. EN TÉRMINOS DE SU SEGURIDAD P].[All]" dimensionUniqueName="[Rango]" displayFolder="" count="2" memberValueDatatype="130" unbalanced="0">
      <fieldsUsage count="2">
        <fieldUsage x="-1"/>
        <fieldUsage x="0"/>
      </fieldsUsage>
    </cacheHierarchy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Recuento de PSC.1 En los últimos 6 meses, es decir, de septiembre 2024 a la fecha. EN TÉRMINOS DE SU ]" caption="Recuento de PSC.1 En los últimos 6 meses, es decir, de septiembre 2024 a la fecha. EN TÉRMINOS DE SU 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6">
  <r>
    <d v="2025-04-02T14:38:42"/>
    <d v="2025-04-02T15:13:00"/>
    <s v="OM"/>
    <n v="3"/>
    <d v="2025-03-16T00:00:00"/>
    <n v="5"/>
    <s v="GB-CP"/>
    <s v="AMA"/>
    <n v="27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0"/>
    <x v="0"/>
    <x v="0"/>
    <s v="VE PRESENCIA DE GUARDIAS Y MUNICIPALES"/>
    <m/>
    <m/>
    <m/>
    <x v="0"/>
    <x v="0"/>
    <x v="0"/>
    <x v="0"/>
    <x v="0"/>
    <x v="0"/>
    <x v="0"/>
    <x v="0"/>
    <s v="K L"/>
    <n v="0"/>
    <n v="0"/>
    <n v="0"/>
    <n v="0"/>
    <n v="0"/>
    <n v="0"/>
    <n v="0"/>
    <n v="0"/>
    <n v="0"/>
    <n v="0"/>
    <n v="1"/>
    <n v="1"/>
    <n v="0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s v="POR EL MOMENTO MÁS SEGURO"/>
    <m/>
    <m/>
    <n v="82699672"/>
    <s v="66ebac4d-00ef-421d-b908-18eefd4d3cb6"/>
    <d v="2025-04-02T20:12:54"/>
    <m/>
    <m/>
    <s v="submitted_via_web"/>
    <m/>
    <s v="vhGz9QPwmdkBybuGFUbzwe"/>
    <m/>
    <n v="26"/>
  </r>
  <r>
    <d v="2025-04-02T15:47:34"/>
    <d v="2025-04-02T15:59:56"/>
    <s v="OM"/>
    <n v="6"/>
    <d v="2025-03-16T00:00:00"/>
    <n v="5"/>
    <s v="CP"/>
    <s v="AMA"/>
    <n v="28"/>
    <x v="0"/>
    <s v="3. al menos 2 veces al mes"/>
    <n v="2"/>
    <n v="0"/>
    <n v="0"/>
    <n v="0"/>
    <n v="0"/>
    <x v="0"/>
    <s v="1. Sí"/>
    <m/>
    <s v="6. Mestiza(o)"/>
    <m/>
    <x v="1"/>
    <s v="1. Completa"/>
    <s v="4. Es estudiante"/>
    <m/>
    <s v="1. Menos de $470"/>
    <s v="4. De paso"/>
    <x v="1"/>
    <x v="0"/>
    <x v="0"/>
    <x v="1"/>
    <x v="0"/>
    <x v="0"/>
    <m/>
    <s v="3. Tarde (12:00 a 17:59)"/>
    <x v="0"/>
    <x v="1"/>
    <x v="1"/>
    <x v="0"/>
    <x v="1"/>
    <s v="1. Canchas de fútbol y basquet 7. Áreas verdes"/>
    <x v="1"/>
    <x v="0"/>
    <x v="0"/>
    <x v="1"/>
    <x v="0"/>
    <x v="1"/>
    <x v="0"/>
    <m/>
    <x v="1"/>
    <x v="1"/>
    <x v="1"/>
    <s v="ROBOS"/>
    <m/>
    <m/>
    <m/>
    <x v="1"/>
    <x v="1"/>
    <x v="1"/>
    <x v="1"/>
    <x v="0"/>
    <x v="1"/>
    <x v="1"/>
    <x v="1"/>
    <s v="B G"/>
    <n v="0"/>
    <n v="1"/>
    <n v="0"/>
    <n v="0"/>
    <n v="0"/>
    <n v="0"/>
    <n v="1"/>
    <n v="0"/>
    <n v="0"/>
    <n v="0"/>
    <n v="0"/>
    <n v="0"/>
    <n v="0"/>
    <x v="1"/>
    <x v="1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0"/>
    <x v="0"/>
    <x v="1"/>
    <x v="1"/>
    <x v="0"/>
    <x v="0"/>
    <x v="1"/>
    <x v="1"/>
    <x v="1"/>
    <x v="1"/>
    <x v="0"/>
    <x v="0"/>
    <x v="0"/>
    <x v="0"/>
    <x v="0"/>
    <x v="0"/>
    <x v="0"/>
    <x v="1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1"/>
    <x v="1"/>
    <x v="1"/>
    <x v="1"/>
    <x v="0"/>
    <x v="0"/>
    <x v="1"/>
    <x v="1"/>
    <x v="1"/>
    <x v="1"/>
    <x v="1"/>
    <x v="1"/>
    <x v="1"/>
    <x v="1"/>
    <x v="0"/>
    <x v="0"/>
    <x v="0"/>
    <x v="0"/>
    <x v="0"/>
    <x v="0"/>
    <m/>
    <s v="INSEGURO"/>
    <m/>
    <m/>
    <n v="82702107"/>
    <s v="b4616808-16c9-434f-9ad3-a54e3196e9b5"/>
    <d v="2025-04-02T20:59:50"/>
    <m/>
    <m/>
    <s v="submitted_via_web"/>
    <m/>
    <s v="vhGz9QPwmdkBybuGFUbzwe"/>
    <m/>
    <n v="35"/>
  </r>
  <r>
    <d v="2025-04-11T10:45:11"/>
    <d v="2025-04-11T10:48:22"/>
    <s v="GH"/>
    <n v="8"/>
    <d v="2025-03-16T00:00:00"/>
    <n v="5"/>
    <s v="JC"/>
    <s v="AMA"/>
    <n v="35"/>
    <x v="0"/>
    <s v="3. al menos 2 veces al mes"/>
    <n v="0"/>
    <n v="0"/>
    <n v="0"/>
    <n v="0"/>
    <n v="0"/>
    <x v="0"/>
    <s v="1. Sí"/>
    <m/>
    <s v="6. Mestiza(o)"/>
    <m/>
    <x v="2"/>
    <s v="1. Completa"/>
    <s v="1. Trabajar"/>
    <m/>
    <s v="4. de $1340 a $1839"/>
    <s v="4. De paso"/>
    <x v="1"/>
    <x v="0"/>
    <x v="0"/>
    <x v="1"/>
    <x v="0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2"/>
    <x v="0"/>
    <s v="POLICIA NACIONAL"/>
    <s v="GENTE"/>
    <m/>
    <m/>
    <x v="1"/>
    <x v="1"/>
    <x v="1"/>
    <x v="2"/>
    <x v="1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0"/>
    <x v="0"/>
    <x v="0"/>
    <x v="1"/>
    <x v="2"/>
    <x v="0"/>
    <x v="1"/>
    <x v="2"/>
    <x v="0"/>
    <x v="1"/>
    <x v="2"/>
    <x v="0"/>
    <x v="1"/>
    <x v="1"/>
    <x v="0"/>
    <x v="1"/>
    <x v="1"/>
    <x v="0"/>
    <m/>
    <s v="FELIZ"/>
    <s v="SEGURO"/>
    <m/>
    <n v="83522225"/>
    <s v="06be3637-a871-4cb9-b79b-1ce7658ce689"/>
    <d v="2025-04-11T15:48:23"/>
    <m/>
    <m/>
    <s v="submitted_via_web"/>
    <m/>
    <s v="v5uNQoYdGp6CCoWUMSjVDf"/>
    <m/>
    <n v="482"/>
  </r>
  <r>
    <d v="2025-04-03T08:14:30"/>
    <d v="2025-04-03T08:20:16"/>
    <s v="OM"/>
    <n v="9"/>
    <d v="2025-03-16T00:00:00"/>
    <n v="5"/>
    <s v="CC"/>
    <s v="AMA"/>
    <n v="80"/>
    <x v="1"/>
    <s v="3. al menos 2 veces al mes"/>
    <n v="0"/>
    <n v="0"/>
    <n v="0"/>
    <n v="0"/>
    <n v="0"/>
    <x v="0"/>
    <s v="1. Sí"/>
    <m/>
    <s v="1. Indígena"/>
    <m/>
    <x v="1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1"/>
    <s v="NO HAY POLICÍA NACIONAL"/>
    <s v="MUCHOS PERROS"/>
    <m/>
    <m/>
    <x v="1"/>
    <x v="1"/>
    <x v="1"/>
    <x v="2"/>
    <x v="1"/>
    <x v="2"/>
    <x v="2"/>
    <x v="1"/>
    <s v="E F K L"/>
    <n v="0"/>
    <n v="0"/>
    <n v="0"/>
    <n v="0"/>
    <n v="1"/>
    <n v="1"/>
    <n v="0"/>
    <n v="0"/>
    <n v="0"/>
    <n v="0"/>
    <n v="1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FELIZ"/>
    <s v="PAZ"/>
    <m/>
    <n v="82763903"/>
    <s v="72837e5c-f2ec-49c5-9380-24d6b0140da3"/>
    <d v="2025-04-03T13:20:09"/>
    <m/>
    <m/>
    <s v="submitted_via_web"/>
    <m/>
    <s v="vhGz9QPwmdkBybuGFUbzwe"/>
    <m/>
    <n v="44"/>
  </r>
  <r>
    <d v="2025-04-03T09:27:44"/>
    <d v="2025-04-03T09:33:49"/>
    <s v="OM"/>
    <n v="30"/>
    <d v="2025-03-16T00:00:00"/>
    <n v="5"/>
    <s v="BP"/>
    <s v="AMA"/>
    <n v="47"/>
    <x v="2"/>
    <s v="3. al menos 2 veces al mes"/>
    <n v="0"/>
    <n v="0"/>
    <n v="0"/>
    <n v="0"/>
    <n v="0"/>
    <x v="1"/>
    <s v="1. Sí"/>
    <m/>
    <s v="6. Mestiza(o)"/>
    <m/>
    <x v="1"/>
    <s v="2. Incompleta"/>
    <s v="1. Trabajar"/>
    <m/>
    <s v="1. Menos de $470"/>
    <s v="5. Recreación/Ocio"/>
    <x v="1"/>
    <x v="0"/>
    <x v="0"/>
    <x v="0"/>
    <x v="1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1"/>
    <x v="1"/>
    <x v="0"/>
    <s v="VE POLICÍAS EN EL PARQUE"/>
    <m/>
    <m/>
    <m/>
    <x v="1"/>
    <x v="2"/>
    <x v="1"/>
    <x v="2"/>
    <x v="1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BIEN EL PARQUE PORQUE VIENEN CON SUS HIJOS"/>
    <m/>
    <m/>
    <n v="82766463"/>
    <s v="020128e7-54da-48d1-94e4-b2240361509a"/>
    <d v="2025-04-03T14:33:42"/>
    <m/>
    <m/>
    <s v="submitted_via_web"/>
    <m/>
    <s v="vhGz9QPwmdkBybuGFUbzwe"/>
    <m/>
    <n v="65"/>
  </r>
  <r>
    <d v="2025-04-03T09:33:49"/>
    <d v="2025-04-03T09:42:54"/>
    <s v="OM"/>
    <n v="36"/>
    <d v="2025-03-16T00:00:00"/>
    <n v="5"/>
    <s v="JC"/>
    <s v="AMA"/>
    <n v="51"/>
    <x v="2"/>
    <s v="3. al menos 2 veces al mes"/>
    <n v="0"/>
    <n v="0"/>
    <n v="0"/>
    <n v="0"/>
    <n v="0"/>
    <x v="1"/>
    <s v="1. Sí"/>
    <m/>
    <s v="1. Indígena"/>
    <m/>
    <x v="1"/>
    <s v="1. Completa"/>
    <s v="5. Quehaceres domésticos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OLICÍA NACIONAL"/>
    <s v="POLICÍA METROPOLITANA"/>
    <m/>
    <m/>
    <x v="1"/>
    <x v="1"/>
    <x v="1"/>
    <x v="2"/>
    <x v="0"/>
    <x v="2"/>
    <x v="2"/>
    <x v="1"/>
    <s v="B G"/>
    <n v="0"/>
    <n v="1"/>
    <n v="0"/>
    <n v="0"/>
    <n v="0"/>
    <n v="0"/>
    <n v="1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0"/>
    <x v="0"/>
    <x v="0"/>
    <x v="0"/>
    <x v="0"/>
    <x v="1"/>
    <x v="1"/>
    <x v="0"/>
    <x v="0"/>
    <x v="1"/>
    <x v="1"/>
    <x v="0"/>
    <x v="0"/>
    <x v="0"/>
    <x v="0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FELIZ"/>
    <s v="SEGURA"/>
    <m/>
    <n v="82767007"/>
    <s v="9ea69c9a-49b6-47a7-90ad-67201e67dcbd"/>
    <d v="2025-04-03T14:42:47"/>
    <m/>
    <m/>
    <s v="submitted_via_web"/>
    <m/>
    <s v="vhGz9QPwmdkBybuGFUbzwe"/>
    <m/>
    <n v="66"/>
  </r>
  <r>
    <d v="2025-04-02T12:54:58"/>
    <d v="2025-04-02T13:06:23"/>
    <s v="JP"/>
    <n v="85"/>
    <d v="2025-03-16T00:00:00"/>
    <n v="3"/>
    <s v="AS"/>
    <s v="MJM"/>
    <n v="31"/>
    <x v="0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99. NS/NC"/>
    <s v="1. Deporte / ejercicio 3. Compras 6. Otra"/>
    <x v="0"/>
    <x v="0"/>
    <x v="1"/>
    <x v="0"/>
    <x v="0"/>
    <x v="1"/>
    <s v="CAMINATA"/>
    <s v="2. Mañana  (06:00 a 11:59) 3. Tarde (12:00 a 17:59)"/>
    <x v="0"/>
    <x v="0"/>
    <x v="1"/>
    <x v="0"/>
    <x v="2"/>
    <s v="4. Pistas para correr"/>
    <x v="0"/>
    <x v="0"/>
    <x v="0"/>
    <x v="0"/>
    <x v="0"/>
    <x v="0"/>
    <x v="0"/>
    <m/>
    <x v="1"/>
    <x v="1"/>
    <x v="1"/>
    <s v="DELINCUENCIA"/>
    <m/>
    <m/>
    <m/>
    <x v="1"/>
    <x v="2"/>
    <x v="1"/>
    <x v="1"/>
    <x v="0"/>
    <x v="2"/>
    <x v="2"/>
    <x v="2"/>
    <s v="D"/>
    <n v="0"/>
    <n v="0"/>
    <n v="0"/>
    <n v="1"/>
    <n v="0"/>
    <n v="0"/>
    <n v="0"/>
    <n v="0"/>
    <n v="0"/>
    <n v="0"/>
    <n v="0"/>
    <n v="0"/>
    <n v="0"/>
    <x v="1"/>
    <x v="0"/>
    <x v="0"/>
    <x v="1"/>
    <x v="1"/>
    <x v="1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2"/>
    <x v="1"/>
    <x v="1"/>
    <x v="1"/>
    <x v="2"/>
    <x v="0"/>
    <x v="2"/>
    <x v="1"/>
    <x v="2"/>
    <x v="0"/>
    <x v="0"/>
    <x v="1"/>
    <x v="2"/>
    <x v="0"/>
    <x v="0"/>
    <x v="1"/>
    <x v="2"/>
    <x v="0"/>
    <x v="0"/>
    <x v="0"/>
    <x v="2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EMOCION"/>
    <s v="RELAJACION"/>
    <s v="PAZ"/>
    <n v="82695109"/>
    <s v="0beb0ce7-75db-447c-bd4a-fed425022c5f"/>
    <d v="2025-04-02T18:06:17"/>
    <m/>
    <m/>
    <s v="submitted_via_web"/>
    <m/>
    <s v="vhGz9QPwmdkBybuGFUbzwe"/>
    <m/>
    <n v="12"/>
  </r>
  <r>
    <d v="2025-04-11T10:03:16"/>
    <d v="2025-04-11T10:14:12"/>
    <s v="GH"/>
    <n v="94"/>
    <d v="2025-03-16T00:00:00"/>
    <n v="3"/>
    <s v="GB-CE"/>
    <s v="MJM"/>
    <n v="34"/>
    <x v="0"/>
    <s v="3. al menos 2 veces al mes"/>
    <n v="0"/>
    <n v="0"/>
    <n v="0"/>
    <n v="0"/>
    <n v="0"/>
    <x v="0"/>
    <s v="1. Sí"/>
    <m/>
    <s v="6. Mestiza(o)"/>
    <m/>
    <x v="3"/>
    <s v="1. Completa"/>
    <s v="1. Trabajar"/>
    <m/>
    <s v="4. de $1340 a $1839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GENTE"/>
    <s v="POLICIA"/>
    <m/>
    <m/>
    <x v="0"/>
    <x v="2"/>
    <x v="2"/>
    <x v="3"/>
    <x v="0"/>
    <x v="2"/>
    <x v="3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1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1"/>
    <x v="1"/>
    <x v="2"/>
    <x v="1"/>
    <x v="1"/>
    <x v="1"/>
    <x v="1"/>
    <x v="2"/>
    <x v="1"/>
    <x v="0"/>
    <x v="0"/>
    <x v="0"/>
    <m/>
    <s v="TRANQUILO"/>
    <s v="FELIZ"/>
    <m/>
    <n v="83516816"/>
    <s v="f5d394e7-828b-4d32-a5f4-233fb0dc632c"/>
    <d v="2025-04-11T15:14:13"/>
    <m/>
    <m/>
    <s v="submitted_via_web"/>
    <m/>
    <s v="v5uNQoYdGp6CCoWUMSjVDf"/>
    <m/>
    <n v="477"/>
  </r>
  <r>
    <d v="2025-04-03T09:54:13"/>
    <d v="2025-04-03T10:06:29"/>
    <s v="JP"/>
    <n v="107"/>
    <d v="2025-03-16T00:00:00"/>
    <n v="3"/>
    <s v="AS"/>
    <s v="MJM"/>
    <n v="38"/>
    <x v="0"/>
    <s v="3. al menos 2 veces al mes"/>
    <n v="0"/>
    <n v="0"/>
    <n v="0"/>
    <n v="0"/>
    <n v="0"/>
    <x v="1"/>
    <s v="1. Sí"/>
    <m/>
    <s v="6. Mestiza(o)"/>
    <m/>
    <x v="1"/>
    <s v="2. Incompleta"/>
    <s v="1. Trabajar"/>
    <m/>
    <s v="99. NS/NC"/>
    <s v="1. Deporte / ejercicio 2. Culturales y sociales 3. Compras 6. Otra"/>
    <x v="0"/>
    <x v="1"/>
    <x v="1"/>
    <x v="0"/>
    <x v="0"/>
    <x v="1"/>
    <s v="CAMINATA"/>
    <s v="3. Tarde (12:00 a 17:59)"/>
    <x v="0"/>
    <x v="1"/>
    <x v="1"/>
    <x v="0"/>
    <x v="0"/>
    <s v="3. Caminos de ciclismo 4. Pistas para correr"/>
    <x v="0"/>
    <x v="0"/>
    <x v="1"/>
    <x v="0"/>
    <x v="0"/>
    <x v="0"/>
    <x v="0"/>
    <m/>
    <x v="1"/>
    <x v="1"/>
    <x v="1"/>
    <s v="CLASE DE PERSONAS SOSPECHOSAS"/>
    <m/>
    <m/>
    <m/>
    <x v="1"/>
    <x v="2"/>
    <x v="1"/>
    <x v="2"/>
    <x v="1"/>
    <x v="2"/>
    <x v="0"/>
    <x v="1"/>
    <s v="D"/>
    <n v="0"/>
    <n v="0"/>
    <n v="0"/>
    <n v="1"/>
    <n v="0"/>
    <n v="0"/>
    <n v="0"/>
    <n v="0"/>
    <n v="0"/>
    <n v="0"/>
    <n v="0"/>
    <n v="0"/>
    <n v="0"/>
    <x v="1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2"/>
    <x v="0"/>
    <x v="1"/>
    <x v="2"/>
    <x v="0"/>
    <x v="0"/>
    <x v="1"/>
    <x v="1"/>
    <x v="0"/>
    <x v="0"/>
    <x v="0"/>
    <x v="0"/>
    <x v="0"/>
    <x v="0"/>
    <x v="1"/>
    <x v="1"/>
    <x v="0"/>
    <x v="1"/>
    <x v="0"/>
    <x v="0"/>
    <x v="0"/>
    <x v="0"/>
    <x v="0"/>
    <x v="0"/>
    <x v="1"/>
    <s v="NO HAY CONTENEDORES"/>
    <x v="1"/>
    <x v="0"/>
    <x v="0"/>
    <x v="0"/>
    <x v="0"/>
    <m/>
    <x v="0"/>
    <x v="0"/>
    <x v="0"/>
    <x v="0"/>
    <x v="0"/>
    <m/>
    <x v="0"/>
    <m/>
    <x v="1"/>
    <x v="1"/>
    <x v="0"/>
    <x v="0"/>
    <x v="2"/>
    <x v="2"/>
    <x v="0"/>
    <x v="0"/>
    <x v="0"/>
    <x v="0"/>
    <x v="1"/>
    <x v="2"/>
    <x v="0"/>
    <x v="2"/>
    <x v="1"/>
    <x v="1"/>
    <x v="2"/>
    <x v="0"/>
    <x v="1"/>
    <x v="1"/>
    <x v="1"/>
    <x v="1"/>
    <x v="1"/>
    <x v="2"/>
    <x v="0"/>
    <x v="0"/>
    <x v="0"/>
    <x v="0"/>
    <x v="0"/>
    <x v="0"/>
    <m/>
    <s v="FELIZ POR MIS HIJOS ESTEB VIEN"/>
    <s v="CALMADA"/>
    <s v="EMOCIONADA"/>
    <n v="82768142"/>
    <s v="5167d46e-8e3b-47d0-ac79-3f61af88c3f1"/>
    <d v="2025-04-03T15:06:22"/>
    <m/>
    <m/>
    <s v="submitted_via_web"/>
    <m/>
    <s v="vhGz9QPwmdkBybuGFUbzwe"/>
    <m/>
    <n v="71"/>
  </r>
  <r>
    <d v="2025-04-03T10:27:39"/>
    <d v="2025-04-03T10:44:56"/>
    <s v="AFC"/>
    <n v="131"/>
    <d v="2025-03-14T00:00:00"/>
    <n v="3"/>
    <s v="AS"/>
    <s v="JA"/>
    <n v="20"/>
    <x v="3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1. Canchas de fútbol y basquet"/>
    <x v="1"/>
    <x v="0"/>
    <x v="0"/>
    <x v="1"/>
    <x v="0"/>
    <x v="0"/>
    <x v="0"/>
    <m/>
    <x v="1"/>
    <x v="1"/>
    <x v="0"/>
    <s v="MUCHA GENTE"/>
    <s v="MUCHA SEGURIDAD"/>
    <m/>
    <m/>
    <x v="0"/>
    <x v="2"/>
    <x v="1"/>
    <x v="2"/>
    <x v="0"/>
    <x v="3"/>
    <x v="2"/>
    <x v="1"/>
    <s v="F"/>
    <n v="0"/>
    <n v="0"/>
    <n v="0"/>
    <n v="0"/>
    <n v="0"/>
    <n v="1"/>
    <n v="0"/>
    <n v="0"/>
    <n v="0"/>
    <n v="0"/>
    <n v="0"/>
    <n v="0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1"/>
    <x v="1"/>
    <x v="0"/>
    <x v="0"/>
    <x v="0"/>
    <x v="0"/>
    <x v="1"/>
    <x v="2"/>
    <x v="0"/>
    <x v="0"/>
    <x v="0"/>
    <x v="0"/>
    <x v="0"/>
    <x v="0"/>
    <x v="0"/>
    <x v="0"/>
    <x v="0"/>
    <x v="0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0"/>
    <x v="0"/>
    <x v="0"/>
    <x v="0"/>
    <x v="1"/>
    <x v="1"/>
    <x v="1"/>
    <x v="1"/>
    <x v="1"/>
    <x v="1"/>
    <x v="1"/>
    <x v="1"/>
    <x v="0"/>
    <x v="0"/>
    <x v="0"/>
    <x v="0"/>
    <x v="0"/>
    <x v="0"/>
    <m/>
    <s v="TRANQUILIDAD"/>
    <s v="PAZ"/>
    <s v="SEGURIDAD"/>
    <n v="82769786"/>
    <s v="a6bdab0e-0af3-4d34-9114-7277139e4188"/>
    <d v="2025-04-03T15:44:49"/>
    <m/>
    <m/>
    <s v="submitted_via_web"/>
    <m/>
    <s v="vhGz9QPwmdkBybuGFUbzwe"/>
    <m/>
    <n v="75"/>
  </r>
  <r>
    <d v="2025-04-03T09:56:45"/>
    <d v="2025-04-03T10:01:31"/>
    <s v="AFC"/>
    <n v="134"/>
    <d v="2025-03-14T00:00:00"/>
    <n v="3"/>
    <s v="AS"/>
    <s v="JA"/>
    <n v="45"/>
    <x v="2"/>
    <s v="1. Diariamente"/>
    <n v="0"/>
    <n v="0"/>
    <n v="0"/>
    <n v="0"/>
    <n v="0"/>
    <x v="1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2. Mañana  (06:00 a 11:59) 3. Tarde (12:00 a 17:59) 4. Noche  (18:00 a 23:59)"/>
    <x v="0"/>
    <x v="0"/>
    <x v="1"/>
    <x v="1"/>
    <x v="1"/>
    <s v="1. Canchas de fútbol y basquet 4. Pistas para correr 6. Área para perros"/>
    <x v="1"/>
    <x v="0"/>
    <x v="0"/>
    <x v="0"/>
    <x v="1"/>
    <x v="0"/>
    <x v="0"/>
    <m/>
    <x v="1"/>
    <x v="1"/>
    <x v="1"/>
    <s v="DELINCUENCIA"/>
    <s v="CPNSUMO DE DROGAS"/>
    <m/>
    <m/>
    <x v="1"/>
    <x v="2"/>
    <x v="2"/>
    <x v="0"/>
    <x v="2"/>
    <x v="2"/>
    <x v="1"/>
    <x v="2"/>
    <s v="E"/>
    <n v="0"/>
    <n v="0"/>
    <n v="0"/>
    <n v="0"/>
    <n v="1"/>
    <n v="0"/>
    <n v="0"/>
    <n v="0"/>
    <n v="0"/>
    <n v="0"/>
    <n v="0"/>
    <n v="0"/>
    <n v="0"/>
    <x v="1"/>
    <x v="3"/>
    <x v="2"/>
    <x v="1"/>
    <x v="1"/>
    <x v="1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1"/>
    <x v="1"/>
    <x v="1"/>
    <x v="2"/>
    <x v="0"/>
    <x v="0"/>
    <x v="1"/>
    <x v="1"/>
    <x v="1"/>
    <x v="2"/>
    <x v="0"/>
    <x v="0"/>
    <x v="0"/>
    <x v="3"/>
    <x v="1"/>
    <x v="3"/>
    <x v="0"/>
    <x v="0"/>
    <x v="1"/>
    <x v="3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PAZ"/>
    <s v="ALEGRIA"/>
    <s v="CONEXION CON LA NATURALEZA"/>
    <n v="82767857"/>
    <s v="e6911d88-e43f-44bb-acd2-c0bd8d5c0dfa"/>
    <d v="2025-04-03T15:01:23"/>
    <m/>
    <m/>
    <s v="submitted_via_web"/>
    <m/>
    <s v="vhGz9QPwmdkBybuGFUbzwe"/>
    <m/>
    <n v="70"/>
  </r>
  <r>
    <d v="2025-04-03T08:34:31"/>
    <d v="2025-04-03T08:43:47"/>
    <s v="AFC"/>
    <n v="154"/>
    <d v="2025-03-14T00:00:00"/>
    <n v="3"/>
    <s v="AS"/>
    <s v="JA"/>
    <n v="58"/>
    <x v="1"/>
    <s v="1. Diariamente"/>
    <n v="1"/>
    <n v="0"/>
    <n v="0"/>
    <n v="0"/>
    <n v="0"/>
    <x v="0"/>
    <s v="1. Sí"/>
    <m/>
    <s v="8. Otro"/>
    <s v="CRIOLLO"/>
    <x v="1"/>
    <s v="1. Completa"/>
    <s v="7. Dueña/o de su propio negocio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0"/>
    <s v="6. Área para perros"/>
    <x v="0"/>
    <x v="0"/>
    <x v="0"/>
    <x v="1"/>
    <x v="1"/>
    <x v="0"/>
    <x v="0"/>
    <m/>
    <x v="1"/>
    <x v="1"/>
    <x v="1"/>
    <s v="POR INFORMACION EN NOTICIAS"/>
    <s v="POR GENTE ESTRANJERA"/>
    <s v="CONSUMO DE DROGAS Y ALCOHOL"/>
    <m/>
    <x v="0"/>
    <x v="2"/>
    <x v="1"/>
    <x v="1"/>
    <x v="0"/>
    <x v="3"/>
    <x v="2"/>
    <x v="1"/>
    <s v="H"/>
    <n v="0"/>
    <n v="0"/>
    <n v="0"/>
    <n v="0"/>
    <n v="0"/>
    <n v="0"/>
    <n v="0"/>
    <n v="1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1"/>
    <x v="2"/>
    <x v="0"/>
    <x v="0"/>
    <x v="1"/>
    <x v="1"/>
    <x v="1"/>
    <x v="2"/>
    <x v="1"/>
    <x v="2"/>
    <x v="0"/>
    <x v="0"/>
    <x v="0"/>
    <x v="0"/>
    <x v="0"/>
    <x v="0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2"/>
    <x v="0"/>
    <x v="2"/>
    <x v="2"/>
    <x v="1"/>
    <x v="1"/>
    <x v="1"/>
    <x v="0"/>
    <x v="1"/>
    <x v="2"/>
    <x v="0"/>
    <x v="2"/>
    <x v="1"/>
    <x v="0"/>
    <x v="1"/>
    <x v="2"/>
    <x v="1"/>
    <x v="1"/>
    <x v="1"/>
    <x v="1"/>
    <x v="1"/>
    <x v="2"/>
    <x v="1"/>
    <x v="2"/>
    <x v="2"/>
    <x v="1"/>
    <x v="2"/>
    <x v="1"/>
    <m/>
    <s v="INSEGURIDAD"/>
    <s v="NO HAY CUIDADO CON LOS ANIMALES DE COMPANIA"/>
    <m/>
    <n v="82764882"/>
    <s v="6233d3a2-fdb4-4cf7-b822-3cc8251c816f"/>
    <d v="2025-04-03T13:43:40"/>
    <m/>
    <m/>
    <s v="submitted_via_web"/>
    <m/>
    <s v="vhGz9QPwmdkBybuGFUbzwe"/>
    <m/>
    <n v="51"/>
  </r>
  <r>
    <d v="2025-04-10T15:55:14"/>
    <d v="2025-04-10T16:03:16"/>
    <s v="OM"/>
    <n v="176"/>
    <d v="2025-03-14T00:00:00"/>
    <n v="4"/>
    <s v="GB-LS"/>
    <s v="GH"/>
    <n v="20"/>
    <x v="3"/>
    <s v="2. Semanalmente"/>
    <n v="0"/>
    <n v="0"/>
    <n v="0"/>
    <n v="0"/>
    <n v="0"/>
    <x v="1"/>
    <s v="1. Sí"/>
    <m/>
    <s v="6. Mestiza(o)"/>
    <m/>
    <x v="1"/>
    <s v="1. Completa"/>
    <s v="4. Es estudiante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2"/>
    <x v="2"/>
    <s v="PERSONAS CORRIENDO"/>
    <s v="SI LA POLICÍA"/>
    <m/>
    <m/>
    <x v="2"/>
    <x v="2"/>
    <x v="1"/>
    <x v="4"/>
    <x v="0"/>
    <x v="3"/>
    <x v="4"/>
    <x v="0"/>
    <s v="B"/>
    <n v="0"/>
    <n v="1"/>
    <n v="0"/>
    <n v="0"/>
    <n v="0"/>
    <n v="0"/>
    <n v="0"/>
    <n v="0"/>
    <n v="0"/>
    <n v="0"/>
    <n v="0"/>
    <n v="0"/>
    <n v="0"/>
    <x v="2"/>
    <x v="1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1"/>
    <x v="1"/>
    <x v="1"/>
    <x v="2"/>
    <x v="0"/>
    <x v="0"/>
    <x v="1"/>
    <x v="2"/>
    <x v="1"/>
    <x v="3"/>
    <x v="1"/>
    <x v="3"/>
    <x v="1"/>
    <x v="1"/>
    <x v="1"/>
    <x v="1"/>
    <x v="0"/>
    <x v="1"/>
    <x v="0"/>
    <x v="0"/>
    <x v="1"/>
    <x v="1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SEGURIDAD"/>
    <m/>
    <m/>
    <n v="83441740"/>
    <s v="78106956-a91f-4146-a1c8-11a028896e10"/>
    <d v="2025-04-10T21:03:10"/>
    <m/>
    <m/>
    <s v="submitted_via_web"/>
    <m/>
    <s v="v5uNQoYdGp6CCoWUMSjVDf"/>
    <m/>
    <n v="454"/>
  </r>
  <r>
    <d v="2025-04-11T08:58:59"/>
    <d v="2025-04-11T09:04:41"/>
    <s v="OM"/>
    <n v="189"/>
    <d v="2025-03-14T00:00:00"/>
    <n v="4"/>
    <s v="GB-MA"/>
    <s v="GH"/>
    <n v="66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BOULEVARES"/>
    <x v="1"/>
    <x v="2"/>
    <x v="0"/>
    <s v="CONTROL POLICIAL"/>
    <m/>
    <m/>
    <m/>
    <x v="2"/>
    <x v="1"/>
    <x v="3"/>
    <x v="3"/>
    <x v="3"/>
    <x v="3"/>
    <x v="0"/>
    <x v="1"/>
    <s v="Ninguno"/>
    <n v="0"/>
    <n v="0"/>
    <n v="0"/>
    <n v="0"/>
    <n v="0"/>
    <n v="0"/>
    <n v="0"/>
    <n v="0"/>
    <n v="0"/>
    <n v="0"/>
    <n v="0"/>
    <n v="0"/>
    <n v="1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1"/>
    <x v="1"/>
    <x v="0"/>
    <x v="0"/>
    <x v="0"/>
    <x v="0"/>
    <x v="0"/>
    <x v="0"/>
    <x v="0"/>
    <x v="0"/>
    <x v="1"/>
    <x v="2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1"/>
    <x v="2"/>
    <x v="0"/>
    <x v="0"/>
    <x v="0"/>
    <x v="0"/>
    <x v="0"/>
    <x v="0"/>
    <m/>
    <s v="TRANQUILIDAD"/>
    <m/>
    <m/>
    <n v="83513217"/>
    <s v="2f51918b-00c5-462f-9820-60e0a8cc611b"/>
    <d v="2025-04-11T14:04:41"/>
    <m/>
    <m/>
    <s v="submitted_via_web"/>
    <m/>
    <s v="v5uNQoYdGp6CCoWUMSjVDf"/>
    <m/>
    <n v="474"/>
  </r>
  <r>
    <d v="2025-04-05T11:37:29"/>
    <d v="2025-04-05T13:05:20"/>
    <s v="JP"/>
    <n v="241"/>
    <d v="2025-03-14T00:00:00"/>
    <n v="1"/>
    <s v="GB-SCH"/>
    <s v="AE"/>
    <n v="21"/>
    <x v="3"/>
    <s v="3. al menos 2 veces al mes"/>
    <n v="0"/>
    <n v="0"/>
    <n v="0"/>
    <n v="0"/>
    <n v="0"/>
    <x v="1"/>
    <s v="1. Sí"/>
    <m/>
    <s v="1. Indígena"/>
    <m/>
    <x v="0"/>
    <s v="1. Completa"/>
    <s v="4. Es estudiante"/>
    <m/>
    <s v="2. de $471 a $919"/>
    <s v="2. Culturales y sociales"/>
    <x v="1"/>
    <x v="1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NO HAY PRESENCIA POLICIAL"/>
    <m/>
    <m/>
    <m/>
    <x v="1"/>
    <x v="1"/>
    <x v="1"/>
    <x v="0"/>
    <x v="2"/>
    <x v="2"/>
    <x v="0"/>
    <x v="1"/>
    <s v="F"/>
    <n v="0"/>
    <n v="0"/>
    <n v="0"/>
    <n v="0"/>
    <n v="0"/>
    <n v="1"/>
    <n v="0"/>
    <n v="0"/>
    <n v="0"/>
    <n v="0"/>
    <n v="0"/>
    <n v="0"/>
    <n v="0"/>
    <x v="2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1"/>
    <x v="1"/>
    <x v="0"/>
    <x v="0"/>
    <x v="0"/>
    <x v="0"/>
    <x v="0"/>
    <x v="0"/>
    <x v="0"/>
    <x v="0"/>
    <x v="0"/>
    <x v="0"/>
    <x v="0"/>
    <x v="0"/>
    <m/>
    <s v="PAZ"/>
    <s v="TRANQUILIDAD"/>
    <s v="DISTRACCION"/>
    <n v="82910622"/>
    <s v="eadfec1d-d788-47c9-a0c7-679ee430a7fe"/>
    <d v="2025-04-05T18:05:21"/>
    <m/>
    <m/>
    <s v="submitted_via_web"/>
    <m/>
    <s v="vhGz9QPwmdkBybuGFUbzwe"/>
    <m/>
    <n v="155"/>
  </r>
  <r>
    <d v="2025-04-05T17:37:28"/>
    <d v="2025-04-05T17:41:45"/>
    <s v="JP"/>
    <n v="268"/>
    <d v="2025-03-14T00:00:00"/>
    <n v="5"/>
    <s v="GB-EG"/>
    <s v="AMA"/>
    <n v="19"/>
    <x v="3"/>
    <s v="3. al menos 2 veces al mes"/>
    <n v="0"/>
    <n v="0"/>
    <n v="0"/>
    <n v="0"/>
    <n v="0"/>
    <x v="1"/>
    <s v="1. Sí"/>
    <m/>
    <s v="6. Mestiza(o)"/>
    <m/>
    <x v="1"/>
    <s v="1. Completa"/>
    <s v="4. Es estudiante"/>
    <m/>
    <s v="99. NS/NC"/>
    <s v="3. Compras"/>
    <x v="1"/>
    <x v="0"/>
    <x v="1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1"/>
    <x v="0"/>
    <s v="SE SIENTE SEGURA PORQUE HAY GUARDIAS"/>
    <m/>
    <m/>
    <m/>
    <x v="1"/>
    <x v="1"/>
    <x v="1"/>
    <x v="2"/>
    <x v="0"/>
    <x v="3"/>
    <x v="2"/>
    <x v="1"/>
    <s v="Ninguno"/>
    <n v="0"/>
    <n v="0"/>
    <n v="0"/>
    <n v="0"/>
    <n v="0"/>
    <n v="0"/>
    <n v="0"/>
    <n v="0"/>
    <n v="0"/>
    <n v="0"/>
    <n v="0"/>
    <n v="0"/>
    <n v="1"/>
    <x v="1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1"/>
    <x v="1"/>
    <x v="2"/>
    <x v="1"/>
    <x v="2"/>
    <x v="0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SEGURIDAD"/>
    <s v="TRANQUILIDAD"/>
    <m/>
    <n v="82918773"/>
    <s v="d54d8678-3934-44cf-9852-297996d0f60e"/>
    <d v="2025-04-05T22:41:45"/>
    <m/>
    <m/>
    <s v="submitted_via_web"/>
    <m/>
    <s v="vhGz9QPwmdkBybuGFUbzwe"/>
    <m/>
    <n v="181"/>
  </r>
  <r>
    <d v="2025-04-06T07:56:10"/>
    <d v="2025-04-06T08:03:31"/>
    <s v="GR"/>
    <n v="294"/>
    <d v="2025-03-14T00:00:00"/>
    <n v="1"/>
    <s v="GB-SCH"/>
    <s v="AE"/>
    <n v="22"/>
    <x v="3"/>
    <s v="3. al menos 2 veces al mes"/>
    <n v="1"/>
    <n v="0"/>
    <n v="0"/>
    <n v="0"/>
    <n v="1"/>
    <x v="1"/>
    <s v="1. Sí"/>
    <m/>
    <s v="4. Mulata(o)"/>
    <m/>
    <x v="3"/>
    <s v="1. Completa"/>
    <s v="4. Es estudiante"/>
    <m/>
    <s v="1. Menos de $470"/>
    <s v="4. De paso"/>
    <x v="1"/>
    <x v="0"/>
    <x v="0"/>
    <x v="1"/>
    <x v="0"/>
    <x v="0"/>
    <m/>
    <s v="3. Tarde (12:00 a 17:59)"/>
    <x v="0"/>
    <x v="1"/>
    <x v="1"/>
    <x v="0"/>
    <x v="1"/>
    <s v="1. Canchas de fútbol y basquet"/>
    <x v="1"/>
    <x v="0"/>
    <x v="0"/>
    <x v="1"/>
    <x v="0"/>
    <x v="0"/>
    <x v="0"/>
    <m/>
    <x v="1"/>
    <x v="1"/>
    <x v="1"/>
    <s v="HAY VENTA AMBULANTE"/>
    <s v="PERSONAS EXTRAÑAS"/>
    <m/>
    <m/>
    <x v="1"/>
    <x v="1"/>
    <x v="1"/>
    <x v="1"/>
    <x v="0"/>
    <x v="2"/>
    <x v="1"/>
    <x v="1"/>
    <s v="C"/>
    <n v="0"/>
    <n v="0"/>
    <n v="1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1"/>
    <x v="1"/>
    <x v="1"/>
    <x v="1"/>
    <x v="1"/>
    <x v="1"/>
    <x v="1"/>
    <x v="1"/>
    <x v="0"/>
    <x v="0"/>
    <x v="0"/>
    <x v="0"/>
    <x v="0"/>
    <x v="0"/>
    <m/>
    <s v="INSEGURIDAD"/>
    <m/>
    <m/>
    <n v="82965820"/>
    <s v="fec05417-39aa-498b-8b1b-2995d03b8d28"/>
    <d v="2025-04-06T13:03:23"/>
    <m/>
    <m/>
    <s v="submitted_via_web"/>
    <m/>
    <s v="vhGz9QPwmdkBybuGFUbzwe"/>
    <m/>
    <n v="206"/>
  </r>
  <r>
    <d v="2025-04-05T12:43:12"/>
    <d v="2025-04-05T12:51:37"/>
    <s v="GR"/>
    <n v="316"/>
    <d v="2025-03-14T00:00:00"/>
    <n v="2"/>
    <s v="BP"/>
    <s v="AMC"/>
    <n v="58"/>
    <x v="1"/>
    <s v="3. al menos 2 veces al mes"/>
    <n v="0"/>
    <n v="0"/>
    <n v="0"/>
    <n v="0"/>
    <n v="0"/>
    <x v="1"/>
    <s v="1. Sí"/>
    <m/>
    <s v="7. Blanca(o)"/>
    <m/>
    <x v="4"/>
    <s v="1. Completa"/>
    <s v="7. Dueña/o de su propio negocio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1"/>
    <x v="1"/>
    <s v="FALTA MAS LUMINARIA"/>
    <s v="FALTA MAS POLICIAS"/>
    <m/>
    <m/>
    <x v="1"/>
    <x v="2"/>
    <x v="1"/>
    <x v="0"/>
    <x v="0"/>
    <x v="4"/>
    <x v="2"/>
    <x v="2"/>
    <s v="E"/>
    <n v="0"/>
    <n v="0"/>
    <n v="0"/>
    <n v="0"/>
    <n v="1"/>
    <n v="0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1"/>
    <x v="2"/>
    <x v="0"/>
    <x v="1"/>
    <x v="0"/>
    <x v="0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LE GUSTA, FELIZ EN EL PARQUE"/>
    <m/>
    <m/>
    <n v="82910418"/>
    <s v="d76b0a94-7246-494b-b90c-2337a81fd3f1"/>
    <d v="2025-04-05T17:51:32"/>
    <m/>
    <m/>
    <s v="submitted_via_web"/>
    <m/>
    <s v="vhGz9QPwmdkBybuGFUbzwe"/>
    <m/>
    <n v="153"/>
  </r>
  <r>
    <d v="2025-04-07T00:12:55"/>
    <d v="2025-04-07T00:17:12"/>
    <s v="AE"/>
    <n v="327"/>
    <d v="2025-03-15T00:00:00"/>
    <n v="2"/>
    <s v="JC"/>
    <s v="AMC"/>
    <n v="45"/>
    <x v="2"/>
    <s v="2. Semanalmente"/>
    <n v="0"/>
    <n v="0"/>
    <n v="0"/>
    <n v="0"/>
    <n v="0"/>
    <x v="1"/>
    <s v="1. Sí"/>
    <m/>
    <s v="6. Mestiza(o)"/>
    <m/>
    <x v="0"/>
    <s v="1. Completa"/>
    <s v="1. Trabajar"/>
    <m/>
    <s v="5. más de $1840"/>
    <s v="2. Culturales y sociales"/>
    <x v="1"/>
    <x v="1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2"/>
    <x v="0"/>
    <s v="MUCHA GENTE"/>
    <s v="EL HORARIO"/>
    <m/>
    <m/>
    <x v="0"/>
    <x v="1"/>
    <x v="1"/>
    <x v="1"/>
    <x v="0"/>
    <x v="3"/>
    <x v="2"/>
    <x v="1"/>
    <s v="G"/>
    <n v="0"/>
    <n v="0"/>
    <n v="0"/>
    <n v="0"/>
    <n v="0"/>
    <n v="0"/>
    <n v="1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3"/>
    <x v="1"/>
    <x v="3"/>
    <x v="1"/>
    <x v="2"/>
    <x v="0"/>
    <x v="0"/>
    <x v="1"/>
    <x v="2"/>
    <x v="0"/>
    <x v="0"/>
    <x v="1"/>
    <x v="1"/>
    <x v="1"/>
    <x v="2"/>
    <x v="0"/>
    <x v="0"/>
    <x v="0"/>
    <x v="0"/>
    <x v="0"/>
    <x v="0"/>
    <x v="0"/>
    <x v="0"/>
    <x v="0"/>
    <x v="0"/>
    <x v="0"/>
    <m/>
    <x v="0"/>
    <x v="0"/>
    <x v="2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0"/>
    <x v="1"/>
    <x v="1"/>
    <x v="1"/>
    <x v="1"/>
    <x v="2"/>
    <x v="0"/>
    <x v="0"/>
    <x v="0"/>
    <x v="0"/>
    <x v="0"/>
    <x v="0"/>
    <x v="0"/>
    <x v="0"/>
    <x v="0"/>
    <m/>
    <s v="CONTACTO CON LA NATURALEZA"/>
    <s v="PAZ"/>
    <m/>
    <n v="83002828"/>
    <s v="b858451d-7a10-4b16-8cf3-f4187d471374"/>
    <d v="2025-04-07T05:17:13"/>
    <m/>
    <m/>
    <s v="submitted_via_web"/>
    <m/>
    <s v="vhGz9QPwmdkBybuGFUbzwe"/>
    <m/>
    <n v="316"/>
  </r>
  <r>
    <d v="2025-04-07T00:02:51"/>
    <d v="2025-04-07T00:07:53"/>
    <s v="AE"/>
    <n v="329"/>
    <d v="2025-03-14T00:00:00"/>
    <n v="2"/>
    <s v="GP-CE"/>
    <s v="AMC"/>
    <n v="78"/>
    <x v="1"/>
    <s v="2. Semanalmente"/>
    <n v="0"/>
    <n v="0"/>
    <n v="0"/>
    <n v="0"/>
    <n v="0"/>
    <x v="0"/>
    <s v="1. Sí"/>
    <m/>
    <s v="6. Mestiza(o)"/>
    <m/>
    <x v="1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CAMINERA"/>
    <x v="0"/>
    <x v="0"/>
    <x v="1"/>
    <s v="HORARIOS SIN POLICIAS"/>
    <s v="PERSONAS CONSUMO DE DROGAS"/>
    <m/>
    <m/>
    <x v="3"/>
    <x v="3"/>
    <x v="1"/>
    <x v="1"/>
    <x v="1"/>
    <x v="2"/>
    <x v="1"/>
    <x v="2"/>
    <s v="C"/>
    <n v="0"/>
    <n v="0"/>
    <n v="1"/>
    <n v="0"/>
    <n v="0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2"/>
    <x v="1"/>
    <x v="1"/>
    <x v="0"/>
    <x v="0"/>
    <x v="0"/>
    <x v="0"/>
    <x v="0"/>
    <x v="3"/>
    <x v="0"/>
    <x v="0"/>
    <x v="0"/>
    <x v="0"/>
    <x v="1"/>
    <x v="1"/>
    <x v="0"/>
    <x v="0"/>
    <x v="0"/>
    <x v="0"/>
    <x v="0"/>
    <x v="0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DISTRAIDO"/>
    <s v="RELAJADO"/>
    <s v="LIBRE"/>
    <n v="83001966"/>
    <s v="f1bf8872-307b-4321-9a68-20b109b8f3ba"/>
    <d v="2025-04-07T05:07:54"/>
    <m/>
    <m/>
    <s v="submitted_via_web"/>
    <m/>
    <s v="vhGz9QPwmdkBybuGFUbzwe"/>
    <m/>
    <n v="314"/>
  </r>
  <r>
    <d v="2025-04-06T23:10:42"/>
    <d v="2025-04-06T23:14:49"/>
    <s v="AE"/>
    <n v="340"/>
    <d v="2025-03-15T00:00:00"/>
    <n v="2"/>
    <s v="JC"/>
    <s v="AMC"/>
    <n v="21"/>
    <x v="3"/>
    <s v="2. Semanalmente"/>
    <n v="1"/>
    <n v="0"/>
    <n v="1"/>
    <n v="0"/>
    <n v="0"/>
    <x v="1"/>
    <s v="1. Sí"/>
    <m/>
    <s v="6. Mestiza(o)"/>
    <m/>
    <x v="1"/>
    <s v="1. Completa"/>
    <s v="4. Es estudiante"/>
    <m/>
    <s v="99. NS/NC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0"/>
    <s v="POLICIA NACIONAL"/>
    <s v="AGLOMERACION DE GENTE"/>
    <m/>
    <m/>
    <x v="0"/>
    <x v="2"/>
    <x v="3"/>
    <x v="2"/>
    <x v="0"/>
    <x v="2"/>
    <x v="2"/>
    <x v="0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0"/>
    <x v="0"/>
    <x v="0"/>
    <x v="0"/>
    <x v="1"/>
    <x v="2"/>
    <x v="1"/>
    <x v="2"/>
    <x v="1"/>
    <x v="2"/>
    <x v="0"/>
    <x v="0"/>
    <x v="1"/>
    <x v="2"/>
    <x v="0"/>
    <x v="1"/>
    <x v="0"/>
    <x v="0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m/>
    <s v="FELIZ"/>
    <s v="TRANQUILIDAD"/>
    <m/>
    <n v="82998066"/>
    <s v="26b7ac5d-31aa-4ce6-87a6-cda0c1f3a4ba"/>
    <d v="2025-04-07T04:14:49"/>
    <m/>
    <m/>
    <s v="submitted_via_web"/>
    <m/>
    <s v="vhGz9QPwmdkBybuGFUbzwe"/>
    <m/>
    <n v="303"/>
  </r>
  <r>
    <d v="2025-04-06T15:43:58"/>
    <d v="2025-04-06T15:48:27"/>
    <s v="AMC"/>
    <n v="381"/>
    <d v="2025-03-15T00:00:00"/>
    <n v="4"/>
    <s v="GB-CCH"/>
    <s v="GH"/>
    <n v="40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1"/>
    <x v="1"/>
    <x v="1"/>
    <s v="MUCHA VENTA INFORMAL"/>
    <m/>
    <m/>
    <m/>
    <x v="1"/>
    <x v="1"/>
    <x v="1"/>
    <x v="2"/>
    <x v="1"/>
    <x v="2"/>
    <x v="2"/>
    <x v="1"/>
    <s v="L"/>
    <n v="0"/>
    <n v="0"/>
    <n v="0"/>
    <n v="0"/>
    <n v="0"/>
    <n v="0"/>
    <n v="0"/>
    <n v="0"/>
    <n v="0"/>
    <n v="0"/>
    <n v="0"/>
    <n v="1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0"/>
    <x v="0"/>
    <x v="0"/>
    <x v="1"/>
    <x v="2"/>
    <x v="0"/>
    <x v="0"/>
    <x v="1"/>
    <x v="2"/>
    <x v="0"/>
    <x v="0"/>
    <x v="1"/>
    <x v="1"/>
    <x v="0"/>
    <x v="0"/>
    <x v="1"/>
    <x v="2"/>
    <x v="1"/>
    <x v="2"/>
    <x v="0"/>
    <x v="0"/>
    <x v="0"/>
    <x v="0"/>
    <x v="0"/>
    <x v="0"/>
    <x v="0"/>
    <m/>
    <x v="0"/>
    <x v="1"/>
    <x v="1"/>
    <x v="2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NO TAN SEGURA"/>
    <m/>
    <m/>
    <n v="82979878"/>
    <s v="4fa3a2a1-9cae-4ff3-95af-857e3c33e6ff"/>
    <d v="2025-04-06T20:48:29"/>
    <m/>
    <m/>
    <s v="submitted_via_web"/>
    <m/>
    <s v="vhGz9QPwmdkBybuGFUbzwe"/>
    <m/>
    <n v="256"/>
  </r>
  <r>
    <d v="2025-04-06T14:43:10"/>
    <d v="2025-04-06T14:47:21"/>
    <s v="AMC"/>
    <n v="393"/>
    <d v="2025-03-15T00:00:00"/>
    <n v="3"/>
    <s v="GP-CP"/>
    <s v="MJM"/>
    <n v="46"/>
    <x v="2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 4. De paso 5. Recreación/Ocio"/>
    <x v="0"/>
    <x v="0"/>
    <x v="0"/>
    <x v="1"/>
    <x v="1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0"/>
    <s v="NO HA TENIDO NINGUN ATRACO"/>
    <m/>
    <m/>
    <m/>
    <x v="4"/>
    <x v="2"/>
    <x v="1"/>
    <x v="1"/>
    <x v="0"/>
    <x v="3"/>
    <x v="2"/>
    <x v="1"/>
    <s v="F"/>
    <n v="0"/>
    <n v="0"/>
    <n v="0"/>
    <n v="0"/>
    <n v="0"/>
    <n v="1"/>
    <n v="0"/>
    <n v="0"/>
    <n v="0"/>
    <n v="0"/>
    <n v="0"/>
    <n v="0"/>
    <n v="0"/>
    <x v="3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2"/>
    <x v="0"/>
    <x v="0"/>
    <x v="0"/>
    <x v="0"/>
    <x v="0"/>
    <x v="0"/>
    <x v="0"/>
    <x v="0"/>
    <x v="0"/>
    <x v="1"/>
    <x v="1"/>
    <x v="0"/>
    <x v="0"/>
    <x v="0"/>
    <x v="0"/>
    <x v="0"/>
    <x v="1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ALEGRIA EN TIEMPO DE OCIO"/>
    <m/>
    <m/>
    <n v="82977360"/>
    <s v="09ca7bab-6a07-4497-b769-2d893c9d8c52"/>
    <d v="2025-04-06T19:47:23"/>
    <m/>
    <m/>
    <s v="submitted_via_web"/>
    <m/>
    <s v="vhGz9QPwmdkBybuGFUbzwe"/>
    <m/>
    <n v="243"/>
  </r>
  <r>
    <d v="2025-04-06T16:30:46"/>
    <d v="2025-04-06T16:44:48"/>
    <s v="OM"/>
    <n v="433"/>
    <d v="2025-03-15T00:00:00"/>
    <n v="3"/>
    <s v="GB-EG"/>
    <s v="MJM"/>
    <n v="29"/>
    <x v="0"/>
    <s v="3. al menos 2 veces al mes"/>
    <n v="0"/>
    <n v="0"/>
    <n v="0"/>
    <n v="0"/>
    <n v="0"/>
    <x v="1"/>
    <s v="1. Sí"/>
    <m/>
    <s v="6. Mestiza(o)"/>
    <m/>
    <x v="2"/>
    <s v="1. Completa"/>
    <s v="1. Trabajar"/>
    <m/>
    <s v="2. de $471 a $919"/>
    <s v="3. Compras"/>
    <x v="1"/>
    <x v="0"/>
    <x v="1"/>
    <x v="0"/>
    <x v="0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2"/>
    <x v="0"/>
    <s v="PORQUE NO HAY RIESGO DE ROBO"/>
    <m/>
    <m/>
    <m/>
    <x v="0"/>
    <x v="1"/>
    <x v="1"/>
    <x v="1"/>
    <x v="0"/>
    <x v="3"/>
    <x v="1"/>
    <x v="1"/>
    <s v="L"/>
    <n v="0"/>
    <n v="0"/>
    <n v="0"/>
    <n v="0"/>
    <n v="0"/>
    <n v="0"/>
    <n v="0"/>
    <n v="0"/>
    <n v="0"/>
    <n v="0"/>
    <n v="0"/>
    <n v="1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2"/>
    <x v="0"/>
    <x v="0"/>
    <x v="0"/>
    <x v="0"/>
    <x v="1"/>
    <x v="2"/>
    <x v="0"/>
    <x v="0"/>
    <x v="1"/>
    <x v="2"/>
    <x v="1"/>
    <x v="2"/>
    <x v="0"/>
    <x v="2"/>
    <x v="0"/>
    <x v="0"/>
    <x v="0"/>
    <x v="0"/>
    <x v="0"/>
    <m/>
    <x v="0"/>
    <x v="0"/>
    <x v="3"/>
    <x v="0"/>
    <x v="1"/>
    <s v="2. Blanca"/>
    <x v="1"/>
    <x v="1"/>
    <x v="1"/>
    <x v="1"/>
    <x v="1"/>
    <m/>
    <x v="1"/>
    <m/>
    <x v="0"/>
    <x v="2"/>
    <x v="1"/>
    <x v="0"/>
    <x v="2"/>
    <x v="1"/>
    <x v="0"/>
    <x v="0"/>
    <x v="0"/>
    <x v="0"/>
    <x v="1"/>
    <x v="1"/>
    <x v="0"/>
    <x v="2"/>
    <x v="2"/>
    <x v="0"/>
    <x v="1"/>
    <x v="2"/>
    <x v="1"/>
    <x v="1"/>
    <x v="1"/>
    <x v="1"/>
    <x v="1"/>
    <x v="2"/>
    <x v="0"/>
    <x v="0"/>
    <x v="0"/>
    <x v="0"/>
    <x v="0"/>
    <x v="0"/>
    <m/>
    <s v="AMBIENTE TRANQUILO"/>
    <m/>
    <m/>
    <n v="82982956"/>
    <s v="1622aa7f-5bdc-4b18-847e-c8113f1e48fd"/>
    <d v="2025-04-06T21:44:47"/>
    <m/>
    <m/>
    <s v="submitted_via_web"/>
    <m/>
    <s v="vhGz9QPwmdkBybuGFUbzwe"/>
    <m/>
    <n v="271"/>
  </r>
  <r>
    <d v="2025-04-06T16:23:10"/>
    <d v="2025-04-06T16:30:46"/>
    <s v="OM"/>
    <n v="435"/>
    <d v="2025-03-15T00:00:00"/>
    <n v="3"/>
    <s v="GB-EG"/>
    <s v="MJM"/>
    <n v="27"/>
    <x v="0"/>
    <s v="3. al menos 2 veces al mes"/>
    <n v="0"/>
    <n v="0"/>
    <n v="0"/>
    <n v="0"/>
    <n v="0"/>
    <x v="1"/>
    <s v="1. Sí"/>
    <m/>
    <s v="6. Mestiza(o)"/>
    <m/>
    <x v="1"/>
    <s v="1. Completa"/>
    <s v="4. Es estudiante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PORQUE VENGO EN LA MAÑANA Y ACOMPAÑADA"/>
    <m/>
    <m/>
    <m/>
    <x v="1"/>
    <x v="2"/>
    <x v="1"/>
    <x v="2"/>
    <x v="0"/>
    <x v="2"/>
    <x v="2"/>
    <x v="1"/>
    <s v="Ninguno"/>
    <n v="0"/>
    <n v="0"/>
    <n v="0"/>
    <n v="0"/>
    <n v="0"/>
    <n v="0"/>
    <n v="0"/>
    <n v="0"/>
    <n v="0"/>
    <n v="0"/>
    <n v="0"/>
    <n v="0"/>
    <n v="1"/>
    <x v="1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1"/>
    <x v="2"/>
    <x v="0"/>
    <x v="0"/>
    <x v="0"/>
    <x v="0"/>
    <x v="0"/>
    <x v="0"/>
    <m/>
    <s v="BIEN TRANQUILA"/>
    <m/>
    <m/>
    <n v="82982668"/>
    <s v="56e98e4f-0cdf-4394-892e-68cf472e0876"/>
    <d v="2025-04-06T21:30:46"/>
    <m/>
    <m/>
    <s v="submitted_via_web"/>
    <m/>
    <s v="vhGz9QPwmdkBybuGFUbzwe"/>
    <m/>
    <n v="267"/>
  </r>
  <r>
    <d v="2025-04-10T09:12:52"/>
    <d v="2025-04-10T09:19:27"/>
    <s v="GH"/>
    <n v="439"/>
    <d v="2025-03-22T00:00:00"/>
    <n v="3"/>
    <s v="JC"/>
    <s v="JA"/>
    <n v="69"/>
    <x v="1"/>
    <s v="1. Diariamente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1"/>
    <s v="GENTE EXTRANJERA"/>
    <s v="NO HAY POLICIA"/>
    <s v="GENTE TOMANDO"/>
    <m/>
    <x v="1"/>
    <x v="1"/>
    <x v="1"/>
    <x v="2"/>
    <x v="1"/>
    <x v="2"/>
    <x v="2"/>
    <x v="2"/>
    <s v="C D"/>
    <n v="0"/>
    <n v="0"/>
    <n v="1"/>
    <n v="1"/>
    <n v="0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1"/>
    <x v="2"/>
    <x v="0"/>
    <x v="0"/>
    <x v="1"/>
    <x v="2"/>
    <x v="1"/>
    <x v="2"/>
    <x v="1"/>
    <x v="1"/>
    <x v="1"/>
    <x v="2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1"/>
    <x v="1"/>
    <x v="2"/>
    <x v="1"/>
    <x v="1"/>
    <x v="0"/>
    <x v="0"/>
    <x v="0"/>
    <x v="0"/>
    <m/>
    <s v="TRANQUILO"/>
    <s v="INSERIO"/>
    <s v="FELIZ"/>
    <n v="83408249"/>
    <s v="cd312ea7-c3bf-45f3-b8b2-7abc237954b0"/>
    <d v="2025-04-10T14:19:26"/>
    <m/>
    <m/>
    <s v="submitted_via_web"/>
    <m/>
    <s v="v5uNQoYdGp6CCoWUMSjVDf"/>
    <m/>
    <n v="405"/>
  </r>
  <r>
    <d v="2025-04-06T17:08:24"/>
    <d v="2025-04-06T17:14:06"/>
    <s v="OM"/>
    <n v="448"/>
    <d v="2025-03-22T00:00:00"/>
    <n v="1"/>
    <s v="MQ"/>
    <s v="GH"/>
    <n v="48"/>
    <x v="2"/>
    <s v="1. Diariamente"/>
    <n v="5"/>
    <n v="0"/>
    <n v="0"/>
    <n v="0"/>
    <n v="0"/>
    <x v="1"/>
    <s v="1. Sí"/>
    <m/>
    <s v="6. Mestiza(o)"/>
    <m/>
    <x v="1"/>
    <s v="1. Completa"/>
    <s v="5. Quehaceres domésticos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SIEMPRE VE QUE RONDA POLICÍA NACIONAL"/>
    <s v="GUARDIAS"/>
    <m/>
    <m/>
    <x v="4"/>
    <x v="1"/>
    <x v="1"/>
    <x v="1"/>
    <x v="0"/>
    <x v="3"/>
    <x v="0"/>
    <x v="1"/>
    <s v="B I J"/>
    <n v="0"/>
    <n v="1"/>
    <n v="0"/>
    <n v="0"/>
    <n v="0"/>
    <n v="0"/>
    <n v="0"/>
    <n v="0"/>
    <n v="1"/>
    <n v="1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1"/>
    <x v="1"/>
    <x v="2"/>
    <x v="0"/>
    <x v="1"/>
    <x v="1"/>
    <x v="1"/>
    <x v="1"/>
    <x v="0"/>
    <x v="0"/>
    <x v="0"/>
    <x v="0"/>
    <x v="1"/>
    <x v="1"/>
    <x v="2"/>
    <x v="1"/>
    <x v="1"/>
    <x v="1"/>
    <x v="0"/>
    <x v="0"/>
    <x v="0"/>
    <x v="0"/>
    <x v="0"/>
    <x v="0"/>
    <m/>
    <s v="CHEVERE"/>
    <s v="RELAJARSE"/>
    <s v="SE DESESTREZA"/>
    <n v="82984386"/>
    <s v="2bb735ca-9206-476f-9743-b2f9488e0a13"/>
    <d v="2025-04-06T22:14:06"/>
    <m/>
    <m/>
    <s v="submitted_via_web"/>
    <m/>
    <s v="vhGz9QPwmdkBybuGFUbzwe"/>
    <m/>
    <n v="279"/>
  </r>
  <r>
    <d v="2025-04-09T08:12:52"/>
    <d v="2025-04-09T08:52:33"/>
    <s v="AFC"/>
    <n v="464"/>
    <d v="2025-03-16T00:00:00"/>
    <n v="4"/>
    <s v="MQ"/>
    <s v="GH"/>
    <n v="29"/>
    <x v="0"/>
    <s v="2. Semanalmente"/>
    <n v="1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 8. Otro."/>
    <x v="1"/>
    <x v="0"/>
    <x v="0"/>
    <x v="1"/>
    <x v="0"/>
    <x v="0"/>
    <x v="1"/>
    <s v="BASQUET"/>
    <x v="1"/>
    <x v="1"/>
    <x v="2"/>
    <s v="BASTANTE PERSONAL SEGURIDAD, POLICIA NACIONAL, GUARDIA, CACMQ"/>
    <m/>
    <m/>
    <m/>
    <x v="4"/>
    <x v="2"/>
    <x v="1"/>
    <x v="0"/>
    <x v="0"/>
    <x v="3"/>
    <x v="0"/>
    <x v="1"/>
    <s v="A B C E F G K L"/>
    <n v="1"/>
    <n v="1"/>
    <n v="1"/>
    <n v="0"/>
    <n v="1"/>
    <n v="1"/>
    <n v="1"/>
    <n v="0"/>
    <n v="0"/>
    <n v="0"/>
    <n v="1"/>
    <n v="1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2"/>
    <x v="0"/>
    <x v="1"/>
    <x v="2"/>
    <x v="0"/>
    <x v="0"/>
    <x v="1"/>
    <x v="2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1"/>
    <x v="0"/>
    <x v="2"/>
    <x v="1"/>
    <x v="1"/>
    <x v="1"/>
    <x v="2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SIENTE BIEN POR SEGURIDAD Y CONTROL"/>
    <m/>
    <m/>
    <n v="83275370"/>
    <s v="ee5647db-d392-445e-acae-a6ca38a13334"/>
    <d v="2025-04-09T13:52:26"/>
    <m/>
    <m/>
    <s v="submitted_via_web"/>
    <m/>
    <s v="vhGz9QPwmdkBybuGFUbzwe"/>
    <m/>
    <n v="360"/>
  </r>
  <r>
    <d v="2025-04-08T14:10:21"/>
    <d v="2025-04-08T14:20:27"/>
    <s v="AFC"/>
    <n v="473"/>
    <d v="2025-03-16T00:00:00"/>
    <n v="4"/>
    <s v="GB-GC"/>
    <s v="GH"/>
    <n v="30"/>
    <x v="0"/>
    <s v="2. Semanalmente"/>
    <n v="0"/>
    <n v="0"/>
    <n v="0"/>
    <n v="0"/>
    <n v="0"/>
    <x v="0"/>
    <s v="1. Sí"/>
    <m/>
    <s v="6. Mestiza(o)"/>
    <m/>
    <x v="1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1"/>
    <x v="0"/>
    <s v="POLICIA"/>
    <s v="GUARDIAS"/>
    <m/>
    <m/>
    <x v="1"/>
    <x v="1"/>
    <x v="1"/>
    <x v="1"/>
    <x v="0"/>
    <x v="2"/>
    <x v="1"/>
    <x v="2"/>
    <s v="A"/>
    <n v="1"/>
    <n v="0"/>
    <n v="0"/>
    <n v="0"/>
    <n v="0"/>
    <n v="0"/>
    <n v="0"/>
    <n v="0"/>
    <n v="0"/>
    <n v="0"/>
    <n v="0"/>
    <n v="0"/>
    <n v="0"/>
    <x v="0"/>
    <x v="1"/>
    <x v="0"/>
    <x v="0"/>
    <x v="1"/>
    <x v="1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1"/>
    <x v="2"/>
    <x v="0"/>
    <x v="0"/>
    <x v="0"/>
    <x v="2"/>
    <x v="1"/>
    <x v="1"/>
    <x v="1"/>
    <x v="2"/>
    <x v="1"/>
    <x v="3"/>
    <x v="1"/>
    <x v="3"/>
    <x v="0"/>
    <x v="0"/>
    <x v="0"/>
    <x v="0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2"/>
    <x v="1"/>
    <x v="1"/>
    <x v="1"/>
    <x v="1"/>
    <x v="1"/>
    <x v="0"/>
    <x v="0"/>
    <x v="0"/>
    <x v="0"/>
    <m/>
    <s v="FELIZ"/>
    <s v="CONTENTO"/>
    <m/>
    <n v="83184017"/>
    <s v="0c4a8d58-f61d-4039-9c17-e46e1758937f"/>
    <d v="2025-04-08T19:20:19"/>
    <m/>
    <m/>
    <s v="submitted_via_web"/>
    <m/>
    <s v="vhGz9QPwmdkBybuGFUbzwe"/>
    <m/>
    <n v="346"/>
  </r>
  <r>
    <d v="2025-04-07T16:03:37"/>
    <d v="2025-04-07T16:11:09"/>
    <s v="GH"/>
    <n v="492"/>
    <d v="2025-03-16T00:00:00"/>
    <n v="4"/>
    <s v="GB-LS"/>
    <s v="GH"/>
    <n v="52"/>
    <x v="2"/>
    <s v="2. Semanalmente"/>
    <n v="0"/>
    <n v="1"/>
    <n v="0"/>
    <n v="0"/>
    <n v="0"/>
    <x v="0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0"/>
    <s v="3. Caminos de ciclismo 7. Áreas verdes"/>
    <x v="0"/>
    <x v="0"/>
    <x v="1"/>
    <x v="1"/>
    <x v="0"/>
    <x v="1"/>
    <x v="0"/>
    <m/>
    <x v="1"/>
    <x v="1"/>
    <x v="0"/>
    <s v="MOVIMIENTO DEL PERSONAL DE SEGURIDAD"/>
    <m/>
    <m/>
    <m/>
    <x v="1"/>
    <x v="2"/>
    <x v="1"/>
    <x v="2"/>
    <x v="0"/>
    <x v="2"/>
    <x v="2"/>
    <x v="0"/>
    <s v="E"/>
    <n v="0"/>
    <n v="0"/>
    <n v="0"/>
    <n v="0"/>
    <n v="1"/>
    <n v="0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0"/>
    <x v="3"/>
    <x v="0"/>
    <x v="0"/>
    <x v="1"/>
    <x v="1"/>
    <x v="1"/>
    <x v="1"/>
    <x v="1"/>
    <x v="1"/>
    <x v="0"/>
    <x v="0"/>
    <x v="1"/>
    <x v="3"/>
    <x v="0"/>
    <x v="0"/>
    <x v="0"/>
    <x v="0"/>
    <x v="0"/>
    <x v="0"/>
    <x v="1"/>
    <x v="1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TRANQUILO"/>
    <s v="DESESTRESARSE"/>
    <m/>
    <n v="83084465"/>
    <s v="08048248-9a8c-49d8-984a-73e41e23a1f1"/>
    <d v="2025-04-07T21:11:01"/>
    <m/>
    <m/>
    <s v="submitted_via_web"/>
    <m/>
    <s v="vhGz9QPwmdkBybuGFUbzwe"/>
    <m/>
    <n v="330"/>
  </r>
  <r>
    <d v="2025-04-11T11:00:23"/>
    <d v="2025-04-11T11:05:06"/>
    <s v="GH"/>
    <n v="13"/>
    <d v="2025-03-16T00:00:00"/>
    <n v="5"/>
    <s v="BP"/>
    <s v="AMA"/>
    <n v="37"/>
    <x v="0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PORQUE LES HA OIDO ASALTAN EN LA NOCHE"/>
    <m/>
    <m/>
    <m/>
    <x v="1"/>
    <x v="2"/>
    <x v="1"/>
    <x v="1"/>
    <x v="0"/>
    <x v="3"/>
    <x v="2"/>
    <x v="0"/>
    <s v="D"/>
    <n v="0"/>
    <n v="0"/>
    <n v="0"/>
    <n v="1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1"/>
    <x v="2"/>
    <x v="0"/>
    <x v="0"/>
    <x v="0"/>
    <x v="0"/>
    <x v="1"/>
    <x v="1"/>
    <x v="0"/>
    <x v="1"/>
    <x v="2"/>
    <x v="0"/>
    <x v="1"/>
    <x v="1"/>
    <x v="1"/>
    <x v="1"/>
    <x v="1"/>
    <x v="1"/>
    <x v="0"/>
    <x v="2"/>
    <x v="0"/>
    <x v="0"/>
    <x v="0"/>
    <x v="0"/>
    <m/>
    <s v="SE SIENTE FELIZ AL PARQUE PORQUE HAY SEGURIDAD EN LA NOCHE"/>
    <m/>
    <m/>
    <n v="83523751"/>
    <s v="0bbe6c9c-95a3-416b-b925-71b35c8d3108"/>
    <d v="2025-04-11T16:05:06"/>
    <m/>
    <m/>
    <s v="submitted_via_web"/>
    <m/>
    <s v="v5uNQoYdGp6CCoWUMSjVDf"/>
    <m/>
    <n v="486"/>
  </r>
  <r>
    <d v="2025-04-11T14:11:44"/>
    <d v="2025-04-11T14:15:21"/>
    <s v="GH"/>
    <n v="40"/>
    <d v="2025-03-16T00:00:00"/>
    <n v="5"/>
    <s v="BP"/>
    <s v="AMA"/>
    <n v="30"/>
    <x v="0"/>
    <s v="3. al menos 2 veces al mes"/>
    <n v="1"/>
    <n v="0"/>
    <n v="0"/>
    <n v="0"/>
    <n v="0"/>
    <x v="1"/>
    <s v="1. Sí"/>
    <m/>
    <s v="6. Mestiza(o)"/>
    <m/>
    <x v="0"/>
    <s v="1. Completa"/>
    <s v="4. Es estudiante"/>
    <m/>
    <s v="3. de $920 a $1339"/>
    <s v="5. Recreación/O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NO HA TENIDO NINGUN PROBLEMA"/>
    <m/>
    <m/>
    <m/>
    <x v="1"/>
    <x v="2"/>
    <x v="1"/>
    <x v="2"/>
    <x v="2"/>
    <x v="2"/>
    <x v="2"/>
    <x v="1"/>
    <s v="A"/>
    <n v="1"/>
    <n v="0"/>
    <n v="0"/>
    <n v="0"/>
    <n v="0"/>
    <n v="0"/>
    <n v="0"/>
    <n v="0"/>
    <n v="0"/>
    <n v="0"/>
    <n v="0"/>
    <n v="0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EN LA MAÑANA SI ES SEGURO EN LA NOCHE NO VENDRÍA AL PARQUE"/>
    <m/>
    <m/>
    <n v="83535997"/>
    <s v="ceb5ed80-f330-4545-99ec-0105afd7e5d4"/>
    <d v="2025-04-11T19:15:22"/>
    <m/>
    <m/>
    <s v="submitted_via_web"/>
    <m/>
    <s v="v5uNQoYdGp6CCoWUMSjVDf"/>
    <m/>
    <n v="503"/>
  </r>
  <r>
    <d v="2025-04-02T11:56:17"/>
    <d v="2025-04-02T12:28:56"/>
    <s v="DD"/>
    <n v="49"/>
    <d v="2025-03-16T00:00:00"/>
    <n v="5"/>
    <s v="JC"/>
    <s v="AMA"/>
    <n v="28"/>
    <x v="0"/>
    <s v="2. Semanalmente"/>
    <n v="0"/>
    <n v="0"/>
    <n v="0"/>
    <n v="0"/>
    <n v="0"/>
    <x v="1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6. Área para perros"/>
    <x v="0"/>
    <x v="0"/>
    <x v="0"/>
    <x v="1"/>
    <x v="1"/>
    <x v="0"/>
    <x v="0"/>
    <m/>
    <x v="1"/>
    <x v="1"/>
    <x v="0"/>
    <s v="ALERTAS EN EL PARQUE"/>
    <s v="MUCHA GENTE"/>
    <m/>
    <m/>
    <x v="1"/>
    <x v="1"/>
    <x v="1"/>
    <x v="2"/>
    <x v="1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1"/>
    <x v="2"/>
    <x v="0"/>
    <x v="0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1"/>
    <x v="2"/>
    <x v="0"/>
    <x v="0"/>
    <x v="0"/>
    <x v="0"/>
    <x v="0"/>
    <x v="0"/>
    <x v="0"/>
    <m/>
    <s v="TRANQUILIDAD"/>
    <s v="DESPEJADO"/>
    <m/>
    <n v="82693115"/>
    <s v="32a9fc52-98f5-4b6c-9bd1-e1bd36142c42"/>
    <d v="2025-04-02T17:28:49"/>
    <m/>
    <m/>
    <s v="submitted_via_web"/>
    <m/>
    <s v="vW5mhy2Axz2h6R9j6EeZpr"/>
    <m/>
    <n v="5"/>
  </r>
  <r>
    <d v="2025-04-03T11:43:47"/>
    <d v="2025-04-03T11:48:07"/>
    <s v="AFC"/>
    <n v="121"/>
    <d v="2025-03-14T00:00:00"/>
    <n v="3"/>
    <s v="GB-GC"/>
    <s v="JA"/>
    <n v="31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GUARDABOSQUES"/>
    <s v="POLICIA NACIONAL"/>
    <m/>
    <m/>
    <x v="1"/>
    <x v="1"/>
    <x v="2"/>
    <x v="1"/>
    <x v="0"/>
    <x v="3"/>
    <x v="0"/>
    <x v="0"/>
    <s v="L"/>
    <n v="0"/>
    <n v="0"/>
    <n v="0"/>
    <n v="0"/>
    <n v="0"/>
    <n v="0"/>
    <n v="0"/>
    <n v="0"/>
    <n v="0"/>
    <n v="0"/>
    <n v="0"/>
    <n v="1"/>
    <n v="0"/>
    <x v="2"/>
    <x v="2"/>
    <x v="3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2"/>
    <x v="0"/>
    <x v="2"/>
    <x v="2"/>
    <x v="0"/>
    <x v="0"/>
    <x v="0"/>
    <x v="0"/>
    <x v="0"/>
    <x v="0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TRANQUILIDAD"/>
    <s v="SEGURIDAD"/>
    <m/>
    <n v="82774164"/>
    <s v="defc8cc0-72e9-479a-99ff-66785a6dcd01"/>
    <d v="2025-04-03T16:48:00"/>
    <m/>
    <m/>
    <s v="submitted_via_web"/>
    <m/>
    <s v="vhGz9QPwmdkBybuGFUbzwe"/>
    <m/>
    <n v="91"/>
  </r>
  <r>
    <d v="2025-04-02T14:02:38"/>
    <d v="2025-04-02T14:17:48"/>
    <s v="AFC"/>
    <n v="152"/>
    <d v="2025-03-13T00:00:00"/>
    <n v="3"/>
    <s v="GP-GC"/>
    <s v="JA"/>
    <n v="41"/>
    <x v="2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 3. Tarde (12:00 a 17:59)"/>
    <x v="0"/>
    <x v="0"/>
    <x v="1"/>
    <x v="0"/>
    <x v="2"/>
    <s v="4. Pistas para correr"/>
    <x v="0"/>
    <x v="0"/>
    <x v="0"/>
    <x v="0"/>
    <x v="0"/>
    <x v="0"/>
    <x v="0"/>
    <m/>
    <x v="1"/>
    <x v="1"/>
    <x v="1"/>
    <s v="DELINCUENCIA"/>
    <s v="DROGA"/>
    <s v="MENDIGOS"/>
    <m/>
    <x v="1"/>
    <x v="1"/>
    <x v="2"/>
    <x v="1"/>
    <x v="1"/>
    <x v="3"/>
    <x v="2"/>
    <x v="1"/>
    <s v="B K"/>
    <n v="0"/>
    <n v="1"/>
    <n v="0"/>
    <n v="0"/>
    <n v="0"/>
    <n v="0"/>
    <n v="0"/>
    <n v="0"/>
    <n v="0"/>
    <n v="0"/>
    <n v="1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1"/>
    <x v="1"/>
    <x v="0"/>
    <x v="0"/>
    <x v="1"/>
    <x v="3"/>
    <x v="1"/>
    <x v="2"/>
    <x v="0"/>
    <x v="3"/>
    <x v="1"/>
    <x v="1"/>
    <x v="0"/>
    <x v="0"/>
    <x v="1"/>
    <x v="3"/>
    <x v="1"/>
    <x v="3"/>
    <x v="1"/>
    <x v="3"/>
    <x v="0"/>
    <x v="3"/>
    <x v="0"/>
    <x v="2"/>
    <x v="0"/>
    <x v="0"/>
    <x v="0"/>
    <x v="3"/>
    <x v="0"/>
    <m/>
    <x v="0"/>
    <x v="0"/>
    <x v="3"/>
    <x v="0"/>
    <x v="1"/>
    <s v="1. De fuego 2. Blanca"/>
    <x v="2"/>
    <x v="1"/>
    <x v="1"/>
    <x v="1"/>
    <x v="1"/>
    <m/>
    <x v="1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FELICIDAD POR LOS TRABAJOS"/>
    <s v="CONTENTO"/>
    <s v="AGUSTO"/>
    <n v="82697957"/>
    <s v="2598d64d-62cd-4c0b-8095-7bc670bd5d03"/>
    <d v="2025-04-02T19:17:41"/>
    <m/>
    <m/>
    <s v="submitted_via_web"/>
    <m/>
    <s v="vhGz9QPwmdkBybuGFUbzwe"/>
    <m/>
    <n v="15"/>
  </r>
  <r>
    <d v="2025-04-02T12:14:01"/>
    <d v="2025-04-02T12:21:05"/>
    <s v="AFC"/>
    <n v="157"/>
    <d v="2025-03-14T00:00:00"/>
    <n v="3"/>
    <s v="GP-GC"/>
    <s v="JA"/>
    <n v="26"/>
    <x v="0"/>
    <s v="1. Diariamente"/>
    <n v="0"/>
    <n v="0"/>
    <n v="0"/>
    <n v="0"/>
    <n v="0"/>
    <x v="0"/>
    <s v="1. Sí"/>
    <m/>
    <s v="6. Mestiza(o)"/>
    <m/>
    <x v="1"/>
    <s v="1. Completa"/>
    <s v="6. No trabaja"/>
    <m/>
    <s v="4. de $1340 a $1839"/>
    <s v="4. De paso 5. Recreación/Ocio"/>
    <x v="1"/>
    <x v="0"/>
    <x v="0"/>
    <x v="1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HORARIO Y LA GENTE"/>
    <s v="ESTABLECIMIENTOS"/>
    <m/>
    <m/>
    <x v="1"/>
    <x v="2"/>
    <x v="1"/>
    <x v="4"/>
    <x v="4"/>
    <x v="3"/>
    <x v="1"/>
    <x v="1"/>
    <s v="E"/>
    <n v="0"/>
    <n v="0"/>
    <n v="0"/>
    <n v="0"/>
    <n v="1"/>
    <n v="0"/>
    <n v="0"/>
    <n v="0"/>
    <n v="0"/>
    <n v="0"/>
    <n v="0"/>
    <n v="0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m/>
    <s v="TRANQUILO"/>
    <s v="GUSTO"/>
    <m/>
    <n v="82692806"/>
    <s v="e18d1009-da2e-4323-96ee-4d549e899610"/>
    <d v="2025-04-02T17:20:58"/>
    <m/>
    <m/>
    <s v="submitted_via_web"/>
    <m/>
    <s v="vW5mhy2Axz2h6R9j6EeZpr"/>
    <m/>
    <n v="4"/>
  </r>
  <r>
    <d v="2025-04-02T11:46:44"/>
    <d v="2025-04-02T12:00:28"/>
    <s v="AFC"/>
    <n v="160"/>
    <d v="2025-03-14T00:00:00"/>
    <n v="3"/>
    <s v="GP-RQ"/>
    <s v="JA"/>
    <n v="60"/>
    <x v="1"/>
    <s v="3. al menos 2 veces al mes"/>
    <n v="0"/>
    <n v="0"/>
    <n v="0"/>
    <n v="0"/>
    <n v="0"/>
    <x v="0"/>
    <s v="1. Sí"/>
    <m/>
    <s v="6. Mestiza(o)"/>
    <m/>
    <x v="1"/>
    <s v="1. Completa"/>
    <s v="3. Es jubilada/o o pensionista/o"/>
    <m/>
    <s v="1. Menos de $470"/>
    <s v="5. Recreación/Ocio"/>
    <x v="0"/>
    <x v="0"/>
    <x v="0"/>
    <x v="0"/>
    <x v="0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1"/>
    <x v="1"/>
    <x v="0"/>
    <s v="VE GUARDIANIA"/>
    <s v="HAY BUEN MANTENIMIENTO DEL PARQUE"/>
    <s v="POR LA AFLUENCIA DE PERSONAS"/>
    <m/>
    <x v="2"/>
    <x v="3"/>
    <x v="2"/>
    <x v="1"/>
    <x v="0"/>
    <x v="3"/>
    <x v="1"/>
    <x v="1"/>
    <s v="A C"/>
    <n v="1"/>
    <n v="0"/>
    <n v="1"/>
    <n v="0"/>
    <n v="0"/>
    <n v="0"/>
    <n v="0"/>
    <n v="0"/>
    <n v="0"/>
    <n v="0"/>
    <n v="0"/>
    <n v="0"/>
    <n v="0"/>
    <x v="0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1"/>
    <x v="1"/>
    <x v="1"/>
    <x v="1"/>
    <x v="0"/>
    <x v="0"/>
    <x v="0"/>
    <x v="0"/>
    <x v="0"/>
    <x v="2"/>
    <x v="0"/>
    <x v="0"/>
    <x v="0"/>
    <x v="0"/>
    <x v="0"/>
    <x v="0"/>
    <x v="0"/>
    <x v="0"/>
    <x v="1"/>
    <x v="2"/>
    <x v="1"/>
    <x v="2"/>
    <x v="1"/>
    <x v="1"/>
    <x v="0"/>
    <x v="0"/>
    <x v="0"/>
    <x v="0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MEJORA SU SALUD FÍSICA Y MENTAL"/>
    <s v="SE SIENTE RESPALDADO POR LA GENTE"/>
    <s v="SIENTE SEGURIDAD"/>
    <n v="82691186"/>
    <s v="c01fc14b-5cea-4260-843d-99418e0c40e3"/>
    <d v="2025-04-02T17:00:22"/>
    <m/>
    <m/>
    <s v="submitted_via_web"/>
    <m/>
    <s v="vW5mhy2Axz2h6R9j6EeZpr"/>
    <m/>
    <n v="2"/>
  </r>
  <r>
    <d v="2025-04-08T14:20:30"/>
    <d v="2025-04-08T14:25:18"/>
    <s v="GH"/>
    <n v="200"/>
    <d v="2025-03-14T00:00:00"/>
    <n v="4"/>
    <s v="GB-CCH"/>
    <s v="GH"/>
    <n v="40"/>
    <x v="0"/>
    <s v="1. Diariamente"/>
    <n v="0"/>
    <n v="0"/>
    <n v="0"/>
    <n v="0"/>
    <n v="0"/>
    <x v="0"/>
    <s v="1. Sí"/>
    <m/>
    <s v="1. Indígena"/>
    <m/>
    <x v="1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POLICÍA DESDE LAS 5 QUE HACEN RONDAS"/>
    <s v="NO HA ESCUCHADO NOVEDADES"/>
    <m/>
    <m/>
    <x v="0"/>
    <x v="1"/>
    <x v="2"/>
    <x v="1"/>
    <x v="0"/>
    <x v="3"/>
    <x v="4"/>
    <x v="1"/>
    <s v="E I"/>
    <n v="0"/>
    <n v="0"/>
    <n v="0"/>
    <n v="0"/>
    <n v="0"/>
    <n v="1"/>
    <n v="0"/>
    <n v="0"/>
    <n v="1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0"/>
    <x v="0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1"/>
    <x v="1"/>
    <x v="2"/>
    <x v="1"/>
    <x v="1"/>
    <x v="1"/>
    <x v="0"/>
    <x v="0"/>
    <x v="0"/>
    <x v="0"/>
    <x v="0"/>
    <x v="0"/>
    <m/>
    <s v="SE VE COSAS BUENAS EN EL PARQUE"/>
    <s v="SEGURO - TRANQUILO"/>
    <m/>
    <n v="83184491"/>
    <s v="592484ce-f43a-45fe-b0e7-879b736bbf19"/>
    <d v="2025-04-08T19:25:11"/>
    <m/>
    <m/>
    <s v="submitted_via_web"/>
    <m/>
    <s v="vhGz9QPwmdkBybuGFUbzwe"/>
    <m/>
    <n v="347"/>
  </r>
  <r>
    <d v="2025-04-04T11:24:46"/>
    <d v="2025-04-04T12:35:23"/>
    <s v="AFC"/>
    <n v="205"/>
    <d v="2025-03-14T00:00:00"/>
    <n v="4"/>
    <s v="GB-LS"/>
    <s v="GH"/>
    <n v="42"/>
    <x v="2"/>
    <s v="1. Diariamente"/>
    <n v="1"/>
    <n v="0"/>
    <n v="0"/>
    <n v="0"/>
    <n v="0"/>
    <x v="1"/>
    <s v="1. Sí"/>
    <m/>
    <s v="6. Mestiza(o)"/>
    <m/>
    <x v="3"/>
    <s v="1. Completa"/>
    <s v="1. Trabajar"/>
    <m/>
    <s v="2. de $471 a $919"/>
    <s v="4. De paso"/>
    <x v="1"/>
    <x v="0"/>
    <x v="0"/>
    <x v="1"/>
    <x v="0"/>
    <x v="0"/>
    <m/>
    <s v="2. Mañana  (06:00 a 11:59) 3. Tarde (12:00 a 17:59)"/>
    <x v="0"/>
    <x v="0"/>
    <x v="1"/>
    <x v="0"/>
    <x v="1"/>
    <s v="3. Caminos de ciclismo"/>
    <x v="0"/>
    <x v="0"/>
    <x v="1"/>
    <x v="1"/>
    <x v="0"/>
    <x v="0"/>
    <x v="0"/>
    <m/>
    <x v="0"/>
    <x v="0"/>
    <x v="0"/>
    <s v="BASTANTE GENTE"/>
    <s v="POLICIA"/>
    <m/>
    <m/>
    <x v="1"/>
    <x v="1"/>
    <x v="1"/>
    <x v="2"/>
    <x v="0"/>
    <x v="2"/>
    <x v="2"/>
    <x v="1"/>
    <s v="C"/>
    <n v="0"/>
    <n v="0"/>
    <n v="1"/>
    <n v="0"/>
    <n v="0"/>
    <n v="0"/>
    <n v="0"/>
    <n v="0"/>
    <n v="0"/>
    <n v="0"/>
    <n v="0"/>
    <n v="0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3"/>
    <x v="0"/>
    <x v="0"/>
    <x v="0"/>
    <x v="0"/>
    <x v="0"/>
    <x v="0"/>
    <x v="1"/>
    <x v="1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PAZ"/>
    <s v="TRANQUILIDAD"/>
    <m/>
    <n v="82859667"/>
    <s v="5c33b3da-c220-4195-9d13-889379e1be35"/>
    <d v="2025-04-04T17:35:16"/>
    <m/>
    <m/>
    <s v="submitted_via_web"/>
    <m/>
    <s v="vhGz9QPwmdkBybuGFUbzwe"/>
    <m/>
    <n v="137"/>
  </r>
  <r>
    <d v="2025-04-05T15:45:53"/>
    <d v="2025-04-05T15:53:02"/>
    <s v="JP"/>
    <n v="256"/>
    <d v="2025-03-14T00:00:00"/>
    <n v="5"/>
    <s v="GB-JG"/>
    <s v="AMA"/>
    <n v="25"/>
    <x v="3"/>
    <s v="2. Semanalmente"/>
    <n v="1"/>
    <n v="0"/>
    <n v="0"/>
    <n v="0"/>
    <n v="0"/>
    <x v="0"/>
    <s v="1. Sí"/>
    <m/>
    <s v="1. Indígena"/>
    <m/>
    <x v="1"/>
    <s v="1. Completa"/>
    <s v="1. Trabajar"/>
    <m/>
    <s v="2. de $471 a $919"/>
    <s v="4. De paso"/>
    <x v="1"/>
    <x v="0"/>
    <x v="0"/>
    <x v="1"/>
    <x v="0"/>
    <x v="0"/>
    <m/>
    <s v="1. Madrugada (00:00 a 05:59)"/>
    <x v="1"/>
    <x v="1"/>
    <x v="0"/>
    <x v="0"/>
    <x v="3"/>
    <s v="1. Canchas de fútbol y basquet"/>
    <x v="1"/>
    <x v="0"/>
    <x v="0"/>
    <x v="1"/>
    <x v="0"/>
    <x v="0"/>
    <x v="0"/>
    <m/>
    <x v="0"/>
    <x v="0"/>
    <x v="0"/>
    <s v="PRESENCIA POLICIA"/>
    <m/>
    <m/>
    <m/>
    <x v="1"/>
    <x v="1"/>
    <x v="2"/>
    <x v="4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1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0"/>
    <x v="2"/>
    <x v="1"/>
    <x v="1"/>
    <x v="0"/>
    <x v="0"/>
    <x v="1"/>
    <x v="2"/>
    <x v="0"/>
    <x v="0"/>
    <x v="1"/>
    <x v="2"/>
    <x v="0"/>
    <x v="1"/>
    <x v="0"/>
    <x v="2"/>
    <x v="0"/>
    <x v="0"/>
    <x v="0"/>
    <x v="2"/>
    <x v="0"/>
    <m/>
    <x v="0"/>
    <x v="0"/>
    <x v="0"/>
    <x v="1"/>
    <x v="1"/>
    <s v="2. Blanca"/>
    <x v="1"/>
    <x v="1"/>
    <x v="1"/>
    <x v="1"/>
    <x v="1"/>
    <m/>
    <x v="1"/>
    <m/>
    <x v="0"/>
    <x v="2"/>
    <x v="1"/>
    <x v="0"/>
    <x v="2"/>
    <x v="1"/>
    <x v="0"/>
    <x v="0"/>
    <x v="0"/>
    <x v="0"/>
    <x v="1"/>
    <x v="2"/>
    <x v="1"/>
    <x v="1"/>
    <x v="0"/>
    <x v="1"/>
    <x v="2"/>
    <x v="0"/>
    <x v="1"/>
    <x v="1"/>
    <x v="1"/>
    <x v="1"/>
    <x v="1"/>
    <x v="1"/>
    <x v="1"/>
    <x v="2"/>
    <x v="1"/>
    <x v="0"/>
    <x v="0"/>
    <x v="0"/>
    <m/>
    <s v="SEGURO"/>
    <m/>
    <m/>
    <n v="82914426"/>
    <s v="3b369c24-c972-4cb6-be1f-bb08ca51fbf7"/>
    <d v="2025-04-05T20:53:02"/>
    <m/>
    <m/>
    <s v="submitted_via_web"/>
    <m/>
    <s v="vhGz9QPwmdkBybuGFUbzwe"/>
    <m/>
    <n v="172"/>
  </r>
  <r>
    <d v="2025-04-05T18:09:47"/>
    <d v="2025-04-05T18:13:14"/>
    <s v="JP"/>
    <n v="280"/>
    <d v="2025-03-14T00:00:00"/>
    <n v="1"/>
    <s v="DA"/>
    <s v="AE"/>
    <n v="70"/>
    <x v="1"/>
    <s v="1. Diariamente"/>
    <n v="0"/>
    <n v="0"/>
    <n v="0"/>
    <n v="0"/>
    <n v="0"/>
    <x v="1"/>
    <s v="1. Sí"/>
    <m/>
    <s v="6. Mestiza(o)"/>
    <m/>
    <x v="0"/>
    <s v="1. Completa"/>
    <s v="7. Dueña/o de su propio negocio"/>
    <m/>
    <s v="2. de $471 a $919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NO HAY DELINCUENCIA"/>
    <s v="PRESENCIA DE SEGURIDAD"/>
    <m/>
    <m/>
    <x v="0"/>
    <x v="1"/>
    <x v="3"/>
    <x v="1"/>
    <x v="0"/>
    <x v="3"/>
    <x v="0"/>
    <x v="1"/>
    <s v="L"/>
    <n v="0"/>
    <n v="0"/>
    <n v="0"/>
    <n v="0"/>
    <n v="0"/>
    <n v="0"/>
    <n v="0"/>
    <n v="0"/>
    <n v="0"/>
    <n v="0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0"/>
    <x v="3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3"/>
    <x v="0"/>
    <x v="0"/>
    <x v="0"/>
    <x v="3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TRANQUILIDAD"/>
    <s v="FELICIDAD"/>
    <m/>
    <n v="82919164"/>
    <s v="b288637a-d7d8-4185-b3c4-a17eec899f6c"/>
    <d v="2025-04-05T23:13:14"/>
    <m/>
    <m/>
    <s v="submitted_via_web"/>
    <m/>
    <s v="vhGz9QPwmdkBybuGFUbzwe"/>
    <m/>
    <n v="189"/>
  </r>
  <r>
    <d v="2025-04-06T09:49:49"/>
    <d v="2025-04-06T09:55:29"/>
    <s v="GR"/>
    <n v="282"/>
    <d v="2025-03-14T00:00:00"/>
    <n v="1"/>
    <s v="DA"/>
    <s v="AE"/>
    <n v="19"/>
    <x v="3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0"/>
    <x v="0"/>
    <x v="0"/>
    <s v="SEGURIDAD"/>
    <s v="AFLUENCIA DE GENTE"/>
    <m/>
    <m/>
    <x v="1"/>
    <x v="2"/>
    <x v="2"/>
    <x v="2"/>
    <x v="1"/>
    <x v="2"/>
    <x v="2"/>
    <x v="1"/>
    <s v="C"/>
    <n v="0"/>
    <n v="0"/>
    <n v="1"/>
    <n v="0"/>
    <n v="0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1"/>
    <x v="1"/>
    <x v="0"/>
    <x v="0"/>
    <x v="1"/>
    <x v="2"/>
    <x v="0"/>
    <x v="0"/>
    <x v="0"/>
    <x v="0"/>
    <x v="1"/>
    <x v="2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BIEN"/>
    <s v="TRANQUILIDAD"/>
    <s v="RELAJADO"/>
    <n v="82970474"/>
    <s v="26731132-5c9e-4197-93f6-93b969e9d96f"/>
    <d v="2025-04-06T14:55:21"/>
    <m/>
    <m/>
    <s v="submitted_via_web"/>
    <m/>
    <s v="vhGz9QPwmdkBybuGFUbzwe"/>
    <m/>
    <n v="230"/>
  </r>
  <r>
    <d v="2025-04-05T12:21:02"/>
    <d v="2025-04-05T12:28:15"/>
    <s v="GR"/>
    <n v="319"/>
    <d v="2025-03-15T00:00:00"/>
    <n v="2"/>
    <s v="JC"/>
    <s v="AMC"/>
    <n v="77"/>
    <x v="1"/>
    <s v="3. al menos 2 veces al mes"/>
    <n v="0"/>
    <n v="0"/>
    <n v="0"/>
    <n v="0"/>
    <n v="0"/>
    <x v="0"/>
    <s v="1. Sí"/>
    <m/>
    <s v="7. Blanca(o)"/>
    <m/>
    <x v="0"/>
    <s v="1. Completa"/>
    <s v="3. Es jubilada/o o pensionista/o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1. Canchas de fútbol y basquet"/>
    <x v="1"/>
    <x v="0"/>
    <x v="0"/>
    <x v="1"/>
    <x v="0"/>
    <x v="0"/>
    <x v="0"/>
    <m/>
    <x v="1"/>
    <x v="2"/>
    <x v="0"/>
    <s v="POLICIA NACIONAL"/>
    <s v="MUCHA GENTE"/>
    <m/>
    <m/>
    <x v="0"/>
    <x v="2"/>
    <x v="2"/>
    <x v="1"/>
    <x v="1"/>
    <x v="3"/>
    <x v="2"/>
    <x v="2"/>
    <s v="C D"/>
    <n v="0"/>
    <n v="0"/>
    <n v="1"/>
    <n v="1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SEGUIRDAD"/>
    <s v="PAZ"/>
    <s v="EMOCION"/>
    <n v="82910002"/>
    <s v="cc8c50c5-ce40-409d-8f88-ecc1c4229bd6"/>
    <d v="2025-04-05T17:28:10"/>
    <m/>
    <m/>
    <s v="submitted_via_web"/>
    <m/>
    <s v="vhGz9QPwmdkBybuGFUbzwe"/>
    <m/>
    <n v="150"/>
  </r>
  <r>
    <d v="2025-04-06T23:34:27"/>
    <d v="2025-04-06T23:41:28"/>
    <s v="AE"/>
    <n v="335"/>
    <d v="2025-03-14T00:00:00"/>
    <n v="2"/>
    <s v="GP-CP"/>
    <s v="AMC"/>
    <n v="25"/>
    <x v="3"/>
    <s v="3. al menos 2 veces al mes"/>
    <n v="0"/>
    <n v="0"/>
    <n v="0"/>
    <n v="0"/>
    <n v="0"/>
    <x v="0"/>
    <s v="1. Sí"/>
    <m/>
    <s v="1. Indígena"/>
    <m/>
    <x v="0"/>
    <s v="2. Incompleta"/>
    <s v="4. Es estudiante"/>
    <m/>
    <s v="1. Menos de $470"/>
    <s v="4. De paso"/>
    <x v="1"/>
    <x v="0"/>
    <x v="0"/>
    <x v="1"/>
    <x v="0"/>
    <x v="0"/>
    <m/>
    <s v="1. Madrugada (00:00 a 05:59)"/>
    <x v="1"/>
    <x v="1"/>
    <x v="0"/>
    <x v="0"/>
    <x v="1"/>
    <s v="3. Caminos de ciclismo"/>
    <x v="0"/>
    <x v="0"/>
    <x v="1"/>
    <x v="1"/>
    <x v="0"/>
    <x v="0"/>
    <x v="0"/>
    <m/>
    <x v="0"/>
    <x v="0"/>
    <x v="1"/>
    <s v="PERSONAS DE OTRA NACIONALIDAD QUE UTILIZAN EL PARQUE PARA CONSUMIR SUSTANCIAS"/>
    <m/>
    <m/>
    <m/>
    <x v="1"/>
    <x v="2"/>
    <x v="1"/>
    <x v="2"/>
    <x v="0"/>
    <x v="2"/>
    <x v="2"/>
    <x v="2"/>
    <s v="C E"/>
    <n v="0"/>
    <n v="0"/>
    <n v="1"/>
    <n v="0"/>
    <n v="0"/>
    <n v="0"/>
    <n v="0"/>
    <n v="0"/>
    <n v="0"/>
    <n v="0"/>
    <n v="0"/>
    <n v="0"/>
    <n v="0"/>
    <x v="1"/>
    <x v="0"/>
    <x v="0"/>
    <x v="1"/>
    <x v="1"/>
    <x v="2"/>
    <n v="0"/>
    <n v="1"/>
    <n v="0"/>
    <n v="0"/>
    <n v="0"/>
    <n v="0"/>
    <n v="0"/>
    <n v="0"/>
    <n v="0"/>
    <n v="1"/>
    <n v="0"/>
    <m/>
    <m/>
    <s v="2. No"/>
    <m/>
    <m/>
    <m/>
    <m/>
    <m/>
    <m/>
    <m/>
    <s v="2. No"/>
    <m/>
    <m/>
    <m/>
    <s v="1. Arma blanca"/>
    <m/>
    <m/>
    <m/>
    <m/>
    <m/>
    <m/>
    <m/>
    <m/>
    <m/>
    <m/>
    <m/>
    <m/>
    <m/>
    <m/>
    <m/>
    <s v="6. Ninguna"/>
    <m/>
    <m/>
    <m/>
    <m/>
    <x v="1"/>
    <x v="1"/>
    <x v="1"/>
    <x v="1"/>
    <x v="1"/>
    <x v="3"/>
    <x v="0"/>
    <x v="0"/>
    <x v="1"/>
    <x v="2"/>
    <x v="1"/>
    <x v="1"/>
    <x v="0"/>
    <x v="2"/>
    <x v="1"/>
    <x v="1"/>
    <x v="1"/>
    <x v="3"/>
    <x v="1"/>
    <x v="3"/>
    <x v="1"/>
    <x v="1"/>
    <x v="0"/>
    <x v="0"/>
    <x v="0"/>
    <x v="0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0"/>
    <x v="0"/>
    <x v="0"/>
    <x v="1"/>
    <x v="2"/>
    <x v="2"/>
    <x v="0"/>
    <x v="0"/>
    <x v="0"/>
    <m/>
    <s v="ESTADO DE BIENESTAR"/>
    <s v="TRANQUILIDAD PORQUE SALE DE LO COTIDIANO"/>
    <s v="SENTIMIENTO DE INSEGURIDAD POR ESTAFAS"/>
    <n v="83000241"/>
    <s v="42d96b39-76f1-4b82-9436-1d9b6bb58f49"/>
    <d v="2025-04-07T04:41:29"/>
    <m/>
    <m/>
    <s v="submitted_via_web"/>
    <m/>
    <s v="vhGz9QPwmdkBybuGFUbzwe"/>
    <m/>
    <n v="308"/>
  </r>
  <r>
    <d v="2025-04-06T21:31:58"/>
    <d v="2025-04-06T21:36:03"/>
    <s v="AE"/>
    <n v="357"/>
    <d v="2025-03-15T00:00:00"/>
    <n v="4"/>
    <s v="PB-MA"/>
    <s v="GH"/>
    <n v="80"/>
    <x v="1"/>
    <s v="2. Semanalmente"/>
    <n v="3"/>
    <n v="0"/>
    <n v="0"/>
    <n v="0"/>
    <n v="1"/>
    <x v="0"/>
    <s v="1. Sí"/>
    <m/>
    <s v="6. Mestiza(o)"/>
    <m/>
    <x v="3"/>
    <s v="1. Completa"/>
    <s v="1. Trabajar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RECORRIDO POLICIAS"/>
    <m/>
    <m/>
    <m/>
    <x v="0"/>
    <x v="2"/>
    <x v="2"/>
    <x v="1"/>
    <x v="0"/>
    <x v="3"/>
    <x v="0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1"/>
    <x v="1"/>
    <x v="0"/>
    <x v="0"/>
    <x v="0"/>
    <x v="0"/>
    <x v="0"/>
    <x v="0"/>
    <x v="0"/>
    <x v="0"/>
    <x v="1"/>
    <x v="2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1"/>
    <x v="1"/>
    <x v="2"/>
    <x v="1"/>
    <x v="0"/>
    <x v="0"/>
    <x v="0"/>
    <m/>
    <s v="SEGURO"/>
    <m/>
    <m/>
    <n v="82993941"/>
    <s v="937844ee-f246-4f86-aa3e-10bf9e42b75d"/>
    <d v="2025-04-07T02:36:04"/>
    <m/>
    <m/>
    <s v="submitted_via_web"/>
    <m/>
    <s v="vhGz9QPwmdkBybuGFUbzwe"/>
    <m/>
    <n v="286"/>
  </r>
  <r>
    <d v="2025-04-10T11:57:06"/>
    <d v="2025-04-10T12:02:45"/>
    <s v="GH"/>
    <n v="374"/>
    <d v="2025-03-15T00:00:00"/>
    <n v="4"/>
    <s v="GB-NC"/>
    <s v="GH"/>
    <n v="33"/>
    <x v="0"/>
    <s v="3. al menos 2 veces al mes"/>
    <n v="1"/>
    <n v="0"/>
    <n v="0"/>
    <n v="0"/>
    <n v="0"/>
    <x v="0"/>
    <s v="1. Sí"/>
    <m/>
    <s v="6. Mestiza(o)"/>
    <m/>
    <x v="0"/>
    <s v="1. Completa"/>
    <s v="4. Es estudiante"/>
    <m/>
    <s v="2. de $471 a $919"/>
    <s v="5. Recreación/Ocio"/>
    <x v="1"/>
    <x v="0"/>
    <x v="0"/>
    <x v="0"/>
    <x v="1"/>
    <x v="0"/>
    <m/>
    <s v="2. Mañana  (06:00 a 11:59) 3. Tarde (12:00 a 17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GUARDIAS"/>
    <s v="FUNCIONARIOS DEL PARQUE"/>
    <m/>
    <m/>
    <x v="0"/>
    <x v="2"/>
    <x v="2"/>
    <x v="1"/>
    <x v="0"/>
    <x v="2"/>
    <x v="2"/>
    <x v="1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2"/>
    <x v="1"/>
    <x v="2"/>
    <x v="2"/>
    <x v="0"/>
    <x v="0"/>
    <x v="0"/>
    <m/>
    <s v="SEGURO"/>
    <s v="CONFIADO"/>
    <s v="RELAJADO"/>
    <n v="83424696"/>
    <s v="77f076c6-c297-4bac-904a-e64a3c5d3c2d"/>
    <d v="2025-04-10T17:02:45"/>
    <m/>
    <m/>
    <s v="submitted_via_web"/>
    <m/>
    <s v="v5uNQoYdGp6CCoWUMSjVDf"/>
    <m/>
    <n v="441"/>
  </r>
  <r>
    <d v="2025-04-06T15:27:59"/>
    <d v="2025-04-06T15:33:15"/>
    <s v="AMC"/>
    <n v="384"/>
    <d v="2025-03-15T00:00:00"/>
    <n v="4"/>
    <s v="MQ"/>
    <s v="GH"/>
    <n v="40"/>
    <x v="0"/>
    <s v="1. Diariamente"/>
    <n v="0"/>
    <n v="0"/>
    <n v="0"/>
    <n v="0"/>
    <n v="0"/>
    <x v="1"/>
    <s v="1. Sí"/>
    <m/>
    <s v="6. Mestiza(o)"/>
    <m/>
    <x v="0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MUNDO JUVENIL"/>
    <x v="1"/>
    <x v="1"/>
    <x v="0"/>
    <s v="PARQUE LIMPIO"/>
    <s v="POLICIA NACIONAL"/>
    <s v="GUARDIAS SEGURIDAD"/>
    <m/>
    <x v="4"/>
    <x v="2"/>
    <x v="1"/>
    <x v="2"/>
    <x v="0"/>
    <x v="3"/>
    <x v="0"/>
    <x v="1"/>
    <s v="I L"/>
    <n v="0"/>
    <n v="0"/>
    <n v="0"/>
    <n v="0"/>
    <n v="0"/>
    <n v="0"/>
    <n v="0"/>
    <n v="0"/>
    <n v="1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NORMAL"/>
    <s v="TRANQUILA"/>
    <m/>
    <n v="82979670"/>
    <s v="d520aa3f-8212-4857-a099-efce1cf2c87c"/>
    <d v="2025-04-06T20:33:17"/>
    <m/>
    <m/>
    <s v="submitted_via_web"/>
    <m/>
    <s v="vhGz9QPwmdkBybuGFUbzwe"/>
    <m/>
    <n v="252"/>
  </r>
  <r>
    <d v="2025-04-06T07:49:43"/>
    <d v="2025-04-06T07:56:38"/>
    <s v="OM"/>
    <n v="402"/>
    <d v="2025-03-15T00:00:00"/>
    <n v="3"/>
    <s v="AS"/>
    <s v="MJM"/>
    <n v="40"/>
    <x v="0"/>
    <s v="2. Semanalmente"/>
    <n v="0"/>
    <n v="0"/>
    <n v="0"/>
    <n v="0"/>
    <n v="2"/>
    <x v="1"/>
    <s v="1. Sí"/>
    <m/>
    <s v="6. Mestiza(o)"/>
    <m/>
    <x v="1"/>
    <s v="1. Completa"/>
    <s v="7. Dueña/o de su propio negoci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 4. Pistas para correr"/>
    <x v="1"/>
    <x v="0"/>
    <x v="0"/>
    <x v="0"/>
    <x v="0"/>
    <x v="0"/>
    <x v="0"/>
    <m/>
    <x v="1"/>
    <x v="1"/>
    <x v="0"/>
    <s v="POR TRANQUILIDAD"/>
    <m/>
    <m/>
    <m/>
    <x v="0"/>
    <x v="2"/>
    <x v="1"/>
    <x v="0"/>
    <x v="2"/>
    <x v="3"/>
    <x v="0"/>
    <x v="1"/>
    <s v="L"/>
    <n v="0"/>
    <n v="0"/>
    <n v="0"/>
    <n v="0"/>
    <n v="0"/>
    <n v="0"/>
    <n v="0"/>
    <n v="0"/>
    <n v="0"/>
    <n v="0"/>
    <n v="0"/>
    <n v="1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x v="0"/>
    <x v="1"/>
    <x v="2"/>
    <x v="0"/>
    <x v="0"/>
    <x v="0"/>
    <x v="0"/>
    <x v="0"/>
    <x v="2"/>
    <x v="1"/>
    <s v="PERROS AGRESIVOS"/>
    <x v="2"/>
    <x v="0"/>
    <x v="3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1"/>
    <x v="1"/>
    <x v="2"/>
    <x v="1"/>
    <x v="1"/>
    <x v="1"/>
    <x v="1"/>
    <x v="2"/>
    <x v="1"/>
    <x v="0"/>
    <x v="0"/>
    <x v="0"/>
    <m/>
    <s v="PAZ"/>
    <s v="TRANQUILIDAD"/>
    <m/>
    <n v="82965502"/>
    <s v="54aee364-d950-4d30-9cc2-12984c8fefcc"/>
    <d v="2025-04-06T12:56:39"/>
    <m/>
    <m/>
    <s v="submitted_via_web"/>
    <m/>
    <s v="vhGz9QPwmdkBybuGFUbzwe"/>
    <m/>
    <n v="204"/>
  </r>
  <r>
    <d v="2025-04-06T07:56:38"/>
    <d v="2025-04-06T08:01:14"/>
    <s v="OM"/>
    <n v="403"/>
    <d v="2025-03-15T00:00:00"/>
    <n v="3"/>
    <s v="AS"/>
    <s v="MJM"/>
    <n v="31"/>
    <x v="0"/>
    <s v="3. al menos 2 veces al mes"/>
    <n v="0"/>
    <n v="0"/>
    <n v="0"/>
    <n v="0"/>
    <n v="0"/>
    <x v="0"/>
    <s v="1. Sí"/>
    <m/>
    <s v="6. Mestiza(o)"/>
    <m/>
    <x v="2"/>
    <s v="1. Completa"/>
    <s v="1. Trabajar"/>
    <m/>
    <s v="3. de $920 a $1339"/>
    <s v="1. Deporte / ejercicio"/>
    <x v="0"/>
    <x v="0"/>
    <x v="0"/>
    <x v="0"/>
    <x v="0"/>
    <x v="1"/>
    <s v="PASEO"/>
    <s v="2. Mañana  (06:00 a 11:59)"/>
    <x v="0"/>
    <x v="0"/>
    <x v="0"/>
    <x v="0"/>
    <x v="2"/>
    <s v="1. Canchas de fútbol y basquet"/>
    <x v="1"/>
    <x v="0"/>
    <x v="0"/>
    <x v="1"/>
    <x v="0"/>
    <x v="0"/>
    <x v="1"/>
    <s v="PARA NIÑOS"/>
    <x v="1"/>
    <x v="1"/>
    <x v="1"/>
    <s v="POR DELINCUENCIA"/>
    <m/>
    <m/>
    <m/>
    <x v="1"/>
    <x v="1"/>
    <x v="4"/>
    <x v="2"/>
    <x v="1"/>
    <x v="2"/>
    <x v="2"/>
    <x v="2"/>
    <s v="H"/>
    <n v="0"/>
    <n v="0"/>
    <n v="0"/>
    <n v="0"/>
    <n v="0"/>
    <n v="0"/>
    <n v="0"/>
    <n v="1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1"/>
    <x v="2"/>
    <x v="1"/>
    <x v="1"/>
    <x v="0"/>
    <x v="0"/>
    <x v="0"/>
    <x v="0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0"/>
    <x v="2"/>
    <x v="2"/>
    <x v="0"/>
    <x v="1"/>
    <x v="1"/>
    <x v="1"/>
    <x v="1"/>
    <x v="2"/>
    <x v="1"/>
    <x v="1"/>
    <x v="1"/>
    <x v="0"/>
    <x v="0"/>
    <x v="0"/>
    <x v="0"/>
    <x v="0"/>
    <x v="0"/>
    <m/>
    <s v="PRESENTIMIENTO"/>
    <s v="ALEGRÍA"/>
    <s v="DISTRACCIÓN"/>
    <n v="82965790"/>
    <s v="793002f4-bd23-4abf-9a10-3291ed38556a"/>
    <d v="2025-04-06T13:01:14"/>
    <m/>
    <m/>
    <s v="submitted_via_web"/>
    <m/>
    <s v="vhGz9QPwmdkBybuGFUbzwe"/>
    <m/>
    <n v="205"/>
  </r>
  <r>
    <d v="2025-04-10T10:05:03"/>
    <d v="2025-04-10T10:12:36"/>
    <s v="JP"/>
    <n v="469"/>
    <d v="2025-03-16T00:00:00"/>
    <n v="4"/>
    <s v="MQ"/>
    <s v="GH"/>
    <n v="45"/>
    <x v="2"/>
    <s v="3. al menos 2 veces al mes"/>
    <n v="1"/>
    <n v="0"/>
    <n v="0"/>
    <n v="0"/>
    <n v="0"/>
    <x v="1"/>
    <s v="1. Sí"/>
    <m/>
    <s v="6. Mestiza(o)"/>
    <m/>
    <x v="1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7. Áreas verdes 8. Otro."/>
    <x v="0"/>
    <x v="0"/>
    <x v="0"/>
    <x v="1"/>
    <x v="0"/>
    <x v="1"/>
    <x v="1"/>
    <s v="SENDEROS"/>
    <x v="1"/>
    <x v="1"/>
    <x v="1"/>
    <s v="FALTA SEGURIDAD"/>
    <m/>
    <m/>
    <m/>
    <x v="1"/>
    <x v="1"/>
    <x v="2"/>
    <x v="0"/>
    <x v="0"/>
    <x v="2"/>
    <x v="0"/>
    <x v="1"/>
    <s v="C D E I J"/>
    <n v="0"/>
    <n v="0"/>
    <n v="1"/>
    <n v="0"/>
    <n v="1"/>
    <n v="0"/>
    <n v="0"/>
    <n v="0"/>
    <n v="1"/>
    <n v="1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2"/>
    <x v="0"/>
    <x v="0"/>
    <x v="0"/>
    <x v="0"/>
    <x v="0"/>
    <x v="1"/>
    <x v="2"/>
    <x v="0"/>
    <x v="0"/>
    <x v="0"/>
    <x v="0"/>
    <x v="0"/>
    <x v="0"/>
    <x v="1"/>
    <x v="2"/>
    <x v="1"/>
    <x v="2"/>
    <x v="1"/>
    <x v="1"/>
    <x v="0"/>
    <x v="0"/>
    <x v="1"/>
    <x v="1"/>
    <x v="0"/>
    <s v="DEBE HABER WIFI EN EL PARQUE"/>
    <x v="3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CONTENTO"/>
    <s v="DISTRAIDO"/>
    <s v="DESESTRESADO"/>
    <n v="83412469"/>
    <s v="e6a53c45-7993-4739-b7b9-97c16bd1aa62"/>
    <d v="2025-04-10T15:12:29"/>
    <m/>
    <m/>
    <s v="submitted_via_web"/>
    <m/>
    <s v="v5uNQoYdGp6CCoWUMSjVDf"/>
    <m/>
    <n v="413"/>
  </r>
  <r>
    <d v="2025-04-02T14:20:00"/>
    <d v="2025-04-02T14:30:41"/>
    <s v="OM"/>
    <n v="1"/>
    <d v="2025-03-16T00:00:00"/>
    <n v="5"/>
    <s v="CP"/>
    <s v="AMA"/>
    <n v="19"/>
    <x v="3"/>
    <s v="2. Semanalmente"/>
    <n v="0"/>
    <n v="0"/>
    <n v="0"/>
    <n v="0"/>
    <n v="0"/>
    <x v="0"/>
    <s v="1. Sí"/>
    <m/>
    <s v="6. Mestiza(o)"/>
    <m/>
    <x v="1"/>
    <s v="1. Completa"/>
    <s v="4. Es estudiante"/>
    <m/>
    <s v="3. de $920 a $1339"/>
    <s v="1. Deporte / ejercicio 2. Culturales y sociales 5. Recreación/Ocio"/>
    <x v="0"/>
    <x v="1"/>
    <x v="0"/>
    <x v="0"/>
    <x v="1"/>
    <x v="0"/>
    <m/>
    <s v="2. Mañana  (06:00 a 11:59) 3. Tarde (12:00 a 17:59)"/>
    <x v="0"/>
    <x v="0"/>
    <x v="1"/>
    <x v="0"/>
    <x v="0"/>
    <s v="7. Áreas verdes"/>
    <x v="0"/>
    <x v="0"/>
    <x v="0"/>
    <x v="1"/>
    <x v="0"/>
    <x v="1"/>
    <x v="0"/>
    <m/>
    <x v="1"/>
    <x v="1"/>
    <x v="0"/>
    <s v="PRESENCIA DE GENTE Y ES VISIBLE"/>
    <m/>
    <m/>
    <m/>
    <x v="0"/>
    <x v="1"/>
    <x v="2"/>
    <x v="1"/>
    <x v="0"/>
    <x v="3"/>
    <x v="4"/>
    <x v="1"/>
    <s v="K L"/>
    <n v="0"/>
    <n v="0"/>
    <n v="0"/>
    <n v="0"/>
    <n v="0"/>
    <n v="0"/>
    <n v="0"/>
    <n v="0"/>
    <n v="0"/>
    <n v="0"/>
    <n v="1"/>
    <n v="1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1"/>
    <x v="1"/>
    <x v="0"/>
    <x v="0"/>
    <x v="0"/>
    <x v="0"/>
    <x v="1"/>
    <x v="2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2"/>
    <x v="1"/>
    <x v="2"/>
    <x v="0"/>
    <x v="0"/>
    <x v="0"/>
    <x v="0"/>
    <x v="0"/>
    <x v="0"/>
    <x v="0"/>
    <m/>
    <s v="RECREACIÓN"/>
    <s v="INSERTIDUMBRE POR SI LLEGA A PASAR ALGO"/>
    <m/>
    <n v="82698220"/>
    <s v="1446a2a1-57f9-494f-9b3a-507e151d2d19"/>
    <d v="2025-04-02T19:30:34"/>
    <m/>
    <m/>
    <s v="submitted_via_web"/>
    <m/>
    <s v="vhGz9QPwmdkBybuGFUbzwe"/>
    <m/>
    <n v="18"/>
  </r>
  <r>
    <d v="2025-04-02T14:30:41"/>
    <d v="2025-04-02T14:38:42"/>
    <s v="OM"/>
    <n v="2"/>
    <d v="2025-03-16T00:00:00"/>
    <n v="5"/>
    <s v="CP"/>
    <s v="AMA"/>
    <n v="40"/>
    <x v="0"/>
    <s v="2. Semanalmente"/>
    <n v="0"/>
    <n v="0"/>
    <n v="0"/>
    <n v="0"/>
    <n v="0"/>
    <x v="0"/>
    <s v="1. Sí"/>
    <m/>
    <s v="6. Mestiza(o)"/>
    <m/>
    <x v="2"/>
    <s v="1. Completa"/>
    <s v="1. Trabajar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0"/>
    <x v="0"/>
    <x v="0"/>
    <s v="PRESENCIA DE POLICÍA Y MUNICIPALES"/>
    <m/>
    <m/>
    <m/>
    <x v="1"/>
    <x v="2"/>
    <x v="1"/>
    <x v="1"/>
    <x v="0"/>
    <x v="3"/>
    <x v="1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1"/>
    <x v="2"/>
    <x v="0"/>
    <x v="0"/>
    <x v="0"/>
    <x v="2"/>
    <x v="1"/>
    <x v="1"/>
    <x v="0"/>
    <x v="0"/>
    <x v="1"/>
    <x v="2"/>
    <x v="0"/>
    <x v="0"/>
    <x v="1"/>
    <x v="1"/>
    <x v="0"/>
    <x v="1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1"/>
    <x v="2"/>
    <x v="0"/>
    <x v="1"/>
    <x v="1"/>
    <x v="1"/>
    <x v="1"/>
    <x v="2"/>
    <x v="1"/>
    <x v="0"/>
    <x v="0"/>
    <x v="0"/>
    <m/>
    <s v="CIERTO GRADO DE TRANQUILIDAD"/>
    <m/>
    <m/>
    <n v="82698420"/>
    <s v="4784fe5d-4ebe-4c93-a8f7-120f52160303"/>
    <d v="2025-04-02T19:38:36"/>
    <m/>
    <m/>
    <s v="submitted_via_web"/>
    <m/>
    <s v="vhGz9QPwmdkBybuGFUbzwe"/>
    <m/>
    <n v="20"/>
  </r>
  <r>
    <d v="2025-04-11T10:29:11"/>
    <d v="2025-04-11T10:40:30"/>
    <s v="GH"/>
    <n v="4"/>
    <d v="2025-03-16T00:00:00"/>
    <n v="5"/>
    <s v="GB-CP"/>
    <s v="AMA"/>
    <n v="32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 3. Compras"/>
    <x v="0"/>
    <x v="0"/>
    <x v="1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HAY MOVIMIENTO DE PERSONAS Y POLICIAS"/>
    <m/>
    <m/>
    <m/>
    <x v="1"/>
    <x v="1"/>
    <x v="1"/>
    <x v="2"/>
    <x v="0"/>
    <x v="3"/>
    <x v="1"/>
    <x v="1"/>
    <s v="B"/>
    <n v="0"/>
    <n v="1"/>
    <n v="0"/>
    <n v="0"/>
    <n v="0"/>
    <n v="0"/>
    <n v="0"/>
    <n v="0"/>
    <n v="0"/>
    <n v="0"/>
    <n v="0"/>
    <n v="0"/>
    <n v="0"/>
    <x v="0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3"/>
    <x v="1"/>
    <x v="2"/>
    <x v="0"/>
    <x v="0"/>
    <x v="0"/>
    <x v="2"/>
    <x v="1"/>
    <x v="3"/>
    <x v="0"/>
    <x v="0"/>
    <x v="0"/>
    <x v="0"/>
    <x v="0"/>
    <x v="0"/>
    <x v="1"/>
    <x v="1"/>
    <x v="0"/>
    <x v="1"/>
    <x v="0"/>
    <x v="0"/>
    <x v="0"/>
    <x v="0"/>
    <x v="1"/>
    <x v="1"/>
    <x v="0"/>
    <m/>
    <x v="0"/>
    <x v="0"/>
    <x v="0"/>
    <x v="1"/>
    <x v="1"/>
    <s v="2. Blanca"/>
    <x v="1"/>
    <x v="1"/>
    <x v="1"/>
    <x v="1"/>
    <x v="1"/>
    <m/>
    <x v="2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1"/>
    <x v="1"/>
    <x v="0"/>
    <x v="0"/>
    <x v="0"/>
    <x v="0"/>
    <x v="0"/>
    <x v="0"/>
    <m/>
    <s v="TRANQUILIDAD"/>
    <s v="LUGAR DE RECREACIÓN"/>
    <s v="FELICIDAD"/>
    <n v="83518742"/>
    <s v="d6d7684c-cb86-4ca2-a807-3ed6b8c42504"/>
    <d v="2025-04-11T15:40:30"/>
    <m/>
    <m/>
    <s v="submitted_via_web"/>
    <m/>
    <s v="v5uNQoYdGp6CCoWUMSjVDf"/>
    <m/>
    <n v="480"/>
  </r>
  <r>
    <d v="2025-04-02T15:13:00"/>
    <d v="2025-04-02T15:47:34"/>
    <s v="OM"/>
    <n v="5"/>
    <d v="2025-03-16T00:00:00"/>
    <n v="5"/>
    <s v="CP"/>
    <s v="AMA"/>
    <n v="32"/>
    <x v="0"/>
    <s v="2. Semanalmente"/>
    <n v="1"/>
    <n v="0"/>
    <n v="0"/>
    <n v="0"/>
    <n v="1"/>
    <x v="0"/>
    <s v="1. Sí"/>
    <m/>
    <s v="6. Mestiza(o)"/>
    <m/>
    <x v="0"/>
    <s v="2. Incompleta"/>
    <s v="1. Trabajar"/>
    <m/>
    <s v="2. de $471 a $919"/>
    <s v="1. Deporte / ejercicio"/>
    <x v="0"/>
    <x v="0"/>
    <x v="0"/>
    <x v="0"/>
    <x v="0"/>
    <x v="0"/>
    <m/>
    <s v="2. Mañana  (06:00 a 11:59) 3. Tarde (12:00 a 17:59)"/>
    <x v="0"/>
    <x v="0"/>
    <x v="1"/>
    <x v="0"/>
    <x v="2"/>
    <s v="4. Pistas para correr"/>
    <x v="0"/>
    <x v="0"/>
    <x v="0"/>
    <x v="0"/>
    <x v="0"/>
    <x v="0"/>
    <x v="0"/>
    <m/>
    <x v="1"/>
    <x v="2"/>
    <x v="0"/>
    <s v="NO HA VISTO PELIGRO"/>
    <m/>
    <m/>
    <m/>
    <x v="0"/>
    <x v="2"/>
    <x v="2"/>
    <x v="1"/>
    <x v="0"/>
    <x v="3"/>
    <x v="4"/>
    <x v="1"/>
    <s v="K L"/>
    <n v="0"/>
    <n v="0"/>
    <n v="0"/>
    <n v="0"/>
    <n v="0"/>
    <n v="0"/>
    <n v="0"/>
    <n v="0"/>
    <n v="0"/>
    <n v="0"/>
    <n v="1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1"/>
    <x v="1"/>
    <x v="3"/>
    <x v="1"/>
    <x v="1"/>
    <x v="2"/>
    <x v="1"/>
    <x v="2"/>
    <x v="1"/>
    <x v="0"/>
    <x v="0"/>
    <x v="0"/>
    <m/>
    <s v="SEGURO"/>
    <m/>
    <m/>
    <n v="82701485"/>
    <s v="83f395b8-ded2-42af-8ed0-68b72f789223"/>
    <d v="2025-04-02T20:47:28"/>
    <m/>
    <m/>
    <s v="submitted_via_web"/>
    <m/>
    <s v="vhGz9QPwmdkBybuGFUbzwe"/>
    <m/>
    <n v="32"/>
  </r>
  <r>
    <d v="2025-04-11T10:40:30"/>
    <d v="2025-04-11T10:45:11"/>
    <s v="GH"/>
    <n v="7"/>
    <d v="2025-03-16T00:00:00"/>
    <n v="5"/>
    <s v="JC"/>
    <s v="AMA"/>
    <n v="27"/>
    <x v="0"/>
    <s v="1. Diariamente"/>
    <n v="0"/>
    <n v="0"/>
    <n v="0"/>
    <n v="0"/>
    <n v="0"/>
    <x v="0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1"/>
    <s v="1. Canchas de fútbol y basquet"/>
    <x v="1"/>
    <x v="0"/>
    <x v="0"/>
    <x v="1"/>
    <x v="0"/>
    <x v="0"/>
    <x v="0"/>
    <m/>
    <x v="1"/>
    <x v="2"/>
    <x v="1"/>
    <s v="ME ROBARON"/>
    <s v="POCO ALUMBRADO"/>
    <m/>
    <m/>
    <x v="1"/>
    <x v="1"/>
    <x v="1"/>
    <x v="2"/>
    <x v="0"/>
    <x v="3"/>
    <x v="4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1"/>
    <x v="3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2"/>
    <x v="0"/>
    <x v="0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INSEGURIDAD"/>
    <s v="RELAJACIÓN"/>
    <m/>
    <n v="83521870"/>
    <s v="f2e2e407-789d-455f-86ae-91a081d280ac"/>
    <d v="2025-04-11T15:45:11"/>
    <m/>
    <m/>
    <s v="submitted_via_web"/>
    <m/>
    <s v="v5uNQoYdGp6CCoWUMSjVDf"/>
    <m/>
    <n v="481"/>
  </r>
  <r>
    <d v="2025-04-11T10:48:22"/>
    <d v="2025-04-11T10:52:33"/>
    <s v="GH"/>
    <n v="10"/>
    <d v="2025-03-16T00:00:00"/>
    <n v="5"/>
    <s v="BP"/>
    <s v="AMA"/>
    <n v="39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4. de $1340 a $183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NO HA VISTO ROBOS EN LA CAROLINA"/>
    <m/>
    <m/>
    <m/>
    <x v="1"/>
    <x v="2"/>
    <x v="1"/>
    <x v="2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1"/>
    <x v="2"/>
    <x v="0"/>
    <x v="1"/>
    <x v="2"/>
    <x v="0"/>
    <x v="1"/>
    <x v="1"/>
    <x v="0"/>
    <x v="0"/>
    <x v="0"/>
    <x v="0"/>
    <m/>
    <s v="SI ESTA BONITO VENIR AL PARQUE PORQUE ESTA MUY BONITO"/>
    <m/>
    <m/>
    <n v="83522905"/>
    <s v="30bf9fb0-f732-4019-9f12-64d464b88a61"/>
    <d v="2025-04-11T15:52:33"/>
    <m/>
    <m/>
    <s v="submitted_via_web"/>
    <m/>
    <s v="v5uNQoYdGp6CCoWUMSjVDf"/>
    <m/>
    <n v="483"/>
  </r>
  <r>
    <d v="2025-04-11T10:52:33"/>
    <d v="2025-04-11T10:56:24"/>
    <s v="GH"/>
    <n v="11"/>
    <d v="2025-03-16T00:00:00"/>
    <n v="5"/>
    <s v="BP"/>
    <s v="AMA"/>
    <n v="28"/>
    <x v="0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3. Compras"/>
    <x v="1"/>
    <x v="0"/>
    <x v="1"/>
    <x v="0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1"/>
    <x v="2"/>
    <x v="0"/>
    <s v="HA VISTO SEGURIDAD EN EL PARQUE"/>
    <m/>
    <m/>
    <m/>
    <x v="1"/>
    <x v="2"/>
    <x v="2"/>
    <x v="2"/>
    <x v="0"/>
    <x v="3"/>
    <x v="2"/>
    <x v="1"/>
    <s v="C"/>
    <n v="0"/>
    <n v="0"/>
    <n v="1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2"/>
    <x v="0"/>
    <x v="1"/>
    <x v="1"/>
    <x v="3"/>
    <x v="0"/>
    <x v="0"/>
    <x v="0"/>
    <x v="0"/>
    <x v="0"/>
    <x v="0"/>
    <m/>
    <s v="EN EL DIA SI ES SEGURO HASTA LAS 18:00 DE AHI ES PELIGROSO"/>
    <m/>
    <m/>
    <n v="83523323"/>
    <s v="1a8c3f66-32ca-4077-a7cf-a3d7442df82c"/>
    <d v="2025-04-11T15:56:23"/>
    <m/>
    <m/>
    <s v="submitted_via_web"/>
    <m/>
    <s v="v5uNQoYdGp6CCoWUMSjVDf"/>
    <m/>
    <n v="484"/>
  </r>
  <r>
    <d v="2025-04-11T10:56:24"/>
    <d v="2025-04-11T11:00:23"/>
    <s v="GH"/>
    <n v="12"/>
    <d v="2025-03-16T00:00:00"/>
    <n v="5"/>
    <s v="BP"/>
    <s v="AMA"/>
    <n v="33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1"/>
    <s v="4. Pistas para correr"/>
    <x v="0"/>
    <x v="0"/>
    <x v="0"/>
    <x v="0"/>
    <x v="0"/>
    <x v="0"/>
    <x v="0"/>
    <m/>
    <x v="0"/>
    <x v="0"/>
    <x v="0"/>
    <s v="HAY BASTANTE GENTE CORRIENDO"/>
    <m/>
    <m/>
    <m/>
    <x v="1"/>
    <x v="1"/>
    <x v="1"/>
    <x v="2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1"/>
    <x v="1"/>
    <x v="0"/>
    <x v="0"/>
    <x v="0"/>
    <x v="0"/>
    <m/>
    <s v="SI SE SIENTE FELIZ AL VENIR AL PARQUE"/>
    <m/>
    <m/>
    <n v="83523586"/>
    <s v="b6a218ff-3306-478f-afcd-cb8d3becf3bf"/>
    <d v="2025-04-11T16:00:23"/>
    <m/>
    <m/>
    <s v="submitted_via_web"/>
    <m/>
    <s v="v5uNQoYdGp6CCoWUMSjVDf"/>
    <m/>
    <n v="485"/>
  </r>
  <r>
    <d v="2025-04-11T11:05:57"/>
    <d v="2025-04-11T11:22:57"/>
    <s v="GH"/>
    <n v="14"/>
    <d v="2025-03-16T00:00:00"/>
    <n v="5"/>
    <s v="BP"/>
    <s v="AMA"/>
    <n v="42"/>
    <x v="2"/>
    <s v="2. Semanalmente"/>
    <n v="0"/>
    <n v="0"/>
    <n v="0"/>
    <n v="0"/>
    <n v="0"/>
    <x v="0"/>
    <s v="1. Sí"/>
    <m/>
    <s v="7. Blanc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PORQUE SI VE SEGURIDAD EN EL PARQUE"/>
    <m/>
    <m/>
    <m/>
    <x v="1"/>
    <x v="2"/>
    <x v="1"/>
    <x v="1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1"/>
    <x v="2"/>
    <x v="0"/>
    <x v="2"/>
    <x v="1"/>
    <x v="1"/>
    <x v="0"/>
    <x v="0"/>
    <x v="0"/>
    <x v="0"/>
    <x v="0"/>
    <x v="0"/>
    <x v="0"/>
    <x v="0"/>
    <x v="0"/>
    <x v="0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SE SIENTE FELIZ POR LAS AREAS PARA CORRER EN LAS NOCHES NO RECOMIENDA VENIR"/>
    <m/>
    <m/>
    <n v="83524234"/>
    <s v="07c0d9c3-7e92-4195-a213-8ff77c2aeba1"/>
    <d v="2025-04-11T16:22:58"/>
    <m/>
    <m/>
    <s v="submitted_via_web"/>
    <m/>
    <s v="v5uNQoYdGp6CCoWUMSjVDf"/>
    <m/>
    <n v="487"/>
  </r>
  <r>
    <d v="2025-04-11T11:27:06"/>
    <d v="2025-04-11T11:31:02"/>
    <s v="GH"/>
    <n v="15"/>
    <d v="2025-03-16T00:00:00"/>
    <n v="5"/>
    <s v="JC"/>
    <s v="AMA"/>
    <n v="47"/>
    <x v="2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0"/>
    <s v="AFLUENCIA DE PERSONAS"/>
    <s v="PRESENCIA POLICIA NACIONAL"/>
    <m/>
    <m/>
    <x v="1"/>
    <x v="1"/>
    <x v="1"/>
    <x v="2"/>
    <x v="0"/>
    <x v="2"/>
    <x v="1"/>
    <x v="1"/>
    <s v="B E F"/>
    <n v="0"/>
    <n v="1"/>
    <n v="0"/>
    <n v="0"/>
    <n v="1"/>
    <n v="1"/>
    <n v="0"/>
    <n v="0"/>
    <n v="0"/>
    <n v="0"/>
    <n v="0"/>
    <n v="0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3"/>
    <x v="0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1"/>
    <x v="0"/>
    <x v="3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s v="RELAJACIÓN"/>
    <m/>
    <n v="83524506"/>
    <s v="5f5d2fae-6e52-421d-b6c5-39d72e169df7"/>
    <d v="2025-04-11T16:31:02"/>
    <m/>
    <m/>
    <s v="submitted_via_web"/>
    <m/>
    <s v="v5uNQoYdGp6CCoWUMSjVDf"/>
    <m/>
    <n v="488"/>
  </r>
  <r>
    <d v="2025-04-03T08:20:16"/>
    <d v="2025-04-03T08:27:42"/>
    <s v="OM"/>
    <n v="16"/>
    <d v="2025-03-16T00:00:00"/>
    <n v="5"/>
    <s v="CC"/>
    <s v="AMA"/>
    <n v="48"/>
    <x v="2"/>
    <s v="2. Semanal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0"/>
    <x v="0"/>
    <x v="0"/>
    <s v="NO HAY MUCHOS ROBOS"/>
    <s v="PRESENCIA DE POLICÍA NACIONAL"/>
    <m/>
    <m/>
    <x v="0"/>
    <x v="2"/>
    <x v="2"/>
    <x v="1"/>
    <x v="0"/>
    <x v="3"/>
    <x v="4"/>
    <x v="1"/>
    <s v="B G J"/>
    <n v="0"/>
    <n v="1"/>
    <n v="0"/>
    <n v="0"/>
    <n v="0"/>
    <n v="0"/>
    <n v="1"/>
    <n v="0"/>
    <n v="0"/>
    <n v="1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3"/>
    <x v="1"/>
    <x v="1"/>
    <x v="0"/>
    <x v="3"/>
    <x v="0"/>
    <x v="0"/>
    <x v="0"/>
    <x v="0"/>
    <x v="1"/>
    <x v="1"/>
    <x v="1"/>
    <x v="1"/>
    <x v="0"/>
    <x v="0"/>
    <x v="1"/>
    <x v="3"/>
    <x v="1"/>
    <x v="1"/>
    <x v="0"/>
    <x v="0"/>
    <x v="1"/>
    <x v="2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SEGURO"/>
    <s v="MOLESTO"/>
    <m/>
    <n v="82764180"/>
    <s v="731e72a7-8c06-4981-9b3a-0217d6d93f3c"/>
    <d v="2025-04-03T13:27:35"/>
    <m/>
    <m/>
    <s v="submitted_via_web"/>
    <m/>
    <s v="vhGz9QPwmdkBybuGFUbzwe"/>
    <m/>
    <n v="46"/>
  </r>
  <r>
    <d v="2025-04-11T11:31:02"/>
    <d v="2025-04-11T11:36:45"/>
    <s v="GH"/>
    <n v="17"/>
    <d v="2025-03-16T00:00:00"/>
    <n v="5"/>
    <s v="BP"/>
    <s v="AMA"/>
    <n v="49"/>
    <x v="2"/>
    <s v="1. Diariamente"/>
    <n v="0"/>
    <n v="0"/>
    <n v="0"/>
    <n v="0"/>
    <n v="0"/>
    <x v="0"/>
    <s v="1. Sí"/>
    <m/>
    <s v="6. Mestiza(o)"/>
    <m/>
    <x v="0"/>
    <s v="1. Completa"/>
    <s v="1. Trabajar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1"/>
    <s v="4. Pistas para correr"/>
    <x v="0"/>
    <x v="0"/>
    <x v="0"/>
    <x v="0"/>
    <x v="0"/>
    <x v="0"/>
    <x v="0"/>
    <m/>
    <x v="0"/>
    <x v="0"/>
    <x v="1"/>
    <s v="HA VISTO GENTE SOSPECHOSA GENTE DROGÁNDOSE"/>
    <m/>
    <m/>
    <m/>
    <x v="1"/>
    <x v="2"/>
    <x v="1"/>
    <x v="2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3"/>
    <x v="0"/>
    <x v="0"/>
    <x v="1"/>
    <x v="4"/>
    <n v="0"/>
    <n v="0"/>
    <n v="0"/>
    <n v="0"/>
    <n v="0"/>
    <n v="0"/>
    <n v="0"/>
    <n v="0"/>
    <n v="0"/>
    <n v="0"/>
    <n v="1"/>
    <s v="INTENTO DE ROB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1"/>
    <x v="2"/>
    <x v="1"/>
    <x v="2"/>
    <x v="0"/>
    <x v="2"/>
    <x v="1"/>
    <x v="1"/>
    <x v="0"/>
    <x v="0"/>
    <x v="1"/>
    <x v="2"/>
    <x v="0"/>
    <x v="0"/>
    <x v="0"/>
    <x v="0"/>
    <x v="0"/>
    <x v="0"/>
    <x v="1"/>
    <x v="1"/>
    <x v="1"/>
    <x v="1"/>
    <x v="1"/>
    <x v="1"/>
    <x v="0"/>
    <m/>
    <x v="0"/>
    <x v="0"/>
    <x v="0"/>
    <x v="1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4"/>
    <x v="1"/>
    <x v="2"/>
    <x v="0"/>
    <x v="0"/>
    <x v="0"/>
    <x v="0"/>
    <x v="0"/>
    <x v="0"/>
    <x v="0"/>
    <m/>
    <s v="SE SIENTE BIEN EL PARQUE SI SE DEBE MEJORAR LA SEGURIDAD"/>
    <m/>
    <m/>
    <n v="83524601"/>
    <s v="d23659c9-f17a-47f5-ba16-433cd6610026"/>
    <d v="2025-04-11T16:36:46"/>
    <m/>
    <m/>
    <s v="submitted_via_web"/>
    <m/>
    <s v="v5uNQoYdGp6CCoWUMSjVDf"/>
    <m/>
    <n v="489"/>
  </r>
  <r>
    <d v="2025-04-03T08:27:42"/>
    <d v="2025-04-03T08:34:55"/>
    <s v="OM"/>
    <n v="18"/>
    <d v="2025-03-16T00:00:00"/>
    <n v="5"/>
    <s v="JC"/>
    <s v="AMA"/>
    <n v="50"/>
    <x v="2"/>
    <s v="2. Semanalmente"/>
    <n v="0"/>
    <n v="0"/>
    <n v="0"/>
    <n v="0"/>
    <n v="0"/>
    <x v="0"/>
    <s v="1. Sí"/>
    <m/>
    <s v="6. Mestiza(o)"/>
    <m/>
    <x v="3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0"/>
    <s v="POLICÍA NACIONAL"/>
    <s v="POLICÍA METROPOLITANA"/>
    <m/>
    <m/>
    <x v="1"/>
    <x v="1"/>
    <x v="1"/>
    <x v="2"/>
    <x v="1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2"/>
    <x v="0"/>
    <x v="0"/>
    <x v="0"/>
    <x v="0"/>
    <x v="0"/>
    <x v="0"/>
    <x v="0"/>
    <m/>
    <s v="FELICIDAD"/>
    <s v="EMOCIÓN"/>
    <m/>
    <n v="82764525"/>
    <s v="cbd61863-bd5f-46d7-ba50-5e6744fcad24"/>
    <d v="2025-04-03T13:34:47"/>
    <m/>
    <m/>
    <s v="submitted_via_web"/>
    <m/>
    <s v="vhGz9QPwmdkBybuGFUbzwe"/>
    <m/>
    <n v="49"/>
  </r>
  <r>
    <d v="2025-04-03T08:34:55"/>
    <d v="2025-04-03T08:53:32"/>
    <s v="OM"/>
    <n v="19"/>
    <d v="2025-03-16T00:00:00"/>
    <n v="5"/>
    <s v="GB-CP"/>
    <s v="AMA"/>
    <n v="53"/>
    <x v="2"/>
    <s v="2. Semanalmente"/>
    <n v="0"/>
    <n v="0"/>
    <n v="0"/>
    <n v="0"/>
    <n v="0"/>
    <x v="0"/>
    <s v="2. No"/>
    <s v="VENEZOLANA"/>
    <s v="7. Blanca(o)"/>
    <m/>
    <x v="0"/>
    <s v="1. Completa"/>
    <s v="1. Trabajar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0"/>
    <s v="6. Área para perros 7. Áreas verdes"/>
    <x v="0"/>
    <x v="0"/>
    <x v="0"/>
    <x v="1"/>
    <x v="1"/>
    <x v="1"/>
    <x v="0"/>
    <m/>
    <x v="1"/>
    <x v="1"/>
    <x v="0"/>
    <s v="CUANDO HAY VIGILANCIA Y PRESENCIA DE GENTE"/>
    <m/>
    <m/>
    <m/>
    <x v="1"/>
    <x v="2"/>
    <x v="1"/>
    <x v="1"/>
    <x v="4"/>
    <x v="2"/>
    <x v="1"/>
    <x v="1"/>
    <s v="A C D H"/>
    <n v="1"/>
    <n v="0"/>
    <n v="1"/>
    <n v="1"/>
    <n v="0"/>
    <n v="0"/>
    <n v="0"/>
    <n v="1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0"/>
    <x v="1"/>
    <x v="2"/>
    <x v="0"/>
    <x v="0"/>
    <x v="0"/>
    <x v="2"/>
    <x v="0"/>
    <x v="0"/>
    <x v="0"/>
    <x v="0"/>
    <x v="1"/>
    <x v="1"/>
    <x v="0"/>
    <x v="0"/>
    <x v="0"/>
    <x v="0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2"/>
    <x v="1"/>
    <x v="2"/>
    <x v="0"/>
    <x v="1"/>
    <x v="1"/>
    <x v="0"/>
    <x v="0"/>
    <x v="0"/>
    <x v="0"/>
    <m/>
    <s v="EN HORARIOS DEL DÍA, RELAJADO"/>
    <s v="EN HORARIOS DE TARDE Y NOCHE, INSEGURO"/>
    <m/>
    <n v="82765207"/>
    <s v="a4b61c1a-54fa-4e34-b60a-3e2ee9fb07cc"/>
    <d v="2025-04-03T13:53:26"/>
    <m/>
    <m/>
    <s v="submitted_via_web"/>
    <m/>
    <s v="vhGz9QPwmdkBybuGFUbzwe"/>
    <m/>
    <n v="54"/>
  </r>
  <r>
    <d v="2025-04-03T08:53:32"/>
    <d v="2025-04-03T09:01:50"/>
    <s v="OM"/>
    <n v="20"/>
    <d v="2025-03-16T00:00:00"/>
    <n v="5"/>
    <s v="CP"/>
    <s v="AMA"/>
    <n v="53"/>
    <x v="2"/>
    <s v="1. Diariamente"/>
    <n v="0"/>
    <n v="0"/>
    <n v="0"/>
    <n v="0"/>
    <n v="0"/>
    <x v="0"/>
    <s v="1. Sí"/>
    <m/>
    <s v="6. Mestiza(o)"/>
    <m/>
    <x v="5"/>
    <s v="1. Completa"/>
    <s v="1. Trabajar"/>
    <m/>
    <s v="1. Menos de $470"/>
    <s v="4. De paso 5. Recreación/Ocio"/>
    <x v="1"/>
    <x v="0"/>
    <x v="0"/>
    <x v="1"/>
    <x v="1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SE VE A LA POLICÍA"/>
    <m/>
    <m/>
    <m/>
    <x v="0"/>
    <x v="2"/>
    <x v="1"/>
    <x v="1"/>
    <x v="2"/>
    <x v="3"/>
    <x v="2"/>
    <x v="2"/>
    <s v="J"/>
    <n v="0"/>
    <n v="0"/>
    <n v="0"/>
    <n v="0"/>
    <n v="0"/>
    <n v="0"/>
    <n v="0"/>
    <n v="0"/>
    <n v="0"/>
    <n v="1"/>
    <n v="0"/>
    <n v="0"/>
    <n v="0"/>
    <x v="2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3"/>
    <x v="1"/>
    <x v="1"/>
    <x v="0"/>
    <x v="3"/>
    <x v="2"/>
    <x v="0"/>
    <x v="1"/>
    <x v="1"/>
    <x v="0"/>
    <x v="2"/>
    <x v="1"/>
    <x v="1"/>
    <x v="0"/>
    <x v="0"/>
    <x v="0"/>
    <x v="0"/>
    <x v="0"/>
    <x v="0"/>
    <x v="1"/>
    <x v="2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2"/>
    <x v="0"/>
    <x v="2"/>
    <x v="2"/>
    <x v="0"/>
    <x v="0"/>
    <x v="0"/>
    <x v="0"/>
    <x v="1"/>
    <x v="1"/>
    <x v="1"/>
    <x v="1"/>
    <x v="0"/>
    <x v="0"/>
    <x v="1"/>
    <x v="1"/>
    <x v="1"/>
    <x v="1"/>
    <x v="1"/>
    <x v="1"/>
    <x v="1"/>
    <x v="2"/>
    <x v="0"/>
    <x v="0"/>
    <x v="0"/>
    <x v="0"/>
    <x v="0"/>
    <x v="0"/>
    <m/>
    <s v="TRANQUILIDAD"/>
    <m/>
    <m/>
    <n v="82765364"/>
    <s v="bcaeb920-acb6-4865-a626-5d3acee50dba"/>
    <d v="2025-04-03T14:01:43"/>
    <m/>
    <m/>
    <s v="submitted_via_web"/>
    <m/>
    <s v="vhGz9QPwmdkBybuGFUbzwe"/>
    <m/>
    <n v="56"/>
  </r>
  <r>
    <d v="2025-04-11T11:36:45"/>
    <d v="2025-04-11T11:44:40"/>
    <s v="GH"/>
    <n v="21"/>
    <d v="2025-03-16T00:00:00"/>
    <n v="5"/>
    <s v="GB-NC"/>
    <s v="AMA"/>
    <n v="84"/>
    <x v="1"/>
    <s v="1. Diariamente"/>
    <n v="0"/>
    <n v="0"/>
    <n v="0"/>
    <n v="0"/>
    <n v="0"/>
    <x v="0"/>
    <s v="1. Sí"/>
    <m/>
    <s v="6. Mestiza(o)"/>
    <m/>
    <x v="1"/>
    <s v="1. Completa"/>
    <s v="3. Es jubilada/o o pensionista/o"/>
    <m/>
    <s v="2. de $471 a $919"/>
    <s v="6. Otra"/>
    <x v="1"/>
    <x v="0"/>
    <x v="0"/>
    <x v="0"/>
    <x v="0"/>
    <x v="1"/>
    <s v="PROFESOR DE EDUCACIÓN FÍSICA"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PRESENCIA DE POLICIA NACIONAL"/>
    <s v="PRESENCIA DE PERSONAS"/>
    <m/>
    <m/>
    <x v="1"/>
    <x v="2"/>
    <x v="1"/>
    <x v="0"/>
    <x v="0"/>
    <x v="3"/>
    <x v="4"/>
    <x v="1"/>
    <s v="Ninguno"/>
    <n v="0"/>
    <n v="0"/>
    <n v="0"/>
    <n v="0"/>
    <n v="0"/>
    <n v="0"/>
    <n v="0"/>
    <n v="0"/>
    <n v="0"/>
    <n v="0"/>
    <n v="0"/>
    <n v="0"/>
    <n v="1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1"/>
    <x v="2"/>
    <x v="0"/>
    <x v="0"/>
    <x v="1"/>
    <x v="2"/>
    <x v="1"/>
    <x v="2"/>
    <x v="1"/>
    <x v="1"/>
    <x v="1"/>
    <x v="2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1"/>
    <x v="1"/>
    <x v="2"/>
    <x v="0"/>
    <x v="0"/>
    <x v="0"/>
    <x v="0"/>
    <x v="0"/>
    <x v="0"/>
    <x v="0"/>
    <x v="0"/>
    <x v="0"/>
    <m/>
    <s v="TRANQUILO"/>
    <s v="SEGURO"/>
    <s v="FELIZ"/>
    <n v="83524801"/>
    <s v="9c5be5c1-a4af-454d-836d-0dd949ecdc37"/>
    <d v="2025-04-11T16:44:41"/>
    <m/>
    <m/>
    <s v="submitted_via_web"/>
    <m/>
    <s v="v5uNQoYdGp6CCoWUMSjVDf"/>
    <m/>
    <n v="490"/>
  </r>
  <r>
    <d v="2025-04-11T11:44:40"/>
    <d v="2025-04-11T11:48:20"/>
    <s v="GH"/>
    <n v="22"/>
    <d v="2025-03-16T00:00:00"/>
    <n v="5"/>
    <s v="BP"/>
    <s v="AMA"/>
    <n v="59"/>
    <x v="1"/>
    <s v="2. Semanalmente"/>
    <n v="0"/>
    <n v="0"/>
    <n v="0"/>
    <n v="0"/>
    <n v="0"/>
    <x v="0"/>
    <s v="1. Sí"/>
    <m/>
    <s v="6. Mestiza(o)"/>
    <m/>
    <x v="0"/>
    <s v="1. Completa"/>
    <s v="1. Trabajar"/>
    <m/>
    <s v="4. de $1340 a $1839"/>
    <s v="1. Deporte / ejercicio"/>
    <x v="0"/>
    <x v="0"/>
    <x v="0"/>
    <x v="0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1"/>
    <x v="2"/>
    <x v="0"/>
    <s v="ES BIEN ILUMINADO Y SE SIENTE SEGURO"/>
    <m/>
    <m/>
    <m/>
    <x v="1"/>
    <x v="2"/>
    <x v="1"/>
    <x v="2"/>
    <x v="1"/>
    <x v="2"/>
    <x v="2"/>
    <x v="1"/>
    <s v="C"/>
    <n v="0"/>
    <n v="0"/>
    <n v="1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1"/>
    <x v="1"/>
    <x v="1"/>
    <x v="2"/>
    <x v="0"/>
    <x v="0"/>
    <x v="1"/>
    <x v="1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I SE PUEDE VENIR PORQUE HAY SEGURIDAD"/>
    <m/>
    <m/>
    <n v="83525091"/>
    <s v="f96066f2-17bc-48e3-a6b7-88561bf6ea64"/>
    <d v="2025-04-11T16:48:20"/>
    <m/>
    <m/>
    <s v="submitted_via_web"/>
    <m/>
    <s v="v5uNQoYdGp6CCoWUMSjVDf"/>
    <m/>
    <n v="491"/>
  </r>
  <r>
    <d v="2025-04-11T11:48:20"/>
    <d v="2025-04-11T11:51:51"/>
    <s v="GH"/>
    <n v="23"/>
    <d v="2025-03-16T00:00:00"/>
    <n v="5"/>
    <s v="BP"/>
    <s v="AMA"/>
    <n v="66"/>
    <x v="1"/>
    <s v="1. Diariamente"/>
    <n v="1"/>
    <n v="0"/>
    <n v="0"/>
    <n v="0"/>
    <n v="0"/>
    <x v="0"/>
    <s v="1. Sí"/>
    <m/>
    <s v="6. Mestiza(o)"/>
    <m/>
    <x v="4"/>
    <s v="1. Completa"/>
    <s v="3. Es jubilada/o o pensionista/o"/>
    <m/>
    <s v="4. de $1340 a $1839"/>
    <s v="5. Recreación/Ocio"/>
    <x v="1"/>
    <x v="0"/>
    <x v="0"/>
    <x v="0"/>
    <x v="1"/>
    <x v="0"/>
    <m/>
    <s v="2. Mañana  (06:00 a 11:59)"/>
    <x v="0"/>
    <x v="0"/>
    <x v="0"/>
    <x v="0"/>
    <x v="1"/>
    <s v="6. Área para perros"/>
    <x v="0"/>
    <x v="0"/>
    <x v="0"/>
    <x v="1"/>
    <x v="1"/>
    <x v="0"/>
    <x v="0"/>
    <m/>
    <x v="1"/>
    <x v="2"/>
    <x v="0"/>
    <s v="SE SIENTE SEGURO PORQUE HAY SEGURIDAD"/>
    <m/>
    <m/>
    <m/>
    <x v="1"/>
    <x v="2"/>
    <x v="1"/>
    <x v="2"/>
    <x v="1"/>
    <x v="2"/>
    <x v="1"/>
    <x v="1"/>
    <s v="E"/>
    <n v="0"/>
    <n v="0"/>
    <n v="0"/>
    <n v="0"/>
    <n v="1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BIEN SE MOTIVA AL VER HACIENDO DEPORTE"/>
    <m/>
    <m/>
    <n v="83525236"/>
    <s v="d6d4641d-fd25-4c89-9cf9-5c70abc0428d"/>
    <d v="2025-04-11T16:51:52"/>
    <m/>
    <m/>
    <s v="submitted_via_web"/>
    <m/>
    <s v="v5uNQoYdGp6CCoWUMSjVDf"/>
    <m/>
    <n v="492"/>
  </r>
  <r>
    <d v="2025-04-11T11:51:51"/>
    <d v="2025-04-11T11:56:57"/>
    <s v="GH"/>
    <n v="24"/>
    <d v="2025-03-16T00:00:00"/>
    <n v="5"/>
    <s v="JC"/>
    <s v="AMA"/>
    <n v="59"/>
    <x v="1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"/>
    <x v="1"/>
    <x v="0"/>
    <x v="0"/>
    <x v="1"/>
    <x v="0"/>
    <x v="0"/>
    <x v="0"/>
    <m/>
    <x v="1"/>
    <x v="2"/>
    <x v="1"/>
    <s v="MIGRACIÓN"/>
    <s v="MUCHA DELINCUENCIA"/>
    <m/>
    <m/>
    <x v="1"/>
    <x v="1"/>
    <x v="1"/>
    <x v="2"/>
    <x v="1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FELIZ"/>
    <s v="INSEGURO"/>
    <m/>
    <n v="83525704"/>
    <s v="967abca9-7f3c-4d20-88fb-d2ad8d5005d8"/>
    <d v="2025-04-11T16:56:58"/>
    <m/>
    <m/>
    <s v="submitted_via_web"/>
    <m/>
    <s v="v5uNQoYdGp6CCoWUMSjVDf"/>
    <m/>
    <n v="493"/>
  </r>
  <r>
    <d v="2025-04-03T09:01:50"/>
    <d v="2025-04-03T09:10:37"/>
    <s v="OM"/>
    <n v="25"/>
    <d v="2025-03-16T00:00:00"/>
    <n v="5"/>
    <s v="JC"/>
    <s v="AMA"/>
    <n v="66"/>
    <x v="1"/>
    <s v="2. Semanal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CONOACO EL PARQUE"/>
    <s v="POLICÍA NACIONAL"/>
    <m/>
    <m/>
    <x v="0"/>
    <x v="2"/>
    <x v="2"/>
    <x v="1"/>
    <x v="0"/>
    <x v="3"/>
    <x v="4"/>
    <x v="1"/>
    <s v="A B D H I J"/>
    <n v="1"/>
    <n v="1"/>
    <n v="0"/>
    <n v="1"/>
    <n v="0"/>
    <n v="0"/>
    <n v="0"/>
    <n v="1"/>
    <n v="1"/>
    <n v="1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0"/>
    <x v="0"/>
    <x v="1"/>
    <x v="2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1"/>
    <x v="1"/>
    <x v="0"/>
    <x v="0"/>
    <x v="0"/>
    <x v="0"/>
    <m/>
    <s v="RELAJADO"/>
    <s v="SEGURO"/>
    <m/>
    <n v="82765616"/>
    <s v="11016bd5-15aa-43a4-a142-c1aaef0878b9"/>
    <d v="2025-04-03T14:10:30"/>
    <m/>
    <m/>
    <s v="submitted_via_web"/>
    <m/>
    <s v="vhGz9QPwmdkBybuGFUbzwe"/>
    <m/>
    <n v="59"/>
  </r>
  <r>
    <d v="2025-04-11T11:56:57"/>
    <d v="2025-04-11T12:03:45"/>
    <s v="GH"/>
    <n v="26"/>
    <d v="2025-03-16T00:00:00"/>
    <n v="5"/>
    <s v="GB-NC"/>
    <s v="AMA"/>
    <n v="65"/>
    <x v="1"/>
    <s v="2. Semanalmente"/>
    <n v="0"/>
    <n v="1"/>
    <n v="0"/>
    <n v="0"/>
    <n v="0"/>
    <x v="1"/>
    <s v="1. Sí"/>
    <m/>
    <s v="6. Mestiza(o)"/>
    <m/>
    <x v="1"/>
    <s v="1. Completa"/>
    <s v="5. Quehaceres domésticos"/>
    <m/>
    <s v="99. NS/NC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4. Pistas para correr 7. Áreas verdes"/>
    <x v="0"/>
    <x v="0"/>
    <x v="0"/>
    <x v="0"/>
    <x v="0"/>
    <x v="1"/>
    <x v="0"/>
    <m/>
    <x v="1"/>
    <x v="1"/>
    <x v="0"/>
    <s v="PRESENCIA DE POLICIA"/>
    <m/>
    <m/>
    <m/>
    <x v="1"/>
    <x v="2"/>
    <x v="1"/>
    <x v="0"/>
    <x v="2"/>
    <x v="2"/>
    <x v="2"/>
    <x v="2"/>
    <s v="A"/>
    <n v="1"/>
    <n v="0"/>
    <n v="0"/>
    <n v="0"/>
    <n v="0"/>
    <n v="0"/>
    <n v="0"/>
    <n v="0"/>
    <n v="0"/>
    <n v="0"/>
    <n v="0"/>
    <n v="0"/>
    <n v="0"/>
    <x v="1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TRANQUILIDAD RELAJARSE"/>
    <s v="PAZ CONFIABLE"/>
    <s v="OLVIDO DE TODO"/>
    <n v="83526548"/>
    <s v="85f2b0f3-0b64-4ceb-a03c-a2181574c30a"/>
    <d v="2025-04-11T17:03:45"/>
    <m/>
    <m/>
    <s v="submitted_via_web"/>
    <m/>
    <s v="v5uNQoYdGp6CCoWUMSjVDf"/>
    <m/>
    <n v="494"/>
  </r>
  <r>
    <d v="2025-04-03T09:10:37"/>
    <d v="2025-04-03T09:17:03"/>
    <s v="OM"/>
    <n v="27"/>
    <d v="2025-03-16T00:00:00"/>
    <n v="5"/>
    <s v="GB-NC"/>
    <s v="AMA"/>
    <n v="61"/>
    <x v="1"/>
    <s v="2. Semanalmente"/>
    <n v="0"/>
    <n v="0"/>
    <n v="0"/>
    <n v="0"/>
    <n v="0"/>
    <x v="1"/>
    <s v="1. Sí"/>
    <m/>
    <s v="6. Mestiza(o)"/>
    <m/>
    <x v="1"/>
    <s v="2. In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1"/>
    <x v="1"/>
    <x v="0"/>
    <s v="POLICÍA Y METROPOLITANOS EN EL PUNTO"/>
    <m/>
    <m/>
    <m/>
    <x v="1"/>
    <x v="2"/>
    <x v="1"/>
    <x v="1"/>
    <x v="0"/>
    <x v="3"/>
    <x v="2"/>
    <x v="2"/>
    <s v="L"/>
    <n v="0"/>
    <n v="0"/>
    <n v="0"/>
    <n v="0"/>
    <n v="0"/>
    <n v="0"/>
    <n v="0"/>
    <n v="0"/>
    <n v="0"/>
    <n v="0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1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1"/>
    <x v="2"/>
    <x v="0"/>
    <x v="0"/>
    <x v="0"/>
    <x v="0"/>
    <x v="1"/>
    <x v="1"/>
    <x v="0"/>
    <x v="0"/>
    <x v="0"/>
    <x v="0"/>
    <x v="1"/>
    <x v="1"/>
    <x v="1"/>
    <x v="1"/>
    <x v="1"/>
    <x v="2"/>
    <x v="0"/>
    <x v="0"/>
    <x v="0"/>
    <x v="0"/>
    <x v="0"/>
    <x v="0"/>
    <m/>
    <s v="SE SIENTE BIEN"/>
    <s v="TRANQUILA"/>
    <m/>
    <n v="82765870"/>
    <s v="3d27456b-70b5-483e-9cce-8e0c22522423"/>
    <d v="2025-04-03T14:16:56"/>
    <m/>
    <m/>
    <s v="submitted_via_web"/>
    <m/>
    <s v="vhGz9QPwmdkBybuGFUbzwe"/>
    <m/>
    <n v="60"/>
  </r>
  <r>
    <d v="2025-04-03T09:17:03"/>
    <d v="2025-04-03T09:22:28"/>
    <s v="OM"/>
    <n v="28"/>
    <d v="2025-03-16T00:00:00"/>
    <n v="5"/>
    <s v="JC"/>
    <s v="AMA"/>
    <n v="61"/>
    <x v="1"/>
    <s v="2. Semanalmente"/>
    <n v="0"/>
    <n v="0"/>
    <n v="0"/>
    <n v="0"/>
    <n v="0"/>
    <x v="1"/>
    <s v="1. Sí"/>
    <m/>
    <s v="6. Mestiza(o)"/>
    <m/>
    <x v="0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POLICÍA NACIONAL"/>
    <s v="POLICÍA METROPOLITANA"/>
    <m/>
    <m/>
    <x v="1"/>
    <x v="1"/>
    <x v="1"/>
    <x v="2"/>
    <x v="1"/>
    <x v="2"/>
    <x v="2"/>
    <x v="1"/>
    <s v="K L"/>
    <n v="0"/>
    <n v="0"/>
    <n v="0"/>
    <n v="0"/>
    <n v="0"/>
    <n v="0"/>
    <n v="0"/>
    <n v="0"/>
    <n v="0"/>
    <n v="0"/>
    <n v="1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1"/>
    <x v="1"/>
    <x v="2"/>
    <x v="2"/>
    <x v="0"/>
    <x v="0"/>
    <x v="0"/>
    <m/>
    <s v="TRANQUILIDAD"/>
    <s v="NERVIOSA"/>
    <m/>
    <n v="82766128"/>
    <s v="b3e03e4b-1130-42c5-b9f8-bf940109dbaa"/>
    <d v="2025-04-03T14:22:22"/>
    <m/>
    <m/>
    <s v="submitted_via_web"/>
    <m/>
    <s v="vhGz9QPwmdkBybuGFUbzwe"/>
    <m/>
    <n v="62"/>
  </r>
  <r>
    <d v="2025-04-03T09:22:28"/>
    <d v="2025-04-03T09:27:44"/>
    <s v="OM"/>
    <n v="29"/>
    <d v="2025-03-16T00:00:00"/>
    <n v="5"/>
    <s v="GB-CP"/>
    <s v="AMA"/>
    <n v="60"/>
    <x v="1"/>
    <s v="2. Semanalmente"/>
    <n v="0"/>
    <n v="0"/>
    <n v="0"/>
    <n v="0"/>
    <n v="0"/>
    <x v="1"/>
    <s v="1. Sí"/>
    <m/>
    <s v="7. Blanca(o)"/>
    <m/>
    <x v="0"/>
    <s v="1. Completa"/>
    <s v="3. Es jubilada/o o pensionista/o"/>
    <m/>
    <s v="2. de $471 a $919"/>
    <s v="1. Deporte / ejercicio 2. Culturales y sociales"/>
    <x v="0"/>
    <x v="1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ESTÁ ACOMPAÑADA"/>
    <m/>
    <m/>
    <m/>
    <x v="2"/>
    <x v="1"/>
    <x v="3"/>
    <x v="2"/>
    <x v="0"/>
    <x v="2"/>
    <x v="1"/>
    <x v="1"/>
    <s v="E"/>
    <n v="0"/>
    <n v="0"/>
    <n v="0"/>
    <n v="0"/>
    <n v="1"/>
    <n v="0"/>
    <n v="0"/>
    <n v="0"/>
    <n v="0"/>
    <n v="0"/>
    <n v="0"/>
    <n v="0"/>
    <n v="0"/>
    <x v="3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FELIZ"/>
    <m/>
    <m/>
    <n v="82766281"/>
    <s v="6d03a9fb-3d30-44d1-b193-f3dc6bf00e5d"/>
    <d v="2025-04-03T14:27:37"/>
    <m/>
    <m/>
    <s v="submitted_via_web"/>
    <m/>
    <s v="vhGz9QPwmdkBybuGFUbzwe"/>
    <m/>
    <n v="63"/>
  </r>
  <r>
    <d v="2025-04-11T12:03:45"/>
    <d v="2025-04-11T12:11:37"/>
    <s v="GH"/>
    <n v="31"/>
    <d v="2025-03-16T00:00:00"/>
    <n v="5"/>
    <s v="BP"/>
    <s v="AMA"/>
    <n v="47"/>
    <x v="2"/>
    <s v="3. al menos 2 veces al mes"/>
    <n v="1"/>
    <n v="0"/>
    <n v="0"/>
    <n v="0"/>
    <n v="0"/>
    <x v="1"/>
    <s v="1. Sí"/>
    <m/>
    <s v="6. Mestiza(o)"/>
    <m/>
    <x v="0"/>
    <s v="1. Completa"/>
    <s v="1. Trabajar"/>
    <m/>
    <s v="4. de $1340 a $183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HA VISTO SEGURIDAD EN EL PARQUE"/>
    <m/>
    <m/>
    <m/>
    <x v="1"/>
    <x v="2"/>
    <x v="1"/>
    <x v="0"/>
    <x v="1"/>
    <x v="3"/>
    <x v="2"/>
    <x v="2"/>
    <s v="C"/>
    <n v="0"/>
    <n v="0"/>
    <n v="1"/>
    <n v="0"/>
    <n v="0"/>
    <n v="0"/>
    <n v="0"/>
    <n v="0"/>
    <n v="0"/>
    <n v="0"/>
    <n v="0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NO SIENTE MUCHA SEGURIDAD EN EL PARQUE"/>
    <m/>
    <m/>
    <n v="83527565"/>
    <s v="d388915f-a871-43ec-b12b-113961b6dab3"/>
    <d v="2025-04-11T17:11:37"/>
    <m/>
    <m/>
    <s v="submitted_via_web"/>
    <m/>
    <s v="v5uNQoYdGp6CCoWUMSjVDf"/>
    <m/>
    <n v="495"/>
  </r>
  <r>
    <d v="2025-04-11T12:11:37"/>
    <d v="2025-04-11T12:15:15"/>
    <s v="GH"/>
    <n v="32"/>
    <d v="2025-03-16T00:00:00"/>
    <n v="5"/>
    <s v="BP"/>
    <s v="AMA"/>
    <n v="53"/>
    <x v="2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2"/>
    <x v="0"/>
    <s v="VE POLICIAS EN EL PARQUE"/>
    <m/>
    <m/>
    <m/>
    <x v="1"/>
    <x v="2"/>
    <x v="1"/>
    <x v="2"/>
    <x v="0"/>
    <x v="3"/>
    <x v="2"/>
    <x v="1"/>
    <s v="I"/>
    <n v="0"/>
    <n v="0"/>
    <n v="0"/>
    <n v="0"/>
    <n v="0"/>
    <n v="0"/>
    <n v="0"/>
    <n v="0"/>
    <n v="1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LE GUSTA VENIR AL PARQUE A RECREAR LA MENTE"/>
    <m/>
    <m/>
    <n v="83527781"/>
    <s v="00c40db6-f525-49f5-a88c-7ca3d3339988"/>
    <d v="2025-04-11T17:15:15"/>
    <m/>
    <m/>
    <s v="submitted_via_web"/>
    <m/>
    <s v="v5uNQoYdGp6CCoWUMSjVDf"/>
    <m/>
    <n v="496"/>
  </r>
  <r>
    <d v="2025-04-11T12:15:15"/>
    <d v="2025-04-11T12:19:09"/>
    <s v="GH"/>
    <n v="33"/>
    <d v="2025-03-16T00:00:00"/>
    <n v="5"/>
    <s v="BP"/>
    <s v="AMA"/>
    <n v="43"/>
    <x v="2"/>
    <s v="2. Semanalmente"/>
    <n v="0"/>
    <n v="0"/>
    <n v="0"/>
    <n v="0"/>
    <n v="0"/>
    <x v="1"/>
    <s v="1. Sí"/>
    <m/>
    <s v="6. Mestiza(o)"/>
    <m/>
    <x v="0"/>
    <s v="1. Completa"/>
    <s v="1. Trabajar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HE VISTO POLICIAS HAY MAS GENTE"/>
    <m/>
    <m/>
    <m/>
    <x v="1"/>
    <x v="2"/>
    <x v="1"/>
    <x v="2"/>
    <x v="0"/>
    <x v="2"/>
    <x v="2"/>
    <x v="0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1"/>
    <x v="1"/>
    <x v="0"/>
    <x v="0"/>
    <x v="0"/>
    <x v="0"/>
    <x v="0"/>
    <x v="0"/>
    <m/>
    <s v="A LA HORA QUE VIENE SI VE SEGURIDAD EN LA MAÑANA, EN LA NOCHE NO LO RECOMIENDA"/>
    <m/>
    <m/>
    <n v="83528110"/>
    <s v="27fb9402-69c5-4dfb-bf6f-531c6eea8bb2"/>
    <d v="2025-04-11T17:19:10"/>
    <m/>
    <m/>
    <s v="submitted_via_web"/>
    <m/>
    <s v="v5uNQoYdGp6CCoWUMSjVDf"/>
    <m/>
    <n v="497"/>
  </r>
  <r>
    <d v="2025-04-11T12:19:09"/>
    <d v="2025-04-11T12:27:41"/>
    <s v="GH"/>
    <n v="34"/>
    <d v="2025-03-16T00:00:00"/>
    <n v="5"/>
    <s v="JC"/>
    <s v="AMA"/>
    <n v="49"/>
    <x v="2"/>
    <s v="1. Diariamente"/>
    <n v="0"/>
    <n v="0"/>
    <n v="0"/>
    <n v="0"/>
    <n v="0"/>
    <x v="1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1"/>
    <s v="8. Otro."/>
    <x v="0"/>
    <x v="0"/>
    <x v="0"/>
    <x v="1"/>
    <x v="0"/>
    <x v="0"/>
    <x v="1"/>
    <s v="AREA DE JUEGOS"/>
    <x v="1"/>
    <x v="1"/>
    <x v="0"/>
    <s v="MUCHA GENTE"/>
    <s v="MUCHOS VEHÍCULOS"/>
    <s v="GUARDIAS"/>
    <m/>
    <x v="1"/>
    <x v="1"/>
    <x v="1"/>
    <x v="2"/>
    <x v="1"/>
    <x v="2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0"/>
    <x v="0"/>
    <x v="0"/>
    <x v="0"/>
    <x v="0"/>
    <x v="0"/>
    <x v="1"/>
    <x v="2"/>
    <x v="0"/>
    <x v="1"/>
    <x v="2"/>
    <x v="0"/>
    <x v="0"/>
    <x v="0"/>
    <x v="0"/>
    <x v="0"/>
    <x v="0"/>
    <x v="0"/>
    <m/>
    <s v="TRANQUILA"/>
    <s v="SEGURA"/>
    <m/>
    <n v="83529040"/>
    <s v="9125b0d4-3e03-476d-9950-eff6baa30907"/>
    <d v="2025-04-11T17:27:41"/>
    <m/>
    <m/>
    <s v="submitted_via_web"/>
    <m/>
    <s v="v5uNQoYdGp6CCoWUMSjVDf"/>
    <m/>
    <n v="498"/>
  </r>
  <r>
    <d v="2025-04-11T12:27:41"/>
    <d v="2025-04-11T12:31:53"/>
    <s v="GH"/>
    <n v="35"/>
    <d v="2025-03-16T00:00:00"/>
    <n v="5"/>
    <s v="JC"/>
    <s v="AMA"/>
    <n v="55"/>
    <x v="2"/>
    <s v="3. al menos 2 veces al mes"/>
    <n v="3"/>
    <n v="0"/>
    <n v="2"/>
    <n v="0"/>
    <n v="4"/>
    <x v="1"/>
    <s v="1. Sí"/>
    <m/>
    <s v="5. Montubia(o)"/>
    <m/>
    <x v="1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0"/>
    <s v="POLICIA NACIONAL"/>
    <s v="AGLOMERACIÓN DE GENTE"/>
    <m/>
    <m/>
    <x v="1"/>
    <x v="1"/>
    <x v="1"/>
    <x v="2"/>
    <x v="1"/>
    <x v="2"/>
    <x v="2"/>
    <x v="2"/>
    <s v="A"/>
    <n v="1"/>
    <n v="0"/>
    <n v="0"/>
    <n v="0"/>
    <n v="0"/>
    <n v="0"/>
    <n v="0"/>
    <n v="0"/>
    <n v="0"/>
    <n v="0"/>
    <n v="0"/>
    <n v="0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2"/>
    <x v="1"/>
    <x v="1"/>
    <x v="2"/>
    <x v="1"/>
    <x v="2"/>
    <x v="1"/>
    <x v="1"/>
    <x v="1"/>
    <x v="2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1"/>
    <x v="2"/>
    <x v="0"/>
    <x v="0"/>
    <x v="0"/>
    <x v="0"/>
    <x v="1"/>
    <x v="1"/>
    <x v="0"/>
    <x v="1"/>
    <x v="2"/>
    <x v="0"/>
    <x v="0"/>
    <x v="0"/>
    <x v="0"/>
    <x v="1"/>
    <x v="1"/>
    <x v="1"/>
    <x v="1"/>
    <x v="1"/>
    <x v="0"/>
    <x v="0"/>
    <x v="0"/>
    <x v="0"/>
    <m/>
    <s v="TRANQUILIDAD"/>
    <s v="FELIZ"/>
    <m/>
    <n v="83529217"/>
    <s v="4a403361-b755-467c-90ba-14732fada833"/>
    <d v="2025-04-11T17:31:53"/>
    <m/>
    <m/>
    <s v="submitted_via_web"/>
    <m/>
    <s v="v5uNQoYdGp6CCoWUMSjVDf"/>
    <m/>
    <n v="499"/>
  </r>
  <r>
    <d v="2025-04-11T12:31:53"/>
    <d v="2025-04-11T12:41:07"/>
    <s v="GH"/>
    <n v="37"/>
    <d v="2025-03-16T00:00:00"/>
    <n v="5"/>
    <s v="GB-GP"/>
    <s v="AMA"/>
    <n v="45"/>
    <x v="2"/>
    <s v="2. Semanalmente"/>
    <n v="1"/>
    <n v="0"/>
    <n v="0"/>
    <n v="0"/>
    <n v="0"/>
    <x v="1"/>
    <s v="1. Sí"/>
    <m/>
    <s v="6. Mestiza(o)"/>
    <m/>
    <x v="0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0"/>
    <x v="0"/>
    <x v="0"/>
    <s v="HAY PRSENCIA DE GENTE"/>
    <m/>
    <m/>
    <m/>
    <x v="1"/>
    <x v="2"/>
    <x v="1"/>
    <x v="0"/>
    <x v="0"/>
    <x v="3"/>
    <x v="2"/>
    <x v="1"/>
    <s v="C E"/>
    <n v="0"/>
    <n v="0"/>
    <n v="1"/>
    <n v="0"/>
    <n v="1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2"/>
    <x v="0"/>
    <x v="1"/>
    <x v="2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0"/>
    <x v="0"/>
    <x v="0"/>
    <x v="0"/>
    <x v="0"/>
    <x v="0"/>
    <x v="1"/>
    <x v="2"/>
    <x v="0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SIENTE TRANQUILIDAD Y SEGURIDAD"/>
    <m/>
    <m/>
    <n v="83530214"/>
    <s v="29cf0556-3841-4117-a268-2a14bc0446e0"/>
    <d v="2025-04-11T17:41:07"/>
    <m/>
    <m/>
    <s v="submitted_via_web"/>
    <m/>
    <s v="v5uNQoYdGp6CCoWUMSjVDf"/>
    <m/>
    <n v="500"/>
  </r>
  <r>
    <d v="2025-04-11T12:41:07"/>
    <d v="2025-04-11T14:07:39"/>
    <s v="GH"/>
    <n v="38"/>
    <d v="2025-03-16T00:00:00"/>
    <n v="5"/>
    <s v="GB-NC"/>
    <s v="AMA"/>
    <n v="40"/>
    <x v="0"/>
    <s v="3. al menos 2 veces al mes"/>
    <n v="0"/>
    <n v="0"/>
    <n v="0"/>
    <n v="0"/>
    <n v="0"/>
    <x v="1"/>
    <s v="1. Sí"/>
    <m/>
    <s v="6. Mestiza(o)"/>
    <m/>
    <x v="0"/>
    <s v="1. Completa"/>
    <s v="7. Dueña/o de su propio negoci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CAMINATA"/>
    <x v="1"/>
    <x v="1"/>
    <x v="0"/>
    <s v="LA HORA"/>
    <s v="LA AFLUENCIA DE GENTE"/>
    <m/>
    <m/>
    <x v="1"/>
    <x v="2"/>
    <x v="1"/>
    <x v="0"/>
    <x v="2"/>
    <x v="2"/>
    <x v="2"/>
    <x v="1"/>
    <s v="Ninguno"/>
    <n v="0"/>
    <n v="0"/>
    <n v="0"/>
    <n v="0"/>
    <n v="0"/>
    <n v="0"/>
    <n v="0"/>
    <n v="0"/>
    <n v="0"/>
    <n v="0"/>
    <n v="0"/>
    <n v="0"/>
    <n v="1"/>
    <x v="2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FELICIDAD"/>
    <s v="LIBERTAD"/>
    <s v="TRANQUILIDAD"/>
    <n v="83535670"/>
    <s v="1b43937c-ca62-440c-ab84-27a106336cea"/>
    <d v="2025-04-11T19:07:39"/>
    <m/>
    <m/>
    <s v="submitted_via_web"/>
    <m/>
    <s v="v5uNQoYdGp6CCoWUMSjVDf"/>
    <m/>
    <n v="501"/>
  </r>
  <r>
    <d v="2025-04-11T14:07:39"/>
    <d v="2025-04-11T14:11:44"/>
    <s v="GH"/>
    <n v="39"/>
    <d v="2025-03-16T00:00:00"/>
    <n v="5"/>
    <s v="GB-NC"/>
    <s v="AMA"/>
    <n v="29"/>
    <x v="0"/>
    <s v="3. al menos 2 veces al mes"/>
    <n v="0"/>
    <n v="0"/>
    <n v="0"/>
    <n v="0"/>
    <n v="0"/>
    <x v="1"/>
    <s v="1. Sí"/>
    <m/>
    <s v="6. Mestiza(o)"/>
    <m/>
    <x v="1"/>
    <s v="1. Completa"/>
    <s v="6. No trabaja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2"/>
    <s v="POR LA TRANQUILIDAD"/>
    <s v="ZONA ABIERTA"/>
    <s v="HAY GENTE"/>
    <m/>
    <x v="1"/>
    <x v="2"/>
    <x v="1"/>
    <x v="0"/>
    <x v="0"/>
    <x v="1"/>
    <x v="4"/>
    <x v="1"/>
    <s v="Ninguno"/>
    <n v="0"/>
    <n v="0"/>
    <n v="0"/>
    <n v="0"/>
    <n v="0"/>
    <n v="0"/>
    <n v="0"/>
    <n v="0"/>
    <n v="0"/>
    <n v="0"/>
    <n v="0"/>
    <n v="0"/>
    <n v="1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1"/>
    <x v="1"/>
    <x v="0"/>
    <x v="0"/>
    <x v="0"/>
    <x v="0"/>
    <m/>
    <s v="PAZ"/>
    <s v="TRANQUILIDAD"/>
    <s v="SEGURIDAD"/>
    <n v="83535823"/>
    <s v="a643d525-1859-447b-aab2-e61a855469e8"/>
    <d v="2025-04-11T19:11:44"/>
    <m/>
    <m/>
    <s v="submitted_via_web"/>
    <m/>
    <s v="v5uNQoYdGp6CCoWUMSjVDf"/>
    <m/>
    <n v="502"/>
  </r>
  <r>
    <d v="2025-04-10T10:38:06"/>
    <d v="2025-04-10T10:41:24"/>
    <s v="JP"/>
    <n v="41"/>
    <d v="2025-03-16T00:00:00"/>
    <n v="5"/>
    <s v="BP"/>
    <s v="AMA"/>
    <n v="40"/>
    <x v="0"/>
    <s v="3. al menos 2 veces al mes"/>
    <n v="0"/>
    <n v="0"/>
    <n v="0"/>
    <n v="0"/>
    <n v="0"/>
    <x v="1"/>
    <s v="1. Sí"/>
    <m/>
    <s v="5. Montubia(o)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2"/>
    <x v="0"/>
    <s v="HAN VISTO SEGURIDAD EN EL PARQUE"/>
    <m/>
    <m/>
    <m/>
    <x v="1"/>
    <x v="2"/>
    <x v="1"/>
    <x v="2"/>
    <x v="1"/>
    <x v="3"/>
    <x v="2"/>
    <x v="0"/>
    <s v="C"/>
    <n v="0"/>
    <n v="0"/>
    <n v="1"/>
    <n v="0"/>
    <n v="0"/>
    <n v="0"/>
    <n v="0"/>
    <n v="0"/>
    <n v="0"/>
    <n v="0"/>
    <n v="0"/>
    <n v="0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0"/>
    <x v="1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2"/>
    <x v="0"/>
    <x v="1"/>
    <x v="1"/>
    <x v="1"/>
    <x v="0"/>
    <x v="0"/>
    <x v="0"/>
    <x v="0"/>
    <x v="0"/>
    <x v="0"/>
    <m/>
    <s v="SI SE PUEDE VENIR AL PARQUE CON SEGURIDAD"/>
    <m/>
    <m/>
    <n v="83414617"/>
    <s v="ec526916-ee5c-42d0-afda-57e0e98c03a1"/>
    <d v="2025-04-10T15:41:16"/>
    <m/>
    <m/>
    <s v="submitted_via_web"/>
    <m/>
    <s v="v5uNQoYdGp6CCoWUMSjVDf"/>
    <m/>
    <n v="424"/>
  </r>
  <r>
    <d v="2025-04-10T10:41:24"/>
    <d v="2025-04-10T10:48:15"/>
    <s v="JP"/>
    <n v="42"/>
    <d v="2025-03-16T00:00:00"/>
    <n v="5"/>
    <s v="BP"/>
    <s v="AMA"/>
    <n v="31"/>
    <x v="0"/>
    <s v="2. Semanalmente"/>
    <n v="0"/>
    <n v="0"/>
    <n v="0"/>
    <n v="0"/>
    <n v="0"/>
    <x v="1"/>
    <s v="1. Sí"/>
    <m/>
    <s v="6. Mestiza(o)"/>
    <m/>
    <x v="2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1"/>
    <s v="4. Pistas para correr"/>
    <x v="0"/>
    <x v="0"/>
    <x v="0"/>
    <x v="0"/>
    <x v="0"/>
    <x v="0"/>
    <x v="0"/>
    <m/>
    <x v="1"/>
    <x v="1"/>
    <x v="0"/>
    <s v="HAN VISTO GENTE CORRIENDO"/>
    <s v="POLICIAS A CABALLO"/>
    <m/>
    <m/>
    <x v="2"/>
    <x v="2"/>
    <x v="1"/>
    <x v="1"/>
    <x v="0"/>
    <x v="3"/>
    <x v="2"/>
    <x v="1"/>
    <s v="F"/>
    <n v="0"/>
    <n v="0"/>
    <n v="0"/>
    <n v="0"/>
    <n v="0"/>
    <n v="1"/>
    <n v="0"/>
    <n v="0"/>
    <n v="0"/>
    <n v="0"/>
    <n v="0"/>
    <n v="0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3"/>
    <x v="0"/>
    <x v="3"/>
    <x v="0"/>
    <x v="0"/>
    <x v="0"/>
    <x v="0"/>
    <x v="0"/>
    <x v="3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SI RECOMIENDO VENIR EN LA MAÑANA EN LA NOCHE NO"/>
    <m/>
    <m/>
    <n v="83414867"/>
    <s v="7f92ea98-d61d-4acc-aec8-0ac98ddcaa13"/>
    <d v="2025-04-10T15:48:07"/>
    <m/>
    <m/>
    <s v="submitted_via_web"/>
    <m/>
    <s v="v5uNQoYdGp6CCoWUMSjVDf"/>
    <m/>
    <n v="425"/>
  </r>
  <r>
    <d v="2025-04-10T09:52:25"/>
    <d v="2025-04-10T09:56:17"/>
    <s v="JP"/>
    <n v="43"/>
    <d v="2025-03-16T00:00:00"/>
    <n v="5"/>
    <s v="JC"/>
    <s v="AMA"/>
    <n v="26"/>
    <x v="0"/>
    <s v="1. Diariamente"/>
    <n v="0"/>
    <n v="0"/>
    <n v="0"/>
    <n v="0"/>
    <n v="0"/>
    <x v="1"/>
    <s v="1. Sí"/>
    <m/>
    <s v="6. Mestiza(o)"/>
    <m/>
    <x v="0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AGENTES DE CONTROL"/>
    <s v="PARADA DEL METRO"/>
    <m/>
    <m/>
    <x v="5"/>
    <x v="2"/>
    <x v="1"/>
    <x v="2"/>
    <x v="0"/>
    <x v="2"/>
    <x v="1"/>
    <x v="1"/>
    <s v="B C E F I J L"/>
    <n v="0"/>
    <n v="1"/>
    <n v="1"/>
    <n v="0"/>
    <n v="1"/>
    <n v="1"/>
    <n v="0"/>
    <n v="0"/>
    <n v="1"/>
    <n v="1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1"/>
    <x v="2"/>
    <x v="0"/>
    <x v="0"/>
    <x v="1"/>
    <x v="1"/>
    <x v="0"/>
    <x v="0"/>
    <x v="0"/>
    <x v="0"/>
    <x v="1"/>
    <x v="3"/>
    <x v="1"/>
    <x v="3"/>
    <x v="1"/>
    <x v="1"/>
    <x v="1"/>
    <x v="2"/>
    <x v="0"/>
    <x v="0"/>
    <x v="0"/>
    <x v="0"/>
    <x v="0"/>
    <x v="0"/>
    <x v="0"/>
    <m/>
    <x v="0"/>
    <x v="0"/>
    <x v="2"/>
    <x v="1"/>
    <x v="1"/>
    <s v="2. Blanca"/>
    <x v="1"/>
    <x v="1"/>
    <x v="1"/>
    <x v="1"/>
    <x v="1"/>
    <m/>
    <x v="1"/>
    <m/>
    <x v="0"/>
    <x v="2"/>
    <x v="1"/>
    <x v="0"/>
    <x v="2"/>
    <x v="1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FELICIDAD"/>
    <s v="TRANQUILIDAD"/>
    <s v="ESTADO DE ALERTA"/>
    <n v="83410917"/>
    <s v="c50cc21b-1d22-4a41-a592-a4f2d0085ae3"/>
    <d v="2025-04-10T14:56:10"/>
    <m/>
    <m/>
    <s v="submitted_via_web"/>
    <m/>
    <s v="v5uNQoYdGp6CCoWUMSjVDf"/>
    <m/>
    <n v="411"/>
  </r>
  <r>
    <d v="2025-04-02T11:48:19"/>
    <d v="2025-04-02T11:56:16"/>
    <s v="DD"/>
    <n v="44"/>
    <d v="2025-03-16T00:00:00"/>
    <n v="5"/>
    <s v="JC"/>
    <s v="AMA"/>
    <n v="29"/>
    <x v="0"/>
    <s v="3. al menos 2 veces al mes"/>
    <n v="0"/>
    <n v="0"/>
    <n v="0"/>
    <n v="0"/>
    <n v="0"/>
    <x v="1"/>
    <s v="1. Sí"/>
    <m/>
    <s v="5. Montubia(o)"/>
    <m/>
    <x v="1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1"/>
    <x v="0"/>
    <s v="POLICÍA NACIONAL"/>
    <s v="AGLOMERACIÓN DE GENTE"/>
    <m/>
    <m/>
    <x v="1"/>
    <x v="1"/>
    <x v="1"/>
    <x v="2"/>
    <x v="1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1"/>
    <x v="2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FELICIDAD"/>
    <s v="SEGURA"/>
    <m/>
    <n v="82691019"/>
    <s v="580b29eb-3b5f-40bc-8db1-447d0b4b6f9e"/>
    <d v="2025-04-02T16:56:10"/>
    <m/>
    <m/>
    <s v="submitted_via_web"/>
    <m/>
    <s v="vW5mhy2Axz2h6R9j6EeZpr"/>
    <m/>
    <n v="1"/>
  </r>
  <r>
    <d v="2025-04-10T10:25:11"/>
    <d v="2025-04-10T10:29:03"/>
    <s v="JP"/>
    <n v="45"/>
    <d v="2025-03-16T00:00:00"/>
    <n v="5"/>
    <s v="JC"/>
    <s v="AMA"/>
    <n v="28"/>
    <x v="0"/>
    <s v="2. Semanalmente"/>
    <n v="0"/>
    <n v="0"/>
    <n v="0"/>
    <n v="0"/>
    <n v="0"/>
    <x v="1"/>
    <s v="1. Sí"/>
    <m/>
    <s v="7. Blanca(o)"/>
    <m/>
    <x v="3"/>
    <s v="1. 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"/>
    <x v="1"/>
    <x v="0"/>
    <x v="0"/>
    <x v="1"/>
    <x v="0"/>
    <x v="0"/>
    <x v="0"/>
    <m/>
    <x v="1"/>
    <x v="2"/>
    <x v="0"/>
    <s v="POLICIA METROPOLITANA"/>
    <s v="POLICIA NACIONAL"/>
    <m/>
    <m/>
    <x v="1"/>
    <x v="1"/>
    <x v="1"/>
    <x v="2"/>
    <x v="1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0"/>
    <x v="0"/>
    <x v="0"/>
    <x v="1"/>
    <x v="2"/>
    <x v="0"/>
    <x v="1"/>
    <x v="2"/>
    <x v="0"/>
    <x v="1"/>
    <x v="2"/>
    <x v="0"/>
    <x v="0"/>
    <x v="0"/>
    <x v="0"/>
    <x v="0"/>
    <x v="0"/>
    <x v="0"/>
    <m/>
    <s v="FELIZ"/>
    <s v="SEGURA"/>
    <m/>
    <n v="83413873"/>
    <s v="857504b9-1f57-4af2-903c-69ed43bfd895"/>
    <d v="2025-04-10T15:28:56"/>
    <m/>
    <m/>
    <s v="submitted_via_web"/>
    <m/>
    <s v="v5uNQoYdGp6CCoWUMSjVDf"/>
    <m/>
    <n v="419"/>
  </r>
  <r>
    <d v="2025-04-10T10:29:03"/>
    <d v="2025-04-10T10:32:08"/>
    <s v="JP"/>
    <n v="46"/>
    <d v="2025-03-16T00:00:00"/>
    <n v="5"/>
    <s v="JC"/>
    <s v="AMA"/>
    <n v="32"/>
    <x v="0"/>
    <s v="3. al menos 2 veces al mes"/>
    <n v="0"/>
    <n v="0"/>
    <n v="0"/>
    <n v="0"/>
    <n v="0"/>
    <x v="1"/>
    <s v="1. Sí"/>
    <m/>
    <s v="1. Indígena"/>
    <m/>
    <x v="1"/>
    <s v="1. Completa"/>
    <s v="1. Trabajar"/>
    <m/>
    <s v="1. Menos de $470"/>
    <s v="4. De paso"/>
    <x v="1"/>
    <x v="0"/>
    <x v="0"/>
    <x v="1"/>
    <x v="0"/>
    <x v="0"/>
    <m/>
    <s v="3. Tarde (12:00 a 17:59)"/>
    <x v="0"/>
    <x v="1"/>
    <x v="1"/>
    <x v="0"/>
    <x v="2"/>
    <s v="1. Canchas de fútbol y basquet"/>
    <x v="1"/>
    <x v="0"/>
    <x v="0"/>
    <x v="1"/>
    <x v="0"/>
    <x v="0"/>
    <x v="0"/>
    <m/>
    <x v="1"/>
    <x v="2"/>
    <x v="0"/>
    <s v="POLICIA NACIONAL"/>
    <s v="GENTE"/>
    <m/>
    <m/>
    <x v="1"/>
    <x v="1"/>
    <x v="1"/>
    <x v="2"/>
    <x v="1"/>
    <x v="2"/>
    <x v="2"/>
    <x v="1"/>
    <s v="A C H"/>
    <n v="1"/>
    <n v="0"/>
    <n v="1"/>
    <n v="0"/>
    <n v="0"/>
    <n v="0"/>
    <n v="0"/>
    <n v="1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SEGURA"/>
    <s v="FELIZ"/>
    <m/>
    <n v="83414138"/>
    <s v="f4398469-538b-491f-8c54-9c742ddeaadc"/>
    <d v="2025-04-10T15:32:01"/>
    <m/>
    <m/>
    <s v="submitted_via_web"/>
    <m/>
    <s v="v5uNQoYdGp6CCoWUMSjVDf"/>
    <m/>
    <n v="420"/>
  </r>
  <r>
    <d v="2025-04-10T10:21:04"/>
    <d v="2025-04-10T10:25:11"/>
    <s v="JP"/>
    <n v="47"/>
    <d v="2025-03-16T00:00:00"/>
    <n v="5"/>
    <s v="GB-GP"/>
    <s v="AMA"/>
    <n v="25"/>
    <x v="3"/>
    <s v="2. Semanalmente"/>
    <n v="4"/>
    <n v="0"/>
    <n v="0"/>
    <n v="0"/>
    <n v="0"/>
    <x v="1"/>
    <s v="1. Sí"/>
    <m/>
    <s v="6. Mestiza(o)"/>
    <m/>
    <x v="5"/>
    <s v="1. Completa"/>
    <s v="1. Trabajar"/>
    <m/>
    <s v="1. Menos de $470"/>
    <s v="4. De paso"/>
    <x v="1"/>
    <x v="0"/>
    <x v="0"/>
    <x v="1"/>
    <x v="0"/>
    <x v="0"/>
    <m/>
    <s v="2. Mañana  (06:00 a 11:59) 3. Tarde (12:00 a 17:59)"/>
    <x v="0"/>
    <x v="0"/>
    <x v="1"/>
    <x v="0"/>
    <x v="2"/>
    <s v="7. Áreas verdes"/>
    <x v="0"/>
    <x v="0"/>
    <x v="0"/>
    <x v="1"/>
    <x v="0"/>
    <x v="1"/>
    <x v="0"/>
    <m/>
    <x v="1"/>
    <x v="1"/>
    <x v="3"/>
    <s v="ROBOS Y ASALTOS EN LA ZONA"/>
    <m/>
    <m/>
    <m/>
    <x v="0"/>
    <x v="2"/>
    <x v="0"/>
    <x v="1"/>
    <x v="0"/>
    <x v="2"/>
    <x v="1"/>
    <x v="2"/>
    <s v="C E"/>
    <n v="0"/>
    <n v="0"/>
    <n v="1"/>
    <n v="0"/>
    <n v="1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0"/>
    <x v="1"/>
    <x v="2"/>
    <x v="0"/>
    <x v="0"/>
    <x v="0"/>
    <x v="2"/>
    <x v="0"/>
    <x v="0"/>
    <x v="0"/>
    <x v="0"/>
    <x v="1"/>
    <x v="2"/>
    <x v="0"/>
    <x v="0"/>
    <x v="1"/>
    <x v="2"/>
    <x v="0"/>
    <x v="0"/>
    <x v="0"/>
    <x v="0"/>
    <x v="0"/>
    <x v="0"/>
    <x v="0"/>
    <x v="2"/>
    <x v="0"/>
    <m/>
    <x v="0"/>
    <x v="0"/>
    <x v="3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1"/>
    <x v="1"/>
    <x v="2"/>
    <x v="0"/>
    <x v="0"/>
    <x v="0"/>
    <x v="0"/>
    <x v="0"/>
    <x v="0"/>
    <x v="0"/>
    <x v="0"/>
    <x v="0"/>
    <m/>
    <s v="MAL POR LA INSEGURIDAD"/>
    <m/>
    <m/>
    <n v="83413647"/>
    <s v="ce4e9688-8cb1-4c34-9f5e-8713fb227c7a"/>
    <d v="2025-04-10T15:25:03"/>
    <m/>
    <m/>
    <s v="submitted_via_web"/>
    <m/>
    <s v="v5uNQoYdGp6CCoWUMSjVDf"/>
    <m/>
    <n v="418"/>
  </r>
  <r>
    <d v="2025-04-02T12:30:59"/>
    <d v="2025-04-02T12:44:38"/>
    <s v="DD"/>
    <n v="48"/>
    <d v="2025-03-16T00:00:00"/>
    <n v="5"/>
    <s v="CP"/>
    <s v="AMA"/>
    <n v="36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HAY ROBOS EN LOS PARQUES"/>
    <m/>
    <m/>
    <m/>
    <x v="1"/>
    <x v="2"/>
    <x v="1"/>
    <x v="2"/>
    <x v="1"/>
    <x v="3"/>
    <x v="1"/>
    <x v="0"/>
    <s v="B G"/>
    <n v="0"/>
    <n v="1"/>
    <n v="0"/>
    <n v="0"/>
    <n v="0"/>
    <n v="0"/>
    <n v="1"/>
    <n v="0"/>
    <n v="0"/>
    <n v="0"/>
    <n v="0"/>
    <n v="0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1"/>
    <x v="2"/>
    <x v="0"/>
    <x v="0"/>
    <x v="1"/>
    <x v="2"/>
    <x v="0"/>
    <x v="0"/>
    <x v="0"/>
    <x v="0"/>
    <x v="0"/>
    <x v="0"/>
    <x v="0"/>
    <x v="0"/>
    <x v="0"/>
    <x v="0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0"/>
    <x v="0"/>
    <x v="1"/>
    <x v="1"/>
    <x v="2"/>
    <x v="1"/>
    <x v="1"/>
    <x v="1"/>
    <x v="0"/>
    <x v="0"/>
    <x v="0"/>
    <x v="0"/>
    <x v="0"/>
    <x v="0"/>
    <m/>
    <s v="SIEMPRE QUE PUEDE HACER ACTIVIDADES RECREATIVAS PERO TIENE QUE ESTAR PENDIENTE"/>
    <m/>
    <m/>
    <n v="82694189"/>
    <s v="f046f3e3-4a3a-4501-b1d4-9a10032165ea"/>
    <d v="2025-04-02T17:44:32"/>
    <m/>
    <m/>
    <s v="submitted_via_web"/>
    <m/>
    <s v="vmxwtQnXvFyvzTikPHa7PQ"/>
    <m/>
    <n v="9"/>
  </r>
  <r>
    <d v="2025-04-10T10:48:15"/>
    <d v="2025-04-10T10:58:28"/>
    <s v="JP"/>
    <n v="50"/>
    <d v="2025-03-15T00:00:00"/>
    <n v="2"/>
    <s v="BP"/>
    <s v="AMC"/>
    <n v="33"/>
    <x v="0"/>
    <s v="2. Semanalmente"/>
    <n v="1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PORQUE VE POLICIAS"/>
    <m/>
    <m/>
    <m/>
    <x v="4"/>
    <x v="0"/>
    <x v="0"/>
    <x v="5"/>
    <x v="0"/>
    <x v="3"/>
    <x v="2"/>
    <x v="1"/>
    <s v="F"/>
    <n v="0"/>
    <n v="0"/>
    <n v="0"/>
    <n v="0"/>
    <n v="0"/>
    <n v="1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SE SIENTE SEGURO EN EL PARQUE PORQUE VIENE EN LA MAÑANA"/>
    <m/>
    <m/>
    <n v="83415274"/>
    <s v="199c5ccb-f085-44fb-9bbd-a429f227a39e"/>
    <d v="2025-04-10T15:58:21"/>
    <m/>
    <m/>
    <s v="submitted_via_web"/>
    <m/>
    <s v="v5uNQoYdGp6CCoWUMSjVDf"/>
    <m/>
    <n v="426"/>
  </r>
  <r>
    <d v="2025-04-02T12:46:11"/>
    <d v="2025-04-02T12:57:46"/>
    <s v="DD"/>
    <n v="51"/>
    <d v="2025-03-15T00:00:00"/>
    <n v="2"/>
    <s v="GB JG"/>
    <s v="AMC"/>
    <n v="63"/>
    <x v="1"/>
    <s v="3. al menos 2 veces al mes"/>
    <n v="0"/>
    <n v="1"/>
    <n v="0"/>
    <n v="0"/>
    <n v="0"/>
    <x v="1"/>
    <s v="1. Sí"/>
    <m/>
    <s v="6. Mestiza(o)"/>
    <m/>
    <x v="5"/>
    <s v="1. Completa"/>
    <s v="3. Es jubilada/o o pensionista/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GUARDIAS"/>
    <m/>
    <m/>
    <m/>
    <x v="0"/>
    <x v="2"/>
    <x v="2"/>
    <x v="2"/>
    <x v="0"/>
    <x v="2"/>
    <x v="1"/>
    <x v="1"/>
    <s v="B I J"/>
    <n v="0"/>
    <n v="1"/>
    <n v="0"/>
    <n v="0"/>
    <n v="0"/>
    <n v="0"/>
    <n v="0"/>
    <n v="0"/>
    <n v="1"/>
    <n v="1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3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1"/>
    <x v="1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2"/>
    <x v="0"/>
    <x v="2"/>
    <x v="2"/>
    <x v="1"/>
    <x v="1"/>
    <x v="2"/>
    <x v="0"/>
    <x v="1"/>
    <x v="2"/>
    <x v="1"/>
    <x v="1"/>
    <x v="0"/>
    <x v="0"/>
    <x v="1"/>
    <x v="2"/>
    <x v="1"/>
    <x v="1"/>
    <x v="1"/>
    <x v="1"/>
    <x v="1"/>
    <x v="2"/>
    <x v="1"/>
    <x v="2"/>
    <x v="1"/>
    <x v="1"/>
    <x v="2"/>
    <x v="1"/>
    <m/>
    <s v="TRANQUILA"/>
    <s v="SEGURO"/>
    <m/>
    <n v="82694777"/>
    <s v="5d8511a8-3dbb-4514-8b76-73ed910f0897"/>
    <d v="2025-04-02T17:57:39"/>
    <m/>
    <m/>
    <s v="submitted_via_web"/>
    <m/>
    <s v="vmxwtQnXvFyvzTikPHa7PQ"/>
    <m/>
    <n v="11"/>
  </r>
  <r>
    <d v="2025-04-02T12:57:46"/>
    <d v="2025-04-02T14:12:22"/>
    <s v="DD"/>
    <n v="52"/>
    <d v="2025-03-15T00:00:00"/>
    <n v="2"/>
    <s v="JC"/>
    <s v="AMC"/>
    <n v="27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0"/>
    <s v="ACAMPAÑADA DE AMIGOS"/>
    <s v="PRESENCIA DE POLICIA"/>
    <m/>
    <m/>
    <x v="1"/>
    <x v="1"/>
    <x v="1"/>
    <x v="2"/>
    <x v="0"/>
    <x v="2"/>
    <x v="2"/>
    <x v="1"/>
    <s v="A C D H"/>
    <n v="1"/>
    <n v="0"/>
    <n v="1"/>
    <n v="1"/>
    <n v="0"/>
    <n v="0"/>
    <n v="0"/>
    <n v="1"/>
    <n v="0"/>
    <n v="0"/>
    <n v="0"/>
    <n v="0"/>
    <n v="0"/>
    <x v="1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1"/>
    <x v="2"/>
    <x v="0"/>
    <x v="0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PAZ"/>
    <s v="TRANQUILIDAD"/>
    <m/>
    <n v="82697834"/>
    <s v="fc29f7cf-7373-42fb-820a-6b99c1fc33a7"/>
    <d v="2025-04-02T19:12:16"/>
    <m/>
    <m/>
    <s v="submitted_via_web"/>
    <m/>
    <s v="vmxwtQnXvFyvzTikPHa7PQ"/>
    <m/>
    <n v="14"/>
  </r>
  <r>
    <d v="2025-04-10T10:58:28"/>
    <d v="2025-04-10T11:03:19"/>
    <s v="JP"/>
    <n v="53"/>
    <d v="2025-03-15T00:00:00"/>
    <n v="2"/>
    <s v="BP"/>
    <s v="AMC"/>
    <n v="67"/>
    <x v="1"/>
    <s v="3. al menos 2 veces al mes"/>
    <n v="0"/>
    <n v="0"/>
    <n v="0"/>
    <n v="0"/>
    <n v="0"/>
    <x v="1"/>
    <s v="1. Sí"/>
    <m/>
    <s v="6. Mestiza(o)"/>
    <m/>
    <x v="1"/>
    <s v="1. Completa"/>
    <s v="3. Es jubilada/o o pensionista/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PORQUE VE GENTE CORRIENDO EN EL PARQUE"/>
    <m/>
    <m/>
    <m/>
    <x v="1"/>
    <x v="2"/>
    <x v="1"/>
    <x v="2"/>
    <x v="1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SE SIENTE TRANQUILA PORQUE NO HA TENIDO PROBLEMAS"/>
    <m/>
    <m/>
    <n v="83417141"/>
    <s v="3b2bd05e-8d85-4ee1-b5ec-6b32e56d8fea"/>
    <d v="2025-04-10T16:03:12"/>
    <m/>
    <m/>
    <s v="submitted_via_web"/>
    <m/>
    <s v="v5uNQoYdGp6CCoWUMSjVDf"/>
    <m/>
    <n v="427"/>
  </r>
  <r>
    <d v="2025-04-02T14:12:22"/>
    <d v="2025-04-02T14:29:51"/>
    <s v="DD"/>
    <n v="54"/>
    <d v="2025-03-15T00:00:00"/>
    <n v="2"/>
    <s v="JC"/>
    <s v="AMC"/>
    <n v="48"/>
    <x v="2"/>
    <s v="1. Diariamente"/>
    <n v="0"/>
    <n v="0"/>
    <n v="0"/>
    <n v="0"/>
    <n v="0"/>
    <x v="0"/>
    <s v="1. Sí"/>
    <m/>
    <s v="6. Mestiza(o)"/>
    <m/>
    <x v="5"/>
    <s v="2. In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PRESENCIA POLICÍA NACIONAL"/>
    <s v="AGLOMERACIÓN DE GENTE"/>
    <m/>
    <m/>
    <x v="1"/>
    <x v="1"/>
    <x v="1"/>
    <x v="2"/>
    <x v="1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FELICIDAD"/>
    <s v="TRANQUILIDAD"/>
    <m/>
    <n v="82698186"/>
    <s v="ab3ff9ce-42b6-4ee3-8712-417fe29be3db"/>
    <d v="2025-04-02T19:29:44"/>
    <m/>
    <m/>
    <s v="submitted_via_web"/>
    <m/>
    <s v="vhGz9QPwmdkBybuGFUbzwe"/>
    <m/>
    <n v="17"/>
  </r>
  <r>
    <d v="2025-04-10T10:32:08"/>
    <d v="2025-04-10T10:38:06"/>
    <s v="JP"/>
    <n v="55"/>
    <d v="2025-03-15T00:00:00"/>
    <n v="2"/>
    <s v="GB-JP"/>
    <s v="AMC"/>
    <n v="26"/>
    <x v="0"/>
    <s v="2. Semanalmente"/>
    <n v="0"/>
    <n v="0"/>
    <n v="0"/>
    <n v="0"/>
    <n v="0"/>
    <x v="0"/>
    <s v="1. Sí"/>
    <m/>
    <s v="6. Mestiza(o)"/>
    <m/>
    <x v="0"/>
    <s v="1. Completa"/>
    <s v="4. Es estudiante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2"/>
    <x v="1"/>
    <s v="PRESENCIA DE INDIGENTES"/>
    <s v="FALTA DE POLICIA"/>
    <m/>
    <m/>
    <x v="2"/>
    <x v="3"/>
    <x v="1"/>
    <x v="5"/>
    <x v="1"/>
    <x v="1"/>
    <x v="1"/>
    <x v="2"/>
    <s v="B"/>
    <n v="0"/>
    <n v="1"/>
    <n v="0"/>
    <n v="0"/>
    <n v="0"/>
    <n v="0"/>
    <n v="0"/>
    <n v="0"/>
    <n v="0"/>
    <n v="0"/>
    <n v="0"/>
    <n v="0"/>
    <n v="0"/>
    <x v="2"/>
    <x v="0"/>
    <x v="2"/>
    <x v="0"/>
    <x v="1"/>
    <x v="3"/>
    <n v="0"/>
    <n v="1"/>
    <n v="0"/>
    <n v="0"/>
    <n v="0"/>
    <n v="0"/>
    <n v="0"/>
    <n v="0"/>
    <n v="0"/>
    <n v="0"/>
    <n v="0"/>
    <m/>
    <m/>
    <s v="2. No"/>
    <m/>
    <m/>
    <m/>
    <m/>
    <m/>
    <m/>
    <m/>
    <m/>
    <m/>
    <m/>
    <m/>
    <s v="6. Ninguna"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1"/>
    <x v="1"/>
    <x v="2"/>
    <x v="0"/>
    <x v="0"/>
    <x v="0"/>
    <x v="0"/>
    <x v="0"/>
    <x v="0"/>
    <x v="0"/>
    <x v="1"/>
    <x v="2"/>
    <x v="1"/>
    <x v="2"/>
    <x v="0"/>
    <x v="0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3"/>
    <x v="1"/>
    <x v="1"/>
    <x v="1"/>
    <x v="0"/>
    <x v="0"/>
    <x v="0"/>
    <x v="0"/>
    <x v="0"/>
    <x v="0"/>
    <m/>
    <s v="INSEGURIDAD"/>
    <s v="INTRANQUILIDAD POR PRESENCIA DE PERSONAS EN SITUACION DE CALLE Y VENTAS INFORMALES"/>
    <m/>
    <n v="83414394"/>
    <s v="30553c01-7ea9-419d-89ad-dbe0225ebd91"/>
    <d v="2025-04-10T15:37:59"/>
    <m/>
    <m/>
    <s v="submitted_via_web"/>
    <m/>
    <s v="v5uNQoYdGp6CCoWUMSjVDf"/>
    <m/>
    <n v="422"/>
  </r>
  <r>
    <d v="2025-04-10T11:03:19"/>
    <d v="2025-04-10T11:09:33"/>
    <s v="JP"/>
    <n v="56"/>
    <d v="2025-04-15T00:00:00"/>
    <n v="2"/>
    <s v="BP"/>
    <s v="AMC"/>
    <n v="44"/>
    <x v="2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0"/>
    <s v="HA VISTO POLICIAS"/>
    <m/>
    <m/>
    <m/>
    <x v="1"/>
    <x v="1"/>
    <x v="1"/>
    <x v="2"/>
    <x v="1"/>
    <x v="3"/>
    <x v="2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SE SIENTE FELIZ PORQUE HAY MAS SEGURIDAD"/>
    <m/>
    <m/>
    <n v="83419235"/>
    <s v="64c63937-4ddb-4cba-9587-be39d831dbe6"/>
    <d v="2025-04-10T16:09:25"/>
    <m/>
    <m/>
    <s v="submitted_via_web"/>
    <m/>
    <s v="v5uNQoYdGp6CCoWUMSjVDf"/>
    <m/>
    <n v="428"/>
  </r>
  <r>
    <d v="2025-04-09T11:09:15"/>
    <d v="2025-04-09T12:15:34"/>
    <s v="GH"/>
    <n v="57"/>
    <d v="2025-03-15T00:00:00"/>
    <n v="2"/>
    <s v="JC"/>
    <s v="AMC"/>
    <n v="28"/>
    <x v="0"/>
    <s v="2. Semanalmente"/>
    <n v="0"/>
    <n v="0"/>
    <n v="0"/>
    <n v="0"/>
    <n v="0"/>
    <x v="0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0"/>
    <s v="POLICÍA NACIONAL"/>
    <s v="AGLOMERACIÓN DE GENTE"/>
    <m/>
    <m/>
    <x v="1"/>
    <x v="2"/>
    <x v="2"/>
    <x v="1"/>
    <x v="0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2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SEGURO"/>
    <s v="PAZ"/>
    <m/>
    <n v="83298069"/>
    <s v="400528cd-c98f-4156-8bf8-66bff8143c64"/>
    <d v="2025-04-09T17:15:35"/>
    <m/>
    <m/>
    <s v="submitted_via_web"/>
    <m/>
    <s v="vhGz9QPwmdkBybuGFUbzwe"/>
    <m/>
    <n v="383"/>
  </r>
  <r>
    <d v="2025-04-10T11:09:33"/>
    <d v="2025-04-10T11:17:00"/>
    <s v="JP"/>
    <n v="58"/>
    <d v="2025-03-14T00:00:00"/>
    <n v="2"/>
    <s v="BP"/>
    <s v="AMC"/>
    <n v="26"/>
    <x v="0"/>
    <s v="2. Semanalmente"/>
    <n v="0"/>
    <n v="0"/>
    <n v="0"/>
    <n v="0"/>
    <n v="0"/>
    <x v="0"/>
    <s v="1. Sí"/>
    <m/>
    <s v="6. Mestiza(o)"/>
    <m/>
    <x v="3"/>
    <s v="1. Completa"/>
    <s v="1. Trabajar"/>
    <m/>
    <s v="3. de $920 a $1339"/>
    <s v="1. Deporte / ejercicio"/>
    <x v="0"/>
    <x v="0"/>
    <x v="0"/>
    <x v="0"/>
    <x v="0"/>
    <x v="0"/>
    <m/>
    <s v="1. Madrugada (00:00 a 05:59) 3. Tarde (12:00 a 17:59)"/>
    <x v="1"/>
    <x v="1"/>
    <x v="1"/>
    <x v="0"/>
    <x v="2"/>
    <s v="1. Canchas de fútbol y basquet"/>
    <x v="1"/>
    <x v="0"/>
    <x v="0"/>
    <x v="1"/>
    <x v="0"/>
    <x v="0"/>
    <x v="0"/>
    <m/>
    <x v="1"/>
    <x v="1"/>
    <x v="1"/>
    <s v="PORQUE ROBAN EN LA PARTE DE LA LAGUNA"/>
    <m/>
    <m/>
    <m/>
    <x v="1"/>
    <x v="1"/>
    <x v="2"/>
    <x v="2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2"/>
    <x v="0"/>
    <x v="1"/>
    <x v="1"/>
    <x v="1"/>
    <x v="0"/>
    <x v="0"/>
    <x v="0"/>
    <x v="0"/>
    <x v="0"/>
    <x v="0"/>
    <m/>
    <s v="SE SIENTE FELIZ PERO SI DEBERIA HABER MAS SEGURIDAD"/>
    <m/>
    <m/>
    <n v="83419975"/>
    <s v="f301a2ee-7018-4194-ac0c-b4b12924eebc"/>
    <d v="2025-04-10T16:16:53"/>
    <m/>
    <m/>
    <s v="submitted_via_web"/>
    <m/>
    <s v="v5uNQoYdGp6CCoWUMSjVDf"/>
    <m/>
    <n v="429"/>
  </r>
  <r>
    <d v="2025-04-09T12:15:34"/>
    <d v="2025-04-09T12:21:22"/>
    <s v="GH"/>
    <n v="59"/>
    <d v="2025-03-15T00:00:00"/>
    <n v="2"/>
    <s v="GB-JG"/>
    <s v="AMC"/>
    <n v="26"/>
    <x v="0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0"/>
    <s v="PRESENCIA DE POLICÍA NACIONAL"/>
    <m/>
    <m/>
    <m/>
    <x v="0"/>
    <x v="2"/>
    <x v="1"/>
    <x v="2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1"/>
    <x v="2"/>
    <x v="0"/>
    <x v="2"/>
    <x v="1"/>
    <x v="1"/>
    <x v="1"/>
    <x v="3"/>
    <x v="1"/>
    <x v="2"/>
    <x v="1"/>
    <x v="2"/>
    <x v="1"/>
    <x v="2"/>
    <x v="1"/>
    <x v="2"/>
    <x v="0"/>
    <x v="2"/>
    <x v="1"/>
    <x v="2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1"/>
    <x v="1"/>
    <x v="1"/>
    <x v="2"/>
    <x v="2"/>
    <x v="1"/>
    <x v="1"/>
    <x v="0"/>
    <m/>
    <s v="TODO BIEN"/>
    <m/>
    <m/>
    <n v="83298774"/>
    <s v="2aaad907-cc4d-4a04-884b-2378eba0a04f"/>
    <d v="2025-04-09T17:21:22"/>
    <m/>
    <m/>
    <s v="submitted_via_web"/>
    <m/>
    <s v="vhGz9QPwmdkBybuGFUbzwe"/>
    <m/>
    <n v="384"/>
  </r>
  <r>
    <d v="2025-04-09T12:53:42"/>
    <d v="2025-04-09T12:57:42"/>
    <s v="GH"/>
    <n v="60"/>
    <d v="2025-03-15T00:00:00"/>
    <n v="2"/>
    <s v="JC"/>
    <s v="AMC"/>
    <n v="39"/>
    <x v="0"/>
    <s v="2. Semanalmente"/>
    <n v="0"/>
    <n v="0"/>
    <n v="0"/>
    <n v="0"/>
    <n v="0"/>
    <x v="0"/>
    <s v="1. Sí"/>
    <m/>
    <s v="5. Montubi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RESENCIA DE POLICÍA NACIONAL"/>
    <s v="ACOMPAÑADO"/>
    <m/>
    <m/>
    <x v="1"/>
    <x v="1"/>
    <x v="1"/>
    <x v="2"/>
    <x v="1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2"/>
    <x v="0"/>
    <x v="0"/>
    <x v="0"/>
    <x v="0"/>
    <x v="1"/>
    <x v="1"/>
    <x v="0"/>
    <x v="0"/>
    <x v="0"/>
    <x v="0"/>
    <x v="1"/>
    <x v="1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DIVERSIÓN"/>
    <s v="TRANQUILIDAD"/>
    <m/>
    <n v="83303987"/>
    <s v="862b958c-c644-4098-bd80-c4a023e33841"/>
    <d v="2025-04-09T17:57:35"/>
    <m/>
    <m/>
    <s v="submitted_via_web"/>
    <m/>
    <s v="vhGz9QPwmdkBybuGFUbzwe"/>
    <m/>
    <n v="387"/>
  </r>
  <r>
    <d v="2025-04-10T11:17:00"/>
    <d v="2025-04-10T11:19:54"/>
    <s v="JP"/>
    <n v="61"/>
    <d v="2025-03-14T00:00:00"/>
    <n v="2"/>
    <s v="BP"/>
    <s v="AMC"/>
    <n v="28"/>
    <x v="0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HAY POLICIAS EN EL PARQUE"/>
    <m/>
    <m/>
    <m/>
    <x v="1"/>
    <x v="1"/>
    <x v="2"/>
    <x v="2"/>
    <x v="0"/>
    <x v="3"/>
    <x v="2"/>
    <x v="1"/>
    <s v="A"/>
    <n v="1"/>
    <n v="0"/>
    <n v="0"/>
    <n v="0"/>
    <n v="0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1"/>
    <x v="2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1"/>
    <x v="1"/>
    <x v="2"/>
    <x v="3"/>
    <x v="0"/>
    <x v="0"/>
    <x v="0"/>
    <m/>
    <s v="SE SIENTE FELIZ POR LAS AREAS VERDES"/>
    <m/>
    <m/>
    <n v="83420141"/>
    <s v="50719472-6784-4238-b999-e24608ff9053"/>
    <d v="2025-04-10T16:19:47"/>
    <m/>
    <m/>
    <s v="submitted_via_web"/>
    <m/>
    <s v="v5uNQoYdGp6CCoWUMSjVDf"/>
    <m/>
    <n v="430"/>
  </r>
  <r>
    <d v="2025-04-09T12:57:42"/>
    <d v="2025-04-09T14:59:52"/>
    <s v="GH"/>
    <n v="62"/>
    <d v="2025-03-15T00:00:00"/>
    <n v="2"/>
    <s v="BP"/>
    <s v="AMC"/>
    <n v="46"/>
    <x v="2"/>
    <s v="1. Diariamente"/>
    <n v="0"/>
    <n v="0"/>
    <n v="0"/>
    <n v="0"/>
    <n v="0"/>
    <x v="1"/>
    <s v="1. Sí"/>
    <m/>
    <s v="6. Mestiza(o)"/>
    <m/>
    <x v="1"/>
    <s v="1. Completa"/>
    <s v="7. Dueña/o de su propio negocio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0"/>
    <x v="0"/>
    <x v="1"/>
    <s v="NO HAY PRESENCIA PERMANENTE DE POLICÍA NACIONAL"/>
    <s v="MUCHAS VENTAS"/>
    <m/>
    <m/>
    <x v="1"/>
    <x v="1"/>
    <x v="1"/>
    <x v="2"/>
    <x v="1"/>
    <x v="2"/>
    <x v="2"/>
    <x v="1"/>
    <s v="K"/>
    <n v="0"/>
    <n v="0"/>
    <n v="0"/>
    <n v="0"/>
    <n v="0"/>
    <n v="0"/>
    <n v="0"/>
    <n v="0"/>
    <n v="0"/>
    <n v="0"/>
    <n v="1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3"/>
    <x v="0"/>
    <x v="1"/>
    <s v="2. Blanca"/>
    <x v="1"/>
    <x v="1"/>
    <x v="1"/>
    <x v="1"/>
    <x v="1"/>
    <m/>
    <x v="2"/>
    <m/>
    <x v="0"/>
    <x v="0"/>
    <x v="0"/>
    <x v="1"/>
    <x v="1"/>
    <x v="0"/>
    <x v="0"/>
    <x v="0"/>
    <x v="0"/>
    <x v="1"/>
    <x v="2"/>
    <x v="0"/>
    <x v="0"/>
    <x v="0"/>
    <x v="0"/>
    <x v="0"/>
    <x v="0"/>
    <x v="0"/>
    <x v="1"/>
    <x v="2"/>
    <x v="0"/>
    <x v="1"/>
    <x v="1"/>
    <x v="1"/>
    <x v="1"/>
    <x v="1"/>
    <x v="0"/>
    <x v="0"/>
    <x v="0"/>
    <x v="0"/>
    <m/>
    <s v="INSEGURA"/>
    <s v="MIEDO"/>
    <m/>
    <n v="83314477"/>
    <s v="4dffd2d3-ce45-470c-82ae-06f1aa9bc33b"/>
    <d v="2025-04-09T19:59:45"/>
    <m/>
    <m/>
    <s v="submitted_via_web"/>
    <m/>
    <s v="vhGz9QPwmdkBybuGFUbzwe"/>
    <m/>
    <n v="388"/>
  </r>
  <r>
    <d v="2025-04-09T15:02:15"/>
    <d v="2025-04-09T15:13:07"/>
    <s v="GH"/>
    <n v="63"/>
    <d v="2025-03-15T00:00:00"/>
    <n v="2"/>
    <s v="GB-JG"/>
    <s v="AMC"/>
    <n v="45"/>
    <x v="2"/>
    <s v="1. Diariamente"/>
    <n v="3"/>
    <n v="0"/>
    <n v="0"/>
    <n v="0"/>
    <n v="0"/>
    <x v="1"/>
    <s v="1. Sí"/>
    <m/>
    <s v="6. Mestiza(o)"/>
    <m/>
    <x v="0"/>
    <s v="1. Completa"/>
    <s v="5. Quehaceres domésticos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1"/>
    <s v="POR CONSUMO DE DROGAS"/>
    <m/>
    <m/>
    <m/>
    <x v="1"/>
    <x v="2"/>
    <x v="1"/>
    <x v="2"/>
    <x v="0"/>
    <x v="3"/>
    <x v="1"/>
    <x v="1"/>
    <s v="B"/>
    <n v="0"/>
    <n v="1"/>
    <n v="0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2"/>
    <x v="1"/>
    <x v="3"/>
    <x v="1"/>
    <x v="1"/>
    <x v="0"/>
    <x v="3"/>
    <x v="1"/>
    <x v="3"/>
    <x v="0"/>
    <x v="0"/>
    <x v="1"/>
    <x v="3"/>
    <x v="1"/>
    <x v="2"/>
    <x v="1"/>
    <x v="2"/>
    <x v="0"/>
    <x v="1"/>
    <x v="0"/>
    <x v="0"/>
    <x v="0"/>
    <x v="0"/>
    <x v="1"/>
    <x v="1"/>
    <x v="0"/>
    <m/>
    <x v="0"/>
    <x v="0"/>
    <x v="0"/>
    <x v="1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INSEGURIDAD"/>
    <m/>
    <m/>
    <n v="83315833"/>
    <s v="a2d7747f-916f-4bed-bd1d-04ae419b7cd8"/>
    <d v="2025-04-09T20:13:07"/>
    <m/>
    <m/>
    <s v="submitted_via_web"/>
    <m/>
    <s v="vhGz9QPwmdkBybuGFUbzwe"/>
    <m/>
    <n v="389"/>
  </r>
  <r>
    <d v="2025-04-09T15:13:07"/>
    <d v="2025-04-09T15:40:01"/>
    <s v="GH"/>
    <n v="64"/>
    <d v="2025-03-15T00:00:00"/>
    <n v="2"/>
    <s v="JC"/>
    <s v="AMC"/>
    <n v="38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1"/>
    <x v="1"/>
    <x v="1"/>
    <s v="FALTA DE POLICÍA NACIONAL"/>
    <s v="MUCHA GENTE"/>
    <m/>
    <m/>
    <x v="1"/>
    <x v="1"/>
    <x v="1"/>
    <x v="2"/>
    <x v="0"/>
    <x v="3"/>
    <x v="4"/>
    <x v="2"/>
    <s v="A C"/>
    <n v="1"/>
    <n v="0"/>
    <n v="1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3"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4"/>
    <x v="1"/>
    <x v="1"/>
    <x v="0"/>
    <x v="0"/>
    <x v="0"/>
    <x v="0"/>
    <m/>
    <s v="SEGURA"/>
    <s v="PAZ"/>
    <s v="FELICIDAD"/>
    <n v="83318110"/>
    <s v="900531b5-8946-435f-aeb3-0124aa938d1d"/>
    <d v="2025-04-09T20:40:00"/>
    <m/>
    <m/>
    <s v="submitted_via_web"/>
    <m/>
    <s v="vhGz9QPwmdkBybuGFUbzwe"/>
    <m/>
    <n v="390"/>
  </r>
  <r>
    <d v="2025-04-09T15:40:01"/>
    <d v="2025-04-09T15:45:02"/>
    <s v="GH"/>
    <n v="65"/>
    <d v="2025-03-15T00:00:00"/>
    <n v="2"/>
    <s v="GB-JG"/>
    <s v="AMC"/>
    <n v="40"/>
    <x v="0"/>
    <s v="1. Diariamente"/>
    <n v="0"/>
    <n v="0"/>
    <n v="0"/>
    <n v="0"/>
    <n v="0"/>
    <x v="1"/>
    <s v="1. Sí"/>
    <m/>
    <s v="6. Mestiza(o)"/>
    <m/>
    <x v="0"/>
    <s v="1. Completa"/>
    <s v="5. Quehaceres domésticos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"/>
    <x v="1"/>
    <x v="0"/>
    <x v="0"/>
    <x v="1"/>
    <x v="0"/>
    <x v="0"/>
    <x v="0"/>
    <m/>
    <x v="1"/>
    <x v="1"/>
    <x v="1"/>
    <s v="POR PROBLEMAS DE DROGADICCIÓN"/>
    <m/>
    <m/>
    <m/>
    <x v="1"/>
    <x v="1"/>
    <x v="1"/>
    <x v="1"/>
    <x v="0"/>
    <x v="2"/>
    <x v="2"/>
    <x v="1"/>
    <s v="B"/>
    <n v="0"/>
    <n v="1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1"/>
    <x v="2"/>
    <x v="1"/>
    <x v="1"/>
    <x v="0"/>
    <x v="2"/>
    <x v="1"/>
    <x v="1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2"/>
    <x v="0"/>
    <x v="0"/>
    <x v="0"/>
    <x v="0"/>
    <x v="0"/>
    <x v="0"/>
    <m/>
    <s v="TRANQUILIDAD Y PREOCUPACIÓN"/>
    <m/>
    <m/>
    <n v="83318375"/>
    <s v="113fbf66-485c-4183-bd37-9a87d2dc47c4"/>
    <d v="2025-04-09T20:45:02"/>
    <m/>
    <m/>
    <s v="submitted_via_web"/>
    <m/>
    <s v="vhGz9QPwmdkBybuGFUbzwe"/>
    <m/>
    <n v="391"/>
  </r>
  <r>
    <d v="2025-04-10T11:19:54"/>
    <d v="2025-04-10T11:27:42"/>
    <s v="JP"/>
    <n v="66"/>
    <d v="2025-03-14T00:00:00"/>
    <n v="2"/>
    <s v="BP"/>
    <s v="AMC"/>
    <n v="34"/>
    <x v="0"/>
    <s v="3. al menos 2 veces al mes"/>
    <n v="2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HA VISTO POLICIAS"/>
    <m/>
    <m/>
    <m/>
    <x v="1"/>
    <x v="2"/>
    <x v="1"/>
    <x v="2"/>
    <x v="1"/>
    <x v="3"/>
    <x v="2"/>
    <x v="1"/>
    <s v="D"/>
    <n v="0"/>
    <n v="0"/>
    <n v="0"/>
    <n v="1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2"/>
    <x v="0"/>
    <x v="2"/>
    <x v="0"/>
    <x v="2"/>
    <x v="1"/>
    <x v="1"/>
    <x v="2"/>
    <x v="1"/>
    <x v="2"/>
    <x v="1"/>
    <x v="1"/>
    <x v="1"/>
    <x v="2"/>
    <x v="1"/>
    <x v="2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1"/>
    <x v="1"/>
    <x v="0"/>
    <x v="0"/>
    <x v="0"/>
    <x v="0"/>
    <m/>
    <s v="SI RECOMIENDO VENIR AL PARQUE PORQUE SI HAY SEGURIDAD"/>
    <m/>
    <m/>
    <n v="83421215"/>
    <s v="b65645e5-a4d8-49f4-be51-5128e4ac1007"/>
    <d v="2025-04-10T16:27:34"/>
    <m/>
    <m/>
    <s v="submitted_via_web"/>
    <m/>
    <s v="v5uNQoYdGp6CCoWUMSjVDf"/>
    <m/>
    <n v="433"/>
  </r>
  <r>
    <d v="2025-04-09T15:45:02"/>
    <d v="2025-04-09T15:49:12"/>
    <s v="GH"/>
    <n v="67"/>
    <d v="2025-03-15T00:00:00"/>
    <n v="2"/>
    <s v="JC"/>
    <s v="AMC"/>
    <n v="42"/>
    <x v="2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1"/>
    <s v="FALTA DE POLICÍA NACIONAL"/>
    <s v="PERSONAS DESCONOCIDAS"/>
    <m/>
    <m/>
    <x v="1"/>
    <x v="1"/>
    <x v="1"/>
    <x v="1"/>
    <x v="0"/>
    <x v="3"/>
    <x v="2"/>
    <x v="1"/>
    <s v="K"/>
    <n v="0"/>
    <n v="0"/>
    <n v="0"/>
    <n v="0"/>
    <n v="0"/>
    <n v="0"/>
    <n v="0"/>
    <n v="0"/>
    <n v="0"/>
    <n v="0"/>
    <n v="1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1"/>
    <x v="3"/>
    <x v="1"/>
    <x v="2"/>
    <x v="0"/>
    <x v="1"/>
    <x v="2"/>
    <x v="0"/>
    <x v="0"/>
    <x v="0"/>
    <x v="0"/>
    <x v="0"/>
    <x v="0"/>
    <x v="0"/>
    <m/>
    <s v="TRANQUILO"/>
    <s v="FELIZ"/>
    <m/>
    <n v="83318475"/>
    <s v="e5294007-928b-414d-bb7e-e6ed43d4e376"/>
    <d v="2025-04-09T20:49:11"/>
    <m/>
    <m/>
    <s v="submitted_via_web"/>
    <m/>
    <s v="vhGz9QPwmdkBybuGFUbzwe"/>
    <m/>
    <n v="392"/>
  </r>
  <r>
    <d v="2025-04-10T11:27:42"/>
    <d v="2025-04-10T11:30:35"/>
    <s v="JP"/>
    <n v="68"/>
    <d v="2025-03-14T00:00:00"/>
    <n v="2"/>
    <s v="BP"/>
    <s v="AMC"/>
    <n v="27"/>
    <x v="0"/>
    <s v="2. Semanalmente"/>
    <n v="0"/>
    <n v="0"/>
    <n v="0"/>
    <n v="0"/>
    <n v="0"/>
    <x v="1"/>
    <s v="1. Sí"/>
    <m/>
    <s v="6. Mestiza(o)"/>
    <m/>
    <x v="3"/>
    <s v="1. Completa"/>
    <s v="1. Trabajar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0"/>
    <s v="NUNCA LE HA PASADO NADA"/>
    <m/>
    <m/>
    <m/>
    <x v="1"/>
    <x v="1"/>
    <x v="2"/>
    <x v="2"/>
    <x v="1"/>
    <x v="2"/>
    <x v="2"/>
    <x v="1"/>
    <s v="F"/>
    <n v="0"/>
    <n v="0"/>
    <n v="0"/>
    <n v="0"/>
    <n v="0"/>
    <n v="1"/>
    <n v="0"/>
    <n v="0"/>
    <n v="0"/>
    <n v="0"/>
    <n v="0"/>
    <n v="0"/>
    <n v="0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1"/>
    <x v="2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SI LE GUSTA VENIR AL PARQUE ESPECIALMENTE A LAS AREAS VERDES"/>
    <m/>
    <m/>
    <n v="83421457"/>
    <s v="1379a36b-f77a-4c6a-8e23-3d93cf49cb3b"/>
    <d v="2025-04-10T16:30:28"/>
    <m/>
    <m/>
    <s v="submitted_via_web"/>
    <m/>
    <s v="v5uNQoYdGp6CCoWUMSjVDf"/>
    <m/>
    <n v="434"/>
  </r>
  <r>
    <d v="2025-04-09T15:49:12"/>
    <d v="2025-04-09T15:57:54"/>
    <s v="GH"/>
    <n v="69"/>
    <d v="2025-03-15T00:00:00"/>
    <n v="2"/>
    <s v="GB-JG"/>
    <s v="AMC"/>
    <n v="70"/>
    <x v="1"/>
    <s v="2. Semanalmente"/>
    <n v="1"/>
    <n v="0"/>
    <n v="0"/>
    <n v="0"/>
    <n v="0"/>
    <x v="0"/>
    <s v="1. Sí"/>
    <m/>
    <s v="7. Blanca(o)"/>
    <m/>
    <x v="0"/>
    <s v="2. In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1"/>
    <s v="1. Canchas de fútbol y basquet"/>
    <x v="1"/>
    <x v="0"/>
    <x v="0"/>
    <x v="1"/>
    <x v="0"/>
    <x v="0"/>
    <x v="0"/>
    <m/>
    <x v="1"/>
    <x v="1"/>
    <x v="0"/>
    <s v="ESTAR ACOMPAÑADO"/>
    <m/>
    <m/>
    <m/>
    <x v="1"/>
    <x v="1"/>
    <x v="1"/>
    <x v="2"/>
    <x v="2"/>
    <x v="1"/>
    <x v="1"/>
    <x v="0"/>
    <s v="H"/>
    <n v="0"/>
    <n v="0"/>
    <n v="0"/>
    <n v="0"/>
    <n v="0"/>
    <n v="0"/>
    <n v="0"/>
    <n v="1"/>
    <n v="0"/>
    <n v="0"/>
    <n v="0"/>
    <n v="0"/>
    <n v="0"/>
    <x v="0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3"/>
    <x v="0"/>
    <x v="3"/>
    <x v="1"/>
    <x v="3"/>
    <x v="0"/>
    <x v="0"/>
    <x v="0"/>
    <x v="2"/>
    <x v="1"/>
    <x v="1"/>
    <x v="0"/>
    <x v="0"/>
    <x v="1"/>
    <x v="2"/>
    <x v="0"/>
    <x v="0"/>
    <x v="0"/>
    <x v="0"/>
    <x v="1"/>
    <x v="2"/>
    <x v="0"/>
    <x v="0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1"/>
    <x v="2"/>
    <x v="0"/>
    <x v="1"/>
    <x v="2"/>
    <x v="0"/>
    <x v="0"/>
    <x v="0"/>
    <x v="0"/>
    <x v="0"/>
    <x v="0"/>
    <x v="0"/>
    <m/>
    <s v="TRANQUILO LA MENTE DESPEJADA"/>
    <m/>
    <m/>
    <n v="83318773"/>
    <s v="072caf04-a490-4661-8d0b-4fd23334ce8b"/>
    <d v="2025-04-09T20:57:53"/>
    <m/>
    <m/>
    <s v="submitted_via_web"/>
    <m/>
    <s v="vhGz9QPwmdkBybuGFUbzwe"/>
    <m/>
    <n v="393"/>
  </r>
  <r>
    <d v="2025-04-09T15:57:54"/>
    <d v="2025-04-09T16:10:18"/>
    <s v="GH"/>
    <n v="70"/>
    <d v="2025-03-15T00:00:00"/>
    <n v="2"/>
    <s v="JC"/>
    <s v="AMC"/>
    <n v="60"/>
    <x v="1"/>
    <s v="3. al menos 2 veces al mes"/>
    <n v="0"/>
    <n v="0"/>
    <n v="0"/>
    <n v="0"/>
    <n v="0"/>
    <x v="0"/>
    <s v="1. Sí"/>
    <m/>
    <s v="6. Mestiza(o)"/>
    <m/>
    <x v="3"/>
    <s v="1. Completa"/>
    <s v="7. Dueña/o de su propio negocio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1"/>
    <s v="MEDIOS DE COMUNICACIÓN QUE INFORMAN MAL"/>
    <s v="MIGRACIÓN"/>
    <m/>
    <m/>
    <x v="1"/>
    <x v="1"/>
    <x v="1"/>
    <x v="1"/>
    <x v="0"/>
    <x v="3"/>
    <x v="4"/>
    <x v="2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0"/>
    <x v="1"/>
    <x v="2"/>
    <x v="0"/>
    <x v="0"/>
    <x v="0"/>
    <x v="0"/>
    <x v="1"/>
    <x v="2"/>
    <x v="0"/>
    <x v="0"/>
    <x v="0"/>
    <x v="0"/>
    <x v="0"/>
    <x v="0"/>
    <x v="1"/>
    <x v="1"/>
    <x v="0"/>
    <x v="0"/>
    <x v="0"/>
    <x v="2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IDAD EN EL DIA"/>
    <s v="NERVIOSISMO"/>
    <m/>
    <n v="83319235"/>
    <s v="31cab61b-0f48-4bb5-b80a-3d23c11b3aba"/>
    <d v="2025-04-09T21:10:18"/>
    <m/>
    <m/>
    <s v="submitted_via_web"/>
    <m/>
    <s v="vhGz9QPwmdkBybuGFUbzwe"/>
    <m/>
    <n v="394"/>
  </r>
  <r>
    <d v="2025-04-10T11:30:35"/>
    <d v="2025-04-10T11:33:26"/>
    <s v="JP"/>
    <n v="71"/>
    <d v="2025-03-14T00:00:00"/>
    <n v="2"/>
    <s v="BP"/>
    <s v="AMC"/>
    <n v="37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2"/>
    <x v="0"/>
    <s v="HA VISTO LOS POLICIAS A CABALLO"/>
    <m/>
    <m/>
    <m/>
    <x v="1"/>
    <x v="1"/>
    <x v="1"/>
    <x v="2"/>
    <x v="0"/>
    <x v="3"/>
    <x v="2"/>
    <x v="1"/>
    <s v="C"/>
    <n v="0"/>
    <n v="0"/>
    <n v="1"/>
    <n v="0"/>
    <n v="0"/>
    <n v="0"/>
    <n v="0"/>
    <n v="0"/>
    <n v="0"/>
    <n v="0"/>
    <n v="0"/>
    <n v="0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1"/>
    <x v="2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I ES SEGURO EN EL DIA POR LA SEGURIDAD EN LA NOCHE NO LO HARIA"/>
    <m/>
    <m/>
    <n v="83421781"/>
    <s v="37bdd53b-b5fd-4bf3-b5a2-00233b49b9e2"/>
    <d v="2025-04-10T16:33:18"/>
    <m/>
    <m/>
    <s v="submitted_via_web"/>
    <m/>
    <s v="v5uNQoYdGp6CCoWUMSjVDf"/>
    <m/>
    <n v="435"/>
  </r>
  <r>
    <d v="2025-04-09T16:10:18"/>
    <d v="2025-04-09T16:14:38"/>
    <s v="GH"/>
    <n v="72"/>
    <d v="2025-03-15T00:00:00"/>
    <n v="2"/>
    <s v="JC"/>
    <s v="AMC"/>
    <n v="39"/>
    <x v="0"/>
    <s v="3. al menos 2 veces al mes"/>
    <n v="0"/>
    <n v="0"/>
    <n v="0"/>
    <n v="0"/>
    <n v="0"/>
    <x v="0"/>
    <s v="1. Sí"/>
    <m/>
    <s v="6. Mestiza(o)"/>
    <m/>
    <x v="3"/>
    <s v="1. Completa"/>
    <s v="8. Otro"/>
    <s v="INDEPENDIENTE"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OLICÍA NACIONAL"/>
    <s v="GENTE"/>
    <m/>
    <m/>
    <x v="0"/>
    <x v="2"/>
    <x v="2"/>
    <x v="1"/>
    <x v="0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0"/>
    <x v="0"/>
    <x v="0"/>
    <x v="1"/>
    <x v="1"/>
    <x v="0"/>
    <x v="1"/>
    <x v="1"/>
    <x v="0"/>
    <m/>
    <s v="CON HAMBRE"/>
    <s v="DESHIDRATADO"/>
    <m/>
    <n v="83319385"/>
    <s v="7fa5d127-2838-40b2-a1d2-51a80edbb3a6"/>
    <d v="2025-04-09T21:14:37"/>
    <m/>
    <m/>
    <s v="submitted_via_web"/>
    <m/>
    <s v="vhGz9QPwmdkBybuGFUbzwe"/>
    <m/>
    <n v="395"/>
  </r>
  <r>
    <d v="2025-04-09T16:14:38"/>
    <d v="2025-04-09T16:18:56"/>
    <s v="GH"/>
    <n v="73"/>
    <d v="2025-03-15T00:00:00"/>
    <n v="2"/>
    <s v="GB-JG"/>
    <s v="AMC"/>
    <n v="78"/>
    <x v="1"/>
    <s v="2. Semanalmente"/>
    <n v="0"/>
    <n v="0"/>
    <n v="0"/>
    <n v="0"/>
    <n v="0"/>
    <x v="1"/>
    <s v="1. Sí"/>
    <m/>
    <s v="6. Mestiza(o)"/>
    <m/>
    <x v="5"/>
    <s v="1. Completa"/>
    <s v="5. Quehaceres domésticos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"/>
    <x v="1"/>
    <x v="0"/>
    <x v="0"/>
    <x v="1"/>
    <x v="0"/>
    <x v="0"/>
    <x v="0"/>
    <m/>
    <x v="0"/>
    <x v="0"/>
    <x v="0"/>
    <s v="POLICÍA NACIONAL"/>
    <m/>
    <m/>
    <m/>
    <x v="1"/>
    <x v="1"/>
    <x v="1"/>
    <x v="2"/>
    <x v="0"/>
    <x v="2"/>
    <x v="2"/>
    <x v="2"/>
    <s v="K"/>
    <n v="0"/>
    <n v="0"/>
    <n v="0"/>
    <n v="0"/>
    <n v="0"/>
    <n v="0"/>
    <n v="0"/>
    <n v="0"/>
    <n v="0"/>
    <n v="0"/>
    <n v="1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2"/>
    <x v="1"/>
    <x v="2"/>
    <x v="0"/>
    <x v="0"/>
    <x v="1"/>
    <x v="3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TRANQUILA"/>
    <s v="SEGURA"/>
    <m/>
    <n v="83319505"/>
    <s v="29e3d8be-eece-4479-9dbb-cdc3926a55bc"/>
    <d v="2025-04-09T21:18:55"/>
    <m/>
    <m/>
    <s v="submitted_via_web"/>
    <m/>
    <s v="vhGz9QPwmdkBybuGFUbzwe"/>
    <m/>
    <n v="396"/>
  </r>
  <r>
    <d v="2025-04-10T11:13:48"/>
    <d v="2025-04-10T11:20:22"/>
    <s v="OM"/>
    <n v="74"/>
    <d v="2025-03-14T00:00:00"/>
    <n v="2"/>
    <s v="BP"/>
    <s v="AMC"/>
    <n v="52"/>
    <x v="2"/>
    <s v="3. al menos 2 veces al mes"/>
    <n v="0"/>
    <n v="0"/>
    <n v="0"/>
    <n v="0"/>
    <n v="0"/>
    <x v="1"/>
    <s v="1. Sí"/>
    <m/>
    <s v="7. Blanca(o)"/>
    <m/>
    <x v="1"/>
    <s v="1. Completa"/>
    <s v="5. Quehaceres domésticos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1"/>
    <x v="2"/>
    <x v="0"/>
    <s v="PORQUE HAY ÁREA PARA LOS PERRITOS"/>
    <m/>
    <m/>
    <m/>
    <x v="1"/>
    <x v="4"/>
    <x v="5"/>
    <x v="2"/>
    <x v="0"/>
    <x v="3"/>
    <x v="1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s v="FALTA DE BASUREROS EN EL PARQUE"/>
    <x v="3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LE GUSTA VENIR CON SU PERRITO A LAS ÁREAS VERDES"/>
    <m/>
    <m/>
    <n v="83420166"/>
    <s v="d628ebc9-76c7-48a6-90db-5c7653ca7036"/>
    <d v="2025-04-10T16:20:15"/>
    <m/>
    <m/>
    <s v="submitted_via_web"/>
    <m/>
    <s v="v5uNQoYdGp6CCoWUMSjVDf"/>
    <m/>
    <n v="431"/>
  </r>
  <r>
    <d v="2025-04-09T16:18:56"/>
    <d v="2025-04-09T16:22:49"/>
    <s v="GH"/>
    <n v="75"/>
    <d v="2025-03-15T00:00:00"/>
    <n v="2"/>
    <s v="JC"/>
    <s v="AMC"/>
    <n v="29"/>
    <x v="0"/>
    <s v="2. Semanalmente"/>
    <n v="0"/>
    <n v="0"/>
    <n v="0"/>
    <n v="0"/>
    <n v="0"/>
    <x v="0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1"/>
    <x v="1"/>
    <x v="0"/>
    <s v="PRESENCIA POLICÍA NACIONAL"/>
    <s v="GENTE"/>
    <m/>
    <m/>
    <x v="1"/>
    <x v="1"/>
    <x v="2"/>
    <x v="2"/>
    <x v="1"/>
    <x v="3"/>
    <x v="2"/>
    <x v="0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1"/>
    <x v="2"/>
    <x v="0"/>
    <x v="3"/>
    <x v="0"/>
    <x v="0"/>
    <x v="0"/>
    <x v="0"/>
    <x v="0"/>
    <x v="0"/>
    <x v="0"/>
    <x v="0"/>
    <x v="1"/>
    <x v="1"/>
    <x v="0"/>
    <x v="0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3"/>
    <x v="1"/>
    <x v="1"/>
    <x v="1"/>
    <x v="1"/>
    <x v="1"/>
    <x v="0"/>
    <x v="0"/>
    <x v="0"/>
    <x v="0"/>
    <m/>
    <s v="FELICIDAD"/>
    <s v="TRANQUILIDAD"/>
    <m/>
    <n v="83319633"/>
    <s v="029a32a7-c3de-433b-aced-203cadd82796"/>
    <d v="2025-04-09T21:22:48"/>
    <m/>
    <m/>
    <s v="submitted_via_web"/>
    <m/>
    <s v="vhGz9QPwmdkBybuGFUbzwe"/>
    <m/>
    <n v="397"/>
  </r>
  <r>
    <d v="2025-04-10T11:20:22"/>
    <d v="2025-04-10T11:27:25"/>
    <s v="OM"/>
    <n v="76"/>
    <d v="2025-03-14T00:00:00"/>
    <n v="2"/>
    <s v="BP"/>
    <s v="AMC"/>
    <n v="26"/>
    <x v="0"/>
    <s v="3. al menos 2 veces al mes"/>
    <n v="0"/>
    <n v="0"/>
    <n v="0"/>
    <n v="0"/>
    <n v="0"/>
    <x v="1"/>
    <s v="2. No"/>
    <s v="COLOMBIANA"/>
    <s v="5. Montubia(o)"/>
    <m/>
    <x v="1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2"/>
    <x v="0"/>
    <s v="HA VISTO SEGURIDAD EN EL PARQUE"/>
    <m/>
    <m/>
    <m/>
    <x v="4"/>
    <x v="2"/>
    <x v="2"/>
    <x v="2"/>
    <x v="0"/>
    <x v="3"/>
    <x v="1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1"/>
    <x v="2"/>
    <x v="1"/>
    <x v="3"/>
    <x v="1"/>
    <x v="2"/>
    <x v="1"/>
    <x v="1"/>
    <x v="2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2"/>
    <x v="0"/>
    <x v="0"/>
    <x v="0"/>
    <x v="0"/>
    <x v="0"/>
    <x v="0"/>
    <m/>
    <s v="LE PARECE MUY BONITO EL PARQUE, LAS ÁREAS VERDES"/>
    <m/>
    <m/>
    <n v="83421190"/>
    <s v="bc086a75-bff7-4990-b2b6-2782553b473d"/>
    <d v="2025-04-10T16:27:19"/>
    <m/>
    <m/>
    <s v="submitted_via_web"/>
    <m/>
    <s v="v5uNQoYdGp6CCoWUMSjVDf"/>
    <m/>
    <n v="432"/>
  </r>
  <r>
    <d v="2025-04-10T11:27:25"/>
    <d v="2025-04-10T11:36:21"/>
    <s v="OM"/>
    <n v="77"/>
    <d v="2025-03-14T00:00:00"/>
    <n v="2"/>
    <s v="BP"/>
    <s v="AMC"/>
    <n v="25"/>
    <x v="3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3. de $920 a $1339"/>
    <s v="5. Recreación/Ocio"/>
    <x v="1"/>
    <x v="0"/>
    <x v="0"/>
    <x v="0"/>
    <x v="1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0"/>
    <s v="HA VISTO POLICÍAS"/>
    <m/>
    <m/>
    <m/>
    <x v="1"/>
    <x v="2"/>
    <x v="2"/>
    <x v="5"/>
    <x v="0"/>
    <x v="3"/>
    <x v="1"/>
    <x v="2"/>
    <s v="E"/>
    <n v="0"/>
    <n v="0"/>
    <n v="0"/>
    <n v="0"/>
    <n v="1"/>
    <n v="0"/>
    <n v="0"/>
    <n v="0"/>
    <n v="0"/>
    <n v="0"/>
    <n v="0"/>
    <n v="0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SE SIENTE SEGURO POR LAS CANCHAS, EL ÁREA DEPORTIVA"/>
    <m/>
    <m/>
    <n v="83422063"/>
    <s v="ab2ed224-d584-4f8f-901a-6aa833e5e96b"/>
    <d v="2025-04-10T16:36:14"/>
    <m/>
    <m/>
    <s v="submitted_via_web"/>
    <m/>
    <s v="v5uNQoYdGp6CCoWUMSjVDf"/>
    <m/>
    <n v="436"/>
  </r>
  <r>
    <d v="2025-04-09T16:22:49"/>
    <d v="2025-04-09T16:28:40"/>
    <s v="GH"/>
    <n v="78"/>
    <d v="2025-03-15T00:00:00"/>
    <n v="2"/>
    <s v="JC"/>
    <s v="AMC"/>
    <n v="49"/>
    <x v="2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OLICÍA NACIONAL"/>
    <s v="CONTROL DE PERSONAL DEL PARQUE"/>
    <m/>
    <m/>
    <x v="1"/>
    <x v="1"/>
    <x v="1"/>
    <x v="2"/>
    <x v="0"/>
    <x v="3"/>
    <x v="4"/>
    <x v="1"/>
    <s v="A"/>
    <n v="1"/>
    <n v="0"/>
    <n v="0"/>
    <n v="0"/>
    <n v="0"/>
    <n v="0"/>
    <n v="0"/>
    <n v="0"/>
    <n v="0"/>
    <n v="0"/>
    <n v="0"/>
    <n v="0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1"/>
    <x v="2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s v="TRANQUILIDAD"/>
    <s v="SEGURA"/>
    <m/>
    <n v="83319784"/>
    <s v="aa8ecacc-b579-4a30-b2c7-43f988bfd2a9"/>
    <d v="2025-04-09T21:28:39"/>
    <m/>
    <m/>
    <s v="submitted_via_web"/>
    <m/>
    <s v="vhGz9QPwmdkBybuGFUbzwe"/>
    <m/>
    <n v="398"/>
  </r>
  <r>
    <d v="2025-04-10T06:58:29"/>
    <d v="2025-04-10T07:06:07"/>
    <s v="GH"/>
    <n v="79"/>
    <d v="2025-03-15T00:00:00"/>
    <n v="2"/>
    <s v="JC"/>
    <s v="AMC"/>
    <n v="47"/>
    <x v="2"/>
    <s v="3. al menos 2 veces al mes"/>
    <n v="0"/>
    <n v="0"/>
    <n v="0"/>
    <n v="0"/>
    <n v="0"/>
    <x v="1"/>
    <s v="1. Sí"/>
    <m/>
    <s v="6. Mestiza(o)"/>
    <m/>
    <x v="5"/>
    <s v="2. Incompleta"/>
    <s v="5. Quehaceres domésticos"/>
    <m/>
    <s v="1. Menos de $470"/>
    <s v="4. De paso"/>
    <x v="1"/>
    <x v="0"/>
    <x v="0"/>
    <x v="1"/>
    <x v="0"/>
    <x v="0"/>
    <m/>
    <s v="2. Mañana  (06:00 a 11:59)"/>
    <x v="0"/>
    <x v="0"/>
    <x v="0"/>
    <x v="0"/>
    <x v="0"/>
    <s v="1. Canchas de fútbol y basquet 2. Rampas para patineta 3. Caminos de ciclismo 4. Pistas para correr 6. Área para perros 7. Áreas verdes"/>
    <x v="1"/>
    <x v="1"/>
    <x v="1"/>
    <x v="0"/>
    <x v="1"/>
    <x v="1"/>
    <x v="0"/>
    <m/>
    <x v="1"/>
    <x v="1"/>
    <x v="1"/>
    <s v="POR LAS NOTICIAS"/>
    <s v="LA DELINCUENCIA"/>
    <m/>
    <m/>
    <x v="1"/>
    <x v="1"/>
    <x v="2"/>
    <x v="5"/>
    <x v="1"/>
    <x v="2"/>
    <x v="4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1"/>
    <x v="2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1"/>
    <x v="2"/>
    <x v="0"/>
    <x v="0"/>
    <x v="0"/>
    <x v="0"/>
    <x v="0"/>
    <x v="0"/>
    <x v="0"/>
    <x v="0"/>
    <x v="0"/>
    <x v="0"/>
    <x v="1"/>
    <x v="1"/>
    <x v="2"/>
    <x v="1"/>
    <x v="2"/>
    <x v="0"/>
    <x v="1"/>
    <x v="1"/>
    <x v="0"/>
    <x v="0"/>
    <x v="0"/>
    <x v="0"/>
    <m/>
    <s v="FELIZ"/>
    <s v="INSEGURA"/>
    <m/>
    <n v="83398039"/>
    <s v="4bc7c761-1ad4-49e2-8223-1ee53c3fdb01"/>
    <d v="2025-04-10T12:06:07"/>
    <m/>
    <m/>
    <s v="submitted_via_web"/>
    <m/>
    <s v="vhGz9QPwmdkBybuGFUbzwe"/>
    <m/>
    <n v="399"/>
  </r>
  <r>
    <d v="2025-04-10T11:36:21"/>
    <d v="2025-04-10T12:19:30"/>
    <s v="OM"/>
    <n v="80"/>
    <d v="2025-03-14T00:00:00"/>
    <n v="2"/>
    <s v="BP"/>
    <s v="AMC"/>
    <n v="65"/>
    <x v="1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1"/>
    <s v="HA VISTO QUE A LA GENTE LE ROBAN LAS COSAS"/>
    <m/>
    <m/>
    <m/>
    <x v="4"/>
    <x v="2"/>
    <x v="2"/>
    <x v="0"/>
    <x v="2"/>
    <x v="3"/>
    <x v="1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3"/>
    <x v="1"/>
    <x v="1"/>
    <x v="1"/>
    <x v="1"/>
    <x v="1"/>
    <x v="1"/>
    <x v="1"/>
    <x v="2"/>
    <x v="0"/>
    <x v="2"/>
    <x v="1"/>
    <x v="1"/>
    <x v="1"/>
    <x v="3"/>
    <x v="1"/>
    <x v="1"/>
    <x v="0"/>
    <x v="0"/>
    <x v="2"/>
    <x v="0"/>
    <x v="2"/>
    <x v="2"/>
    <x v="1"/>
    <x v="1"/>
    <x v="2"/>
    <x v="0"/>
    <x v="2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TRANQUILA DENTRO DEL PARQUE"/>
    <m/>
    <m/>
    <n v="83425526"/>
    <s v="e78a2880-ed00-4bdd-b9e0-d791be030d7a"/>
    <d v="2025-04-10T17:19:23"/>
    <m/>
    <m/>
    <s v="submitted_via_web"/>
    <m/>
    <s v="v5uNQoYdGp6CCoWUMSjVDf"/>
    <m/>
    <n v="443"/>
  </r>
  <r>
    <d v="2025-04-02T12:21:01"/>
    <d v="2025-04-02T12:29:41"/>
    <s v="JP"/>
    <n v="81"/>
    <d v="2025-03-15T00:00:00"/>
    <n v="2"/>
    <s v="JC"/>
    <s v="AMC"/>
    <n v="42"/>
    <x v="2"/>
    <s v="3. al menos 2 veces al mes"/>
    <n v="0"/>
    <n v="0"/>
    <n v="0"/>
    <n v="0"/>
    <n v="0"/>
    <x v="1"/>
    <s v="1. Sí"/>
    <m/>
    <s v="6. Mestiza(o)"/>
    <m/>
    <x v="1"/>
    <s v="1. Completa"/>
    <s v="7. Dueña/o de su propio negocio"/>
    <m/>
    <s v="2. de $471 a $919"/>
    <s v="4. De paso"/>
    <x v="1"/>
    <x v="0"/>
    <x v="0"/>
    <x v="1"/>
    <x v="0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1"/>
    <x v="1"/>
    <x v="0"/>
    <s v="NO ME HA PASADO NADA"/>
    <s v="LO QUE BUSCO ENCUENTRO"/>
    <m/>
    <m/>
    <x v="1"/>
    <x v="1"/>
    <x v="1"/>
    <x v="2"/>
    <x v="0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1"/>
    <x v="0"/>
    <x v="0"/>
    <x v="0"/>
    <x v="0"/>
    <x v="2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3"/>
    <x v="0"/>
    <x v="0"/>
    <x v="0"/>
    <x v="0"/>
    <x v="0"/>
    <x v="0"/>
    <m/>
    <s v="MUY BIEN"/>
    <s v="RELAJADA"/>
    <s v="FELIZ"/>
    <n v="82693145"/>
    <s v="1827c05d-612f-4fbe-aadc-261dda59d23a"/>
    <d v="2025-04-02T17:29:35"/>
    <m/>
    <m/>
    <s v="submitted_via_web"/>
    <m/>
    <s v="vmxwtQnXvFyvzTikPHa7PQ"/>
    <m/>
    <n v="6"/>
  </r>
  <r>
    <d v="2025-04-02T12:29:41"/>
    <d v="2025-04-02T12:39:06"/>
    <s v="JP"/>
    <n v="82"/>
    <d v="2025-03-15T00:00:00"/>
    <n v="2"/>
    <s v="JC"/>
    <s v="AMC"/>
    <n v="39"/>
    <x v="0"/>
    <s v="3. al menos 2 veces al mes"/>
    <n v="0"/>
    <n v="0"/>
    <n v="0"/>
    <n v="0"/>
    <n v="0"/>
    <x v="1"/>
    <s v="1. Sí"/>
    <m/>
    <s v="6. Mestiza(o)"/>
    <m/>
    <x v="5"/>
    <s v="1. Completa"/>
    <s v="1. Trabajar"/>
    <m/>
    <s v="1. Menos de $470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0"/>
    <x v="0"/>
    <x v="0"/>
    <s v="PORQUE HAY POLICIA NACIONAL"/>
    <s v="POLICIA METROPOLITANA"/>
    <m/>
    <m/>
    <x v="1"/>
    <x v="1"/>
    <x v="1"/>
    <x v="2"/>
    <x v="0"/>
    <x v="3"/>
    <x v="4"/>
    <x v="1"/>
    <s v="K L"/>
    <n v="0"/>
    <n v="0"/>
    <n v="0"/>
    <n v="0"/>
    <n v="0"/>
    <n v="0"/>
    <n v="0"/>
    <n v="0"/>
    <n v="0"/>
    <n v="0"/>
    <n v="1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SEGURIDAD"/>
    <s v="PAZ"/>
    <m/>
    <n v="82693777"/>
    <s v="4cce9c1e-85f5-484b-a4a0-f7811afac9ab"/>
    <d v="2025-04-02T17:38:59"/>
    <m/>
    <m/>
    <s v="submitted_via_web"/>
    <m/>
    <s v="vhGz9QPwmdkBybuGFUbzwe"/>
    <m/>
    <n v="8"/>
  </r>
  <r>
    <d v="2025-04-02T12:39:06"/>
    <d v="2025-04-02T12:54:58"/>
    <s v="JP"/>
    <n v="83"/>
    <d v="2025-03-15T00:00:00"/>
    <n v="2"/>
    <s v="BP"/>
    <s v="AMC"/>
    <n v="60"/>
    <x v="1"/>
    <s v="3. al menos 2 veces al mes"/>
    <n v="1"/>
    <n v="0"/>
    <n v="0"/>
    <n v="0"/>
    <n v="0"/>
    <x v="1"/>
    <s v="1. Sí"/>
    <m/>
    <s v="6. Mestiza(o)"/>
    <m/>
    <x v="5"/>
    <s v="2. Incompleta"/>
    <s v="5. Quehaceres domésticos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0"/>
    <s v="HA OBSERVADO QUE SI HAY POLICIAS EN EL PARQUE"/>
    <m/>
    <m/>
    <m/>
    <x v="2"/>
    <x v="1"/>
    <x v="2"/>
    <x v="1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1"/>
    <x v="2"/>
    <x v="0"/>
    <x v="0"/>
    <x v="0"/>
    <x v="0"/>
    <x v="0"/>
    <x v="0"/>
    <m/>
    <s v="SE SIENTE FELIZ AL VENIR AL PARQUE PERO TOMANDO PRECAUCIONES"/>
    <m/>
    <m/>
    <n v="82694721"/>
    <s v="5fbbbde3-d99b-401b-9d8f-f58e34b87e78"/>
    <d v="2025-04-02T17:54:52"/>
    <m/>
    <m/>
    <s v="submitted_via_web"/>
    <m/>
    <s v="vhGz9QPwmdkBybuGFUbzwe"/>
    <m/>
    <n v="10"/>
  </r>
  <r>
    <d v="2025-04-11T10:19:25"/>
    <d v="2025-04-11T10:29:11"/>
    <s v="GH"/>
    <n v="84"/>
    <d v="2025-03-16T00:00:00"/>
    <n v="3"/>
    <s v="AS"/>
    <s v="MJM"/>
    <n v="80"/>
    <x v="1"/>
    <s v="3. al menos 2 veces al mes"/>
    <n v="1"/>
    <n v="0"/>
    <n v="0"/>
    <n v="0"/>
    <n v="0"/>
    <x v="1"/>
    <s v="1. Sí"/>
    <m/>
    <s v="6. Mestiza(o)"/>
    <m/>
    <x v="1"/>
    <s v="1. Completa"/>
    <s v="3. Es jubilada/o o pensionista/o"/>
    <m/>
    <s v="99. NS/NC"/>
    <s v="5. Recreación/Ocio 6. Otra"/>
    <x v="1"/>
    <x v="0"/>
    <x v="0"/>
    <x v="0"/>
    <x v="1"/>
    <x v="1"/>
    <s v="CAMINATA"/>
    <s v="2. Mañana  (06:00 a 11:59)"/>
    <x v="0"/>
    <x v="0"/>
    <x v="0"/>
    <x v="0"/>
    <x v="0"/>
    <s v="7. Áreas verdes 8. Otro."/>
    <x v="0"/>
    <x v="0"/>
    <x v="0"/>
    <x v="1"/>
    <x v="0"/>
    <x v="1"/>
    <x v="1"/>
    <s v="LA LAGUNA"/>
    <x v="1"/>
    <x v="1"/>
    <x v="3"/>
    <s v="PERSONAS SOSPECHOSAS"/>
    <s v="DELINCUENCIA"/>
    <m/>
    <m/>
    <x v="1"/>
    <x v="1"/>
    <x v="1"/>
    <x v="0"/>
    <x v="0"/>
    <x v="2"/>
    <x v="1"/>
    <x v="2"/>
    <s v="E"/>
    <n v="0"/>
    <n v="0"/>
    <n v="0"/>
    <n v="0"/>
    <n v="1"/>
    <n v="0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1"/>
    <s v="TARROS DE BASURA DISPENSADORES DE BASURA"/>
    <x v="1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1"/>
    <x v="1"/>
    <x v="0"/>
    <x v="0"/>
    <x v="0"/>
    <x v="0"/>
    <x v="0"/>
    <x v="0"/>
    <m/>
    <s v="LIBRE"/>
    <s v="FELIZ"/>
    <m/>
    <n v="83518111"/>
    <s v="9291bb89-9434-46d8-a3eb-e623cbf102e7"/>
    <d v="2025-04-11T15:29:11"/>
    <m/>
    <m/>
    <s v="submitted_via_web"/>
    <m/>
    <s v="v5uNQoYdGp6CCoWUMSjVDf"/>
    <m/>
    <n v="479"/>
  </r>
  <r>
    <d v="2025-04-02T13:06:23"/>
    <d v="2025-04-02T14:35:19"/>
    <s v="JP"/>
    <n v="86"/>
    <d v="2025-03-16T00:00:00"/>
    <n v="3"/>
    <s v="AS"/>
    <s v="MJM"/>
    <n v="30"/>
    <x v="0"/>
    <s v="3. al menos 2 veces al mes"/>
    <n v="0"/>
    <n v="0"/>
    <n v="0"/>
    <n v="0"/>
    <n v="0"/>
    <x v="0"/>
    <s v="1. Sí"/>
    <m/>
    <s v="1. Indígena"/>
    <m/>
    <x v="5"/>
    <s v="1. Completa"/>
    <s v="1. Trabajar"/>
    <m/>
    <s v="2. de $471 a $919"/>
    <s v="3. Compras 6. Otra"/>
    <x v="1"/>
    <x v="0"/>
    <x v="1"/>
    <x v="0"/>
    <x v="0"/>
    <x v="1"/>
    <s v="PASEO"/>
    <s v="3. Tarde (12:00 a 17:59)"/>
    <x v="0"/>
    <x v="1"/>
    <x v="1"/>
    <x v="0"/>
    <x v="0"/>
    <s v="4. Pistas para correr 8. Otro."/>
    <x v="0"/>
    <x v="0"/>
    <x v="0"/>
    <x v="0"/>
    <x v="0"/>
    <x v="0"/>
    <x v="1"/>
    <s v="CAMINATA"/>
    <x v="1"/>
    <x v="2"/>
    <x v="1"/>
    <s v="DELINCUENCIA"/>
    <m/>
    <m/>
    <m/>
    <x v="1"/>
    <x v="1"/>
    <x v="1"/>
    <x v="1"/>
    <x v="0"/>
    <x v="2"/>
    <x v="0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1"/>
    <x v="1"/>
    <x v="1"/>
    <x v="1"/>
    <x v="2"/>
    <x v="1"/>
    <x v="1"/>
    <x v="0"/>
    <x v="2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1"/>
    <s v="CONTROL DE LOS SERVICIOS PUBLICOS"/>
    <x v="2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1"/>
    <x v="2"/>
    <x v="0"/>
    <x v="1"/>
    <x v="2"/>
    <x v="0"/>
    <x v="1"/>
    <x v="1"/>
    <x v="0"/>
    <x v="0"/>
    <x v="0"/>
    <x v="0"/>
    <m/>
    <s v="ALEGRIA"/>
    <s v="TRANQUILIDAD"/>
    <s v="COMODIDAD"/>
    <n v="82698330"/>
    <s v="22ef9090-4a72-4a3a-a2b9-d5d3d64436b3"/>
    <d v="2025-04-02T19:35:12"/>
    <m/>
    <m/>
    <s v="submitted_via_web"/>
    <m/>
    <s v="vhGz9QPwmdkBybuGFUbzwe"/>
    <m/>
    <n v="19"/>
  </r>
  <r>
    <d v="2025-04-11T10:14:12"/>
    <d v="2025-04-11T10:19:25"/>
    <s v="GH"/>
    <n v="87"/>
    <d v="2025-03-16T00:00:00"/>
    <n v="3"/>
    <s v="AS"/>
    <s v="MJM"/>
    <n v="32"/>
    <x v="0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3. Tarde (12:00 a 17:59)"/>
    <x v="0"/>
    <x v="1"/>
    <x v="1"/>
    <x v="0"/>
    <x v="0"/>
    <s v="4. Pistas para correr"/>
    <x v="0"/>
    <x v="0"/>
    <x v="0"/>
    <x v="0"/>
    <x v="0"/>
    <x v="0"/>
    <x v="0"/>
    <m/>
    <x v="1"/>
    <x v="1"/>
    <x v="0"/>
    <s v="MAS GENTE"/>
    <m/>
    <m/>
    <m/>
    <x v="0"/>
    <x v="2"/>
    <x v="1"/>
    <x v="2"/>
    <x v="0"/>
    <x v="3"/>
    <x v="0"/>
    <x v="0"/>
    <s v="C"/>
    <n v="0"/>
    <n v="0"/>
    <n v="1"/>
    <n v="0"/>
    <n v="0"/>
    <n v="0"/>
    <n v="0"/>
    <n v="0"/>
    <n v="0"/>
    <n v="0"/>
    <n v="0"/>
    <n v="0"/>
    <n v="0"/>
    <x v="0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1"/>
    <x v="2"/>
    <x v="0"/>
    <x v="0"/>
    <x v="0"/>
    <x v="2"/>
    <x v="1"/>
    <x v="2"/>
    <x v="0"/>
    <x v="0"/>
    <x v="1"/>
    <x v="2"/>
    <x v="0"/>
    <x v="0"/>
    <x v="0"/>
    <x v="0"/>
    <x v="0"/>
    <x v="3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TRANQUILIDAD"/>
    <s v="RESELO"/>
    <s v="ANGUSTIA"/>
    <n v="83517159"/>
    <s v="a2c8487c-030f-4136-97c9-5a6a41f74ef4"/>
    <d v="2025-04-11T15:19:26"/>
    <m/>
    <m/>
    <s v="submitted_via_web"/>
    <m/>
    <s v="v5uNQoYdGp6CCoWUMSjVDf"/>
    <m/>
    <n v="478"/>
  </r>
  <r>
    <d v="2025-04-02T14:35:19"/>
    <d v="2025-04-02T14:45:47"/>
    <s v="JP"/>
    <n v="88"/>
    <d v="2025-03-16T00:00:00"/>
    <n v="3"/>
    <s v="AS"/>
    <s v="MJM"/>
    <n v="76"/>
    <x v="1"/>
    <s v="3. al menos 2 veces al mes"/>
    <n v="0"/>
    <n v="0"/>
    <n v="0"/>
    <n v="0"/>
    <n v="0"/>
    <x v="1"/>
    <s v="1. Sí"/>
    <m/>
    <s v="6. Mestiza(o)"/>
    <m/>
    <x v="1"/>
    <s v="1. Completa"/>
    <s v="7. Dueña/o de su propio negocio"/>
    <m/>
    <s v="99. NS/NC"/>
    <s v="2. Culturales y sociales 3. Compras 5. Recreación/Ocio"/>
    <x v="1"/>
    <x v="1"/>
    <x v="1"/>
    <x v="0"/>
    <x v="1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DISFRUTAR DEL PARQUE"/>
    <x v="1"/>
    <x v="1"/>
    <x v="0"/>
    <s v="POR PRESENCIA DE VIGILANCIA"/>
    <m/>
    <m/>
    <m/>
    <x v="1"/>
    <x v="1"/>
    <x v="1"/>
    <x v="0"/>
    <x v="0"/>
    <x v="3"/>
    <x v="0"/>
    <x v="2"/>
    <s v="F"/>
    <n v="0"/>
    <n v="0"/>
    <n v="0"/>
    <n v="0"/>
    <n v="0"/>
    <n v="1"/>
    <n v="0"/>
    <n v="0"/>
    <n v="0"/>
    <n v="0"/>
    <n v="0"/>
    <n v="0"/>
    <n v="0"/>
    <x v="0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1"/>
    <s v="SEÑALIZACION DE SERVICIOS BASICOS"/>
    <x v="1"/>
    <x v="0"/>
    <x v="2"/>
    <x v="1"/>
    <x v="0"/>
    <m/>
    <x v="0"/>
    <x v="0"/>
    <x v="0"/>
    <x v="0"/>
    <x v="0"/>
    <m/>
    <x v="0"/>
    <m/>
    <x v="0"/>
    <x v="2"/>
    <x v="1"/>
    <x v="0"/>
    <x v="2"/>
    <x v="1"/>
    <x v="1"/>
    <x v="1"/>
    <x v="2"/>
    <x v="0"/>
    <x v="1"/>
    <x v="1"/>
    <x v="0"/>
    <x v="2"/>
    <x v="2"/>
    <x v="0"/>
    <x v="1"/>
    <x v="1"/>
    <x v="1"/>
    <x v="1"/>
    <x v="2"/>
    <x v="1"/>
    <x v="1"/>
    <x v="1"/>
    <x v="1"/>
    <x v="2"/>
    <x v="1"/>
    <x v="1"/>
    <x v="2"/>
    <x v="2"/>
    <m/>
    <s v="FELIZ"/>
    <s v="DESESTRES"/>
    <s v="ME SIENTO COMO EN MI CASA"/>
    <n v="82698618"/>
    <s v="85f3b3b5-5876-4a70-8293-e1a381a2b960"/>
    <d v="2025-04-02T19:45:40"/>
    <m/>
    <m/>
    <s v="submitted_via_web"/>
    <m/>
    <s v="vhGz9QPwmdkBybuGFUbzwe"/>
    <m/>
    <n v="21"/>
  </r>
  <r>
    <d v="2025-04-02T14:45:47"/>
    <d v="2025-04-02T14:50:08"/>
    <s v="JP"/>
    <n v="89"/>
    <d v="2025-03-16T00:00:00"/>
    <n v="3"/>
    <s v="DA"/>
    <s v="MJM"/>
    <n v="67"/>
    <x v="1"/>
    <s v="3. al menos 2 veces al mes"/>
    <n v="0"/>
    <n v="0"/>
    <n v="0"/>
    <n v="0"/>
    <n v="0"/>
    <x v="1"/>
    <s v="1. Sí"/>
    <m/>
    <s v="6. Mestiza(o)"/>
    <m/>
    <x v="0"/>
    <s v="2. Incompleta"/>
    <s v="3. Es jubilada/o o pensionista/o"/>
    <m/>
    <s v="2. de $471 a $919"/>
    <s v="3. Compras 4. De paso"/>
    <x v="1"/>
    <x v="0"/>
    <x v="1"/>
    <x v="1"/>
    <x v="0"/>
    <x v="0"/>
    <m/>
    <s v="3. Tarde (12:00 a 17:59)"/>
    <x v="0"/>
    <x v="1"/>
    <x v="1"/>
    <x v="0"/>
    <x v="3"/>
    <s v="4. Pistas para correr 6. Área para perros"/>
    <x v="0"/>
    <x v="0"/>
    <x v="0"/>
    <x v="0"/>
    <x v="1"/>
    <x v="0"/>
    <x v="0"/>
    <m/>
    <x v="1"/>
    <x v="1"/>
    <x v="1"/>
    <s v="DELINCUENCIA"/>
    <s v="NO HAY VIGILANCIA"/>
    <m/>
    <m/>
    <x v="1"/>
    <x v="1"/>
    <x v="2"/>
    <x v="0"/>
    <x v="2"/>
    <x v="3"/>
    <x v="0"/>
    <x v="2"/>
    <s v="D"/>
    <n v="0"/>
    <n v="0"/>
    <n v="0"/>
    <n v="1"/>
    <n v="0"/>
    <n v="0"/>
    <n v="0"/>
    <n v="0"/>
    <n v="0"/>
    <n v="0"/>
    <n v="0"/>
    <n v="0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NO TAN SEGURA"/>
    <s v="DISTRACCION"/>
    <m/>
    <n v="82698719"/>
    <s v="39f998e8-8b1b-406a-ab77-6885f6eaf8bd"/>
    <d v="2025-04-02T19:50:01"/>
    <m/>
    <m/>
    <s v="submitted_via_web"/>
    <m/>
    <s v="vhGz9QPwmdkBybuGFUbzwe"/>
    <m/>
    <n v="22"/>
  </r>
  <r>
    <d v="2025-04-02T14:50:08"/>
    <d v="2025-04-02T14:54:55"/>
    <s v="JP"/>
    <n v="90"/>
    <d v="2025-03-16T00:00:00"/>
    <n v="3"/>
    <s v="DA"/>
    <s v="MJM"/>
    <n v="27"/>
    <x v="0"/>
    <s v="2. Semanalmente"/>
    <n v="6"/>
    <n v="0"/>
    <n v="0"/>
    <n v="0"/>
    <n v="0"/>
    <x v="0"/>
    <s v="1. Sí"/>
    <m/>
    <s v="6. Mestiza(o)"/>
    <m/>
    <x v="0"/>
    <s v="2. Incompleta"/>
    <s v="4. Es estudiante"/>
    <m/>
    <s v="1. Menos de $470"/>
    <s v="3. Compras"/>
    <x v="1"/>
    <x v="0"/>
    <x v="1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0"/>
    <x v="0"/>
    <x v="0"/>
    <s v="AFLUENCIA DE GENTE"/>
    <s v="PRESENCIA DE AUTORIDAD"/>
    <m/>
    <m/>
    <x v="0"/>
    <x v="2"/>
    <x v="2"/>
    <x v="1"/>
    <x v="0"/>
    <x v="3"/>
    <x v="3"/>
    <x v="2"/>
    <s v="L"/>
    <n v="0"/>
    <n v="0"/>
    <n v="0"/>
    <n v="0"/>
    <n v="0"/>
    <n v="0"/>
    <n v="0"/>
    <n v="0"/>
    <n v="0"/>
    <n v="0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3"/>
    <x v="0"/>
    <x v="0"/>
    <x v="0"/>
    <x v="0"/>
    <x v="0"/>
    <x v="0"/>
    <m/>
    <s v="MUY BIEN"/>
    <s v="SEGURO"/>
    <s v="RELAJADO"/>
    <n v="82698929"/>
    <s v="d1545e39-6b51-42fb-82f7-0d4cf27c7745"/>
    <d v="2025-04-02T19:54:48"/>
    <m/>
    <m/>
    <s v="submitted_via_web"/>
    <m/>
    <s v="vhGz9QPwmdkBybuGFUbzwe"/>
    <m/>
    <n v="23"/>
  </r>
  <r>
    <d v="2025-04-02T14:54:55"/>
    <d v="2025-04-02T15:00:03"/>
    <s v="JP"/>
    <n v="91"/>
    <d v="2025-03-16T00:00:00"/>
    <n v="3"/>
    <s v="DA"/>
    <s v="MJM"/>
    <n v="28"/>
    <x v="0"/>
    <s v="3. al menos 2 veces al mes"/>
    <n v="3"/>
    <n v="0"/>
    <n v="0"/>
    <n v="0"/>
    <n v="0"/>
    <x v="0"/>
    <s v="1. Sí"/>
    <m/>
    <s v="1. Indígena"/>
    <m/>
    <x v="5"/>
    <s v="1. Completa"/>
    <s v="7. Dueña/o de su propio negocio"/>
    <m/>
    <s v="2. de $471 a $919"/>
    <s v="1. Deporte / ejercicio 4. De paso"/>
    <x v="0"/>
    <x v="0"/>
    <x v="0"/>
    <x v="1"/>
    <x v="0"/>
    <x v="0"/>
    <m/>
    <s v="2. Mañana  (06:00 a 11:59)"/>
    <x v="0"/>
    <x v="0"/>
    <x v="0"/>
    <x v="0"/>
    <x v="0"/>
    <s v="1. Canchas de fútbol y basquet 2. Rampas para patineta 3. Caminos de ciclismo"/>
    <x v="1"/>
    <x v="1"/>
    <x v="1"/>
    <x v="1"/>
    <x v="0"/>
    <x v="0"/>
    <x v="0"/>
    <m/>
    <x v="0"/>
    <x v="0"/>
    <x v="0"/>
    <s v="PRESENCIA POLICIAL"/>
    <s v="GUARDIAS"/>
    <m/>
    <m/>
    <x v="1"/>
    <x v="2"/>
    <x v="1"/>
    <x v="1"/>
    <x v="0"/>
    <x v="3"/>
    <x v="0"/>
    <x v="1"/>
    <s v="L"/>
    <n v="0"/>
    <n v="0"/>
    <n v="0"/>
    <n v="0"/>
    <n v="0"/>
    <n v="0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0"/>
    <x v="1"/>
    <x v="2"/>
    <x v="0"/>
    <x v="0"/>
    <x v="0"/>
    <x v="0"/>
    <x v="0"/>
    <x v="0"/>
    <x v="1"/>
    <x v="2"/>
    <x v="0"/>
    <x v="0"/>
    <x v="0"/>
    <x v="0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MUY BIEN"/>
    <s v="TRANQUILO"/>
    <s v="SEGURO"/>
    <n v="82699139"/>
    <s v="ff4c10f0-32f4-4cf4-8453-66758593fdb9"/>
    <d v="2025-04-02T19:59:56"/>
    <m/>
    <m/>
    <s v="submitted_via_web"/>
    <m/>
    <s v="vhGz9QPwmdkBybuGFUbzwe"/>
    <m/>
    <n v="24"/>
  </r>
  <r>
    <d v="2025-04-02T15:00:03"/>
    <d v="2025-04-02T15:10:30"/>
    <s v="JP"/>
    <n v="92"/>
    <d v="2025-03-15T00:00:00"/>
    <n v="3"/>
    <s v="CE"/>
    <s v="MJM"/>
    <n v="58"/>
    <x v="1"/>
    <s v="3. al menos 2 veces al mes"/>
    <n v="0"/>
    <n v="0"/>
    <n v="0"/>
    <n v="0"/>
    <n v="0"/>
    <x v="1"/>
    <s v="1. Sí"/>
    <m/>
    <s v="6. Mestiza(o)"/>
    <m/>
    <x v="3"/>
    <s v="1. Completa"/>
    <s v="3. Es jubilada/o o pensionista/o"/>
    <m/>
    <s v="2. de $471 a $919"/>
    <s v="5. Recreación/Ocio 6. Otra"/>
    <x v="1"/>
    <x v="0"/>
    <x v="0"/>
    <x v="0"/>
    <x v="1"/>
    <x v="1"/>
    <s v="CAMINATA"/>
    <s v="2. Mañana  (06:00 a 11:59)"/>
    <x v="0"/>
    <x v="0"/>
    <x v="0"/>
    <x v="0"/>
    <x v="0"/>
    <s v="7. Áreas verdes 8. Otro."/>
    <x v="0"/>
    <x v="0"/>
    <x v="0"/>
    <x v="1"/>
    <x v="0"/>
    <x v="1"/>
    <x v="1"/>
    <s v="LAGUNA"/>
    <x v="1"/>
    <x v="1"/>
    <x v="1"/>
    <s v="DELINCUENCIA"/>
    <s v="VIOLENCIA"/>
    <m/>
    <m/>
    <x v="1"/>
    <x v="1"/>
    <x v="1"/>
    <x v="3"/>
    <x v="0"/>
    <x v="2"/>
    <x v="1"/>
    <x v="2"/>
    <s v="F"/>
    <n v="0"/>
    <n v="0"/>
    <n v="0"/>
    <n v="0"/>
    <n v="0"/>
    <n v="1"/>
    <n v="0"/>
    <n v="0"/>
    <n v="0"/>
    <n v="0"/>
    <n v="0"/>
    <n v="0"/>
    <n v="0"/>
    <x v="3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3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LIBRE"/>
    <s v="DISTRACCION"/>
    <s v="SEGURA"/>
    <n v="82699574"/>
    <s v="95cd2b5e-e20d-435b-bcc7-1672f1a489af"/>
    <d v="2025-04-02T20:10:23"/>
    <m/>
    <m/>
    <s v="submitted_via_web"/>
    <m/>
    <s v="vhGz9QPwmdkBybuGFUbzwe"/>
    <m/>
    <n v="25"/>
  </r>
  <r>
    <d v="2025-04-02T15:10:30"/>
    <d v="2025-04-02T15:38:10"/>
    <s v="JP"/>
    <n v="93"/>
    <d v="2025-03-16T00:00:00"/>
    <n v="3"/>
    <s v="GB-CE"/>
    <s v="MJM"/>
    <n v="71"/>
    <x v="1"/>
    <s v="3. al menos 2 veces al mes"/>
    <n v="0"/>
    <n v="0"/>
    <n v="0"/>
    <n v="0"/>
    <n v="0"/>
    <x v="1"/>
    <s v="1. Sí"/>
    <m/>
    <s v="6. Mestiza(o)"/>
    <m/>
    <x v="0"/>
    <s v="1. Completa"/>
    <s v="3. Es jubilada/o o pensionista/o"/>
    <m/>
    <s v="4. de $1340 a $1839"/>
    <s v="3. Compras 4. De paso"/>
    <x v="1"/>
    <x v="0"/>
    <x v="1"/>
    <x v="1"/>
    <x v="0"/>
    <x v="0"/>
    <m/>
    <s v="2. Mañana  (06:00 a 11:59)"/>
    <x v="0"/>
    <x v="0"/>
    <x v="0"/>
    <x v="0"/>
    <x v="0"/>
    <s v="1. Canchas de fútbol y basquet 7. Áreas verdes 8. Otro."/>
    <x v="1"/>
    <x v="0"/>
    <x v="0"/>
    <x v="1"/>
    <x v="0"/>
    <x v="1"/>
    <x v="1"/>
    <s v="LAGUNA"/>
    <x v="1"/>
    <x v="1"/>
    <x v="0"/>
    <s v="POLICIA NACIONAL"/>
    <s v="GENTE"/>
    <m/>
    <m/>
    <x v="0"/>
    <x v="2"/>
    <x v="1"/>
    <x v="2"/>
    <x v="0"/>
    <x v="3"/>
    <x v="2"/>
    <x v="2"/>
    <s v="B"/>
    <n v="0"/>
    <n v="1"/>
    <n v="0"/>
    <n v="0"/>
    <n v="0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DISTRACCION"/>
    <s v="RESPETUOSO"/>
    <s v="SEGURO"/>
    <n v="82700962"/>
    <s v="00a5c06d-f7b9-4aa4-973b-0efd27fff820"/>
    <d v="2025-04-02T20:38:04"/>
    <m/>
    <m/>
    <s v="submitted_via_web"/>
    <m/>
    <s v="vhGz9QPwmdkBybuGFUbzwe"/>
    <m/>
    <n v="29"/>
  </r>
  <r>
    <d v="2025-04-02T15:38:10"/>
    <d v="2025-04-02T16:06:57"/>
    <s v="JP"/>
    <n v="95"/>
    <d v="2025-03-16T00:00:00"/>
    <n v="3"/>
    <s v="GB-RQ"/>
    <s v="MJM"/>
    <n v="54"/>
    <x v="2"/>
    <s v="3. al menos 2 veces al mes"/>
    <n v="0"/>
    <n v="0"/>
    <n v="0"/>
    <n v="0"/>
    <n v="0"/>
    <x v="0"/>
    <s v="1. Sí"/>
    <m/>
    <s v="6. Mestiza(o)"/>
    <m/>
    <x v="5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1"/>
    <s v="POR DELINCUENCIA"/>
    <s v="NO HAY SEGURIDAD (ENTES DE SEGURIDAD)"/>
    <s v="INFORMALIDAD"/>
    <m/>
    <x v="1"/>
    <x v="1"/>
    <x v="1"/>
    <x v="2"/>
    <x v="0"/>
    <x v="2"/>
    <x v="1"/>
    <x v="1"/>
    <s v="E F"/>
    <n v="0"/>
    <n v="0"/>
    <n v="0"/>
    <n v="0"/>
    <n v="1"/>
    <n v="1"/>
    <n v="0"/>
    <n v="0"/>
    <n v="0"/>
    <n v="0"/>
    <n v="0"/>
    <n v="0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2"/>
    <x v="0"/>
    <x v="2"/>
    <x v="1"/>
    <x v="1"/>
    <x v="1"/>
    <x v="2"/>
    <x v="0"/>
    <x v="0"/>
    <x v="1"/>
    <x v="2"/>
    <x v="0"/>
    <x v="0"/>
    <x v="0"/>
    <x v="0"/>
    <x v="0"/>
    <x v="0"/>
    <x v="0"/>
    <x v="0"/>
    <x v="0"/>
    <x v="0"/>
    <x v="0"/>
    <x v="2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0"/>
    <x v="0"/>
    <x v="0"/>
    <x v="1"/>
    <x v="2"/>
    <x v="0"/>
    <x v="1"/>
    <x v="1"/>
    <x v="1"/>
    <x v="1"/>
    <x v="2"/>
    <x v="0"/>
    <x v="0"/>
    <x v="0"/>
    <x v="0"/>
    <x v="1"/>
    <x v="1"/>
    <x v="0"/>
    <m/>
    <s v="DISTRACCION"/>
    <s v="UN POCO DE INSEGURIDAD"/>
    <s v="TRISTE POR EL DAÑO A LA VEGETACION POR LA LLUVIA"/>
    <n v="82702463"/>
    <s v="2d792a58-9908-4f8c-b6f0-5df7241e60c0"/>
    <d v="2025-04-02T21:06:50"/>
    <m/>
    <m/>
    <s v="submitted_via_web"/>
    <m/>
    <s v="vhGz9QPwmdkBybuGFUbzwe"/>
    <m/>
    <n v="36"/>
  </r>
  <r>
    <d v="2025-04-02T16:06:57"/>
    <d v="2025-04-02T16:10:52"/>
    <s v="JP"/>
    <n v="96"/>
    <d v="2025-03-16T00:00:00"/>
    <n v="3"/>
    <s v="GB-RQ"/>
    <s v="MJM"/>
    <n v="66"/>
    <x v="1"/>
    <s v="2. Semanalmente"/>
    <n v="0"/>
    <n v="0"/>
    <n v="0"/>
    <n v="0"/>
    <n v="0"/>
    <x v="1"/>
    <s v="1. Sí"/>
    <m/>
    <s v="6. Mestiza(o)"/>
    <m/>
    <x v="1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HAY GENTE"/>
    <s v="SEGURIDAD CON SU FAMILIA"/>
    <s v="PRESENCIA DE SEGURIDAD PUBLICA"/>
    <m/>
    <x v="1"/>
    <x v="2"/>
    <x v="1"/>
    <x v="2"/>
    <x v="0"/>
    <x v="2"/>
    <x v="1"/>
    <x v="0"/>
    <s v="F"/>
    <n v="0"/>
    <n v="0"/>
    <n v="0"/>
    <n v="0"/>
    <n v="0"/>
    <n v="1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3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2"/>
    <x v="0"/>
    <x v="2"/>
    <x v="2"/>
    <x v="0"/>
    <x v="0"/>
    <x v="0"/>
    <x v="0"/>
    <x v="1"/>
    <x v="2"/>
    <x v="1"/>
    <x v="1"/>
    <x v="0"/>
    <x v="1"/>
    <x v="2"/>
    <x v="0"/>
    <x v="0"/>
    <x v="0"/>
    <x v="0"/>
    <x v="1"/>
    <x v="1"/>
    <x v="2"/>
    <x v="0"/>
    <x v="0"/>
    <x v="0"/>
    <x v="0"/>
    <x v="0"/>
    <x v="0"/>
    <m/>
    <s v="TRANQUILIDAD"/>
    <s v="DESESTREZADA"/>
    <s v="PAZ"/>
    <n v="82702849"/>
    <s v="2f5738c0-adef-4670-91ef-1baa9ccfcd24"/>
    <d v="2025-04-02T21:10:46"/>
    <m/>
    <m/>
    <s v="submitted_via_web"/>
    <m/>
    <s v="vhGz9QPwmdkBybuGFUbzwe"/>
    <m/>
    <n v="38"/>
  </r>
  <r>
    <d v="2025-04-02T16:10:52"/>
    <d v="2025-04-02T16:14:43"/>
    <s v="JP"/>
    <n v="97"/>
    <d v="2025-03-16T00:00:00"/>
    <n v="3"/>
    <s v="GB-RQ"/>
    <s v="MJM"/>
    <n v="76"/>
    <x v="1"/>
    <s v="3. al menos 2 veces al mes"/>
    <n v="0"/>
    <n v="0"/>
    <n v="0"/>
    <n v="0"/>
    <n v="0"/>
    <x v="1"/>
    <s v="1. Sí"/>
    <m/>
    <s v="6. Mestiza(o)"/>
    <m/>
    <x v="5"/>
    <s v="1. Completa"/>
    <s v="3. Es jubilada/o o pensionista/o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CAMINERA"/>
    <x v="0"/>
    <x v="0"/>
    <x v="0"/>
    <s v="NO HA VISTO ASALTOS"/>
    <s v="HA VISTO GUARDIAS"/>
    <s v="HAY TRANQUILIDAD"/>
    <m/>
    <x v="1"/>
    <x v="1"/>
    <x v="1"/>
    <x v="0"/>
    <x v="2"/>
    <x v="2"/>
    <x v="1"/>
    <x v="1"/>
    <s v="B"/>
    <n v="0"/>
    <n v="1"/>
    <n v="0"/>
    <n v="0"/>
    <n v="0"/>
    <n v="0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2"/>
    <x v="2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SEGURA"/>
    <s v="TRANQUILIDAD"/>
    <s v="SIENTE PAZ"/>
    <n v="82702983"/>
    <s v="86e5865a-a182-4348-980f-c00f6020ab13"/>
    <d v="2025-04-02T21:14:36"/>
    <m/>
    <m/>
    <s v="submitted_via_web"/>
    <m/>
    <s v="vhGz9QPwmdkBybuGFUbzwe"/>
    <m/>
    <n v="39"/>
  </r>
  <r>
    <d v="2025-04-02T16:14:43"/>
    <d v="2025-04-02T16:20:17"/>
    <s v="JP"/>
    <n v="98"/>
    <d v="2025-04-16T00:00:00"/>
    <n v="3"/>
    <s v="GB-RQ"/>
    <s v="MJM"/>
    <n v="42"/>
    <x v="2"/>
    <s v="1. Diariamente"/>
    <n v="1"/>
    <n v="0"/>
    <n v="0"/>
    <n v="0"/>
    <n v="0"/>
    <x v="1"/>
    <s v="1. Sí"/>
    <m/>
    <s v="6. Mestiza(o)"/>
    <m/>
    <x v="1"/>
    <s v="1. Completa"/>
    <s v="1. Trabajar"/>
    <m/>
    <s v="1. Menos de $470"/>
    <s v="4. De paso"/>
    <x v="1"/>
    <x v="0"/>
    <x v="0"/>
    <x v="1"/>
    <x v="0"/>
    <x v="0"/>
    <m/>
    <s v="3. Tarde (12:00 a 17:59) 4. Noche  (18:00 a 23:59)"/>
    <x v="0"/>
    <x v="1"/>
    <x v="1"/>
    <x v="1"/>
    <x v="1"/>
    <s v="8. Otro."/>
    <x v="0"/>
    <x v="0"/>
    <x v="0"/>
    <x v="1"/>
    <x v="0"/>
    <x v="0"/>
    <x v="1"/>
    <s v="CAMINERAS"/>
    <x v="0"/>
    <x v="0"/>
    <x v="1"/>
    <s v="PORQUE HAY CONSUMO DE DROGA"/>
    <s v="HAY GENTE (DELINCUENTES) ARMADOS"/>
    <s v="PRESENCIA DE EXTRANJEROS"/>
    <m/>
    <x v="2"/>
    <x v="1"/>
    <x v="1"/>
    <x v="5"/>
    <x v="1"/>
    <x v="1"/>
    <x v="1"/>
    <x v="2"/>
    <s v="F"/>
    <n v="0"/>
    <n v="0"/>
    <n v="0"/>
    <n v="0"/>
    <n v="0"/>
    <n v="1"/>
    <n v="0"/>
    <n v="0"/>
    <n v="0"/>
    <n v="0"/>
    <n v="0"/>
    <n v="0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3"/>
    <x v="0"/>
    <x v="3"/>
    <x v="1"/>
    <x v="3"/>
    <x v="1"/>
    <x v="2"/>
    <x v="0"/>
    <x v="3"/>
    <x v="1"/>
    <x v="3"/>
    <x v="0"/>
    <x v="0"/>
    <x v="1"/>
    <x v="3"/>
    <x v="1"/>
    <x v="3"/>
    <x v="1"/>
    <x v="2"/>
    <x v="0"/>
    <x v="3"/>
    <x v="0"/>
    <x v="3"/>
    <x v="0"/>
    <x v="0"/>
    <x v="0"/>
    <x v="3"/>
    <x v="0"/>
    <m/>
    <x v="0"/>
    <x v="0"/>
    <x v="3"/>
    <x v="1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INSEGURIDAD"/>
    <s v="LE MOLESTA LA BASURA"/>
    <s v="LE MOLESTA DESECHO DE ANIMALES"/>
    <n v="82703312"/>
    <s v="7ac3e3f3-3f15-4719-97fb-09aa6031d00b"/>
    <d v="2025-04-02T21:20:10"/>
    <m/>
    <m/>
    <s v="submitted_via_web"/>
    <m/>
    <s v="vhGz9QPwmdkBybuGFUbzwe"/>
    <m/>
    <n v="41"/>
  </r>
  <r>
    <d v="2025-04-03T08:13:00"/>
    <d v="2025-04-03T08:18:07"/>
    <s v="JP"/>
    <n v="99"/>
    <d v="2025-03-16T00:00:00"/>
    <n v="3"/>
    <s v="GB-RQ"/>
    <s v="MJM"/>
    <n v="43"/>
    <x v="2"/>
    <s v="3. al menos 2 veces al mes"/>
    <n v="0"/>
    <n v="0"/>
    <n v="0"/>
    <n v="0"/>
    <n v="0"/>
    <x v="1"/>
    <s v="1. Sí"/>
    <m/>
    <s v="1. Indígena"/>
    <m/>
    <x v="0"/>
    <s v="1. Completa"/>
    <s v="1. Trabajar"/>
    <m/>
    <s v="4. de $1340 a $1839"/>
    <s v="1. Deporte / ejercicio 2. Culturales y sociales 3. Compras 4. De paso 5. Recreación/Ocio"/>
    <x v="0"/>
    <x v="1"/>
    <x v="1"/>
    <x v="1"/>
    <x v="1"/>
    <x v="0"/>
    <m/>
    <s v="2. Mañana  (06:00 a 11:59)"/>
    <x v="0"/>
    <x v="0"/>
    <x v="0"/>
    <x v="0"/>
    <x v="0"/>
    <s v="3. Caminos de ciclismo 4. Pistas para correr 7. Áreas verdes"/>
    <x v="0"/>
    <x v="0"/>
    <x v="1"/>
    <x v="0"/>
    <x v="0"/>
    <x v="1"/>
    <x v="0"/>
    <m/>
    <x v="1"/>
    <x v="1"/>
    <x v="0"/>
    <s v="VE GENTE"/>
    <s v="VE SEGURIDAD"/>
    <s v="VE ESPACIO DE PARQUEADERO SEGURO"/>
    <m/>
    <x v="1"/>
    <x v="1"/>
    <x v="3"/>
    <x v="2"/>
    <x v="1"/>
    <x v="2"/>
    <x v="1"/>
    <x v="1"/>
    <s v="B"/>
    <n v="0"/>
    <n v="1"/>
    <n v="0"/>
    <n v="0"/>
    <n v="0"/>
    <n v="0"/>
    <n v="0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0"/>
    <x v="0"/>
    <x v="1"/>
    <x v="2"/>
    <x v="0"/>
    <x v="3"/>
    <x v="1"/>
    <x v="2"/>
    <x v="0"/>
    <x v="0"/>
    <x v="0"/>
    <x v="0"/>
    <x v="1"/>
    <x v="1"/>
    <x v="1"/>
    <x v="2"/>
    <x v="0"/>
    <x v="3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0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1"/>
    <x v="2"/>
    <x v="1"/>
    <x v="0"/>
    <x v="0"/>
    <x v="0"/>
    <m/>
    <s v="BIENESTAR EN EL HORARIO DE LA MAÑANA"/>
    <s v="SE DISTRAE"/>
    <s v="POR EL AIRE PURO"/>
    <n v="82763790"/>
    <s v="9034be8c-347f-46cf-b65f-1848e506ca49"/>
    <d v="2025-04-03T13:18:01"/>
    <m/>
    <m/>
    <s v="submitted_via_web"/>
    <m/>
    <s v="vhGz9QPwmdkBybuGFUbzwe"/>
    <m/>
    <n v="43"/>
  </r>
  <r>
    <d v="2025-04-03T08:18:07"/>
    <d v="2025-04-03T08:23:09"/>
    <s v="JP"/>
    <n v="100"/>
    <d v="2025-03-16T00:00:00"/>
    <n v="3"/>
    <s v="GB-RQ"/>
    <s v="MJM"/>
    <n v="49"/>
    <x v="2"/>
    <s v="3. al menos 2 veces al mes"/>
    <n v="0"/>
    <n v="0"/>
    <n v="0"/>
    <n v="0"/>
    <n v="1"/>
    <x v="1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 7. Áreas verdes"/>
    <x v="0"/>
    <x v="0"/>
    <x v="0"/>
    <x v="0"/>
    <x v="0"/>
    <x v="1"/>
    <x v="0"/>
    <m/>
    <x v="1"/>
    <x v="1"/>
    <x v="0"/>
    <s v="HAY CONCURRENCIA DE GENTE"/>
    <s v="HAY SEGURIDAD"/>
    <s v="PIENSA QUE EN LA MAÑANA HAY SEGURIDAD"/>
    <m/>
    <x v="1"/>
    <x v="1"/>
    <x v="2"/>
    <x v="1"/>
    <x v="2"/>
    <x v="2"/>
    <x v="1"/>
    <x v="0"/>
    <s v="A B E"/>
    <n v="1"/>
    <n v="1"/>
    <n v="0"/>
    <n v="0"/>
    <n v="1"/>
    <n v="0"/>
    <n v="0"/>
    <n v="0"/>
    <n v="0"/>
    <n v="0"/>
    <n v="0"/>
    <n v="0"/>
    <n v="0"/>
    <x v="2"/>
    <x v="0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0"/>
    <x v="0"/>
    <x v="1"/>
    <x v="2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TRANQUILIDAD"/>
    <s v="ARMONIA"/>
    <s v="BUENA RESPIRACION"/>
    <n v="82764023"/>
    <s v="3ff5cb2f-5986-4ab0-944a-89d7d506ce6e"/>
    <d v="2025-04-03T13:23:02"/>
    <m/>
    <m/>
    <s v="submitted_via_web"/>
    <m/>
    <s v="vhGz9QPwmdkBybuGFUbzwe"/>
    <m/>
    <n v="45"/>
  </r>
  <r>
    <d v="2025-04-03T08:23:09"/>
    <d v="2025-04-03T08:28:42"/>
    <s v="JP"/>
    <n v="101"/>
    <d v="2025-03-16T00:00:00"/>
    <n v="3"/>
    <s v="GB-RQ"/>
    <s v="MJM"/>
    <n v="65"/>
    <x v="1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0"/>
    <s v="1. Canchas de fútbol y basquet 3. Caminos de ciclismo"/>
    <x v="1"/>
    <x v="0"/>
    <x v="1"/>
    <x v="1"/>
    <x v="0"/>
    <x v="0"/>
    <x v="0"/>
    <m/>
    <x v="1"/>
    <x v="1"/>
    <x v="1"/>
    <s v="PELIGRO DE DELINCUENCIA"/>
    <s v="NO HAY PERSONAL DE SEGURIDAD"/>
    <s v="MUCHA INFORMALIDAD"/>
    <m/>
    <x v="1"/>
    <x v="1"/>
    <x v="1"/>
    <x v="2"/>
    <x v="1"/>
    <x v="2"/>
    <x v="1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1"/>
    <x v="1"/>
    <x v="0"/>
    <x v="0"/>
    <x v="0"/>
    <x v="0"/>
    <x v="0"/>
    <x v="0"/>
    <x v="0"/>
    <x v="0"/>
    <x v="0"/>
    <x v="0"/>
    <x v="0"/>
    <x v="0"/>
    <x v="1"/>
    <x v="3"/>
    <x v="0"/>
    <x v="0"/>
    <x v="0"/>
    <x v="0"/>
    <x v="1"/>
    <x v="1"/>
    <x v="0"/>
    <x v="0"/>
    <x v="0"/>
    <x v="3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1"/>
    <x v="2"/>
    <x v="1"/>
    <x v="1"/>
    <x v="2"/>
    <x v="1"/>
    <x v="2"/>
    <x v="2"/>
    <x v="0"/>
    <x v="0"/>
    <x v="0"/>
    <m/>
    <s v="SEGURIDAD"/>
    <s v="RELAJADA"/>
    <s v="CON PAZ"/>
    <n v="82764239"/>
    <s v="06b94fd7-5a36-41ff-9d4b-d26c3b9a6eb2"/>
    <d v="2025-04-03T13:28:35"/>
    <m/>
    <m/>
    <s v="submitted_via_web"/>
    <m/>
    <s v="vhGz9QPwmdkBybuGFUbzwe"/>
    <m/>
    <n v="47"/>
  </r>
  <r>
    <d v="2025-04-03T08:28:42"/>
    <d v="2025-04-03T08:39:27"/>
    <s v="JP"/>
    <n v="102"/>
    <d v="2025-03-16T00:00:00"/>
    <n v="3"/>
    <s v="GB-RQ"/>
    <s v="MJM"/>
    <n v="35"/>
    <x v="0"/>
    <s v="3. al menos 2 veces al mes"/>
    <n v="1"/>
    <n v="0"/>
    <n v="0"/>
    <n v="0"/>
    <n v="1"/>
    <x v="0"/>
    <s v="1. Sí"/>
    <m/>
    <s v="6. Mestiza(o)"/>
    <m/>
    <x v="2"/>
    <s v="1. Completa"/>
    <s v="1. Trabajar"/>
    <m/>
    <s v="4. de $1340 a $1839"/>
    <s v="4. De paso"/>
    <x v="1"/>
    <x v="0"/>
    <x v="0"/>
    <x v="1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1"/>
    <s v="MUCHA VENTA INFORMAL"/>
    <s v="DESORDEN EN LA VENTA"/>
    <s v="INSEGURIDAD"/>
    <m/>
    <x v="1"/>
    <x v="1"/>
    <x v="1"/>
    <x v="2"/>
    <x v="0"/>
    <x v="2"/>
    <x v="1"/>
    <x v="2"/>
    <s v="B"/>
    <n v="0"/>
    <n v="1"/>
    <n v="0"/>
    <n v="0"/>
    <n v="0"/>
    <n v="0"/>
    <n v="0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3"/>
    <x v="1"/>
    <x v="3"/>
    <x v="0"/>
    <x v="3"/>
    <x v="1"/>
    <x v="1"/>
    <x v="0"/>
    <x v="0"/>
    <x v="0"/>
    <x v="3"/>
    <x v="1"/>
    <x v="3"/>
    <x v="1"/>
    <x v="1"/>
    <x v="1"/>
    <x v="3"/>
    <x v="0"/>
    <x v="0"/>
    <x v="0"/>
    <x v="0"/>
    <x v="0"/>
    <x v="3"/>
    <x v="0"/>
    <x v="3"/>
    <x v="0"/>
    <x v="0"/>
    <x v="0"/>
    <x v="3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INSEGURIDAD"/>
    <s v="TENSION"/>
    <s v="NERVIOSISMO POR ACOSO DE VENDEDORES"/>
    <n v="82764710"/>
    <s v="9507ec9f-08bc-4106-a895-21b01716ff87"/>
    <d v="2025-04-03T13:39:20"/>
    <m/>
    <m/>
    <s v="submitted_via_web"/>
    <m/>
    <s v="vhGz9QPwmdkBybuGFUbzwe"/>
    <m/>
    <n v="50"/>
  </r>
  <r>
    <d v="2025-04-10T08:36:37"/>
    <d v="2025-04-10T08:45:14"/>
    <s v="GH"/>
    <n v="102"/>
    <d v="2025-03-14T00:00:00"/>
    <n v="4"/>
    <s v="GB-CCH"/>
    <s v="GH"/>
    <n v="25"/>
    <x v="3"/>
    <s v="1. Diariamente"/>
    <n v="1"/>
    <n v="0"/>
    <n v="0"/>
    <n v="0"/>
    <n v="0"/>
    <x v="1"/>
    <s v="1. Sí"/>
    <m/>
    <s v="6. Mestiza(o)"/>
    <m/>
    <x v="2"/>
    <s v="2. Incompleta"/>
    <s v="6. No trabaja"/>
    <m/>
    <s v="99. NS/NC"/>
    <s v="4. De paso"/>
    <x v="1"/>
    <x v="0"/>
    <x v="0"/>
    <x v="1"/>
    <x v="0"/>
    <x v="0"/>
    <m/>
    <s v="2. Mañana  (06:00 a 11:59) 3. Tarde (12:00 a 17:59) 4. Noche  (18:00 a 23:59)"/>
    <x v="0"/>
    <x v="0"/>
    <x v="1"/>
    <x v="1"/>
    <x v="3"/>
    <s v="8. Otro."/>
    <x v="0"/>
    <x v="0"/>
    <x v="0"/>
    <x v="1"/>
    <x v="0"/>
    <x v="0"/>
    <x v="1"/>
    <s v="BULEVAR"/>
    <x v="1"/>
    <x v="1"/>
    <x v="3"/>
    <s v="RÓTULOS AZULES HAY INSEGURIDAD CERCA AMAZONAS"/>
    <s v="FALTA ALUMBRADO"/>
    <m/>
    <m/>
    <x v="2"/>
    <x v="3"/>
    <x v="1"/>
    <x v="5"/>
    <x v="1"/>
    <x v="2"/>
    <x v="1"/>
    <x v="1"/>
    <s v="C E"/>
    <n v="0"/>
    <n v="0"/>
    <n v="1"/>
    <n v="0"/>
    <n v="1"/>
    <n v="0"/>
    <n v="0"/>
    <n v="0"/>
    <n v="0"/>
    <n v="0"/>
    <n v="0"/>
    <n v="0"/>
    <n v="0"/>
    <x v="2"/>
    <x v="3"/>
    <x v="1"/>
    <x v="1"/>
    <x v="1"/>
    <x v="5"/>
    <n v="1"/>
    <n v="0"/>
    <n v="0"/>
    <n v="0"/>
    <n v="0"/>
    <n v="0"/>
    <n v="0"/>
    <n v="0"/>
    <n v="1"/>
    <n v="1"/>
    <n v="0"/>
    <m/>
    <s v="1. Sí"/>
    <m/>
    <m/>
    <m/>
    <m/>
    <m/>
    <m/>
    <m/>
    <s v="1. Sí"/>
    <s v="1. Sí"/>
    <m/>
    <s v="1. Arma blanca"/>
    <m/>
    <m/>
    <m/>
    <m/>
    <m/>
    <m/>
    <m/>
    <m/>
    <m/>
    <m/>
    <m/>
    <m/>
    <m/>
    <m/>
    <m/>
    <s v="6. Ninguna"/>
    <m/>
    <s v="6. Ninguna"/>
    <m/>
    <m/>
    <m/>
    <m/>
    <x v="0"/>
    <x v="2"/>
    <x v="0"/>
    <x v="0"/>
    <x v="1"/>
    <x v="1"/>
    <x v="0"/>
    <x v="0"/>
    <x v="1"/>
    <x v="2"/>
    <x v="1"/>
    <x v="2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2"/>
    <x v="0"/>
    <m/>
    <x v="0"/>
    <x v="0"/>
    <x v="0"/>
    <x v="0"/>
    <x v="1"/>
    <s v="2. Blanca"/>
    <x v="1"/>
    <x v="1"/>
    <x v="1"/>
    <x v="1"/>
    <x v="1"/>
    <m/>
    <x v="1"/>
    <m/>
    <x v="0"/>
    <x v="0"/>
    <x v="0"/>
    <x v="0"/>
    <x v="2"/>
    <x v="1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EN ALERTA NO CONFIADO"/>
    <m/>
    <m/>
    <n v="83406536"/>
    <s v="92f382e9-bc52-4c00-afa0-6f60ab8c5021"/>
    <d v="2025-04-10T13:45:13"/>
    <m/>
    <m/>
    <s v="submitted_via_web"/>
    <m/>
    <s v="v5uNQoYdGp6CCoWUMSjVDf"/>
    <m/>
    <n v="400"/>
  </r>
  <r>
    <d v="2025-04-03T08:39:27"/>
    <d v="2025-04-03T08:44:13"/>
    <s v="JP"/>
    <n v="103"/>
    <d v="2025-03-16T00:00:00"/>
    <n v="3"/>
    <s v="GB-RQ"/>
    <s v="MJM"/>
    <n v="29"/>
    <x v="0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PRESENCIA POLICIAL"/>
    <s v="ACOMPAÑAMIENTO DE AMIGOS"/>
    <s v="CAMARAS DE SEGURIDAD"/>
    <m/>
    <x v="0"/>
    <x v="2"/>
    <x v="2"/>
    <x v="1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2"/>
    <x v="2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AMBIENTE BUENO"/>
    <s v="AIRE PURO"/>
    <s v="MUY SEGURO"/>
    <n v="82764884"/>
    <s v="5eed023a-2935-4ab3-ab4f-8f9a043fa900"/>
    <d v="2025-04-03T13:44:06"/>
    <m/>
    <m/>
    <s v="submitted_via_web"/>
    <m/>
    <s v="vhGz9QPwmdkBybuGFUbzwe"/>
    <m/>
    <n v="52"/>
  </r>
  <r>
    <d v="2025-04-03T08:44:13"/>
    <d v="2025-04-03T09:47:16"/>
    <s v="JP"/>
    <n v="104"/>
    <d v="2025-03-16T00:00:00"/>
    <n v="3"/>
    <s v="AS"/>
    <s v="MJM"/>
    <n v="47"/>
    <x v="2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 6. Otra"/>
    <x v="0"/>
    <x v="0"/>
    <x v="0"/>
    <x v="0"/>
    <x v="0"/>
    <x v="1"/>
    <s v="CAMINAR"/>
    <s v="2. Mañana  (06:00 a 11:59)"/>
    <x v="0"/>
    <x v="0"/>
    <x v="0"/>
    <x v="0"/>
    <x v="0"/>
    <s v="1. Canchas de fútbol y basquet 3. Caminos de ciclismo 4. Pistas para correr"/>
    <x v="1"/>
    <x v="0"/>
    <x v="1"/>
    <x v="0"/>
    <x v="0"/>
    <x v="0"/>
    <x v="0"/>
    <m/>
    <x v="1"/>
    <x v="1"/>
    <x v="0"/>
    <s v="POR VENIR EN DIA Y HORA ESPECIFICA"/>
    <m/>
    <m/>
    <m/>
    <x v="0"/>
    <x v="2"/>
    <x v="1"/>
    <x v="1"/>
    <x v="0"/>
    <x v="3"/>
    <x v="2"/>
    <x v="2"/>
    <s v="E"/>
    <n v="0"/>
    <n v="0"/>
    <n v="0"/>
    <n v="0"/>
    <n v="1"/>
    <n v="0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s v="CAMPAÑA DE CAMINATA NOCTURNA"/>
    <x v="1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NOSTALGIA"/>
    <s v="TRANQUILIDAD"/>
    <s v="FACILIDADES PARA VISITAR EL PARQUE"/>
    <n v="82767228"/>
    <s v="7409e028-76b0-46e2-9bed-d56e5321c4fb"/>
    <d v="2025-04-03T14:47:09"/>
    <m/>
    <m/>
    <s v="submitted_via_web"/>
    <m/>
    <s v="vhGz9QPwmdkBybuGFUbzwe"/>
    <m/>
    <n v="67"/>
  </r>
  <r>
    <d v="2025-04-03T09:47:16"/>
    <d v="2025-04-03T09:54:13"/>
    <s v="JP"/>
    <n v="105"/>
    <d v="2025-03-16T00:00:00"/>
    <n v="3"/>
    <s v="AS"/>
    <s v="MJM"/>
    <n v="31"/>
    <x v="0"/>
    <s v="2. Semanalmente"/>
    <n v="1"/>
    <n v="0"/>
    <n v="0"/>
    <n v="0"/>
    <n v="0"/>
    <x v="1"/>
    <s v="1. Sí"/>
    <m/>
    <s v="6. Mestiza(o)"/>
    <m/>
    <x v="2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0"/>
    <s v="GENTE"/>
    <s v="VIGILANCIA"/>
    <m/>
    <m/>
    <x v="1"/>
    <x v="1"/>
    <x v="0"/>
    <x v="2"/>
    <x v="1"/>
    <x v="3"/>
    <x v="0"/>
    <x v="1"/>
    <s v="C"/>
    <n v="0"/>
    <n v="0"/>
    <n v="1"/>
    <n v="0"/>
    <n v="0"/>
    <n v="0"/>
    <n v="0"/>
    <n v="0"/>
    <n v="0"/>
    <n v="0"/>
    <n v="0"/>
    <n v="0"/>
    <n v="0"/>
    <x v="0"/>
    <x v="1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2"/>
    <x v="0"/>
    <x v="2"/>
    <x v="0"/>
    <x v="0"/>
    <x v="1"/>
    <x v="2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1"/>
    <s v="FALTA CONTROL"/>
    <x v="1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1"/>
    <x v="2"/>
    <x v="0"/>
    <x v="0"/>
    <x v="1"/>
    <x v="1"/>
    <x v="0"/>
    <x v="2"/>
    <x v="2"/>
    <x v="0"/>
    <x v="1"/>
    <x v="3"/>
    <x v="1"/>
    <x v="1"/>
    <x v="2"/>
    <x v="1"/>
    <x v="1"/>
    <x v="3"/>
    <x v="1"/>
    <x v="2"/>
    <x v="1"/>
    <x v="1"/>
    <x v="1"/>
    <x v="0"/>
    <m/>
    <s v="PREOCUPACION"/>
    <s v="DESORGANIZACION"/>
    <m/>
    <n v="82767509"/>
    <s v="4b72de0f-0e21-4a4d-b838-5e90ad4f481e"/>
    <d v="2025-04-03T14:54:06"/>
    <m/>
    <m/>
    <s v="submitted_via_web"/>
    <m/>
    <s v="vhGz9QPwmdkBybuGFUbzwe"/>
    <m/>
    <n v="68"/>
  </r>
  <r>
    <d v="2025-04-11T07:52:14"/>
    <d v="2025-04-11T09:16:36"/>
    <s v="GH"/>
    <n v="106"/>
    <d v="2025-03-16T00:00:00"/>
    <n v="3"/>
    <s v="AS"/>
    <s v="MJM"/>
    <n v="44"/>
    <x v="2"/>
    <s v="1. Diariamente"/>
    <n v="1"/>
    <n v="0"/>
    <n v="0"/>
    <n v="0"/>
    <n v="0"/>
    <x v="1"/>
    <s v="1. Sí"/>
    <m/>
    <s v="6. Mestiza(o)"/>
    <m/>
    <x v="0"/>
    <s v="2. In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ILUMINACIÓN"/>
    <s v="GENTE"/>
    <s v="VIGILANCIA"/>
    <m/>
    <x v="1"/>
    <x v="2"/>
    <x v="1"/>
    <x v="2"/>
    <x v="2"/>
    <x v="3"/>
    <x v="0"/>
    <x v="2"/>
    <s v="A"/>
    <n v="1"/>
    <n v="0"/>
    <n v="0"/>
    <n v="0"/>
    <n v="0"/>
    <n v="0"/>
    <n v="0"/>
    <n v="0"/>
    <n v="0"/>
    <n v="0"/>
    <n v="0"/>
    <n v="0"/>
    <n v="0"/>
    <x v="2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1"/>
    <x v="1"/>
    <x v="1"/>
    <x v="2"/>
    <x v="1"/>
    <x v="1"/>
    <x v="0"/>
    <x v="0"/>
    <x v="0"/>
    <x v="0"/>
    <x v="1"/>
    <x v="3"/>
    <x v="0"/>
    <x v="0"/>
    <x v="1"/>
    <x v="1"/>
    <x v="0"/>
    <x v="1"/>
    <x v="1"/>
    <x v="1"/>
    <x v="0"/>
    <x v="0"/>
    <x v="0"/>
    <x v="2"/>
    <x v="1"/>
    <s v="DISPENSADOR DE FUNDAS"/>
    <x v="1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AMA EL PARQUE"/>
    <s v="TRANQUILIDAD"/>
    <s v="PAZ ALEGRIA"/>
    <n v="83513930"/>
    <s v="c979cd4a-55c2-4644-8daa-1f63e68fdf0d"/>
    <d v="2025-04-11T14:16:37"/>
    <m/>
    <m/>
    <s v="submitted_via_web"/>
    <m/>
    <s v="v5uNQoYdGp6CCoWUMSjVDf"/>
    <m/>
    <n v="475"/>
  </r>
  <r>
    <d v="2025-04-03T10:06:29"/>
    <d v="2025-04-03T10:10:27"/>
    <s v="JP"/>
    <n v="108"/>
    <d v="2025-03-16T00:00:00"/>
    <n v="3"/>
    <s v="AS"/>
    <s v="MJM"/>
    <n v="64"/>
    <x v="1"/>
    <s v="2. Semanalmente"/>
    <n v="0"/>
    <n v="0"/>
    <n v="0"/>
    <n v="0"/>
    <n v="0"/>
    <x v="1"/>
    <s v="1. Sí"/>
    <m/>
    <s v="6. Mestiza(o)"/>
    <m/>
    <x v="1"/>
    <s v="2. Incompleta"/>
    <s v="6. No trabaja"/>
    <m/>
    <s v="99. NS/NC"/>
    <s v="6. Otra"/>
    <x v="1"/>
    <x v="0"/>
    <x v="0"/>
    <x v="0"/>
    <x v="0"/>
    <x v="1"/>
    <s v="CAMINATA"/>
    <s v="2. Mañana  (06:00 a 11:59)"/>
    <x v="0"/>
    <x v="0"/>
    <x v="0"/>
    <x v="0"/>
    <x v="1"/>
    <s v="4. Pistas para correr"/>
    <x v="0"/>
    <x v="0"/>
    <x v="0"/>
    <x v="0"/>
    <x v="0"/>
    <x v="0"/>
    <x v="0"/>
    <m/>
    <x v="0"/>
    <x v="0"/>
    <x v="0"/>
    <s v="POR MI PROPIA CUENTA"/>
    <m/>
    <m/>
    <m/>
    <x v="1"/>
    <x v="1"/>
    <x v="1"/>
    <x v="1"/>
    <x v="2"/>
    <x v="3"/>
    <x v="1"/>
    <x v="2"/>
    <s v="A"/>
    <n v="1"/>
    <n v="0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1"/>
    <x v="2"/>
    <x v="0"/>
    <x v="1"/>
    <x v="1"/>
    <x v="0"/>
    <x v="0"/>
    <x v="1"/>
    <x v="1"/>
    <x v="1"/>
    <x v="1"/>
    <x v="2"/>
    <x v="1"/>
    <x v="1"/>
    <x v="1"/>
    <x v="1"/>
    <x v="2"/>
    <x v="1"/>
    <x v="0"/>
    <x v="0"/>
    <x v="0"/>
    <m/>
    <s v="INSPIRACION"/>
    <s v="ALEGRIA"/>
    <s v="RESPIRACION DE AIRE LIMPIO"/>
    <n v="82768312"/>
    <s v="62ebf8be-50d8-4e82-a0fa-b45447ffa411"/>
    <d v="2025-04-03T15:10:20"/>
    <m/>
    <m/>
    <s v="submitted_via_web"/>
    <m/>
    <s v="vhGz9QPwmdkBybuGFUbzwe"/>
    <m/>
    <n v="72"/>
  </r>
  <r>
    <d v="2025-04-03T10:10:27"/>
    <d v="2025-04-03T10:46:01"/>
    <s v="JP"/>
    <n v="109"/>
    <d v="2025-03-16T00:00:00"/>
    <n v="3"/>
    <s v="AS"/>
    <s v="MJM"/>
    <n v="45"/>
    <x v="2"/>
    <s v="3. al menos 2 veces al mes"/>
    <n v="0"/>
    <n v="0"/>
    <n v="0"/>
    <n v="0"/>
    <n v="0"/>
    <x v="1"/>
    <s v="1. Sí"/>
    <m/>
    <s v="6. Mestiza(o)"/>
    <m/>
    <x v="2"/>
    <s v="1. Completa"/>
    <s v="1. Trabajar"/>
    <m/>
    <s v="3. de $920 a $1339"/>
    <s v="6. Otra"/>
    <x v="1"/>
    <x v="0"/>
    <x v="0"/>
    <x v="0"/>
    <x v="0"/>
    <x v="1"/>
    <s v="CAMINATA"/>
    <s v="2. Mañana  (06:00 a 11:59)"/>
    <x v="0"/>
    <x v="0"/>
    <x v="0"/>
    <x v="0"/>
    <x v="0"/>
    <s v="3. Caminos de ciclismo 4. Pistas para correr"/>
    <x v="0"/>
    <x v="0"/>
    <x v="1"/>
    <x v="0"/>
    <x v="0"/>
    <x v="0"/>
    <x v="0"/>
    <m/>
    <x v="1"/>
    <x v="1"/>
    <x v="0"/>
    <s v="MUCHA GENTE"/>
    <m/>
    <m/>
    <m/>
    <x v="0"/>
    <x v="1"/>
    <x v="1"/>
    <x v="2"/>
    <x v="2"/>
    <x v="3"/>
    <x v="2"/>
    <x v="2"/>
    <s v="Ninguno"/>
    <n v="0"/>
    <n v="0"/>
    <n v="0"/>
    <n v="0"/>
    <n v="0"/>
    <n v="0"/>
    <n v="0"/>
    <n v="0"/>
    <n v="0"/>
    <n v="0"/>
    <n v="0"/>
    <n v="0"/>
    <n v="1"/>
    <x v="2"/>
    <x v="3"/>
    <x v="2"/>
    <x v="0"/>
    <x v="1"/>
    <x v="1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0"/>
    <x v="2"/>
    <x v="1"/>
    <x v="3"/>
    <x v="1"/>
    <x v="1"/>
    <x v="0"/>
    <x v="0"/>
    <x v="0"/>
    <x v="0"/>
    <x v="0"/>
    <x v="0"/>
    <x v="1"/>
    <x v="1"/>
    <x v="1"/>
    <x v="2"/>
    <x v="0"/>
    <x v="0"/>
    <x v="0"/>
    <x v="0"/>
    <x v="0"/>
    <x v="0"/>
    <x v="1"/>
    <x v="1"/>
    <x v="0"/>
    <x v="1"/>
    <x v="0"/>
    <x v="0"/>
    <x v="0"/>
    <x v="0"/>
    <x v="0"/>
    <x v="0"/>
    <x v="1"/>
    <s v="DISPENSADORES DE FUNDAS PARA PERROS"/>
    <x v="2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1"/>
    <x v="1"/>
    <x v="1"/>
    <x v="2"/>
    <x v="1"/>
    <x v="0"/>
    <x v="0"/>
    <x v="0"/>
    <m/>
    <s v="FALTA DE ILUSION POR MEJORA"/>
    <s v="TRISTEZA"/>
    <m/>
    <n v="82769887"/>
    <s v="b5a9d394-9fe8-44af-8925-de85900fc19d"/>
    <d v="2025-04-03T15:45:54"/>
    <m/>
    <m/>
    <s v="submitted_via_web"/>
    <m/>
    <s v="vhGz9QPwmdkBybuGFUbzwe"/>
    <m/>
    <n v="76"/>
  </r>
  <r>
    <d v="2025-04-03T10:46:01"/>
    <d v="2025-04-03T10:52:48"/>
    <s v="JP"/>
    <n v="110"/>
    <d v="2025-03-16T00:00:00"/>
    <n v="3"/>
    <s v="AS"/>
    <s v="MJM"/>
    <n v="33"/>
    <x v="0"/>
    <s v="2. Semanalmente"/>
    <n v="0"/>
    <n v="0"/>
    <n v="0"/>
    <n v="0"/>
    <n v="0"/>
    <x v="1"/>
    <s v="1. Sí"/>
    <m/>
    <s v="6. Mestiza(o)"/>
    <m/>
    <x v="2"/>
    <s v="1. Completa"/>
    <s v="1. Trabajar"/>
    <m/>
    <s v="5. más de $1840"/>
    <s v="1. Deporte / ejercicio"/>
    <x v="0"/>
    <x v="0"/>
    <x v="0"/>
    <x v="0"/>
    <x v="0"/>
    <x v="0"/>
    <m/>
    <s v="3. Tarde (12:00 a 17:59)"/>
    <x v="0"/>
    <x v="1"/>
    <x v="1"/>
    <x v="0"/>
    <x v="3"/>
    <s v="4. Pistas para correr"/>
    <x v="0"/>
    <x v="0"/>
    <x v="0"/>
    <x v="0"/>
    <x v="0"/>
    <x v="0"/>
    <x v="0"/>
    <m/>
    <x v="1"/>
    <x v="1"/>
    <x v="1"/>
    <s v="NO HAY MUCHA SEGURIDAD"/>
    <s v="PERSONAS SOSPECHOSAS"/>
    <m/>
    <m/>
    <x v="1"/>
    <x v="2"/>
    <x v="1"/>
    <x v="2"/>
    <x v="0"/>
    <x v="2"/>
    <x v="1"/>
    <x v="2"/>
    <s v="A"/>
    <n v="1"/>
    <n v="0"/>
    <n v="0"/>
    <n v="0"/>
    <n v="0"/>
    <n v="0"/>
    <n v="0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3"/>
    <x v="0"/>
    <x v="0"/>
    <x v="1"/>
    <x v="1"/>
    <x v="1"/>
    <x v="2"/>
    <x v="0"/>
    <x v="3"/>
    <x v="1"/>
    <x v="1"/>
    <x v="0"/>
    <x v="0"/>
    <x v="0"/>
    <x v="0"/>
    <x v="0"/>
    <x v="0"/>
    <x v="1"/>
    <x v="1"/>
    <x v="0"/>
    <x v="0"/>
    <x v="0"/>
    <x v="3"/>
    <x v="0"/>
    <x v="0"/>
    <x v="0"/>
    <x v="2"/>
    <x v="0"/>
    <m/>
    <x v="0"/>
    <x v="0"/>
    <x v="0"/>
    <x v="1"/>
    <x v="1"/>
    <s v="2. Blanca"/>
    <x v="1"/>
    <x v="1"/>
    <x v="1"/>
    <x v="1"/>
    <x v="1"/>
    <m/>
    <x v="2"/>
    <m/>
    <x v="0"/>
    <x v="2"/>
    <x v="1"/>
    <x v="0"/>
    <x v="2"/>
    <x v="1"/>
    <x v="0"/>
    <x v="0"/>
    <x v="0"/>
    <x v="0"/>
    <x v="1"/>
    <x v="1"/>
    <x v="0"/>
    <x v="2"/>
    <x v="1"/>
    <x v="0"/>
    <x v="0"/>
    <x v="0"/>
    <x v="1"/>
    <x v="1"/>
    <x v="2"/>
    <x v="1"/>
    <x v="1"/>
    <x v="2"/>
    <x v="1"/>
    <x v="2"/>
    <x v="1"/>
    <x v="0"/>
    <x v="0"/>
    <x v="0"/>
    <m/>
    <s v="INSEGURIDAD"/>
    <s v="MIEDO"/>
    <m/>
    <n v="82770418"/>
    <s v="2cc39917-adcf-4da0-999b-803f69501c8b"/>
    <d v="2025-04-03T15:52:41"/>
    <m/>
    <m/>
    <s v="submitted_via_web"/>
    <m/>
    <s v="vhGz9QPwmdkBybuGFUbzwe"/>
    <m/>
    <n v="78"/>
  </r>
  <r>
    <d v="2025-04-03T10:52:48"/>
    <d v="2025-04-03T11:14:12"/>
    <s v="JP"/>
    <n v="111"/>
    <d v="2025-03-16T00:00:00"/>
    <n v="3"/>
    <s v="DA"/>
    <s v="MJM"/>
    <n v="50"/>
    <x v="2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2. Rampas para patineta 3. Caminos de ciclismo 7. Áreas verdes"/>
    <x v="0"/>
    <x v="1"/>
    <x v="1"/>
    <x v="1"/>
    <x v="0"/>
    <x v="1"/>
    <x v="0"/>
    <m/>
    <x v="1"/>
    <x v="2"/>
    <x v="1"/>
    <s v="COMIDA MALA"/>
    <s v="INSEGURIDAD"/>
    <s v="FALTA DE CONTROL"/>
    <m/>
    <x v="1"/>
    <x v="1"/>
    <x v="1"/>
    <x v="0"/>
    <x v="2"/>
    <x v="2"/>
    <x v="0"/>
    <x v="1"/>
    <s v="A"/>
    <n v="1"/>
    <n v="0"/>
    <n v="0"/>
    <n v="0"/>
    <n v="0"/>
    <n v="0"/>
    <n v="0"/>
    <n v="0"/>
    <n v="0"/>
    <n v="0"/>
    <n v="0"/>
    <n v="0"/>
    <n v="0"/>
    <x v="0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2"/>
    <x v="1"/>
    <x v="1"/>
    <x v="0"/>
    <x v="0"/>
    <x v="0"/>
    <x v="0"/>
    <x v="1"/>
    <x v="1"/>
    <x v="1"/>
    <x v="2"/>
    <x v="0"/>
    <x v="0"/>
    <x v="0"/>
    <x v="0"/>
    <x v="1"/>
    <x v="2"/>
    <x v="1"/>
    <x v="2"/>
    <x v="0"/>
    <x v="0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1"/>
    <x v="1"/>
    <x v="1"/>
    <x v="1"/>
    <x v="2"/>
    <x v="0"/>
    <x v="0"/>
    <x v="0"/>
    <x v="0"/>
    <x v="0"/>
    <x v="0"/>
    <x v="0"/>
    <m/>
    <s v="RELAJADO"/>
    <s v="LUGAR BIEN CUIDADO"/>
    <m/>
    <n v="82771688"/>
    <s v="9677d92b-5733-4d96-bb8e-b95358714f35"/>
    <d v="2025-04-03T16:14:04"/>
    <m/>
    <m/>
    <s v="submitted_via_web"/>
    <m/>
    <s v="vhGz9QPwmdkBybuGFUbzwe"/>
    <m/>
    <n v="81"/>
  </r>
  <r>
    <d v="2025-04-03T11:14:12"/>
    <d v="2025-04-03T11:19:47"/>
    <s v="JP"/>
    <n v="112"/>
    <d v="2025-03-16T00:00:00"/>
    <n v="3"/>
    <s v="DA"/>
    <s v="MJM"/>
    <n v="39"/>
    <x v="0"/>
    <s v="2. Semanalmente"/>
    <n v="0"/>
    <n v="0"/>
    <n v="0"/>
    <n v="0"/>
    <n v="0"/>
    <x v="1"/>
    <s v="1. Sí"/>
    <m/>
    <s v="6. Mestiza(o)"/>
    <m/>
    <x v="2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3. Caminos de ciclismo 6. Área para perros 7. Áreas verdes"/>
    <x v="0"/>
    <x v="0"/>
    <x v="1"/>
    <x v="1"/>
    <x v="1"/>
    <x v="1"/>
    <x v="0"/>
    <m/>
    <x v="1"/>
    <x v="1"/>
    <x v="1"/>
    <s v="AGLOMERACIÓN DE GENTE"/>
    <s v="DELINCUENCIA"/>
    <m/>
    <m/>
    <x v="2"/>
    <x v="1"/>
    <x v="1"/>
    <x v="0"/>
    <x v="2"/>
    <x v="0"/>
    <x v="0"/>
    <x v="1"/>
    <s v="A L"/>
    <n v="1"/>
    <n v="0"/>
    <n v="0"/>
    <n v="0"/>
    <n v="0"/>
    <n v="0"/>
    <n v="0"/>
    <n v="0"/>
    <n v="0"/>
    <n v="0"/>
    <n v="0"/>
    <n v="1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1"/>
    <x v="3"/>
    <x v="1"/>
    <x v="1"/>
    <x v="0"/>
    <x v="0"/>
    <x v="0"/>
    <x v="0"/>
    <x v="0"/>
    <x v="3"/>
    <x v="0"/>
    <x v="0"/>
    <x v="0"/>
    <x v="0"/>
    <x v="0"/>
    <x v="0"/>
    <x v="0"/>
    <x v="0"/>
    <x v="1"/>
    <x v="2"/>
    <x v="1"/>
    <x v="2"/>
    <x v="0"/>
    <x v="3"/>
    <x v="0"/>
    <x v="0"/>
    <x v="0"/>
    <x v="3"/>
    <x v="0"/>
    <m/>
    <x v="0"/>
    <x v="0"/>
    <x v="3"/>
    <x v="0"/>
    <x v="1"/>
    <s v="1. De fuego 2. Blanca 3. Contundente"/>
    <x v="2"/>
    <x v="1"/>
    <x v="2"/>
    <x v="1"/>
    <x v="1"/>
    <m/>
    <x v="2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1"/>
    <x v="3"/>
    <x v="0"/>
    <x v="0"/>
    <x v="0"/>
    <x v="0"/>
    <x v="0"/>
    <x v="0"/>
    <m/>
    <s v="LUGAR BONITO"/>
    <s v="MUCHA AFLUENCIA DE GENTE ESTORBA"/>
    <m/>
    <n v="82771935"/>
    <s v="eab18eac-a5dc-42c7-a093-8fe570689dd8"/>
    <d v="2025-04-03T16:19:41"/>
    <m/>
    <m/>
    <s v="submitted_via_web"/>
    <m/>
    <s v="vhGz9QPwmdkBybuGFUbzwe"/>
    <m/>
    <n v="83"/>
  </r>
  <r>
    <d v="2025-04-03T11:19:47"/>
    <d v="2025-04-03T11:33:19"/>
    <s v="JP"/>
    <n v="113"/>
    <d v="2025-03-16T00:00:00"/>
    <n v="3"/>
    <s v="DA"/>
    <s v="MJM"/>
    <n v="38"/>
    <x v="0"/>
    <s v="3. al menos 2 veces al mes"/>
    <n v="3"/>
    <n v="0"/>
    <n v="0"/>
    <n v="0"/>
    <n v="0"/>
    <x v="1"/>
    <s v="2. No"/>
    <s v="VENEZOLANA"/>
    <s v="6. Mestiza(o)"/>
    <m/>
    <x v="0"/>
    <s v="1. Completa"/>
    <s v="1. Trabajar"/>
    <m/>
    <s v="2. de $471 a $919"/>
    <s v="4. De paso 5. Recreación/Ocio"/>
    <x v="1"/>
    <x v="0"/>
    <x v="0"/>
    <x v="1"/>
    <x v="1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0"/>
    <x v="0"/>
    <x v="0"/>
    <s v="AFLUENCIA DE GENTE"/>
    <s v="GUARDIAS"/>
    <m/>
    <m/>
    <x v="4"/>
    <x v="2"/>
    <x v="1"/>
    <x v="0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2"/>
    <x v="0"/>
    <x v="0"/>
    <x v="0"/>
    <x v="0"/>
    <x v="0"/>
    <x v="0"/>
    <x v="1"/>
    <x v="1"/>
    <x v="0"/>
    <x v="0"/>
    <x v="0"/>
    <x v="0"/>
    <x v="1"/>
    <x v="1"/>
    <x v="0"/>
    <x v="0"/>
    <x v="1"/>
    <x v="2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TRAQUILA"/>
    <s v="RELAJADA"/>
    <m/>
    <n v="82772870"/>
    <s v="d6a8f0eb-1166-4f40-bc2d-58dc28311731"/>
    <d v="2025-04-03T16:33:11"/>
    <m/>
    <m/>
    <s v="submitted_via_web"/>
    <m/>
    <s v="vhGz9QPwmdkBybuGFUbzwe"/>
    <m/>
    <n v="87"/>
  </r>
  <r>
    <d v="2025-04-03T11:33:19"/>
    <d v="2025-04-03T11:46:48"/>
    <s v="JP"/>
    <n v="114"/>
    <d v="2025-03-16T00:00:00"/>
    <n v="3"/>
    <s v="DA"/>
    <s v="MJM"/>
    <n v="74"/>
    <x v="1"/>
    <s v="1. Diariamente"/>
    <n v="3"/>
    <n v="0"/>
    <n v="0"/>
    <n v="0"/>
    <n v="0"/>
    <x v="1"/>
    <s v="1. Sí"/>
    <m/>
    <s v="6. Mestiza(o)"/>
    <m/>
    <x v="0"/>
    <s v="1. Completa"/>
    <s v="3. Es jubilada/o o pensionista/o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4. Pistas para correr"/>
    <x v="0"/>
    <x v="0"/>
    <x v="0"/>
    <x v="0"/>
    <x v="0"/>
    <x v="0"/>
    <x v="0"/>
    <m/>
    <x v="0"/>
    <x v="0"/>
    <x v="0"/>
    <s v="PRESENCIA POLICIAL"/>
    <s v="PRESENCIA DE GUARDIAS"/>
    <m/>
    <m/>
    <x v="4"/>
    <x v="3"/>
    <x v="3"/>
    <x v="0"/>
    <x v="0"/>
    <x v="3"/>
    <x v="0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0"/>
    <x v="0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TRANQUILA"/>
    <s v="SEGURA"/>
    <s v="AFLUENCIA DE GENTE"/>
    <n v="82773988"/>
    <s v="20b51f06-5df4-42eb-97ca-d00c91cded5b"/>
    <d v="2025-04-03T16:46:41"/>
    <m/>
    <m/>
    <s v="submitted_via_web"/>
    <m/>
    <s v="vhGz9QPwmdkBybuGFUbzwe"/>
    <m/>
    <n v="90"/>
  </r>
  <r>
    <d v="2025-04-03T11:46:48"/>
    <d v="2025-04-03T11:52:15"/>
    <s v="JP"/>
    <n v="115"/>
    <d v="2025-03-16T00:00:00"/>
    <n v="3"/>
    <s v="DA"/>
    <s v="MJM"/>
    <n v="28"/>
    <x v="0"/>
    <s v="2. Semanalmente"/>
    <n v="0"/>
    <n v="0"/>
    <n v="0"/>
    <n v="0"/>
    <n v="0"/>
    <x v="1"/>
    <s v="1. Sí"/>
    <m/>
    <s v="6. Mestiza(o)"/>
    <m/>
    <x v="1"/>
    <s v="1. Completa"/>
    <s v="1. Trabajar"/>
    <m/>
    <s v="1. Menos de $470"/>
    <s v="4. De paso 5. Recreación/Ocio"/>
    <x v="1"/>
    <x v="0"/>
    <x v="0"/>
    <x v="1"/>
    <x v="1"/>
    <x v="0"/>
    <m/>
    <s v="2. Mañana  (06:00 a 11:59)"/>
    <x v="0"/>
    <x v="0"/>
    <x v="0"/>
    <x v="0"/>
    <x v="3"/>
    <s v="1. Canchas de fútbol y basquet 4. Pistas para correr 6. Área para perros"/>
    <x v="1"/>
    <x v="0"/>
    <x v="0"/>
    <x v="0"/>
    <x v="1"/>
    <x v="0"/>
    <x v="0"/>
    <m/>
    <x v="1"/>
    <x v="2"/>
    <x v="0"/>
    <s v="PERSONAL DE SEGURIDAD"/>
    <m/>
    <m/>
    <m/>
    <x v="1"/>
    <x v="2"/>
    <x v="2"/>
    <x v="0"/>
    <x v="0"/>
    <x v="3"/>
    <x v="0"/>
    <x v="0"/>
    <s v="L"/>
    <n v="0"/>
    <n v="0"/>
    <n v="0"/>
    <n v="0"/>
    <n v="0"/>
    <n v="0"/>
    <n v="0"/>
    <n v="0"/>
    <n v="0"/>
    <n v="0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2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GURA"/>
    <s v="TRANQUILA"/>
    <m/>
    <n v="82774576"/>
    <s v="87bb7e7a-cbe5-4139-8de9-39bb583998f9"/>
    <d v="2025-04-03T16:52:08"/>
    <m/>
    <m/>
    <s v="submitted_via_web"/>
    <m/>
    <s v="vhGz9QPwmdkBybuGFUbzwe"/>
    <m/>
    <n v="92"/>
  </r>
  <r>
    <d v="2025-04-03T11:52:15"/>
    <d v="2025-04-03T12:10:34"/>
    <s v="JP"/>
    <n v="116"/>
    <d v="2025-03-16T00:00:00"/>
    <n v="3"/>
    <s v="DA"/>
    <s v="MJM"/>
    <n v="35"/>
    <x v="0"/>
    <s v="3. al menos 2 veces al mes"/>
    <n v="2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 4. De paso"/>
    <x v="0"/>
    <x v="0"/>
    <x v="0"/>
    <x v="1"/>
    <x v="0"/>
    <x v="0"/>
    <m/>
    <s v="2. Mañana  (06:00 a 11:59)"/>
    <x v="0"/>
    <x v="0"/>
    <x v="0"/>
    <x v="0"/>
    <x v="1"/>
    <s v="3. Caminos de ciclismo 4. Pistas para correr"/>
    <x v="0"/>
    <x v="0"/>
    <x v="1"/>
    <x v="0"/>
    <x v="0"/>
    <x v="0"/>
    <x v="0"/>
    <m/>
    <x v="1"/>
    <x v="2"/>
    <x v="0"/>
    <s v="AFLUENCIA DE GENTE"/>
    <s v="GUARDIAS"/>
    <s v="MAS RONDAS"/>
    <m/>
    <x v="1"/>
    <x v="2"/>
    <x v="0"/>
    <x v="1"/>
    <x v="2"/>
    <x v="3"/>
    <x v="0"/>
    <x v="0"/>
    <s v="F"/>
    <n v="0"/>
    <n v="0"/>
    <n v="0"/>
    <n v="0"/>
    <n v="0"/>
    <n v="1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0"/>
    <x v="0"/>
    <x v="0"/>
    <x v="1"/>
    <x v="2"/>
    <x v="0"/>
    <x v="1"/>
    <x v="1"/>
    <x v="1"/>
    <x v="1"/>
    <x v="2"/>
    <x v="0"/>
    <x v="0"/>
    <x v="0"/>
    <x v="0"/>
    <x v="0"/>
    <x v="0"/>
    <x v="0"/>
    <m/>
    <s v="TRANQUILA"/>
    <s v="SEGURA"/>
    <m/>
    <n v="82776960"/>
    <s v="84400033-9931-44fc-99f0-10daff215467"/>
    <d v="2025-04-03T17:10:27"/>
    <m/>
    <m/>
    <s v="submitted_via_web"/>
    <m/>
    <s v="vhGz9QPwmdkBybuGFUbzwe"/>
    <m/>
    <n v="93"/>
  </r>
  <r>
    <d v="2025-04-03T12:10:34"/>
    <d v="2025-04-03T12:14:37"/>
    <s v="JP"/>
    <n v="117"/>
    <d v="2025-03-16T00:00:00"/>
    <n v="3"/>
    <s v="DA"/>
    <s v="MJM"/>
    <n v="40"/>
    <x v="0"/>
    <s v="2. Semanalmente"/>
    <n v="2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3. Caminos de ciclismo"/>
    <x v="0"/>
    <x v="0"/>
    <x v="1"/>
    <x v="1"/>
    <x v="0"/>
    <x v="0"/>
    <x v="0"/>
    <m/>
    <x v="1"/>
    <x v="2"/>
    <x v="1"/>
    <s v="NO HAY GENTE EN CIERTOS LUGARES"/>
    <m/>
    <m/>
    <m/>
    <x v="1"/>
    <x v="2"/>
    <x v="1"/>
    <x v="1"/>
    <x v="0"/>
    <x v="2"/>
    <x v="0"/>
    <x v="2"/>
    <s v="I"/>
    <n v="0"/>
    <n v="0"/>
    <n v="0"/>
    <n v="0"/>
    <n v="0"/>
    <n v="0"/>
    <n v="0"/>
    <n v="0"/>
    <n v="1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1"/>
    <x v="1"/>
    <x v="2"/>
    <x v="1"/>
    <x v="1"/>
    <x v="2"/>
    <x v="0"/>
    <x v="0"/>
    <x v="0"/>
    <x v="0"/>
    <x v="0"/>
    <x v="0"/>
    <m/>
    <s v="TRANQUILA"/>
    <s v="RELAJACION"/>
    <m/>
    <n v="82777362"/>
    <s v="5ae5585b-b290-4ff0-8729-b5f821c136b6"/>
    <d v="2025-04-03T17:14:30"/>
    <m/>
    <m/>
    <s v="submitted_via_web"/>
    <m/>
    <s v="vhGz9QPwmdkBybuGFUbzwe"/>
    <m/>
    <n v="94"/>
  </r>
  <r>
    <d v="2025-04-03T12:14:37"/>
    <d v="2025-04-03T12:19:08"/>
    <s v="JP"/>
    <n v="118"/>
    <d v="2025-03-16T00:00:00"/>
    <n v="3"/>
    <s v="DA"/>
    <s v="MJM"/>
    <n v="61"/>
    <x v="1"/>
    <s v="3. al menos 2 veces al mes"/>
    <n v="0"/>
    <n v="0"/>
    <n v="0"/>
    <n v="0"/>
    <n v="0"/>
    <x v="1"/>
    <s v="1. Sí"/>
    <m/>
    <s v="6. Mestiza(o)"/>
    <m/>
    <x v="1"/>
    <s v="2. Incompleta"/>
    <s v="7. Dueña/o de su propio negoci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2"/>
    <x v="1"/>
    <s v="POR TEMAS DE DELINCUENCIA"/>
    <s v="NO HAY SEGURIDAD"/>
    <m/>
    <m/>
    <x v="1"/>
    <x v="1"/>
    <x v="1"/>
    <x v="1"/>
    <x v="1"/>
    <x v="2"/>
    <x v="0"/>
    <x v="1"/>
    <s v="F"/>
    <n v="0"/>
    <n v="0"/>
    <n v="0"/>
    <n v="0"/>
    <n v="0"/>
    <n v="1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3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BIEN"/>
    <s v="TRANQUILIDAD"/>
    <m/>
    <n v="82777779"/>
    <s v="d1232a0c-331c-44d4-94ec-49b23be9af72"/>
    <d v="2025-04-03T17:19:01"/>
    <m/>
    <m/>
    <s v="submitted_via_web"/>
    <m/>
    <s v="vhGz9QPwmdkBybuGFUbzwe"/>
    <m/>
    <n v="95"/>
  </r>
  <r>
    <d v="2025-04-03T12:19:08"/>
    <d v="2025-04-03T12:23:54"/>
    <s v="JP"/>
    <n v="119"/>
    <d v="2025-03-16T00:00:00"/>
    <n v="3"/>
    <s v="DA"/>
    <s v="MJM"/>
    <n v="42"/>
    <x v="2"/>
    <s v="3. al menos 2 veces al mes"/>
    <n v="0"/>
    <n v="0"/>
    <n v="0"/>
    <n v="0"/>
    <n v="0"/>
    <x v="1"/>
    <s v="1. Sí"/>
    <m/>
    <s v="6. Mestiza(o)"/>
    <m/>
    <x v="3"/>
    <s v="1. Completa"/>
    <s v="7. Dueña/o de su propio negocio"/>
    <m/>
    <s v="2. de $471 a $91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3. Caminos de ciclismo 4. Pistas para correr 7. Áreas verdes"/>
    <x v="0"/>
    <x v="0"/>
    <x v="1"/>
    <x v="0"/>
    <x v="0"/>
    <x v="1"/>
    <x v="0"/>
    <m/>
    <x v="1"/>
    <x v="1"/>
    <x v="0"/>
    <s v="AFLUENCIA DE GENTE"/>
    <m/>
    <m/>
    <m/>
    <x v="1"/>
    <x v="1"/>
    <x v="0"/>
    <x v="0"/>
    <x v="2"/>
    <x v="3"/>
    <x v="0"/>
    <x v="2"/>
    <s v="J L"/>
    <n v="0"/>
    <n v="0"/>
    <n v="0"/>
    <n v="0"/>
    <n v="0"/>
    <n v="0"/>
    <n v="0"/>
    <n v="0"/>
    <n v="0"/>
    <n v="1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1"/>
    <x v="2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RELAJADA"/>
    <s v="TRANQUILA"/>
    <m/>
    <n v="82778188"/>
    <s v="eb6bed48-e31b-4dae-b64a-8ded5bfbfbec"/>
    <d v="2025-04-03T17:23:46"/>
    <m/>
    <m/>
    <s v="submitted_via_web"/>
    <m/>
    <s v="vhGz9QPwmdkBybuGFUbzwe"/>
    <m/>
    <n v="96"/>
  </r>
  <r>
    <d v="2025-04-11T09:16:36"/>
    <d v="2025-04-11T10:03:16"/>
    <s v="GH"/>
    <n v="120"/>
    <d v="2025-03-14T00:00:00"/>
    <n v="3"/>
    <s v="GB-RQ"/>
    <s v="JA"/>
    <n v="28"/>
    <x v="0"/>
    <s v="2. Semanalmente"/>
    <n v="1"/>
    <n v="0"/>
    <n v="0"/>
    <n v="0"/>
    <n v="1"/>
    <x v="1"/>
    <s v="1. Sí"/>
    <m/>
    <s v="6. Mestiza(o)"/>
    <m/>
    <x v="0"/>
    <s v="1. Completa"/>
    <s v="4. Es estudiante"/>
    <m/>
    <s v="2. de $471 a $919"/>
    <s v="3. Compras 5. Recreación/Ocio"/>
    <x v="1"/>
    <x v="0"/>
    <x v="1"/>
    <x v="0"/>
    <x v="1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LAGUNA"/>
    <x v="1"/>
    <x v="1"/>
    <x v="1"/>
    <s v="VENDEDORES NO REGULARIZADOS"/>
    <s v="INDIGENCIA"/>
    <s v="MASCOTAS SUELTAS"/>
    <m/>
    <x v="2"/>
    <x v="3"/>
    <x v="1"/>
    <x v="4"/>
    <x v="5"/>
    <x v="2"/>
    <x v="1"/>
    <x v="2"/>
    <s v="C E"/>
    <n v="0"/>
    <n v="0"/>
    <n v="1"/>
    <n v="0"/>
    <n v="1"/>
    <n v="0"/>
    <n v="0"/>
    <n v="0"/>
    <n v="0"/>
    <n v="0"/>
    <n v="0"/>
    <n v="0"/>
    <n v="0"/>
    <x v="2"/>
    <x v="2"/>
    <x v="1"/>
    <x v="1"/>
    <x v="1"/>
    <x v="4"/>
    <n v="0"/>
    <n v="0"/>
    <n v="0"/>
    <n v="0"/>
    <n v="0"/>
    <n v="0"/>
    <n v="0"/>
    <n v="0"/>
    <n v="0"/>
    <n v="0"/>
    <n v="1"/>
    <s v="ACOSO DE VENDEDORES"/>
    <m/>
    <m/>
    <m/>
    <m/>
    <m/>
    <m/>
    <m/>
    <m/>
    <m/>
    <m/>
    <s v="2. No"/>
    <m/>
    <m/>
    <m/>
    <m/>
    <m/>
    <m/>
    <m/>
    <m/>
    <m/>
    <m/>
    <m/>
    <m/>
    <m/>
    <m/>
    <m/>
    <m/>
    <m/>
    <m/>
    <m/>
    <m/>
    <s v="6. Ninguna"/>
    <m/>
    <m/>
    <x v="0"/>
    <x v="0"/>
    <x v="1"/>
    <x v="1"/>
    <x v="1"/>
    <x v="1"/>
    <x v="0"/>
    <x v="2"/>
    <x v="2"/>
    <x v="0"/>
    <x v="1"/>
    <x v="1"/>
    <x v="0"/>
    <x v="3"/>
    <x v="0"/>
    <x v="0"/>
    <x v="0"/>
    <x v="0"/>
    <x v="0"/>
    <x v="0"/>
    <x v="0"/>
    <x v="0"/>
    <x v="1"/>
    <x v="1"/>
    <x v="0"/>
    <x v="1"/>
    <x v="0"/>
    <x v="2"/>
    <x v="0"/>
    <x v="0"/>
    <x v="0"/>
    <x v="2"/>
    <x v="0"/>
    <m/>
    <x v="0"/>
    <x v="0"/>
    <x v="3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3"/>
    <x v="0"/>
    <x v="0"/>
    <x v="0"/>
    <x v="0"/>
    <x v="0"/>
    <x v="0"/>
    <m/>
    <s v="INSEGURIDAD"/>
    <s v="TEMOR"/>
    <s v="MIEDO"/>
    <n v="83516075"/>
    <s v="ee279e7a-1165-47c2-9a01-2a5b39ace5d1"/>
    <d v="2025-04-11T15:03:16"/>
    <m/>
    <m/>
    <s v="submitted_via_web"/>
    <m/>
    <s v="v5uNQoYdGp6CCoWUMSjVDf"/>
    <m/>
    <n v="476"/>
  </r>
  <r>
    <d v="2025-04-03T11:37:18"/>
    <d v="2025-04-03T11:43:47"/>
    <s v="AFC"/>
    <n v="122"/>
    <d v="2025-03-14T00:00:00"/>
    <n v="3"/>
    <s v="GB-RQ"/>
    <s v="JA"/>
    <n v="32"/>
    <x v="0"/>
    <s v="2. Semanalmente"/>
    <n v="1"/>
    <n v="0"/>
    <n v="0"/>
    <n v="0"/>
    <n v="1"/>
    <x v="0"/>
    <s v="2. No"/>
    <s v="VENEZOLANA"/>
    <s v="6. Mestiza(o)"/>
    <m/>
    <x v="0"/>
    <s v="1. Completa"/>
    <s v="1. Trabajar"/>
    <m/>
    <s v="2. de $471 a $919"/>
    <s v="2. Culturales y sociales 5. Recreación/Ocio"/>
    <x v="1"/>
    <x v="1"/>
    <x v="0"/>
    <x v="0"/>
    <x v="1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0"/>
    <s v="VE MUCHO PERSONAL"/>
    <s v="PRESENCIA POLICIAL ALREDEDOR"/>
    <s v="SE VE LIMPIO"/>
    <m/>
    <x v="1"/>
    <x v="2"/>
    <x v="2"/>
    <x v="1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TRANQUILO"/>
    <s v="RECREA LA MENTE"/>
    <s v="PAZ POR LA VEGETACION"/>
    <n v="82773627"/>
    <s v="2eb5ce99-07de-48e7-aa22-f85a1226953f"/>
    <d v="2025-04-03T16:43:40"/>
    <m/>
    <m/>
    <s v="submitted_via_web"/>
    <m/>
    <s v="vhGz9QPwmdkBybuGFUbzwe"/>
    <m/>
    <n v="89"/>
  </r>
  <r>
    <d v="2025-04-03T11:31:19"/>
    <d v="2025-04-03T11:37:18"/>
    <s v="AFC"/>
    <n v="123"/>
    <d v="2025-03-14T00:00:00"/>
    <n v="3"/>
    <s v="GB-GC"/>
    <s v="JA"/>
    <n v="50"/>
    <x v="2"/>
    <s v="1. Diariamente"/>
    <n v="0"/>
    <n v="0"/>
    <n v="0"/>
    <n v="0"/>
    <n v="0"/>
    <x v="0"/>
    <s v="1. Sí"/>
    <m/>
    <s v="6. Mestiza(o)"/>
    <m/>
    <x v="1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TENGO PREOCUPACION"/>
    <s v="TRANQUILIDAD"/>
    <m/>
    <m/>
    <x v="1"/>
    <x v="1"/>
    <x v="1"/>
    <x v="0"/>
    <x v="2"/>
    <x v="2"/>
    <x v="0"/>
    <x v="2"/>
    <s v="C"/>
    <n v="0"/>
    <n v="0"/>
    <n v="1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3"/>
    <x v="0"/>
    <x v="0"/>
    <x v="0"/>
    <x v="0"/>
    <x v="0"/>
    <x v="3"/>
    <x v="0"/>
    <x v="0"/>
    <x v="0"/>
    <x v="0"/>
    <x v="1"/>
    <x v="3"/>
    <x v="1"/>
    <x v="1"/>
    <x v="1"/>
    <x v="1"/>
    <x v="0"/>
    <x v="1"/>
    <x v="0"/>
    <x v="3"/>
    <x v="0"/>
    <x v="0"/>
    <x v="1"/>
    <x v="1"/>
    <x v="1"/>
    <s v="GUARDIAS COMIENCEN POR LOS PASAJES"/>
    <x v="2"/>
    <x v="0"/>
    <x v="3"/>
    <x v="0"/>
    <x v="1"/>
    <s v="1. De fuego"/>
    <x v="2"/>
    <x v="2"/>
    <x v="1"/>
    <x v="1"/>
    <x v="1"/>
    <m/>
    <x v="2"/>
    <m/>
    <x v="0"/>
    <x v="2"/>
    <x v="2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2"/>
    <x v="1"/>
    <x v="2"/>
    <x v="2"/>
    <x v="0"/>
    <x v="0"/>
    <x v="0"/>
    <m/>
    <s v="LE RELAJA"/>
    <s v="CONTENTO"/>
    <m/>
    <n v="82773133"/>
    <s v="1bb0c17e-5e8f-4982-be51-a102abd1a26a"/>
    <d v="2025-04-03T16:37:11"/>
    <m/>
    <m/>
    <s v="submitted_via_web"/>
    <m/>
    <s v="vhGz9QPwmdkBybuGFUbzwe"/>
    <m/>
    <n v="88"/>
  </r>
  <r>
    <d v="2025-04-03T11:26:49"/>
    <d v="2025-04-03T11:31:19"/>
    <s v="AFC"/>
    <n v="124"/>
    <d v="2025-03-14T00:00:00"/>
    <n v="3"/>
    <s v="GB-NC"/>
    <s v="JA"/>
    <n v="55"/>
    <x v="2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3. Caminos de ciclismo 6. Área para perros 7. Áreas verdes"/>
    <x v="0"/>
    <x v="0"/>
    <x v="1"/>
    <x v="1"/>
    <x v="1"/>
    <x v="1"/>
    <x v="0"/>
    <m/>
    <x v="1"/>
    <x v="1"/>
    <x v="1"/>
    <s v="PRESENCIA DE HABITANTES DE CALLE ESTRANJEROS"/>
    <m/>
    <m/>
    <m/>
    <x v="1"/>
    <x v="2"/>
    <x v="2"/>
    <x v="2"/>
    <x v="0"/>
    <x v="2"/>
    <x v="2"/>
    <x v="0"/>
    <s v="F"/>
    <n v="0"/>
    <n v="0"/>
    <n v="0"/>
    <n v="0"/>
    <n v="0"/>
    <n v="1"/>
    <n v="0"/>
    <n v="0"/>
    <n v="0"/>
    <n v="0"/>
    <n v="0"/>
    <n v="0"/>
    <n v="0"/>
    <x v="3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1"/>
    <x v="1"/>
    <x v="1"/>
    <x v="2"/>
    <x v="1"/>
    <x v="1"/>
    <x v="0"/>
    <x v="0"/>
    <x v="0"/>
    <x v="0"/>
    <x v="1"/>
    <x v="1"/>
    <x v="1"/>
    <x v="2"/>
    <x v="0"/>
    <x v="0"/>
    <x v="0"/>
    <x v="3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2"/>
    <x v="0"/>
    <x v="0"/>
    <x v="0"/>
    <x v="0"/>
    <x v="0"/>
    <x v="0"/>
    <x v="1"/>
    <x v="1"/>
    <x v="1"/>
    <x v="1"/>
    <x v="2"/>
    <x v="0"/>
    <x v="0"/>
    <x v="0"/>
    <x v="0"/>
    <x v="0"/>
    <x v="0"/>
    <x v="0"/>
    <m/>
    <s v="TRANQUILA"/>
    <s v="MELANCOLIA"/>
    <s v="LE GUSTA EL PULMON DE QUITO"/>
    <n v="82772766"/>
    <s v="d70c90d9-5a0a-4796-a6f8-3ed338a216fb"/>
    <d v="2025-04-03T16:31:11"/>
    <m/>
    <m/>
    <s v="submitted_via_web"/>
    <m/>
    <s v="vhGz9QPwmdkBybuGFUbzwe"/>
    <m/>
    <n v="86"/>
  </r>
  <r>
    <d v="2025-04-03T11:21:04"/>
    <d v="2025-04-03T11:26:49"/>
    <s v="AFC"/>
    <n v="125"/>
    <d v="2025-03-14T00:00:00"/>
    <n v="3"/>
    <s v="GB-RQ"/>
    <s v="JA"/>
    <n v="53"/>
    <x v="2"/>
    <s v="3. al menos 2 veces al mes"/>
    <n v="1"/>
    <n v="0"/>
    <n v="0"/>
    <n v="0"/>
    <n v="0"/>
    <x v="1"/>
    <s v="1. Sí"/>
    <m/>
    <s v="6. Mestiza(o)"/>
    <m/>
    <x v="0"/>
    <s v="1. Completa"/>
    <s v="5. Quehaceres domésticos"/>
    <m/>
    <s v="2. de $471 a $919"/>
    <s v="4. De paso 5. Recreación/Ocio"/>
    <x v="1"/>
    <x v="0"/>
    <x v="0"/>
    <x v="1"/>
    <x v="1"/>
    <x v="0"/>
    <m/>
    <s v="2. Mañana  (06:00 a 11:59)"/>
    <x v="0"/>
    <x v="0"/>
    <x v="0"/>
    <x v="0"/>
    <x v="1"/>
    <s v="6. Área para perros 7. Áreas verdes"/>
    <x v="0"/>
    <x v="0"/>
    <x v="0"/>
    <x v="1"/>
    <x v="1"/>
    <x v="1"/>
    <x v="0"/>
    <m/>
    <x v="1"/>
    <x v="2"/>
    <x v="0"/>
    <s v="HAU MUCHO MOVIMIENTO (ACTIVIDADES)"/>
    <s v="VE SEGURIDAD"/>
    <s v="POR LOS MULTIPLES ESPACIOS"/>
    <m/>
    <x v="1"/>
    <x v="2"/>
    <x v="1"/>
    <x v="1"/>
    <x v="0"/>
    <x v="3"/>
    <x v="1"/>
    <x v="1"/>
    <s v="A B"/>
    <n v="1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TRANQUILIDAD"/>
    <s v="SE SIENTE UN AMBIENTE SANO"/>
    <s v="SE SIENTE COMODA POR LOS VARIOS SERVICIOS QUE HAY EN EL PARQUE"/>
    <n v="82772512"/>
    <s v="49f1f732-b194-4ad3-8271-2ac63e2b9a89"/>
    <d v="2025-04-03T16:26:42"/>
    <m/>
    <m/>
    <s v="submitted_via_web"/>
    <m/>
    <s v="vhGz9QPwmdkBybuGFUbzwe"/>
    <m/>
    <n v="85"/>
  </r>
  <r>
    <d v="2025-04-03T11:17:31"/>
    <d v="2025-04-03T11:21:04"/>
    <s v="AFC"/>
    <n v="126"/>
    <d v="2025-03-14T00:00:00"/>
    <n v="3"/>
    <s v="GB-NC"/>
    <s v="JA"/>
    <n v="28"/>
    <x v="0"/>
    <s v="2. Semanalmente"/>
    <n v="1"/>
    <n v="0"/>
    <n v="0"/>
    <n v="0"/>
    <n v="0"/>
    <x v="1"/>
    <s v="2. No"/>
    <s v="VENEZOLANA"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2"/>
    <s v="1. Canchas de fútbol y basquet 4. Pistas para correr"/>
    <x v="1"/>
    <x v="0"/>
    <x v="0"/>
    <x v="0"/>
    <x v="0"/>
    <x v="0"/>
    <x v="0"/>
    <m/>
    <x v="0"/>
    <x v="0"/>
    <x v="0"/>
    <s v="SIEMPRE HAY GENTE"/>
    <m/>
    <m/>
    <m/>
    <x v="3"/>
    <x v="2"/>
    <x v="2"/>
    <x v="1"/>
    <x v="0"/>
    <x v="3"/>
    <x v="4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SATISFECHA"/>
    <s v="TRANQUILA"/>
    <s v="COMPARTIR CON LA FAMILIA"/>
    <n v="82772078"/>
    <s v="273d18df-7e31-476c-a1c3-b398b591910f"/>
    <d v="2025-04-03T16:20:57"/>
    <m/>
    <m/>
    <s v="submitted_via_web"/>
    <m/>
    <s v="vhGz9QPwmdkBybuGFUbzwe"/>
    <m/>
    <n v="84"/>
  </r>
  <r>
    <d v="2025-04-03T11:06:37"/>
    <d v="2025-04-03T11:17:31"/>
    <s v="AFC"/>
    <n v="127"/>
    <d v="2025-03-14T00:00:00"/>
    <n v="3"/>
    <s v="GB-NC"/>
    <s v="JA"/>
    <n v="18"/>
    <x v="3"/>
    <s v="3. al menos 2 veces al mes"/>
    <n v="0"/>
    <n v="1"/>
    <n v="0"/>
    <n v="0"/>
    <n v="0"/>
    <x v="0"/>
    <s v="1. Sí"/>
    <m/>
    <s v="6. Mestiza(o)"/>
    <m/>
    <x v="1"/>
    <s v="1. Completa"/>
    <s v="4. Es estudiante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PRESENCIA DE VIGILANTES"/>
    <m/>
    <m/>
    <m/>
    <x v="1"/>
    <x v="2"/>
    <x v="3"/>
    <x v="0"/>
    <x v="0"/>
    <x v="3"/>
    <x v="0"/>
    <x v="0"/>
    <s v="A"/>
    <n v="1"/>
    <n v="0"/>
    <n v="0"/>
    <n v="0"/>
    <n v="0"/>
    <n v="0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1"/>
    <x v="1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2"/>
    <x v="2"/>
    <x v="0"/>
    <x v="0"/>
    <x v="0"/>
    <x v="0"/>
    <x v="1"/>
    <x v="2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SEGURIDAD"/>
    <s v="TRANQUILIDAD"/>
    <s v="SERENIDAD"/>
    <n v="82771851"/>
    <s v="00af2e30-79bd-4a84-b79d-ea95c74022a9"/>
    <d v="2025-04-03T16:17:25"/>
    <m/>
    <m/>
    <s v="submitted_via_web"/>
    <m/>
    <s v="vhGz9QPwmdkBybuGFUbzwe"/>
    <m/>
    <n v="82"/>
  </r>
  <r>
    <d v="2025-04-03T10:55:04"/>
    <d v="2025-04-03T11:06:37"/>
    <s v="AFC"/>
    <n v="128"/>
    <d v="2025-03-14T00:00:00"/>
    <n v="3"/>
    <s v="AS"/>
    <s v="JA"/>
    <n v="39"/>
    <x v="0"/>
    <s v="3. al menos 2 veces al mes"/>
    <n v="0"/>
    <n v="0"/>
    <n v="0"/>
    <n v="0"/>
    <n v="0"/>
    <x v="1"/>
    <s v="2. No"/>
    <s v="VENEZOLANA"/>
    <s v="6. Mestiza(o)"/>
    <m/>
    <x v="0"/>
    <s v="1. Completa"/>
    <s v="1. Trabajar"/>
    <m/>
    <s v="4. de $1340 a $1839"/>
    <s v="1. Deporte / ejercicio 4. De paso"/>
    <x v="0"/>
    <x v="0"/>
    <x v="0"/>
    <x v="1"/>
    <x v="0"/>
    <x v="0"/>
    <m/>
    <s v="2. Mañana  (06:00 a 11:59)"/>
    <x v="0"/>
    <x v="0"/>
    <x v="0"/>
    <x v="0"/>
    <x v="3"/>
    <s v="4. Pistas para correr 7. Áreas verdes"/>
    <x v="0"/>
    <x v="0"/>
    <x v="0"/>
    <x v="0"/>
    <x v="0"/>
    <x v="1"/>
    <x v="0"/>
    <m/>
    <x v="0"/>
    <x v="0"/>
    <x v="1"/>
    <s v="PRESENCIA DE PERSONAS SOSPECHOSAS"/>
    <m/>
    <m/>
    <m/>
    <x v="1"/>
    <x v="2"/>
    <x v="2"/>
    <x v="1"/>
    <x v="0"/>
    <x v="2"/>
    <x v="2"/>
    <x v="1"/>
    <s v="C"/>
    <n v="0"/>
    <n v="0"/>
    <n v="1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1"/>
    <x v="1"/>
    <x v="0"/>
    <x v="0"/>
    <x v="0"/>
    <x v="0"/>
    <x v="1"/>
    <x v="2"/>
    <x v="0"/>
    <x v="0"/>
    <x v="1"/>
    <x v="3"/>
    <x v="0"/>
    <x v="0"/>
    <x v="0"/>
    <x v="0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1"/>
    <x v="1"/>
    <x v="1"/>
    <x v="0"/>
    <x v="0"/>
    <x v="0"/>
    <x v="0"/>
    <x v="0"/>
    <x v="0"/>
    <m/>
    <s v="RELAJACION"/>
    <s v="RESPIRAR AIRE LIMPIO"/>
    <s v="CONECTAR CON LA NATURALEZA"/>
    <n v="82771400"/>
    <s v="ef712119-f4de-4405-85de-94bd42877ad0"/>
    <d v="2025-04-03T16:06:30"/>
    <m/>
    <m/>
    <s v="submitted_via_web"/>
    <m/>
    <s v="vhGz9QPwmdkBybuGFUbzwe"/>
    <m/>
    <n v="80"/>
  </r>
  <r>
    <d v="2025-04-03T10:49:34"/>
    <d v="2025-04-03T10:55:04"/>
    <s v="AFC"/>
    <n v="129"/>
    <d v="2025-03-14T00:00:00"/>
    <n v="3"/>
    <s v="GB-GC"/>
    <s v="JA"/>
    <n v="22"/>
    <x v="3"/>
    <s v="3. al menos 2 veces al mes"/>
    <n v="0"/>
    <n v="0"/>
    <n v="0"/>
    <n v="0"/>
    <n v="0"/>
    <x v="1"/>
    <s v="1. Sí"/>
    <m/>
    <s v="6. Mestiza(o)"/>
    <m/>
    <x v="1"/>
    <s v="1. Completa"/>
    <s v="4. Es estudiante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1"/>
    <s v="SOLA ESTAR"/>
    <m/>
    <m/>
    <m/>
    <x v="5"/>
    <x v="4"/>
    <x v="2"/>
    <x v="1"/>
    <x v="0"/>
    <x v="3"/>
    <x v="0"/>
    <x v="1"/>
    <s v="A"/>
    <n v="1"/>
    <n v="0"/>
    <n v="0"/>
    <n v="0"/>
    <n v="0"/>
    <n v="0"/>
    <n v="0"/>
    <n v="0"/>
    <n v="0"/>
    <n v="0"/>
    <n v="0"/>
    <n v="0"/>
    <n v="0"/>
    <x v="2"/>
    <x v="0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ADMIRACION"/>
    <s v="RELAJACION"/>
    <s v="INCERTIDUMBRE"/>
    <n v="82770572"/>
    <s v="0cee4984-97e1-4d26-a7b9-8c062d682266"/>
    <d v="2025-04-03T15:54:57"/>
    <m/>
    <m/>
    <s v="submitted_via_web"/>
    <m/>
    <s v="vhGz9QPwmdkBybuGFUbzwe"/>
    <m/>
    <n v="79"/>
  </r>
  <r>
    <d v="2025-04-03T10:44:56"/>
    <d v="2025-04-03T10:49:34"/>
    <s v="AFC"/>
    <n v="130"/>
    <d v="2025-03-14T00:00:00"/>
    <n v="3"/>
    <s v="GB-NC"/>
    <s v="JA"/>
    <n v="69"/>
    <x v="1"/>
    <s v="2. Semanalmente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2. Rampas para patineta 3. Caminos de ciclismo 7. Áreas verdes"/>
    <x v="0"/>
    <x v="1"/>
    <x v="1"/>
    <x v="1"/>
    <x v="0"/>
    <x v="1"/>
    <x v="0"/>
    <m/>
    <x v="0"/>
    <x v="0"/>
    <x v="2"/>
    <s v="NO HAY MUCHA GENTE"/>
    <s v="NO HA TENIDO MALAS EXPERIENCIAS"/>
    <m/>
    <m/>
    <x v="1"/>
    <x v="4"/>
    <x v="1"/>
    <x v="4"/>
    <x v="0"/>
    <x v="4"/>
    <x v="0"/>
    <x v="2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2"/>
    <x v="0"/>
    <x v="0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3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1"/>
    <x v="2"/>
    <x v="0"/>
    <x v="1"/>
    <x v="2"/>
    <x v="0"/>
    <x v="1"/>
    <x v="1"/>
    <x v="0"/>
    <x v="0"/>
    <x v="0"/>
    <x v="0"/>
    <x v="1"/>
    <x v="1"/>
    <x v="1"/>
    <x v="0"/>
    <x v="0"/>
    <x v="0"/>
    <x v="0"/>
    <x v="0"/>
    <x v="0"/>
    <x v="0"/>
    <x v="0"/>
    <x v="0"/>
    <m/>
    <s v="FELIZ"/>
    <s v="AGREDIDA"/>
    <s v="CON AMOR AL PARQUE"/>
    <n v="82770115"/>
    <s v="03d6c077-9fd1-4a04-80f1-d2310ff16c3e"/>
    <d v="2025-04-03T15:49:26"/>
    <m/>
    <m/>
    <s v="submitted_via_web"/>
    <m/>
    <s v="vhGz9QPwmdkBybuGFUbzwe"/>
    <m/>
    <n v="77"/>
  </r>
  <r>
    <d v="2025-04-03T10:21:41"/>
    <d v="2025-04-03T10:27:39"/>
    <s v="AFC"/>
    <n v="132"/>
    <d v="2025-03-14T00:00:00"/>
    <n v="3"/>
    <s v="GB-RQ"/>
    <s v="JA"/>
    <n v="20"/>
    <x v="3"/>
    <s v="1. Diariamente"/>
    <n v="0"/>
    <n v="0"/>
    <n v="0"/>
    <n v="0"/>
    <n v="0"/>
    <x v="0"/>
    <s v="1. Sí"/>
    <m/>
    <s v="6. Mestiza(o)"/>
    <m/>
    <x v="1"/>
    <s v="1. Completa"/>
    <s v="4. Es estudiante"/>
    <m/>
    <s v="1. Menos de $470"/>
    <s v="6. Otra"/>
    <x v="1"/>
    <x v="0"/>
    <x v="0"/>
    <x v="0"/>
    <x v="0"/>
    <x v="1"/>
    <s v="PASANTIAS"/>
    <s v="2. Mañana  (06:00 a 11:59) 3. Tarde (12:00 a 17:59)"/>
    <x v="0"/>
    <x v="0"/>
    <x v="1"/>
    <x v="0"/>
    <x v="2"/>
    <s v="7. Áreas verdes"/>
    <x v="0"/>
    <x v="0"/>
    <x v="0"/>
    <x v="1"/>
    <x v="0"/>
    <x v="1"/>
    <x v="0"/>
    <m/>
    <x v="0"/>
    <x v="0"/>
    <x v="0"/>
    <s v="HAY GENTE"/>
    <s v="SE VE POLICIAS"/>
    <s v="A LA SALIDA VA ACOMPAÑADA"/>
    <m/>
    <x v="1"/>
    <x v="2"/>
    <x v="2"/>
    <x v="1"/>
    <x v="0"/>
    <x v="3"/>
    <x v="4"/>
    <x v="1"/>
    <s v="F"/>
    <n v="0"/>
    <n v="0"/>
    <n v="0"/>
    <n v="0"/>
    <n v="0"/>
    <n v="1"/>
    <n v="0"/>
    <n v="0"/>
    <n v="0"/>
    <n v="0"/>
    <n v="0"/>
    <n v="0"/>
    <n v="0"/>
    <x v="0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0"/>
    <x v="0"/>
    <x v="0"/>
    <x v="0"/>
    <x v="0"/>
    <x v="0"/>
    <x v="0"/>
    <x v="2"/>
    <x v="1"/>
    <x v="1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EN LA MAÑANA HAY TRANQUILIDAD"/>
    <s v="EN LA TARDE SIENTE UN POCO DE INSEGURIDAD"/>
    <s v="CUANDO HAY GENTE SE SIENTE SEGURA"/>
    <n v="82769081"/>
    <s v="98c2940d-0278-4475-970b-c461ed4e8646"/>
    <d v="2025-04-03T15:27:32"/>
    <m/>
    <m/>
    <s v="submitted_via_web"/>
    <m/>
    <s v="vhGz9QPwmdkBybuGFUbzwe"/>
    <m/>
    <n v="74"/>
  </r>
  <r>
    <d v="2025-04-03T10:01:31"/>
    <d v="2025-04-03T10:21:41"/>
    <s v="AFC"/>
    <n v="133"/>
    <d v="2025-03-14T00:00:00"/>
    <n v="3"/>
    <s v="GB-NC"/>
    <s v="JA"/>
    <n v="80"/>
    <x v="1"/>
    <s v="1. Diariamente"/>
    <n v="0"/>
    <n v="0"/>
    <n v="0"/>
    <n v="0"/>
    <n v="0"/>
    <x v="0"/>
    <s v="1. Sí"/>
    <m/>
    <s v="6. Mestiza(o)"/>
    <m/>
    <x v="1"/>
    <s v="2. Incompleta"/>
    <s v="3. Es jubilada/o o pensionista/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CAMINAR"/>
    <m/>
    <m/>
    <m/>
    <x v="1"/>
    <x v="1"/>
    <x v="1"/>
    <x v="3"/>
    <x v="0"/>
    <x v="3"/>
    <x v="0"/>
    <x v="1"/>
    <s v="F"/>
    <n v="0"/>
    <n v="0"/>
    <n v="0"/>
    <n v="0"/>
    <n v="0"/>
    <n v="1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3"/>
    <x v="0"/>
    <x v="3"/>
    <x v="0"/>
    <x v="0"/>
    <x v="0"/>
    <x v="0"/>
    <x v="0"/>
    <x v="3"/>
    <x v="1"/>
    <x v="2"/>
    <x v="0"/>
    <x v="0"/>
    <x v="0"/>
    <x v="0"/>
    <x v="0"/>
    <x v="0"/>
    <x v="0"/>
    <x v="0"/>
    <x v="0"/>
    <x v="1"/>
    <x v="0"/>
    <x v="0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2"/>
    <x v="0"/>
    <x v="1"/>
    <x v="1"/>
    <x v="0"/>
    <x v="1"/>
    <x v="1"/>
    <x v="0"/>
    <m/>
    <s v="TRANQUILIDAD"/>
    <s v="DESCANSO"/>
    <m/>
    <n v="82768861"/>
    <s v="324a4569-ce5e-49e1-9d7b-d57cab957fdd"/>
    <d v="2025-04-03T15:21:34"/>
    <m/>
    <m/>
    <s v="submitted_via_web"/>
    <m/>
    <s v="vhGz9QPwmdkBybuGFUbzwe"/>
    <m/>
    <n v="73"/>
  </r>
  <r>
    <d v="2025-04-03T09:31:41"/>
    <d v="2025-04-03T09:56:44"/>
    <s v="AFC"/>
    <n v="135"/>
    <d v="2025-03-14T00:00:00"/>
    <n v="3"/>
    <s v="GB-GC"/>
    <s v="JA"/>
    <n v="75"/>
    <x v="1"/>
    <s v="1. Diariamente"/>
    <n v="0"/>
    <n v="0"/>
    <n v="0"/>
    <n v="0"/>
    <n v="0"/>
    <x v="0"/>
    <s v="2. No"/>
    <s v="VENEZOLANA"/>
    <s v="7. Blanca(o)"/>
    <m/>
    <x v="4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ACOMPÑADO POR LA GENTE"/>
    <s v="VIGILANCIA"/>
    <m/>
    <m/>
    <x v="0"/>
    <x v="2"/>
    <x v="1"/>
    <x v="1"/>
    <x v="0"/>
    <x v="3"/>
    <x v="2"/>
    <x v="0"/>
    <s v="A C E L"/>
    <n v="1"/>
    <n v="0"/>
    <n v="1"/>
    <n v="0"/>
    <n v="1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2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3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FELICIDAD"/>
    <s v="ALEGRIA"/>
    <s v="SEGURIDAD"/>
    <n v="82767625"/>
    <s v="fcbc8f71-41bd-4bbf-ba7e-0b7c58734c25"/>
    <d v="2025-04-03T14:56:37"/>
    <m/>
    <m/>
    <s v="submitted_via_web"/>
    <m/>
    <s v="vhGz9QPwmdkBybuGFUbzwe"/>
    <m/>
    <n v="69"/>
  </r>
  <r>
    <d v="2025-04-03T09:22:16"/>
    <d v="2025-04-03T09:31:41"/>
    <s v="AFC"/>
    <n v="136"/>
    <d v="2025-03-14T00:00:00"/>
    <n v="3"/>
    <s v="GB-RQ"/>
    <s v="JA"/>
    <n v="50"/>
    <x v="2"/>
    <s v="1. Diariamente"/>
    <n v="1"/>
    <n v="0"/>
    <n v="0"/>
    <n v="0"/>
    <n v="0"/>
    <x v="1"/>
    <s v="1. Sí"/>
    <m/>
    <s v="6. Mestiza(o)"/>
    <m/>
    <x v="0"/>
    <s v="1. Completa"/>
    <s v="1. Trabajar"/>
    <m/>
    <s v="4. de $1340 a $1839"/>
    <s v="1. Deporte / ejercicio"/>
    <x v="0"/>
    <x v="0"/>
    <x v="0"/>
    <x v="0"/>
    <x v="0"/>
    <x v="0"/>
    <m/>
    <s v="2. Mañana  (06:00 a 11:59) 3. Tarde (12:00 a 17:59)"/>
    <x v="0"/>
    <x v="0"/>
    <x v="1"/>
    <x v="0"/>
    <x v="1"/>
    <s v="3. Caminos de ciclismo 6. Área para perros"/>
    <x v="0"/>
    <x v="0"/>
    <x v="1"/>
    <x v="1"/>
    <x v="1"/>
    <x v="0"/>
    <x v="0"/>
    <m/>
    <x v="0"/>
    <x v="0"/>
    <x v="1"/>
    <s v="FUE ASALTADA"/>
    <s v="NO HAY SEGURIDAD"/>
    <s v="NO HAY NINGUN TIPO DE CONTROL"/>
    <m/>
    <x v="2"/>
    <x v="3"/>
    <x v="3"/>
    <x v="5"/>
    <x v="1"/>
    <x v="1"/>
    <x v="1"/>
    <x v="2"/>
    <s v="L"/>
    <n v="0"/>
    <n v="0"/>
    <n v="0"/>
    <n v="0"/>
    <n v="0"/>
    <n v="0"/>
    <n v="0"/>
    <n v="0"/>
    <n v="0"/>
    <n v="0"/>
    <n v="0"/>
    <n v="1"/>
    <n v="0"/>
    <x v="1"/>
    <x v="3"/>
    <x v="2"/>
    <x v="1"/>
    <x v="1"/>
    <x v="1"/>
    <n v="1"/>
    <n v="0"/>
    <n v="0"/>
    <n v="0"/>
    <n v="0"/>
    <n v="0"/>
    <n v="0"/>
    <n v="0"/>
    <n v="0"/>
    <n v="0"/>
    <n v="0"/>
    <m/>
    <s v="1. Sí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0"/>
    <x v="3"/>
    <x v="1"/>
    <x v="1"/>
    <x v="0"/>
    <x v="0"/>
    <x v="0"/>
    <x v="3"/>
    <x v="1"/>
    <x v="3"/>
    <x v="0"/>
    <x v="0"/>
    <x v="0"/>
    <x v="3"/>
    <x v="1"/>
    <x v="1"/>
    <x v="0"/>
    <x v="0"/>
    <x v="1"/>
    <x v="3"/>
    <x v="1"/>
    <x v="3"/>
    <x v="1"/>
    <x v="3"/>
    <x v="1"/>
    <x v="2"/>
    <x v="0"/>
    <x v="3"/>
    <x v="0"/>
    <x v="0"/>
    <x v="0"/>
    <x v="2"/>
    <x v="1"/>
    <s v="FALTA DE SEGURIDAD"/>
    <x v="2"/>
    <x v="0"/>
    <x v="3"/>
    <x v="0"/>
    <x v="1"/>
    <s v="1. De fuego"/>
    <x v="2"/>
    <x v="2"/>
    <x v="1"/>
    <x v="1"/>
    <x v="1"/>
    <m/>
    <x v="2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INSEGURIDAD"/>
    <s v="MOLESTIA POR EL DESORDEN"/>
    <s v="SE SIENTE IRRESPETADA POR EL MAL USO DEL PARQUE"/>
    <n v="82766412"/>
    <s v="a6a3cfec-9bce-4f5f-b021-f03efb7dbff4"/>
    <d v="2025-04-03T14:31:34"/>
    <m/>
    <m/>
    <s v="submitted_via_web"/>
    <m/>
    <s v="vhGz9QPwmdkBybuGFUbzwe"/>
    <m/>
    <n v="64"/>
  </r>
  <r>
    <d v="2025-04-03T09:08:52"/>
    <d v="2025-04-03T09:22:16"/>
    <s v="AFC"/>
    <n v="137"/>
    <d v="2025-03-14T00:00:00"/>
    <n v="3"/>
    <s v="AS"/>
    <s v="JA"/>
    <n v="63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1"/>
    <x v="1"/>
    <x v="0"/>
    <s v="BASTANTE VIGILANCIA"/>
    <m/>
    <m/>
    <m/>
    <x v="1"/>
    <x v="1"/>
    <x v="1"/>
    <x v="2"/>
    <x v="2"/>
    <x v="3"/>
    <x v="2"/>
    <x v="1"/>
    <s v="L"/>
    <n v="0"/>
    <n v="0"/>
    <n v="0"/>
    <n v="0"/>
    <n v="0"/>
    <n v="0"/>
    <n v="0"/>
    <n v="0"/>
    <n v="0"/>
    <n v="0"/>
    <n v="0"/>
    <n v="1"/>
    <n v="0"/>
    <x v="0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3"/>
    <x v="0"/>
    <x v="2"/>
    <x v="1"/>
    <x v="0"/>
    <x v="1"/>
    <x v="1"/>
    <x v="1"/>
    <x v="1"/>
    <x v="2"/>
    <x v="1"/>
    <x v="1"/>
    <x v="1"/>
    <x v="1"/>
    <x v="2"/>
    <x v="1"/>
    <x v="0"/>
    <x v="0"/>
    <x v="0"/>
    <m/>
    <s v="INSEGURIDAD"/>
    <s v="DESESTRES"/>
    <s v="ALEGRIA"/>
    <n v="82766122"/>
    <s v="7ccb3d83-37c8-46b7-b831-86a9138e29b6"/>
    <d v="2025-04-03T14:22:09"/>
    <m/>
    <m/>
    <s v="submitted_via_web"/>
    <m/>
    <s v="vhGz9QPwmdkBybuGFUbzwe"/>
    <m/>
    <n v="61"/>
  </r>
  <r>
    <d v="2025-04-03T09:04:36"/>
    <d v="2025-04-03T09:08:52"/>
    <s v="AFC"/>
    <n v="138"/>
    <d v="2025-03-14T00:00:00"/>
    <n v="3"/>
    <s v="GB-NC"/>
    <s v="JA"/>
    <n v="22"/>
    <x v="3"/>
    <s v="2. Semanalmente"/>
    <n v="0"/>
    <n v="0"/>
    <n v="0"/>
    <n v="0"/>
    <n v="0"/>
    <x v="0"/>
    <s v="1. Sí"/>
    <m/>
    <s v="6. Mestiza(o)"/>
    <m/>
    <x v="1"/>
    <s v="1. Completa"/>
    <s v="4. Es estudiante"/>
    <m/>
    <s v="3. de $920 a $1339"/>
    <s v="4. De paso 5. Recreación/Ocio"/>
    <x v="1"/>
    <x v="0"/>
    <x v="0"/>
    <x v="1"/>
    <x v="1"/>
    <x v="0"/>
    <m/>
    <s v="3. Tarde (12:00 a 17:59)"/>
    <x v="0"/>
    <x v="1"/>
    <x v="1"/>
    <x v="0"/>
    <x v="1"/>
    <s v="3. Caminos de ciclismo 7. Áreas verdes"/>
    <x v="0"/>
    <x v="0"/>
    <x v="1"/>
    <x v="1"/>
    <x v="0"/>
    <x v="1"/>
    <x v="0"/>
    <m/>
    <x v="0"/>
    <x v="0"/>
    <x v="0"/>
    <s v="DISTRACCION"/>
    <s v="CAMINATA"/>
    <m/>
    <m/>
    <x v="1"/>
    <x v="1"/>
    <x v="1"/>
    <x v="1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3"/>
    <x v="0"/>
    <x v="2"/>
    <x v="0"/>
    <x v="0"/>
    <x v="0"/>
    <x v="0"/>
    <x v="0"/>
    <x v="2"/>
    <x v="1"/>
    <x v="2"/>
    <x v="1"/>
    <x v="2"/>
    <x v="1"/>
    <x v="1"/>
    <x v="0"/>
    <x v="0"/>
    <x v="0"/>
    <x v="0"/>
    <x v="0"/>
    <x v="1"/>
    <x v="0"/>
    <x v="0"/>
    <x v="0"/>
    <x v="0"/>
    <x v="0"/>
    <x v="0"/>
    <x v="0"/>
    <m/>
    <x v="0"/>
    <x v="0"/>
    <x v="3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2"/>
    <x v="1"/>
    <x v="2"/>
    <x v="0"/>
    <x v="0"/>
    <x v="0"/>
    <x v="0"/>
    <x v="0"/>
    <x v="0"/>
    <x v="0"/>
    <m/>
    <s v="TRANQUILO"/>
    <s v="INCOMODO"/>
    <m/>
    <n v="82765562"/>
    <s v="f8720bff-a4d9-4e99-82f2-aab1eba8fac6"/>
    <d v="2025-04-03T14:08:45"/>
    <m/>
    <m/>
    <s v="submitted_via_web"/>
    <m/>
    <s v="vhGz9QPwmdkBybuGFUbzwe"/>
    <m/>
    <n v="58"/>
  </r>
  <r>
    <d v="2025-04-03T08:56:57"/>
    <d v="2025-04-03T09:04:36"/>
    <s v="AFC"/>
    <n v="139"/>
    <d v="2025-03-14T00:00:00"/>
    <n v="3"/>
    <s v="GB-RQ"/>
    <s v="JA"/>
    <n v="25"/>
    <x v="3"/>
    <s v="2. Semanalmente"/>
    <n v="0"/>
    <n v="0"/>
    <n v="0"/>
    <n v="0"/>
    <n v="0"/>
    <x v="1"/>
    <s v="1. Sí"/>
    <m/>
    <s v="6. Mestiza(o)"/>
    <m/>
    <x v="3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8. Otro."/>
    <x v="0"/>
    <x v="0"/>
    <x v="0"/>
    <x v="1"/>
    <x v="0"/>
    <x v="0"/>
    <x v="1"/>
    <s v="LAGUNA"/>
    <x v="0"/>
    <x v="0"/>
    <x v="0"/>
    <s v="NO LE HAN ROBADO"/>
    <s v="NO LE HAN ACOSADO"/>
    <s v="CREE QUE ES SEGURO"/>
    <m/>
    <x v="2"/>
    <x v="1"/>
    <x v="2"/>
    <x v="1"/>
    <x v="5"/>
    <x v="4"/>
    <x v="1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0"/>
    <x v="0"/>
    <x v="0"/>
    <x v="0"/>
    <x v="0"/>
    <x v="3"/>
    <x v="0"/>
    <x v="0"/>
    <x v="0"/>
    <x v="0"/>
    <x v="0"/>
    <x v="0"/>
    <x v="0"/>
    <x v="0"/>
    <x v="0"/>
    <x v="0"/>
    <x v="0"/>
    <x v="3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1"/>
    <x v="1"/>
    <x v="1"/>
    <x v="1"/>
    <x v="0"/>
    <x v="0"/>
    <x v="0"/>
    <x v="0"/>
    <m/>
    <s v="TRANQUILIDAD"/>
    <s v="RELAJACION"/>
    <s v="ESTRESADA CUANDO HAY MUCHA GENTE"/>
    <n v="82765436"/>
    <s v="b55113af-53e5-4497-aa63-d8170fb40d97"/>
    <d v="2025-04-03T14:04:29"/>
    <m/>
    <m/>
    <s v="submitted_via_web"/>
    <m/>
    <s v="vhGz9QPwmdkBybuGFUbzwe"/>
    <m/>
    <n v="57"/>
  </r>
  <r>
    <d v="2025-04-02T16:19:15"/>
    <d v="2025-04-02T16:29:49"/>
    <s v="AFC"/>
    <n v="140"/>
    <d v="2025-03-14T00:00:00"/>
    <n v="3"/>
    <s v="AS"/>
    <s v="JA"/>
    <n v="47"/>
    <x v="2"/>
    <s v="1. Diariamente"/>
    <n v="1"/>
    <n v="0"/>
    <n v="0"/>
    <n v="0"/>
    <n v="0"/>
    <x v="1"/>
    <s v="2. No"/>
    <s v="COLOMBIANA"/>
    <s v="6. Mestiza(o)"/>
    <m/>
    <x v="0"/>
    <s v="2. Incompleta"/>
    <s v="7. Dueña/o de su propio negoci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 2. Rampas para patineta 3. Caminos de ciclismo 4. Pistas para correr 6. Área para perros 7. Áreas verdes"/>
    <x v="1"/>
    <x v="1"/>
    <x v="1"/>
    <x v="0"/>
    <x v="1"/>
    <x v="1"/>
    <x v="0"/>
    <m/>
    <x v="0"/>
    <x v="0"/>
    <x v="0"/>
    <s v="VIGILANCIA POLICIAL"/>
    <m/>
    <m/>
    <m/>
    <x v="2"/>
    <x v="2"/>
    <x v="3"/>
    <x v="1"/>
    <x v="2"/>
    <x v="3"/>
    <x v="1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1"/>
    <x v="1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6. Ninguna"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1"/>
    <x v="1"/>
    <x v="0"/>
    <x v="0"/>
    <x v="0"/>
    <x v="0"/>
    <x v="0"/>
    <x v="2"/>
    <x v="0"/>
    <x v="0"/>
    <x v="0"/>
    <x v="0"/>
    <x v="1"/>
    <x v="2"/>
    <x v="0"/>
    <x v="0"/>
    <x v="0"/>
    <x v="0"/>
    <x v="1"/>
    <x v="2"/>
    <x v="0"/>
    <x v="0"/>
    <x v="0"/>
    <x v="0"/>
    <x v="1"/>
    <x v="1"/>
    <x v="1"/>
    <s v="BASURA CON FALTA DE CONTENEDORES"/>
    <x v="2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CALMA"/>
    <s v="FELICIDAD"/>
    <s v="UN PARO DE CAOS FIN DE SEMANA"/>
    <n v="82703730"/>
    <s v="9e98af94-000f-40cb-8c11-ac99f87136d7"/>
    <d v="2025-04-02T21:29:42"/>
    <m/>
    <m/>
    <s v="submitted_via_web"/>
    <m/>
    <s v="vhGz9QPwmdkBybuGFUbzwe"/>
    <m/>
    <n v="42"/>
  </r>
  <r>
    <d v="2025-04-02T16:07:30"/>
    <d v="2025-04-02T16:19:15"/>
    <s v="AFC"/>
    <n v="141"/>
    <d v="2025-03-14T00:00:00"/>
    <n v="3"/>
    <s v="GB-NC"/>
    <s v="JA"/>
    <n v="36"/>
    <x v="0"/>
    <s v="3. al menos 2 veces al mes"/>
    <n v="1"/>
    <n v="0"/>
    <n v="0"/>
    <n v="0"/>
    <n v="0"/>
    <x v="1"/>
    <s v="1. Sí"/>
    <m/>
    <s v="1. Indígena"/>
    <m/>
    <x v="1"/>
    <s v="2. In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0"/>
    <s v="4. Pistas para correr 8. Otro."/>
    <x v="0"/>
    <x v="0"/>
    <x v="0"/>
    <x v="0"/>
    <x v="0"/>
    <x v="0"/>
    <x v="1"/>
    <s v="COLUMPIOS Y JUEGOS"/>
    <x v="1"/>
    <x v="1"/>
    <x v="1"/>
    <s v="LADRONES"/>
    <s v="LIBADORES"/>
    <s v="VENDEDORES INFORMALES"/>
    <m/>
    <x v="0"/>
    <x v="1"/>
    <x v="1"/>
    <x v="1"/>
    <x v="0"/>
    <x v="2"/>
    <x v="1"/>
    <x v="2"/>
    <s v="A C"/>
    <n v="1"/>
    <n v="0"/>
    <n v="1"/>
    <n v="0"/>
    <n v="0"/>
    <n v="0"/>
    <n v="0"/>
    <n v="0"/>
    <n v="0"/>
    <n v="0"/>
    <n v="0"/>
    <n v="0"/>
    <n v="0"/>
    <x v="2"/>
    <x v="2"/>
    <x v="1"/>
    <x v="1"/>
    <x v="1"/>
    <x v="6"/>
    <n v="0"/>
    <n v="0"/>
    <n v="0"/>
    <n v="0"/>
    <n v="0"/>
    <n v="0"/>
    <n v="0"/>
    <n v="0"/>
    <n v="0"/>
    <n v="1"/>
    <n v="0"/>
    <m/>
    <m/>
    <m/>
    <m/>
    <m/>
    <m/>
    <m/>
    <m/>
    <m/>
    <m/>
    <s v="2. No"/>
    <m/>
    <m/>
    <m/>
    <m/>
    <m/>
    <m/>
    <m/>
    <m/>
    <m/>
    <m/>
    <m/>
    <m/>
    <m/>
    <m/>
    <m/>
    <m/>
    <m/>
    <m/>
    <m/>
    <s v="6. Ninguna"/>
    <m/>
    <m/>
    <m/>
    <m/>
    <x v="1"/>
    <x v="1"/>
    <x v="1"/>
    <x v="1"/>
    <x v="1"/>
    <x v="3"/>
    <x v="0"/>
    <x v="0"/>
    <x v="0"/>
    <x v="0"/>
    <x v="1"/>
    <x v="1"/>
    <x v="1"/>
    <x v="1"/>
    <x v="1"/>
    <x v="2"/>
    <x v="0"/>
    <x v="0"/>
    <x v="0"/>
    <x v="0"/>
    <x v="0"/>
    <x v="0"/>
    <x v="1"/>
    <x v="2"/>
    <x v="0"/>
    <x v="1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3"/>
    <x v="1"/>
    <x v="2"/>
    <x v="4"/>
    <x v="0"/>
    <x v="0"/>
    <x v="0"/>
    <m/>
    <s v="FELIZ"/>
    <s v="PAZ TRANQUILIDAD"/>
    <s v="SE RELAJA"/>
    <n v="82703271"/>
    <s v="4735c30f-fc9b-4423-9788-530ccf605b8c"/>
    <d v="2025-04-02T21:19:08"/>
    <m/>
    <m/>
    <s v="submitted_via_web"/>
    <m/>
    <s v="vhGz9QPwmdkBybuGFUbzwe"/>
    <m/>
    <n v="40"/>
  </r>
  <r>
    <d v="2025-04-02T15:59:29"/>
    <d v="2025-04-02T16:07:30"/>
    <s v="AFC"/>
    <n v="142"/>
    <d v="2025-03-14T00:00:00"/>
    <n v="3"/>
    <s v="GB-GC"/>
    <s v="JA"/>
    <n v="69"/>
    <x v="1"/>
    <s v="3. al menos 2 veces al mes"/>
    <n v="0"/>
    <n v="0"/>
    <n v="0"/>
    <n v="0"/>
    <n v="0"/>
    <x v="0"/>
    <s v="1. Sí"/>
    <m/>
    <s v="6. Mestiza(o)"/>
    <m/>
    <x v="2"/>
    <s v="1. Completa"/>
    <s v="1. Trabajar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0"/>
    <s v="8. Otro."/>
    <x v="0"/>
    <x v="0"/>
    <x v="0"/>
    <x v="1"/>
    <x v="0"/>
    <x v="0"/>
    <x v="1"/>
    <s v="CAMINERA"/>
    <x v="1"/>
    <x v="1"/>
    <x v="0"/>
    <s v="CAMARA DE SEGURIDAD"/>
    <s v="SEGURIDAD"/>
    <m/>
    <m/>
    <x v="1"/>
    <x v="2"/>
    <x v="2"/>
    <x v="0"/>
    <x v="2"/>
    <x v="3"/>
    <x v="2"/>
    <x v="0"/>
    <s v="F"/>
    <n v="0"/>
    <n v="0"/>
    <n v="0"/>
    <n v="0"/>
    <n v="0"/>
    <n v="1"/>
    <n v="0"/>
    <n v="0"/>
    <n v="0"/>
    <n v="0"/>
    <n v="0"/>
    <n v="0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0"/>
    <x v="1"/>
    <x v="1"/>
    <x v="0"/>
    <x v="0"/>
    <x v="0"/>
    <x v="0"/>
    <x v="0"/>
    <m/>
    <x v="0"/>
    <x v="0"/>
    <x v="0"/>
    <x v="1"/>
    <x v="1"/>
    <s v="4. Constrictora"/>
    <x v="1"/>
    <x v="2"/>
    <x v="1"/>
    <x v="2"/>
    <x v="1"/>
    <m/>
    <x v="2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CONTENTO"/>
    <s v="SEGURO"/>
    <m/>
    <n v="82702526"/>
    <s v="af4f08be-9d55-4d83-b87d-3b7ad1360da2"/>
    <d v="2025-04-02T21:07:23"/>
    <m/>
    <m/>
    <s v="submitted_via_web"/>
    <m/>
    <s v="vhGz9QPwmdkBybuGFUbzwe"/>
    <m/>
    <n v="37"/>
  </r>
  <r>
    <d v="2025-04-02T15:52:06"/>
    <d v="2025-04-02T15:59:29"/>
    <s v="AFC"/>
    <n v="143"/>
    <d v="2025-03-14T00:00:00"/>
    <n v="3"/>
    <s v="GB-NC"/>
    <s v="JA"/>
    <n v="48"/>
    <x v="2"/>
    <s v="2. Semanalmente"/>
    <n v="0"/>
    <n v="0"/>
    <n v="0"/>
    <n v="0"/>
    <n v="0"/>
    <x v="1"/>
    <s v="1. Sí"/>
    <m/>
    <s v="6. Mestiza(o)"/>
    <m/>
    <x v="1"/>
    <s v="2. Incompleta"/>
    <s v="1. Trabajar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0"/>
    <s v="3. Caminos de ciclismo 6. Área para perros 7. Áreas verdes"/>
    <x v="0"/>
    <x v="0"/>
    <x v="1"/>
    <x v="1"/>
    <x v="1"/>
    <x v="1"/>
    <x v="0"/>
    <m/>
    <x v="0"/>
    <x v="0"/>
    <x v="0"/>
    <s v="NUNCA HA SIDO VICTIMA"/>
    <m/>
    <m/>
    <m/>
    <x v="3"/>
    <x v="2"/>
    <x v="1"/>
    <x v="2"/>
    <x v="0"/>
    <x v="3"/>
    <x v="4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1"/>
    <x v="1"/>
    <x v="0"/>
    <x v="0"/>
    <x v="0"/>
    <x v="0"/>
    <x v="0"/>
    <x v="0"/>
    <m/>
    <s v="TRANQUILIDAD"/>
    <s v="SEGURIDAD"/>
    <m/>
    <n v="82702072"/>
    <s v="306215cf-7782-4388-9486-fde9c320f4a8"/>
    <d v="2025-04-02T20:59:22"/>
    <m/>
    <m/>
    <s v="submitted_via_web"/>
    <m/>
    <s v="vhGz9QPwmdkBybuGFUbzwe"/>
    <m/>
    <n v="34"/>
  </r>
  <r>
    <d v="2025-04-02T15:47:18"/>
    <d v="2025-04-02T15:52:06"/>
    <s v="AFC"/>
    <n v="144"/>
    <d v="2025-03-14T00:00:00"/>
    <n v="3"/>
    <s v="AS"/>
    <s v="JA"/>
    <n v="31"/>
    <x v="0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1. Menos de $470"/>
    <s v="1. Deporte / ejercicio 3. Compras"/>
    <x v="0"/>
    <x v="0"/>
    <x v="1"/>
    <x v="0"/>
    <x v="0"/>
    <x v="0"/>
    <m/>
    <s v="3. Tarde (12:00 a 17:59)"/>
    <x v="0"/>
    <x v="1"/>
    <x v="1"/>
    <x v="0"/>
    <x v="1"/>
    <s v="1. Canchas de fútbol y basquet"/>
    <x v="1"/>
    <x v="0"/>
    <x v="0"/>
    <x v="1"/>
    <x v="0"/>
    <x v="0"/>
    <x v="0"/>
    <m/>
    <x v="1"/>
    <x v="1"/>
    <x v="0"/>
    <s v="PRESENCIA DE PERSONAL"/>
    <m/>
    <m/>
    <m/>
    <x v="1"/>
    <x v="1"/>
    <x v="1"/>
    <x v="2"/>
    <x v="1"/>
    <x v="0"/>
    <x v="0"/>
    <x v="2"/>
    <s v="L"/>
    <n v="0"/>
    <n v="0"/>
    <n v="0"/>
    <n v="0"/>
    <n v="0"/>
    <n v="0"/>
    <n v="0"/>
    <n v="0"/>
    <n v="0"/>
    <n v="0"/>
    <n v="0"/>
    <n v="1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TRANQUILIDAD"/>
    <s v="PAZ"/>
    <m/>
    <n v="82701631"/>
    <s v="0768693f-3f32-48f3-a325-51cde5bec2b1"/>
    <d v="2025-04-02T20:51:59"/>
    <m/>
    <m/>
    <s v="submitted_via_web"/>
    <m/>
    <s v="vhGz9QPwmdkBybuGFUbzwe"/>
    <m/>
    <n v="33"/>
  </r>
  <r>
    <d v="2025-04-02T15:41:56"/>
    <d v="2025-04-02T15:47:18"/>
    <s v="AFC"/>
    <n v="145"/>
    <d v="2025-03-14T00:00:00"/>
    <n v="3"/>
    <s v="AS"/>
    <s v="JA"/>
    <n v="47"/>
    <x v="2"/>
    <s v="2. Semanalmente"/>
    <n v="0"/>
    <n v="0"/>
    <n v="0"/>
    <n v="0"/>
    <n v="1"/>
    <x v="1"/>
    <s v="1. Sí"/>
    <m/>
    <s v="6. Mestiza(o)"/>
    <m/>
    <x v="2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1"/>
    <s v="4. Pistas para correr"/>
    <x v="0"/>
    <x v="0"/>
    <x v="0"/>
    <x v="0"/>
    <x v="0"/>
    <x v="0"/>
    <x v="0"/>
    <m/>
    <x v="1"/>
    <x v="2"/>
    <x v="1"/>
    <s v="GENTE SOSPECHOSA"/>
    <s v="PRESENCIA DE EXTRANJEROS MAL VISTOS"/>
    <m/>
    <m/>
    <x v="4"/>
    <x v="2"/>
    <x v="0"/>
    <x v="1"/>
    <x v="0"/>
    <x v="3"/>
    <x v="0"/>
    <x v="2"/>
    <s v="L"/>
    <n v="0"/>
    <n v="0"/>
    <n v="0"/>
    <n v="0"/>
    <n v="0"/>
    <n v="0"/>
    <n v="0"/>
    <n v="0"/>
    <n v="0"/>
    <n v="0"/>
    <n v="0"/>
    <n v="1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PAZ"/>
    <s v="TRANQUILIDAD"/>
    <s v="FELICIDAD"/>
    <n v="82701451"/>
    <s v="45428cc9-6cde-426f-a151-cbbf92486c4c"/>
    <d v="2025-04-02T20:47:11"/>
    <m/>
    <m/>
    <s v="submitted_via_web"/>
    <m/>
    <s v="vhGz9QPwmdkBybuGFUbzwe"/>
    <m/>
    <n v="31"/>
  </r>
  <r>
    <d v="2025-04-02T15:30:09"/>
    <d v="2025-04-02T15:41:56"/>
    <s v="AFC"/>
    <n v="146"/>
    <d v="2025-03-14T00:00:00"/>
    <n v="3"/>
    <s v="AS"/>
    <s v="JA"/>
    <n v="63"/>
    <x v="1"/>
    <s v="2. Semanalmente"/>
    <n v="0"/>
    <n v="0"/>
    <n v="0"/>
    <n v="0"/>
    <n v="0"/>
    <x v="1"/>
    <s v="1. Sí"/>
    <m/>
    <s v="6. Mestiza(o)"/>
    <m/>
    <x v="2"/>
    <s v="1. Completa"/>
    <s v="3. Es jubilada/o o pensionista/o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0"/>
    <x v="0"/>
    <x v="0"/>
    <s v="POR PRESENCIA DE SEGURIDAD"/>
    <m/>
    <m/>
    <m/>
    <x v="2"/>
    <x v="1"/>
    <x v="2"/>
    <x v="1"/>
    <x v="1"/>
    <x v="3"/>
    <x v="1"/>
    <x v="1"/>
    <s v="L"/>
    <n v="0"/>
    <n v="0"/>
    <n v="0"/>
    <n v="0"/>
    <n v="0"/>
    <n v="0"/>
    <n v="0"/>
    <n v="0"/>
    <n v="0"/>
    <n v="0"/>
    <n v="0"/>
    <n v="1"/>
    <n v="0"/>
    <x v="0"/>
    <x v="2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1"/>
    <s v="FALTA DE PROPAGANDA PARA PERSONAS QUE USAN EL PARQUE"/>
    <x v="2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0"/>
    <x v="2"/>
    <x v="1"/>
    <x v="0"/>
    <x v="0"/>
    <x v="0"/>
    <x v="1"/>
    <x v="1"/>
    <x v="2"/>
    <x v="1"/>
    <x v="2"/>
    <x v="0"/>
    <x v="1"/>
    <x v="1"/>
    <x v="0"/>
    <x v="1"/>
    <x v="2"/>
    <x v="2"/>
    <m/>
    <s v="TRANQUILIDAD"/>
    <s v="RESPETO"/>
    <s v="PAZ"/>
    <n v="82701077"/>
    <s v="588f4088-bcf5-429b-aeb8-e9b307b22b28"/>
    <d v="2025-04-02T20:41:49"/>
    <m/>
    <m/>
    <s v="submitted_via_web"/>
    <m/>
    <s v="vhGz9QPwmdkBybuGFUbzwe"/>
    <m/>
    <n v="30"/>
  </r>
  <r>
    <d v="2025-04-03T08:48:25"/>
    <d v="2025-04-03T08:56:57"/>
    <s v="AFC"/>
    <n v="147"/>
    <d v="2025-03-14T00:00:00"/>
    <n v="3"/>
    <s v="GB-NC"/>
    <s v="JA"/>
    <n v="62"/>
    <x v="1"/>
    <s v="2. Semanalmente"/>
    <n v="0"/>
    <n v="0"/>
    <n v="0"/>
    <n v="0"/>
    <n v="1"/>
    <x v="1"/>
    <s v="1. Sí"/>
    <m/>
    <s v="6. Mestiza(o)"/>
    <m/>
    <x v="0"/>
    <s v="1. Completa"/>
    <s v="3. Es jubilada/o o pensionista/o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NO HA PRESENCIADO ROBOS"/>
    <m/>
    <m/>
    <m/>
    <x v="1"/>
    <x v="3"/>
    <x v="1"/>
    <x v="2"/>
    <x v="1"/>
    <x v="3"/>
    <x v="0"/>
    <x v="1"/>
    <s v="B G"/>
    <n v="0"/>
    <n v="1"/>
    <n v="0"/>
    <n v="0"/>
    <n v="0"/>
    <n v="0"/>
    <n v="1"/>
    <n v="0"/>
    <n v="0"/>
    <n v="0"/>
    <n v="0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0"/>
    <x v="0"/>
    <x v="1"/>
    <x v="2"/>
    <x v="1"/>
    <x v="1"/>
    <x v="0"/>
    <x v="0"/>
    <x v="0"/>
    <x v="0"/>
    <x v="0"/>
    <x v="0"/>
    <x v="0"/>
    <x v="0"/>
    <x v="1"/>
    <x v="2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IMPOTENCIA ANTE LA FALTA DE ASEO"/>
    <m/>
    <m/>
    <n v="82765252"/>
    <s v="3ceae076-85bf-436f-b06b-1d993f3ec912"/>
    <d v="2025-04-03T13:56:49"/>
    <m/>
    <m/>
    <s v="submitted_via_web"/>
    <m/>
    <s v="vhGz9QPwmdkBybuGFUbzwe"/>
    <m/>
    <n v="55"/>
  </r>
  <r>
    <d v="2025-04-02T15:15:56"/>
    <d v="2025-04-02T15:21:19"/>
    <s v="AFC"/>
    <n v="148"/>
    <d v="2025-03-14T00:00:00"/>
    <n v="3"/>
    <s v="GP-RP"/>
    <s v="JA"/>
    <n v="48"/>
    <x v="2"/>
    <s v="1. Diariamente"/>
    <n v="0"/>
    <n v="0"/>
    <n v="0"/>
    <n v="0"/>
    <n v="0"/>
    <x v="0"/>
    <s v="1. Sí"/>
    <m/>
    <s v="6. Mestiza(o)"/>
    <m/>
    <x v="1"/>
    <s v="2. In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COMIDAS"/>
    <x v="1"/>
    <x v="1"/>
    <x v="0"/>
    <s v="VE QUE HAY GUARDIAS"/>
    <s v="VE POLICIA NACIONAL"/>
    <s v="PORQUE VE TRANSITO DE GENTE"/>
    <m/>
    <x v="1"/>
    <x v="2"/>
    <x v="1"/>
    <x v="1"/>
    <x v="0"/>
    <x v="3"/>
    <x v="1"/>
    <x v="1"/>
    <s v="B"/>
    <n v="0"/>
    <n v="1"/>
    <n v="0"/>
    <n v="0"/>
    <n v="0"/>
    <n v="0"/>
    <n v="0"/>
    <n v="0"/>
    <n v="0"/>
    <n v="0"/>
    <n v="0"/>
    <n v="0"/>
    <n v="0"/>
    <x v="2"/>
    <x v="2"/>
    <x v="3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1"/>
    <x v="2"/>
    <x v="0"/>
    <x v="1"/>
    <x v="1"/>
    <x v="0"/>
    <x v="1"/>
    <x v="2"/>
    <x v="0"/>
    <x v="1"/>
    <x v="1"/>
    <x v="2"/>
    <x v="1"/>
    <x v="1"/>
    <x v="2"/>
    <x v="0"/>
    <x v="0"/>
    <x v="0"/>
    <x v="0"/>
    <x v="0"/>
    <x v="0"/>
    <m/>
    <s v="TRANQUILIDAD"/>
    <s v="DESESTRESADO"/>
    <s v="ALEGRIA"/>
    <n v="82700056"/>
    <s v="5117ea72-56dc-4f0f-9338-379cd82376ce"/>
    <d v="2025-04-02T20:21:13"/>
    <m/>
    <m/>
    <s v="submitted_via_web"/>
    <m/>
    <s v="vhGz9QPwmdkBybuGFUbzwe"/>
    <m/>
    <n v="28"/>
  </r>
  <r>
    <d v="2025-04-02T14:26:52"/>
    <d v="2025-04-02T15:15:56"/>
    <s v="AFC"/>
    <n v="149"/>
    <d v="2025-03-13T00:00:00"/>
    <n v="3"/>
    <s v="GP-GC"/>
    <s v="JA"/>
    <n v="19"/>
    <x v="3"/>
    <s v="2. Semanalmente"/>
    <n v="0"/>
    <n v="0"/>
    <n v="0"/>
    <n v="0"/>
    <n v="0"/>
    <x v="1"/>
    <s v="1. Sí"/>
    <m/>
    <s v="6. Mestiza(o)"/>
    <m/>
    <x v="1"/>
    <s v="1. Completa"/>
    <s v="4. Es estudiante"/>
    <m/>
    <s v="3. de $920 a $1339"/>
    <s v="2. Culturales y sociales"/>
    <x v="1"/>
    <x v="1"/>
    <x v="0"/>
    <x v="0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2"/>
    <x v="0"/>
    <s v="TRANQUILIDAD"/>
    <s v="POLICIA NACIONAL"/>
    <m/>
    <m/>
    <x v="0"/>
    <x v="1"/>
    <x v="1"/>
    <x v="2"/>
    <x v="0"/>
    <x v="3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1"/>
    <x v="1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FELICIDAD"/>
    <s v="TRANQUILIDAD"/>
    <s v="SEGURIDAD"/>
    <n v="82699720"/>
    <s v="3f382700-55b4-4397-b595-7c90bb0673a6"/>
    <d v="2025-04-02T20:15:48"/>
    <m/>
    <m/>
    <s v="submitted_via_web"/>
    <m/>
    <s v="vhGz9QPwmdkBybuGFUbzwe"/>
    <m/>
    <n v="27"/>
  </r>
  <r>
    <d v="2025-04-02T14:17:48"/>
    <d v="2025-04-02T14:26:52"/>
    <s v="AFC"/>
    <n v="150"/>
    <d v="2025-03-13T00:00:00"/>
    <n v="3"/>
    <s v="AS"/>
    <s v="JA"/>
    <n v="35"/>
    <x v="0"/>
    <s v="1. Diariamente"/>
    <n v="1"/>
    <n v="0"/>
    <n v="0"/>
    <n v="0"/>
    <n v="0"/>
    <x v="1"/>
    <s v="1. Sí"/>
    <m/>
    <s v="6. Mestiza(o)"/>
    <m/>
    <x v="0"/>
    <s v="2. Incompleta"/>
    <s v="7. Dueña/o de su propio negoci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1"/>
    <x v="2"/>
    <x v="0"/>
    <s v="TRANQUILIDAD"/>
    <s v="GENTE RELAJADA"/>
    <s v="ESTRATO SOCIAL BUENO"/>
    <m/>
    <x v="0"/>
    <x v="2"/>
    <x v="1"/>
    <x v="1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1"/>
    <x v="2"/>
    <x v="0"/>
    <x v="0"/>
    <x v="0"/>
    <x v="2"/>
    <x v="1"/>
    <x v="2"/>
    <x v="0"/>
    <x v="0"/>
    <x v="0"/>
    <x v="0"/>
    <x v="0"/>
    <x v="0"/>
    <x v="0"/>
    <x v="0"/>
    <x v="0"/>
    <x v="0"/>
    <x v="0"/>
    <x v="2"/>
    <x v="0"/>
    <x v="0"/>
    <x v="1"/>
    <x v="1"/>
    <x v="1"/>
    <s v="NO HAY SERVICIO GRATUITO DE SERVICIO HIGIENICO"/>
    <x v="2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2"/>
    <x v="2"/>
    <x v="0"/>
    <x v="0"/>
    <x v="0"/>
    <x v="1"/>
    <x v="1"/>
    <x v="1"/>
    <x v="1"/>
    <x v="1"/>
    <x v="1"/>
    <x v="0"/>
    <x v="0"/>
    <x v="0"/>
    <x v="0"/>
    <x v="0"/>
    <x v="0"/>
    <m/>
    <s v="PAZ"/>
    <s v="TRANQUILIDAD"/>
    <s v="FELICIDAD EN EL PARQUE"/>
    <n v="82698144"/>
    <s v="1c320e31-57ce-495d-bf55-12c7faf101bc"/>
    <d v="2025-04-02T19:26:46"/>
    <m/>
    <m/>
    <s v="submitted_via_web"/>
    <m/>
    <s v="vhGz9QPwmdkBybuGFUbzwe"/>
    <m/>
    <n v="16"/>
  </r>
  <r>
    <d v="2025-04-03T08:43:47"/>
    <d v="2025-04-03T08:48:24"/>
    <s v="AFC"/>
    <n v="151"/>
    <d v="2025-03-14T00:00:00"/>
    <n v="3"/>
    <s v="GB-NC"/>
    <s v="JA"/>
    <n v="42"/>
    <x v="2"/>
    <s v="2. Semanalmente"/>
    <n v="0"/>
    <n v="0"/>
    <n v="0"/>
    <n v="0"/>
    <n v="1"/>
    <x v="0"/>
    <s v="1. Sí"/>
    <m/>
    <s v="6. Mestiza(o)"/>
    <m/>
    <x v="0"/>
    <s v="1. Completa"/>
    <s v="1. Trabajar"/>
    <m/>
    <s v="3. de $920 a $1339"/>
    <s v="1. Deporte / ejercicio 2. Culturales y sociales"/>
    <x v="0"/>
    <x v="1"/>
    <x v="0"/>
    <x v="0"/>
    <x v="0"/>
    <x v="0"/>
    <m/>
    <s v="2. Mañana  (06:00 a 11:59)"/>
    <x v="0"/>
    <x v="0"/>
    <x v="0"/>
    <x v="0"/>
    <x v="3"/>
    <s v="6. Área para perros 7. Áreas verdes"/>
    <x v="0"/>
    <x v="0"/>
    <x v="0"/>
    <x v="1"/>
    <x v="1"/>
    <x v="1"/>
    <x v="0"/>
    <m/>
    <x v="1"/>
    <x v="2"/>
    <x v="0"/>
    <s v="ESPACIO ABIERTO"/>
    <s v="HAY GENTE"/>
    <s v="ESTA ILUMINADO"/>
    <m/>
    <x v="0"/>
    <x v="2"/>
    <x v="2"/>
    <x v="0"/>
    <x v="2"/>
    <x v="3"/>
    <x v="2"/>
    <x v="0"/>
    <s v="A B C D E I"/>
    <n v="1"/>
    <n v="1"/>
    <n v="1"/>
    <n v="1"/>
    <n v="1"/>
    <n v="0"/>
    <n v="0"/>
    <n v="0"/>
    <n v="1"/>
    <n v="0"/>
    <n v="0"/>
    <n v="0"/>
    <n v="0"/>
    <x v="0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3"/>
    <x v="0"/>
    <x v="0"/>
    <x v="0"/>
    <x v="0"/>
    <x v="1"/>
    <x v="1"/>
    <x v="0"/>
    <x v="0"/>
    <x v="0"/>
    <x v="0"/>
    <x v="0"/>
    <x v="0"/>
    <x v="0"/>
    <x v="0"/>
    <x v="1"/>
    <x v="1"/>
    <x v="1"/>
    <x v="2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O"/>
    <s v="MOTIVADO"/>
    <s v="RELAJADO"/>
    <n v="82765060"/>
    <s v="7f7fd55a-7073-41b2-8ba5-76e4fc16fc9e"/>
    <d v="2025-04-03T13:48:17"/>
    <m/>
    <m/>
    <s v="submitted_via_web"/>
    <m/>
    <s v="vhGz9QPwmdkBybuGFUbzwe"/>
    <m/>
    <n v="53"/>
  </r>
  <r>
    <d v="2025-04-02T12:34:21"/>
    <d v="2025-04-02T14:02:38"/>
    <s v="AFC"/>
    <n v="153"/>
    <d v="2025-03-14T00:00:00"/>
    <n v="3"/>
    <s v="GB -RP"/>
    <s v="JA"/>
    <n v="51"/>
    <x v="2"/>
    <s v="1. Diariamente"/>
    <n v="0"/>
    <n v="0"/>
    <n v="0"/>
    <n v="0"/>
    <n v="0"/>
    <x v="1"/>
    <s v="1. Sí"/>
    <m/>
    <s v="6. Mestiza(o)"/>
    <m/>
    <x v="0"/>
    <s v="1. Completa"/>
    <s v="7. Dueña/o de su propio negocio"/>
    <m/>
    <s v="2. de $471 a $919"/>
    <s v="6. Otra"/>
    <x v="1"/>
    <x v="0"/>
    <x v="0"/>
    <x v="0"/>
    <x v="0"/>
    <x v="1"/>
    <s v="TRABAJO"/>
    <s v="1. Madrugada (00:00 a 05:59) 2. Mañana  (06:00 a 11:59) 3. Tarde (12:00 a 17:59) 4. Noche  (18:00 a 23:59)"/>
    <x v="1"/>
    <x v="0"/>
    <x v="1"/>
    <x v="1"/>
    <x v="2"/>
    <s v="8. Otro."/>
    <x v="0"/>
    <x v="0"/>
    <x v="0"/>
    <x v="1"/>
    <x v="0"/>
    <x v="0"/>
    <x v="1"/>
    <s v="CARPAS DE VENTA"/>
    <x v="1"/>
    <x v="1"/>
    <x v="2"/>
    <s v="HAY GUARDAPARQUES"/>
    <s v="HAY POLICIA NACIONAL"/>
    <s v="HAY GUARDIANIA"/>
    <m/>
    <x v="2"/>
    <x v="3"/>
    <x v="3"/>
    <x v="5"/>
    <x v="0"/>
    <x v="3"/>
    <x v="1"/>
    <x v="0"/>
    <s v="E L"/>
    <n v="0"/>
    <n v="0"/>
    <n v="0"/>
    <n v="0"/>
    <n v="1"/>
    <n v="0"/>
    <n v="0"/>
    <n v="0"/>
    <n v="0"/>
    <n v="0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1"/>
    <x v="1"/>
    <x v="1"/>
    <x v="2"/>
    <x v="1"/>
    <x v="2"/>
    <x v="0"/>
    <x v="3"/>
    <x v="0"/>
    <x v="0"/>
    <x v="0"/>
    <x v="0"/>
    <x v="0"/>
    <x v="0"/>
    <x v="0"/>
    <x v="0"/>
    <x v="0"/>
    <x v="0"/>
    <x v="0"/>
    <x v="0"/>
    <x v="0"/>
    <x v="3"/>
    <x v="0"/>
    <x v="0"/>
    <x v="0"/>
    <x v="2"/>
    <x v="0"/>
    <m/>
    <x v="0"/>
    <x v="0"/>
    <x v="3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1"/>
    <x v="2"/>
    <x v="1"/>
    <x v="0"/>
    <x v="0"/>
    <x v="0"/>
    <m/>
    <s v="TRANQUILIDAD"/>
    <s v="SEGURIDAD"/>
    <s v="PAZ"/>
    <n v="82697510"/>
    <s v="ff8040a8-d58b-40fe-873b-eeae578504f1"/>
    <d v="2025-04-02T19:02:32"/>
    <m/>
    <m/>
    <s v="submitted_via_web"/>
    <m/>
    <s v="vW5mhy2Axz2h6R9j6EeZpr"/>
    <m/>
    <n v="13"/>
  </r>
  <r>
    <d v="2025-04-02T12:28:05"/>
    <d v="2025-04-02T12:34:21"/>
    <s v="AFC"/>
    <n v="155"/>
    <d v="2025-03-14T00:00:00"/>
    <n v="3"/>
    <s v="BG-NC"/>
    <s v="JA"/>
    <n v="32"/>
    <x v="0"/>
    <s v="1. Diariamente"/>
    <n v="1"/>
    <n v="0"/>
    <n v="0"/>
    <n v="0"/>
    <n v="0"/>
    <x v="1"/>
    <s v="1. Sí"/>
    <m/>
    <s v="2. Afro Ecuatoriana(o)/Afro Descendiente"/>
    <m/>
    <x v="1"/>
    <s v="2. In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0"/>
    <s v="6. Área para perros 7. Áreas verdes"/>
    <x v="0"/>
    <x v="0"/>
    <x v="0"/>
    <x v="1"/>
    <x v="1"/>
    <x v="1"/>
    <x v="0"/>
    <m/>
    <x v="0"/>
    <x v="0"/>
    <x v="0"/>
    <s v="SIEMPRE HAY GENTE DE SEGURIDAD"/>
    <m/>
    <m/>
    <m/>
    <x v="1"/>
    <x v="2"/>
    <x v="2"/>
    <x v="1"/>
    <x v="0"/>
    <x v="2"/>
    <x v="2"/>
    <x v="0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1"/>
    <x v="2"/>
    <x v="0"/>
    <x v="0"/>
    <x v="0"/>
    <x v="0"/>
    <x v="0"/>
    <x v="0"/>
    <x v="0"/>
    <m/>
    <s v="SEGURA"/>
    <s v="TRANQUILA"/>
    <s v="PAAZ INTERIOR"/>
    <n v="82693407"/>
    <s v="a2586dc0-7dfb-4fdc-bddd-5b997924a98c"/>
    <d v="2025-04-02T17:34:14"/>
    <m/>
    <m/>
    <s v="submitted_via_web"/>
    <m/>
    <s v="vW5mhy2Axz2h6R9j6EeZpr"/>
    <m/>
    <n v="7"/>
  </r>
  <r>
    <d v="2025-04-03T08:12:31"/>
    <d v="2025-04-03T08:34:31"/>
    <s v="AFC"/>
    <n v="156"/>
    <d v="2025-03-14T00:00:00"/>
    <n v="3"/>
    <s v="GB-RQ"/>
    <s v="JA"/>
    <n v="47"/>
    <x v="2"/>
    <s v="2. Semanal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5. Recreación/Ocio"/>
    <x v="1"/>
    <x v="0"/>
    <x v="0"/>
    <x v="0"/>
    <x v="1"/>
    <x v="0"/>
    <m/>
    <s v="3. Tarde (12:00 a 17:59)"/>
    <x v="0"/>
    <x v="1"/>
    <x v="1"/>
    <x v="0"/>
    <x v="1"/>
    <s v="3. Caminos de ciclismo 7. Áreas verdes"/>
    <x v="0"/>
    <x v="0"/>
    <x v="1"/>
    <x v="1"/>
    <x v="0"/>
    <x v="1"/>
    <x v="0"/>
    <m/>
    <x v="1"/>
    <x v="1"/>
    <x v="0"/>
    <s v="HAY GUARDIANIA"/>
    <s v="POR GASTRONOMIA"/>
    <s v="ESPARCIMIENTO"/>
    <m/>
    <x v="1"/>
    <x v="1"/>
    <x v="3"/>
    <x v="1"/>
    <x v="0"/>
    <x v="3"/>
    <x v="1"/>
    <x v="1"/>
    <s v="A B"/>
    <n v="1"/>
    <n v="1"/>
    <n v="0"/>
    <n v="0"/>
    <n v="0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UN POCO DE INSEGURIDAD"/>
    <s v="ESPARCIMIENTO"/>
    <s v="ENTORNO SANO PARA ACTIVIDADES RECREATIVAS"/>
    <n v="82764509"/>
    <s v="acb5fff6-5cdd-4c2e-b6c3-ecb542b3c903"/>
    <d v="2025-04-03T13:34:23"/>
    <m/>
    <m/>
    <s v="submitted_via_web"/>
    <m/>
    <s v="vhGz9QPwmdkBybuGFUbzwe"/>
    <m/>
    <n v="48"/>
  </r>
  <r>
    <d v="2025-04-11T07:48:19"/>
    <d v="2025-04-11T07:52:14"/>
    <s v="GH"/>
    <n v="158"/>
    <d v="2025-03-14T00:00:00"/>
    <n v="3"/>
    <s v="GB-NC"/>
    <s v="JA"/>
    <n v="29"/>
    <x v="0"/>
    <s v="3. al menos 2 veces al mes"/>
    <n v="0"/>
    <n v="0"/>
    <n v="0"/>
    <n v="0"/>
    <n v="0"/>
    <x v="0"/>
    <s v="1. Sí"/>
    <m/>
    <s v="3. Negra(o)"/>
    <m/>
    <x v="1"/>
    <s v="2. Incompleta"/>
    <s v="1. Trabajar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0"/>
    <x v="0"/>
    <x v="0"/>
    <s v="SIEMPRE HAY MUCHA GENTE"/>
    <m/>
    <m/>
    <m/>
    <x v="0"/>
    <x v="2"/>
    <x v="2"/>
    <x v="0"/>
    <x v="0"/>
    <x v="3"/>
    <x v="4"/>
    <x v="0"/>
    <s v="C"/>
    <n v="0"/>
    <n v="0"/>
    <n v="1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1"/>
    <x v="2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1"/>
    <x v="2"/>
    <x v="0"/>
    <x v="1"/>
    <x v="2"/>
    <x v="0"/>
    <x v="1"/>
    <x v="1"/>
    <x v="0"/>
    <x v="0"/>
    <x v="0"/>
    <x v="0"/>
    <m/>
    <s v="TRANQUILO"/>
    <s v="PAZ"/>
    <s v="ALEGRIA"/>
    <n v="83509023"/>
    <s v="d0752d2e-f632-4e3d-a04a-8cf214394781"/>
    <d v="2025-04-11T12:52:14"/>
    <m/>
    <m/>
    <s v="submitted_via_web"/>
    <m/>
    <s v="v5uNQoYdGp6CCoWUMSjVDf"/>
    <m/>
    <n v="468"/>
  </r>
  <r>
    <d v="2025-04-02T12:00:28"/>
    <d v="2025-04-02T12:08:48"/>
    <s v="AFC"/>
    <n v="159"/>
    <d v="2025-03-14T00:00:00"/>
    <n v="3"/>
    <s v="AS"/>
    <s v="JA"/>
    <n v="26"/>
    <x v="0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1. Menos de $470"/>
    <s v="1. Deporte / ejercicio 6. Otra"/>
    <x v="0"/>
    <x v="0"/>
    <x v="0"/>
    <x v="0"/>
    <x v="0"/>
    <x v="1"/>
    <s v="CAMINAR LE FUNCIONA"/>
    <s v="3. Tarde (12:00 a 17:59)"/>
    <x v="0"/>
    <x v="1"/>
    <x v="1"/>
    <x v="0"/>
    <x v="3"/>
    <s v="4. Pistas para correr"/>
    <x v="0"/>
    <x v="0"/>
    <x v="0"/>
    <x v="0"/>
    <x v="0"/>
    <x v="0"/>
    <x v="0"/>
    <m/>
    <x v="1"/>
    <x v="1"/>
    <x v="0"/>
    <s v="POR MUCHA GENTE EN EL PARQUE"/>
    <m/>
    <m/>
    <m/>
    <x v="1"/>
    <x v="1"/>
    <x v="1"/>
    <x v="1"/>
    <x v="0"/>
    <x v="3"/>
    <x v="2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0"/>
    <x v="1"/>
    <x v="2"/>
    <x v="1"/>
    <x v="2"/>
    <x v="0"/>
    <x v="2"/>
    <x v="1"/>
    <x v="2"/>
    <x v="2"/>
    <x v="0"/>
    <x v="0"/>
    <x v="0"/>
    <x v="0"/>
    <x v="0"/>
    <x v="0"/>
    <x v="0"/>
    <x v="0"/>
    <x v="1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IDAD"/>
    <s v="RELAJACION"/>
    <s v="DESESTRES"/>
    <n v="82691900"/>
    <s v="7075236a-91b1-47c7-b65a-147f8596f49a"/>
    <d v="2025-04-02T17:08:41"/>
    <m/>
    <m/>
    <s v="submitted_via_web"/>
    <m/>
    <s v="vW5mhy2Axz2h6R9j6EeZpr"/>
    <m/>
    <n v="3"/>
  </r>
  <r>
    <d v="2025-04-04T09:47:38"/>
    <d v="2025-04-04T09:55:32"/>
    <s v="OM"/>
    <n v="161"/>
    <d v="2025-03-14T00:00:00"/>
    <n v="3"/>
    <s v="GP-GC"/>
    <s v="JA"/>
    <n v="39"/>
    <x v="0"/>
    <s v="1. Diariamente"/>
    <n v="1"/>
    <n v="0"/>
    <n v="0"/>
    <n v="0"/>
    <n v="0"/>
    <x v="0"/>
    <s v="1. Sí"/>
    <m/>
    <s v="1. Indígena"/>
    <m/>
    <x v="1"/>
    <s v="1. Completa"/>
    <s v="1. Trabajar"/>
    <m/>
    <s v="1. Menos de $470"/>
    <s v="2. Culturales y sociales"/>
    <x v="1"/>
    <x v="1"/>
    <x v="0"/>
    <x v="0"/>
    <x v="0"/>
    <x v="0"/>
    <m/>
    <s v="3. Tarde (12:00 a 17:59)"/>
    <x v="0"/>
    <x v="1"/>
    <x v="1"/>
    <x v="0"/>
    <x v="2"/>
    <s v="2. Rampas para patineta 3. Caminos de ciclismo"/>
    <x v="0"/>
    <x v="1"/>
    <x v="1"/>
    <x v="1"/>
    <x v="0"/>
    <x v="0"/>
    <x v="0"/>
    <m/>
    <x v="0"/>
    <x v="0"/>
    <x v="0"/>
    <s v="GUARDABOSQUES"/>
    <s v="POLICÍA NACIONAL"/>
    <m/>
    <m/>
    <x v="0"/>
    <x v="2"/>
    <x v="2"/>
    <x v="1"/>
    <x v="0"/>
    <x v="3"/>
    <x v="2"/>
    <x v="0"/>
    <s v="L"/>
    <n v="0"/>
    <n v="0"/>
    <n v="0"/>
    <n v="0"/>
    <n v="0"/>
    <n v="0"/>
    <n v="0"/>
    <n v="0"/>
    <n v="0"/>
    <n v="0"/>
    <n v="0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1"/>
    <x v="1"/>
    <x v="2"/>
    <x v="1"/>
    <x v="0"/>
    <x v="0"/>
    <x v="0"/>
    <m/>
    <s v="SEGURO"/>
    <s v="TRANQUILO"/>
    <m/>
    <n v="82850801"/>
    <s v="d5550d38-7a08-4bdf-9f4a-7970efd635bc"/>
    <d v="2025-04-04T14:55:25"/>
    <m/>
    <m/>
    <s v="submitted_via_web"/>
    <m/>
    <s v="vhGz9QPwmdkBybuGFUbzwe"/>
    <m/>
    <n v="127"/>
  </r>
  <r>
    <d v="2025-04-11T08:52:56"/>
    <d v="2025-04-11T08:58:59"/>
    <s v="OM"/>
    <n v="162"/>
    <d v="2025-03-14T00:00:00"/>
    <n v="4"/>
    <s v="GB-LS"/>
    <s v="GH"/>
    <n v="55"/>
    <x v="2"/>
    <s v="1. Diariamente"/>
    <n v="0"/>
    <n v="0"/>
    <n v="0"/>
    <n v="0"/>
    <n v="0"/>
    <x v="1"/>
    <s v="1. Sí"/>
    <m/>
    <s v="6. Mestiza(o)"/>
    <m/>
    <x v="2"/>
    <s v="1. Completa"/>
    <s v="2. Es rentista (arrendador)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GENTE"/>
    <m/>
    <m/>
    <m/>
    <x v="1"/>
    <x v="2"/>
    <x v="1"/>
    <x v="1"/>
    <x v="0"/>
    <x v="3"/>
    <x v="2"/>
    <x v="1"/>
    <s v="C"/>
    <n v="0"/>
    <n v="0"/>
    <n v="1"/>
    <n v="0"/>
    <n v="0"/>
    <n v="0"/>
    <n v="0"/>
    <n v="0"/>
    <n v="0"/>
    <n v="0"/>
    <n v="0"/>
    <n v="0"/>
    <n v="0"/>
    <x v="2"/>
    <x v="2"/>
    <x v="0"/>
    <x v="0"/>
    <x v="1"/>
    <x v="6"/>
    <n v="0"/>
    <n v="0"/>
    <n v="0"/>
    <n v="0"/>
    <n v="0"/>
    <n v="0"/>
    <n v="0"/>
    <n v="0"/>
    <n v="0"/>
    <n v="1"/>
    <n v="0"/>
    <m/>
    <m/>
    <m/>
    <m/>
    <m/>
    <m/>
    <m/>
    <m/>
    <m/>
    <m/>
    <s v="1. Sí"/>
    <m/>
    <m/>
    <m/>
    <m/>
    <m/>
    <m/>
    <m/>
    <m/>
    <m/>
    <m/>
    <m/>
    <m/>
    <m/>
    <m/>
    <m/>
    <m/>
    <m/>
    <m/>
    <m/>
    <s v="6. Ninguna"/>
    <m/>
    <m/>
    <m/>
    <m/>
    <x v="0"/>
    <x v="0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TRANQUILIDAD"/>
    <m/>
    <m/>
    <n v="83512958"/>
    <s v="d82842fa-4d0b-4c97-bfe2-44072d2b8c10"/>
    <d v="2025-04-11T13:59:00"/>
    <m/>
    <m/>
    <s v="submitted_via_web"/>
    <m/>
    <s v="v5uNQoYdGp6CCoWUMSjVDf"/>
    <m/>
    <n v="473"/>
  </r>
  <r>
    <d v="2025-04-04T09:55:32"/>
    <d v="2025-04-04T10:03:31"/>
    <s v="OM"/>
    <n v="163"/>
    <d v="2025-03-14T00:00:00"/>
    <n v="4"/>
    <s v="MQ"/>
    <s v="GH"/>
    <n v="36"/>
    <x v="0"/>
    <s v="1. Diariamente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 4. De paso"/>
    <x v="0"/>
    <x v="0"/>
    <x v="0"/>
    <x v="1"/>
    <x v="0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PEATONALES"/>
    <x v="1"/>
    <x v="1"/>
    <x v="1"/>
    <s v="PORQUE POR EL JARDÍN BOTANICO ES INSEGURO"/>
    <s v="FALTA PRESENCIA DE POLICÍA NACIONAL Y CACM"/>
    <m/>
    <m/>
    <x v="3"/>
    <x v="2"/>
    <x v="0"/>
    <x v="1"/>
    <x v="1"/>
    <x v="2"/>
    <x v="1"/>
    <x v="2"/>
    <s v="E K L"/>
    <n v="0"/>
    <n v="0"/>
    <n v="0"/>
    <n v="0"/>
    <n v="1"/>
    <n v="0"/>
    <n v="0"/>
    <n v="0"/>
    <n v="0"/>
    <n v="0"/>
    <n v="1"/>
    <n v="1"/>
    <n v="0"/>
    <x v="1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3"/>
    <x v="0"/>
    <x v="2"/>
    <x v="1"/>
    <x v="3"/>
    <x v="0"/>
    <x v="0"/>
    <x v="1"/>
    <x v="1"/>
    <x v="1"/>
    <x v="2"/>
    <x v="0"/>
    <x v="0"/>
    <x v="1"/>
    <x v="2"/>
    <x v="0"/>
    <x v="0"/>
    <x v="1"/>
    <x v="2"/>
    <x v="0"/>
    <x v="0"/>
    <x v="0"/>
    <x v="2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A"/>
    <s v="PENDIENTE"/>
    <m/>
    <n v="82851156"/>
    <s v="315aa359-c45e-49d3-9bca-f472c7a4a6b7"/>
    <d v="2025-04-04T15:03:24"/>
    <m/>
    <m/>
    <s v="submitted_via_web"/>
    <m/>
    <s v="vhGz9QPwmdkBybuGFUbzwe"/>
    <m/>
    <n v="128"/>
  </r>
  <r>
    <d v="2025-04-04T10:03:31"/>
    <d v="2025-04-04T10:42:13"/>
    <s v="OM"/>
    <n v="164"/>
    <d v="2025-03-14T00:00:00"/>
    <n v="4"/>
    <s v="MQ"/>
    <s v="GH"/>
    <n v="25"/>
    <x v="3"/>
    <s v="1. Diariamente"/>
    <n v="0"/>
    <n v="0"/>
    <n v="0"/>
    <n v="0"/>
    <n v="0"/>
    <x v="1"/>
    <s v="1. Sí"/>
    <m/>
    <s v="6. Mestiza(o)"/>
    <m/>
    <x v="1"/>
    <s v="1. Completa"/>
    <s v="1. Trabajar"/>
    <m/>
    <s v="99. NS/NC"/>
    <s v="1. Deporte / ejercicio 4. De paso"/>
    <x v="0"/>
    <x v="0"/>
    <x v="0"/>
    <x v="1"/>
    <x v="0"/>
    <x v="0"/>
    <m/>
    <s v="2. Mañana  (06:00 a 11:59) 3. Tarde (12:00 a 17:59)"/>
    <x v="0"/>
    <x v="0"/>
    <x v="1"/>
    <x v="0"/>
    <x v="1"/>
    <s v="7. Áreas verdes"/>
    <x v="0"/>
    <x v="0"/>
    <x v="0"/>
    <x v="1"/>
    <x v="0"/>
    <x v="1"/>
    <x v="0"/>
    <m/>
    <x v="0"/>
    <x v="0"/>
    <x v="1"/>
    <s v="FALTA DE POLICÍA"/>
    <s v="PORQUE EL LUGAR ES OSCURO"/>
    <m/>
    <m/>
    <x v="3"/>
    <x v="1"/>
    <x v="2"/>
    <x v="2"/>
    <x v="1"/>
    <x v="3"/>
    <x v="4"/>
    <x v="1"/>
    <s v="C"/>
    <n v="0"/>
    <n v="0"/>
    <n v="1"/>
    <n v="0"/>
    <n v="0"/>
    <n v="0"/>
    <n v="0"/>
    <n v="0"/>
    <n v="0"/>
    <n v="0"/>
    <n v="0"/>
    <n v="0"/>
    <n v="0"/>
    <x v="1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1"/>
    <x v="1"/>
    <x v="0"/>
    <x v="0"/>
    <x v="1"/>
    <x v="1"/>
    <x v="0"/>
    <x v="0"/>
    <x v="0"/>
    <x v="0"/>
    <x v="0"/>
    <x v="0"/>
    <x v="1"/>
    <x v="2"/>
    <x v="1"/>
    <x v="1"/>
    <x v="1"/>
    <x v="2"/>
    <x v="0"/>
    <x v="0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IDAD"/>
    <s v="PENDIENTE"/>
    <m/>
    <n v="82853072"/>
    <s v="82baaa81-3113-4a99-9a44-f1f4acf45a5f"/>
    <d v="2025-04-04T15:42:06"/>
    <m/>
    <m/>
    <s v="submitted_via_web"/>
    <m/>
    <s v="vhGz9QPwmdkBybuGFUbzwe"/>
    <m/>
    <n v="129"/>
  </r>
  <r>
    <d v="2025-04-04T10:42:13"/>
    <d v="2025-04-04T10:50:44"/>
    <s v="OM"/>
    <n v="165"/>
    <d v="2025-03-14T00:00:00"/>
    <n v="4"/>
    <s v="GB-CCH"/>
    <s v="GH"/>
    <n v="39"/>
    <x v="0"/>
    <s v="1. Diariamente"/>
    <n v="0"/>
    <n v="0"/>
    <n v="0"/>
    <n v="0"/>
    <n v="0"/>
    <x v="0"/>
    <s v="1. Sí"/>
    <m/>
    <s v="3. Negra(o)"/>
    <m/>
    <x v="1"/>
    <s v="2. In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HAY BUENA SEGURIDAD, USO EN LA MAÑANA"/>
    <s v="HAY BUENAS ACTIVIDADES"/>
    <m/>
    <m/>
    <x v="0"/>
    <x v="1"/>
    <x v="0"/>
    <x v="3"/>
    <x v="0"/>
    <x v="3"/>
    <x v="4"/>
    <x v="1"/>
    <s v="Ninguno"/>
    <n v="0"/>
    <n v="0"/>
    <n v="0"/>
    <n v="0"/>
    <n v="0"/>
    <n v="0"/>
    <n v="0"/>
    <n v="0"/>
    <n v="0"/>
    <n v="0"/>
    <n v="0"/>
    <n v="0"/>
    <n v="1"/>
    <x v="1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2"/>
    <x v="0"/>
    <x v="0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ME SIENTO BIEN"/>
    <m/>
    <m/>
    <n v="82853727"/>
    <s v="08aa7db9-50c4-47d4-9343-a2b05ae9100d"/>
    <d v="2025-04-04T15:50:37"/>
    <m/>
    <m/>
    <s v="submitted_via_web"/>
    <m/>
    <s v="vhGz9QPwmdkBybuGFUbzwe"/>
    <m/>
    <n v="130"/>
  </r>
  <r>
    <d v="2025-04-04T10:50:44"/>
    <d v="2025-04-04T10:58:58"/>
    <s v="OM"/>
    <n v="166"/>
    <d v="2025-03-14T00:00:00"/>
    <n v="4"/>
    <s v="GB-CCH"/>
    <s v="GH"/>
    <n v="70"/>
    <x v="1"/>
    <s v="3. al menos 2 veces al mes"/>
    <n v="0"/>
    <n v="0"/>
    <n v="0"/>
    <n v="0"/>
    <n v="0"/>
    <x v="0"/>
    <s v="1. Sí"/>
    <m/>
    <s v="6. Mestiza(o)"/>
    <m/>
    <x v="0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0"/>
    <x v="0"/>
    <x v="0"/>
    <s v="DE VEZ EN CUANDO ASOMA LA POLICÍA"/>
    <s v="ESTÁ MÁS EN LA MAÑANA"/>
    <m/>
    <m/>
    <x v="1"/>
    <x v="1"/>
    <x v="0"/>
    <x v="0"/>
    <x v="2"/>
    <x v="2"/>
    <x v="2"/>
    <x v="0"/>
    <s v="C"/>
    <n v="0"/>
    <n v="0"/>
    <n v="1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1"/>
    <x v="2"/>
    <x v="0"/>
    <x v="0"/>
    <x v="0"/>
    <x v="2"/>
    <x v="1"/>
    <x v="1"/>
    <x v="0"/>
    <x v="0"/>
    <x v="0"/>
    <x v="0"/>
    <x v="0"/>
    <x v="0"/>
    <x v="2"/>
    <x v="0"/>
    <x v="1"/>
    <x v="2"/>
    <x v="0"/>
    <x v="0"/>
    <x v="2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LO DISFRUTA"/>
    <m/>
    <m/>
    <n v="82854271"/>
    <s v="7e3ff5c9-e692-4e99-a0fe-90068d2154cc"/>
    <d v="2025-04-04T15:58:51"/>
    <m/>
    <m/>
    <s v="submitted_via_web"/>
    <m/>
    <s v="vhGz9QPwmdkBybuGFUbzwe"/>
    <m/>
    <n v="132"/>
  </r>
  <r>
    <d v="2025-04-04T10:58:58"/>
    <d v="2025-04-04T14:20:19"/>
    <s v="OM"/>
    <n v="167"/>
    <d v="2025-03-14T00:00:00"/>
    <n v="4"/>
    <s v="MQ"/>
    <s v="GH"/>
    <n v="46"/>
    <x v="2"/>
    <s v="3. al menos 2 veces al mes"/>
    <n v="1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3. Tarde (12:00 a 17:59)"/>
    <x v="0"/>
    <x v="1"/>
    <x v="1"/>
    <x v="0"/>
    <x v="1"/>
    <s v="8. Otro."/>
    <x v="0"/>
    <x v="0"/>
    <x v="0"/>
    <x v="1"/>
    <x v="0"/>
    <x v="0"/>
    <x v="1"/>
    <s v="SENDEROS"/>
    <x v="0"/>
    <x v="0"/>
    <x v="1"/>
    <s v="PRESENCIA DE POLICÍA NACIONAL"/>
    <s v="PRESENCIA DE CACM"/>
    <m/>
    <m/>
    <x v="1"/>
    <x v="1"/>
    <x v="0"/>
    <x v="2"/>
    <x v="0"/>
    <x v="3"/>
    <x v="0"/>
    <x v="1"/>
    <s v="A"/>
    <n v="1"/>
    <n v="0"/>
    <n v="0"/>
    <n v="0"/>
    <n v="0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1"/>
    <x v="3"/>
    <x v="0"/>
    <x v="0"/>
    <x v="0"/>
    <x v="0"/>
    <x v="0"/>
    <x v="0"/>
    <x v="0"/>
    <x v="0"/>
    <x v="1"/>
    <x v="1"/>
    <x v="0"/>
    <x v="0"/>
    <x v="1"/>
    <x v="1"/>
    <x v="1"/>
    <x v="2"/>
    <x v="1"/>
    <x v="1"/>
    <x v="0"/>
    <x v="0"/>
    <x v="0"/>
    <x v="0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3"/>
    <x v="1"/>
    <x v="1"/>
    <x v="0"/>
    <x v="1"/>
    <x v="2"/>
    <x v="0"/>
    <x v="1"/>
    <x v="1"/>
    <x v="1"/>
    <x v="1"/>
    <x v="1"/>
    <x v="3"/>
    <x v="0"/>
    <x v="0"/>
    <x v="0"/>
    <x v="0"/>
    <x v="0"/>
    <x v="0"/>
    <m/>
    <s v="PENDIENTE"/>
    <s v="INSEGURA"/>
    <m/>
    <n v="82865235"/>
    <s v="c1ecf800-804c-46de-8b0c-2e75213f4ee6"/>
    <d v="2025-04-04T19:20:12"/>
    <m/>
    <m/>
    <s v="submitted_via_web"/>
    <m/>
    <s v="vhGz9QPwmdkBybuGFUbzwe"/>
    <m/>
    <n v="142"/>
  </r>
  <r>
    <d v="2025-04-04T14:20:19"/>
    <d v="2025-04-04T14:26:02"/>
    <s v="OM"/>
    <n v="168"/>
    <d v="2025-03-14T00:00:00"/>
    <n v="4"/>
    <s v="GB-CCH"/>
    <s v="GH"/>
    <n v="29"/>
    <x v="0"/>
    <s v="1. Diariamente"/>
    <n v="0"/>
    <n v="0"/>
    <n v="0"/>
    <n v="0"/>
    <n v="0"/>
    <x v="0"/>
    <s v="1. Sí"/>
    <m/>
    <s v="6. Mestiza(o)"/>
    <m/>
    <x v="0"/>
    <s v="1. Completa"/>
    <s v="4. Es estudiante"/>
    <m/>
    <s v="99. NS/NC"/>
    <s v="1. Deporte / ejercicio 5. Recreación/Ocio"/>
    <x v="0"/>
    <x v="0"/>
    <x v="0"/>
    <x v="0"/>
    <x v="1"/>
    <x v="0"/>
    <m/>
    <s v="2. Mañana  (06:00 a 11:59) 3. Tarde (12:00 a 17:59)"/>
    <x v="0"/>
    <x v="0"/>
    <x v="1"/>
    <x v="0"/>
    <x v="3"/>
    <s v="3. Caminos de ciclismo"/>
    <x v="0"/>
    <x v="0"/>
    <x v="1"/>
    <x v="1"/>
    <x v="0"/>
    <x v="0"/>
    <x v="0"/>
    <m/>
    <x v="1"/>
    <x v="1"/>
    <x v="1"/>
    <s v="FALTA DE CONTROL A PERSONAS QUE CONSUMEN DROGAS"/>
    <s v="MÁS POLICÍAS"/>
    <m/>
    <m/>
    <x v="1"/>
    <x v="2"/>
    <x v="1"/>
    <x v="1"/>
    <x v="0"/>
    <x v="2"/>
    <x v="2"/>
    <x v="1"/>
    <s v="L"/>
    <n v="0"/>
    <n v="0"/>
    <n v="0"/>
    <n v="0"/>
    <n v="0"/>
    <n v="0"/>
    <n v="0"/>
    <n v="0"/>
    <n v="0"/>
    <n v="0"/>
    <n v="0"/>
    <n v="1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0"/>
    <x v="2"/>
    <x v="0"/>
    <x v="0"/>
    <x v="0"/>
    <x v="0"/>
    <x v="1"/>
    <x v="2"/>
    <x v="0"/>
    <x v="0"/>
    <x v="1"/>
    <x v="3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1"/>
    <x v="2"/>
    <x v="1"/>
    <x v="0"/>
    <x v="0"/>
    <x v="0"/>
    <m/>
    <s v="A VECES SEGURO O INSEGURO"/>
    <m/>
    <m/>
    <n v="82865518"/>
    <s v="461d4af2-36a4-4c64-8817-77159e127a44"/>
    <d v="2025-04-04T19:25:55"/>
    <m/>
    <m/>
    <s v="submitted_via_web"/>
    <m/>
    <s v="vhGz9QPwmdkBybuGFUbzwe"/>
    <m/>
    <n v="144"/>
  </r>
  <r>
    <d v="2025-04-10T12:53:09"/>
    <d v="2025-04-10T15:55:14"/>
    <s v="OM"/>
    <n v="169"/>
    <d v="2025-03-14T00:00:00"/>
    <n v="4"/>
    <s v="GB-LS"/>
    <s v="GH"/>
    <n v="38"/>
    <x v="0"/>
    <s v="2. Semanalmente"/>
    <n v="0"/>
    <n v="0"/>
    <n v="0"/>
    <n v="0"/>
    <n v="0"/>
    <x v="1"/>
    <s v="1. Sí"/>
    <m/>
    <s v="6. Mestiza(o)"/>
    <m/>
    <x v="3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VIGILANCIA"/>
    <s v="MENOS VENTAS"/>
    <m/>
    <m/>
    <x v="2"/>
    <x v="3"/>
    <x v="3"/>
    <x v="5"/>
    <x v="0"/>
    <x v="3"/>
    <x v="1"/>
    <x v="1"/>
    <s v="J"/>
    <n v="0"/>
    <n v="0"/>
    <n v="0"/>
    <n v="0"/>
    <n v="0"/>
    <n v="0"/>
    <n v="0"/>
    <n v="0"/>
    <n v="0"/>
    <n v="1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1"/>
    <x v="2"/>
    <x v="0"/>
    <x v="1"/>
    <x v="1"/>
    <x v="1"/>
    <x v="1"/>
    <x v="1"/>
    <x v="1"/>
    <x v="1"/>
    <x v="2"/>
    <x v="2"/>
    <x v="1"/>
    <x v="1"/>
    <x v="0"/>
    <m/>
    <s v="TRANQUILIDAD"/>
    <m/>
    <m/>
    <n v="83441416"/>
    <s v="8b70dc2a-eb33-4ddf-8f76-c54ca2b96514"/>
    <d v="2025-04-10T20:55:07"/>
    <m/>
    <m/>
    <s v="submitted_via_web"/>
    <m/>
    <s v="v5uNQoYdGp6CCoWUMSjVDf"/>
    <m/>
    <n v="453"/>
  </r>
  <r>
    <d v="2025-04-04T14:26:02"/>
    <d v="2025-04-04T14:31:06"/>
    <s v="OM"/>
    <n v="170"/>
    <d v="2025-03-14T00:00:00"/>
    <n v="4"/>
    <s v="GB-CCH"/>
    <s v="GH"/>
    <n v="40"/>
    <x v="0"/>
    <s v="2. Semanalmente"/>
    <n v="0"/>
    <n v="0"/>
    <n v="0"/>
    <n v="0"/>
    <n v="0"/>
    <x v="0"/>
    <s v="1. Sí"/>
    <m/>
    <s v="6. Mestiza(o)"/>
    <m/>
    <x v="5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1"/>
    <s v="ROBOS DENTRO DEL PARQUE"/>
    <s v="MUCHO ALCOHOL"/>
    <m/>
    <m/>
    <x v="1"/>
    <x v="1"/>
    <x v="1"/>
    <x v="3"/>
    <x v="3"/>
    <x v="3"/>
    <x v="4"/>
    <x v="2"/>
    <s v="L"/>
    <n v="0"/>
    <n v="0"/>
    <n v="0"/>
    <n v="0"/>
    <n v="0"/>
    <n v="0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0"/>
    <x v="0"/>
    <x v="0"/>
    <x v="0"/>
    <x v="0"/>
    <x v="0"/>
    <x v="0"/>
    <x v="2"/>
    <x v="1"/>
    <x v="1"/>
    <x v="1"/>
    <x v="3"/>
    <x v="1"/>
    <x v="2"/>
    <x v="1"/>
    <x v="1"/>
    <x v="1"/>
    <x v="1"/>
    <x v="0"/>
    <x v="1"/>
    <x v="1"/>
    <x v="1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1"/>
    <x v="1"/>
    <x v="2"/>
    <x v="1"/>
    <x v="1"/>
    <x v="2"/>
    <x v="2"/>
    <m/>
    <s v="INSEGURO, MUCHA DELINCUENCIA"/>
    <m/>
    <m/>
    <n v="82865795"/>
    <s v="1fd80731-229d-414b-ba8d-5f0e6a7dbe0d"/>
    <d v="2025-04-04T19:30:59"/>
    <m/>
    <m/>
    <s v="submitted_via_web"/>
    <m/>
    <s v="vhGz9QPwmdkBybuGFUbzwe"/>
    <m/>
    <n v="145"/>
  </r>
  <r>
    <d v="2025-04-11T08:44:00"/>
    <d v="2025-04-11T08:52:56"/>
    <s v="OM"/>
    <n v="171"/>
    <d v="2025-03-14T00:00:00"/>
    <n v="4"/>
    <s v="MQ"/>
    <s v="GH"/>
    <n v="23"/>
    <x v="3"/>
    <s v="2. Semanalmente"/>
    <n v="1"/>
    <n v="0"/>
    <n v="0"/>
    <n v="0"/>
    <n v="0"/>
    <x v="1"/>
    <s v="1. Sí"/>
    <m/>
    <s v="6. Mestiza(o)"/>
    <m/>
    <x v="0"/>
    <s v="2. Incompleta"/>
    <s v="4. Es estudiante"/>
    <m/>
    <s v="99. NS/NC"/>
    <s v="1. Deporte / ejercicio"/>
    <x v="0"/>
    <x v="0"/>
    <x v="0"/>
    <x v="0"/>
    <x v="0"/>
    <x v="0"/>
    <m/>
    <s v="1. Madrugada (00:00 a 05:59)"/>
    <x v="1"/>
    <x v="1"/>
    <x v="0"/>
    <x v="0"/>
    <x v="3"/>
    <s v="1. Canchas de fútbol y basquet 4. Pistas para correr"/>
    <x v="1"/>
    <x v="0"/>
    <x v="0"/>
    <x v="0"/>
    <x v="0"/>
    <x v="0"/>
    <x v="0"/>
    <m/>
    <x v="1"/>
    <x v="1"/>
    <x v="0"/>
    <s v="ILUMINACIÓN"/>
    <s v="GUARDAPARQUES"/>
    <s v="POLICÍA NACIONAL"/>
    <m/>
    <x v="1"/>
    <x v="2"/>
    <x v="0"/>
    <x v="0"/>
    <x v="2"/>
    <x v="3"/>
    <x v="0"/>
    <x v="0"/>
    <s v="C F"/>
    <n v="0"/>
    <n v="0"/>
    <n v="1"/>
    <n v="0"/>
    <n v="0"/>
    <n v="1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1"/>
    <x v="3"/>
    <x v="2"/>
    <x v="0"/>
    <x v="0"/>
    <x v="2"/>
    <x v="0"/>
    <x v="0"/>
    <x v="0"/>
    <x v="0"/>
    <x v="0"/>
    <x v="0"/>
    <x v="0"/>
    <x v="0"/>
    <x v="0"/>
    <x v="0"/>
    <x v="0"/>
    <x v="1"/>
    <x v="1"/>
    <x v="1"/>
    <x v="1"/>
    <x v="2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3"/>
    <x v="0"/>
    <x v="2"/>
    <x v="2"/>
    <x v="0"/>
    <x v="1"/>
    <x v="3"/>
    <x v="1"/>
    <x v="1"/>
    <x v="1"/>
    <x v="1"/>
    <x v="1"/>
    <x v="1"/>
    <x v="0"/>
    <x v="0"/>
    <x v="0"/>
    <x v="0"/>
    <x v="0"/>
    <x v="0"/>
    <m/>
    <s v="TRANQUILO"/>
    <m/>
    <m/>
    <n v="83512541"/>
    <s v="4290de4a-ac2e-4d14-80ff-619eda65bc01"/>
    <d v="2025-04-11T13:52:57"/>
    <m/>
    <m/>
    <s v="submitted_via_web"/>
    <m/>
    <s v="v5uNQoYdGp6CCoWUMSjVDf"/>
    <m/>
    <n v="472"/>
  </r>
  <r>
    <d v="2025-04-04T14:31:06"/>
    <d v="2025-04-04T14:42:39"/>
    <s v="OM"/>
    <n v="172"/>
    <d v="2025-03-14T00:00:00"/>
    <n v="4"/>
    <s v="MQ"/>
    <s v="GH"/>
    <n v="69"/>
    <x v="1"/>
    <s v="2. Semanalmente"/>
    <n v="0"/>
    <n v="0"/>
    <n v="0"/>
    <n v="0"/>
    <n v="0"/>
    <x v="1"/>
    <s v="1. Sí"/>
    <m/>
    <s v="6. Mestiza(o)"/>
    <m/>
    <x v="2"/>
    <s v="1. Completa"/>
    <s v="3. Es jubilada/o o pensionista/o"/>
    <m/>
    <s v="5. más de $1840"/>
    <s v="4. De paso"/>
    <x v="1"/>
    <x v="0"/>
    <x v="0"/>
    <x v="1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3"/>
    <s v="PRESENCIA DE POLICÍA NACIONAL"/>
    <m/>
    <m/>
    <m/>
    <x v="2"/>
    <x v="3"/>
    <x v="2"/>
    <x v="0"/>
    <x v="2"/>
    <x v="1"/>
    <x v="0"/>
    <x v="2"/>
    <s v="B E I J K L"/>
    <n v="0"/>
    <n v="1"/>
    <n v="0"/>
    <n v="0"/>
    <n v="1"/>
    <n v="0"/>
    <n v="0"/>
    <n v="0"/>
    <n v="1"/>
    <n v="1"/>
    <n v="1"/>
    <n v="1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3"/>
    <x v="0"/>
    <x v="0"/>
    <x v="0"/>
    <x v="0"/>
    <x v="1"/>
    <x v="2"/>
    <x v="0"/>
    <x v="0"/>
    <x v="1"/>
    <x v="1"/>
    <x v="0"/>
    <x v="0"/>
    <x v="1"/>
    <x v="2"/>
    <x v="1"/>
    <x v="2"/>
    <x v="0"/>
    <x v="0"/>
    <x v="0"/>
    <x v="3"/>
    <x v="0"/>
    <x v="3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1"/>
    <x v="1"/>
    <x v="4"/>
    <x v="0"/>
    <x v="0"/>
    <x v="0"/>
    <x v="0"/>
    <x v="0"/>
    <x v="0"/>
    <m/>
    <s v="INSEGURA"/>
    <m/>
    <m/>
    <n v="82866387"/>
    <s v="cbe85fa1-9bb9-4cec-bb92-bd89b6ea7a5b"/>
    <d v="2025-04-04T19:42:32"/>
    <m/>
    <m/>
    <s v="submitted_via_web"/>
    <m/>
    <s v="vhGz9QPwmdkBybuGFUbzwe"/>
    <m/>
    <n v="146"/>
  </r>
  <r>
    <d v="2025-04-04T14:42:39"/>
    <d v="2025-04-04T15:05:07"/>
    <s v="OM"/>
    <n v="173"/>
    <d v="2025-03-14T00:00:00"/>
    <n v="4"/>
    <s v="GB-CCH"/>
    <s v="GH"/>
    <n v="45"/>
    <x v="2"/>
    <s v="2. Semanalmente"/>
    <n v="1"/>
    <n v="0"/>
    <n v="0"/>
    <n v="0"/>
    <n v="0"/>
    <x v="0"/>
    <s v="1. Sí"/>
    <m/>
    <s v="6. Mestiza(o)"/>
    <m/>
    <x v="0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1"/>
    <x v="1"/>
    <x v="0"/>
    <s v="MÁS PRESENCIA DE POLÍA"/>
    <s v="MÁS GENTE"/>
    <m/>
    <m/>
    <x v="1"/>
    <x v="2"/>
    <x v="1"/>
    <x v="3"/>
    <x v="0"/>
    <x v="3"/>
    <x v="4"/>
    <x v="0"/>
    <s v="F"/>
    <n v="0"/>
    <n v="0"/>
    <n v="0"/>
    <n v="0"/>
    <n v="0"/>
    <n v="1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0"/>
    <x v="0"/>
    <x v="0"/>
    <x v="0"/>
    <x v="1"/>
    <x v="2"/>
    <x v="0"/>
    <x v="0"/>
    <x v="0"/>
    <x v="3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m/>
    <x v="0"/>
    <x v="0"/>
    <x v="3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1"/>
    <x v="1"/>
    <x v="2"/>
    <x v="1"/>
    <x v="1"/>
    <x v="2"/>
    <x v="2"/>
    <m/>
    <s v="BIEN TODO"/>
    <s v="SE ALEGRA QUE LE ARREGLEN EL PARQUE"/>
    <m/>
    <n v="82867972"/>
    <s v="94df0ee9-43ac-497f-89ff-bb219d7d563e"/>
    <d v="2025-04-04T20:05:00"/>
    <m/>
    <m/>
    <s v="submitted_via_web"/>
    <m/>
    <s v="vhGz9QPwmdkBybuGFUbzwe"/>
    <m/>
    <n v="148"/>
  </r>
  <r>
    <d v="2025-04-09T10:47:58"/>
    <d v="2025-04-09T11:09:14"/>
    <s v="GH"/>
    <n v="174"/>
    <d v="2025-03-14T00:00:00"/>
    <n v="4"/>
    <s v="GB-LS"/>
    <s v="GH"/>
    <n v="45"/>
    <x v="2"/>
    <s v="1. Diariamente"/>
    <n v="1"/>
    <n v="0"/>
    <n v="0"/>
    <n v="0"/>
    <n v="0"/>
    <x v="1"/>
    <s v="1. Sí"/>
    <m/>
    <s v="6. Mestiza(o)"/>
    <m/>
    <x v="1"/>
    <s v="1. Completa"/>
    <s v="5. Quehaceres domésticos"/>
    <m/>
    <s v="2. de $471 a $919"/>
    <s v="6. Otra"/>
    <x v="1"/>
    <x v="0"/>
    <x v="0"/>
    <x v="0"/>
    <x v="0"/>
    <x v="1"/>
    <s v="ESCUELA MUNDO JUVENIL"/>
    <s v="1. Madrugada (00:00 a 05:59)"/>
    <x v="1"/>
    <x v="1"/>
    <x v="0"/>
    <x v="0"/>
    <x v="3"/>
    <s v="8. Otro."/>
    <x v="0"/>
    <x v="0"/>
    <x v="0"/>
    <x v="1"/>
    <x v="0"/>
    <x v="0"/>
    <x v="1"/>
    <s v="ESCUELA MUNDO JUVENIL"/>
    <x v="1"/>
    <x v="1"/>
    <x v="0"/>
    <s v="SE ENCUENTRAN GUARDIAS EN LOS PARQUEADEROS"/>
    <m/>
    <m/>
    <m/>
    <x v="1"/>
    <x v="1"/>
    <x v="1"/>
    <x v="0"/>
    <x v="2"/>
    <x v="2"/>
    <x v="2"/>
    <x v="1"/>
    <s v="B F J"/>
    <n v="0"/>
    <n v="1"/>
    <n v="0"/>
    <n v="0"/>
    <n v="0"/>
    <n v="1"/>
    <n v="0"/>
    <n v="0"/>
    <n v="0"/>
    <n v="1"/>
    <n v="0"/>
    <n v="0"/>
    <n v="0"/>
    <x v="2"/>
    <x v="0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1"/>
    <x v="1"/>
    <x v="0"/>
    <x v="3"/>
    <x v="1"/>
    <x v="1"/>
    <x v="0"/>
    <x v="0"/>
    <x v="0"/>
    <x v="2"/>
    <x v="1"/>
    <x v="2"/>
    <x v="0"/>
    <x v="0"/>
    <x v="0"/>
    <x v="0"/>
    <x v="0"/>
    <x v="0"/>
    <x v="0"/>
    <x v="0"/>
    <x v="0"/>
    <x v="3"/>
    <x v="0"/>
    <x v="2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0"/>
    <x v="1"/>
    <x v="1"/>
    <x v="0"/>
    <x v="0"/>
    <x v="0"/>
    <x v="0"/>
    <x v="0"/>
    <x v="0"/>
    <x v="1"/>
    <x v="2"/>
    <x v="1"/>
    <x v="0"/>
    <x v="0"/>
    <x v="0"/>
    <m/>
    <s v="BIENESTAR"/>
    <s v="PONERSE DE ACUERDO CON EL COBRO DE DISCAPACIDAD EN EL PARQUEADERO"/>
    <m/>
    <n v="83289014"/>
    <s v="bcc7c1ca-763e-4858-833c-7bf2f822c2a2"/>
    <d v="2025-04-09T16:09:15"/>
    <m/>
    <m/>
    <s v="submitted_via_web"/>
    <m/>
    <s v="vhGz9QPwmdkBybuGFUbzwe"/>
    <m/>
    <n v="379"/>
  </r>
  <r>
    <d v="2025-04-09T10:35:26"/>
    <d v="2025-04-09T10:47:58"/>
    <s v="GH"/>
    <n v="175"/>
    <d v="2025-03-14T00:00:00"/>
    <n v="4"/>
    <s v="MQ"/>
    <s v="GH"/>
    <n v="23"/>
    <x v="3"/>
    <s v="2. Semanalmente"/>
    <n v="0"/>
    <n v="0"/>
    <n v="0"/>
    <n v="0"/>
    <n v="0"/>
    <x v="1"/>
    <s v="1. Sí"/>
    <m/>
    <s v="6. Mestiza(o)"/>
    <m/>
    <x v="1"/>
    <s v="1. Completa"/>
    <s v="4. Es estudiante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1"/>
    <x v="1"/>
    <x v="2"/>
    <s v="GUARDAPARQUES"/>
    <m/>
    <m/>
    <m/>
    <x v="0"/>
    <x v="2"/>
    <x v="0"/>
    <x v="0"/>
    <x v="2"/>
    <x v="3"/>
    <x v="0"/>
    <x v="1"/>
    <s v="E"/>
    <n v="0"/>
    <n v="0"/>
    <n v="0"/>
    <n v="0"/>
    <n v="1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0"/>
    <x v="1"/>
    <x v="1"/>
    <x v="1"/>
    <x v="1"/>
    <x v="2"/>
    <x v="1"/>
    <x v="1"/>
    <x v="1"/>
    <x v="0"/>
    <x v="0"/>
    <x v="0"/>
    <x v="0"/>
    <x v="0"/>
    <x v="0"/>
    <m/>
    <s v="TRANQUILIDAD"/>
    <m/>
    <m/>
    <n v="83284782"/>
    <s v="7a74c4d2-b730-4f6d-a0f2-b0a5e833543c"/>
    <d v="2025-04-09T15:47:58"/>
    <m/>
    <m/>
    <s v="submitted_via_web"/>
    <m/>
    <s v="vhGz9QPwmdkBybuGFUbzwe"/>
    <m/>
    <n v="378"/>
  </r>
  <r>
    <d v="2025-04-09T10:29:20"/>
    <d v="2025-04-09T10:35:26"/>
    <s v="GH"/>
    <n v="177"/>
    <d v="2025-03-14T00:00:00"/>
    <n v="4"/>
    <s v="GB-MA"/>
    <s v="GH"/>
    <n v="55"/>
    <x v="2"/>
    <s v="1. Diariamente"/>
    <n v="4"/>
    <n v="0"/>
    <n v="0"/>
    <n v="0"/>
    <n v="0"/>
    <x v="1"/>
    <s v="2. No"/>
    <s v="VENEZOLANA"/>
    <s v="6. Mestiza(o)"/>
    <m/>
    <x v="2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 8. Otro."/>
    <x v="0"/>
    <x v="0"/>
    <x v="0"/>
    <x v="0"/>
    <x v="0"/>
    <x v="0"/>
    <x v="1"/>
    <s v="CROSSFIT"/>
    <x v="1"/>
    <x v="1"/>
    <x v="0"/>
    <s v="MAS USUARIOS"/>
    <s v="SEGURIDAD"/>
    <m/>
    <m/>
    <x v="0"/>
    <x v="2"/>
    <x v="2"/>
    <x v="4"/>
    <x v="4"/>
    <x v="3"/>
    <x v="2"/>
    <x v="2"/>
    <s v="L"/>
    <n v="0"/>
    <n v="0"/>
    <n v="0"/>
    <n v="0"/>
    <n v="0"/>
    <n v="0"/>
    <n v="0"/>
    <n v="0"/>
    <n v="0"/>
    <n v="0"/>
    <n v="0"/>
    <n v="1"/>
    <n v="0"/>
    <x v="0"/>
    <x v="1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1"/>
    <x v="2"/>
    <x v="0"/>
    <x v="0"/>
    <x v="0"/>
    <x v="2"/>
    <x v="0"/>
    <x v="0"/>
    <x v="0"/>
    <x v="0"/>
    <x v="1"/>
    <x v="2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1"/>
    <x v="2"/>
    <x v="0"/>
    <x v="0"/>
    <x v="0"/>
    <x v="0"/>
    <x v="1"/>
    <x v="1"/>
    <x v="0"/>
    <x v="1"/>
    <x v="2"/>
    <x v="0"/>
    <x v="1"/>
    <x v="2"/>
    <x v="0"/>
    <x v="1"/>
    <x v="1"/>
    <x v="2"/>
    <x v="0"/>
    <x v="0"/>
    <x v="0"/>
    <x v="0"/>
    <x v="0"/>
    <x v="0"/>
    <m/>
    <s v="MARAVILLOSO"/>
    <s v="SEGURO"/>
    <m/>
    <n v="83283498"/>
    <s v="20eb591f-60b9-47ce-8c3f-b4512704305f"/>
    <d v="2025-04-09T15:35:26"/>
    <m/>
    <m/>
    <s v="submitted_via_web"/>
    <m/>
    <s v="vhGz9QPwmdkBybuGFUbzwe"/>
    <m/>
    <n v="376"/>
  </r>
  <r>
    <d v="2025-04-09T10:23:08"/>
    <d v="2025-04-09T10:29:20"/>
    <s v="GH"/>
    <n v="178"/>
    <d v="2025-03-14T00:00:00"/>
    <n v="4"/>
    <s v="GB-CCH"/>
    <s v="GH"/>
    <n v="20"/>
    <x v="3"/>
    <s v="2. Semanalmente"/>
    <n v="0"/>
    <n v="0"/>
    <n v="0"/>
    <n v="0"/>
    <n v="0"/>
    <x v="1"/>
    <s v="1. Sí"/>
    <m/>
    <s v="6. Mestiza(o)"/>
    <m/>
    <x v="1"/>
    <s v="1. Completa"/>
    <s v="4. Es estudiante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PORQUE NO LE HA PASADO NADA"/>
    <s v="TODO EN ORDEN"/>
    <m/>
    <m/>
    <x v="0"/>
    <x v="2"/>
    <x v="2"/>
    <x v="1"/>
    <x v="0"/>
    <x v="3"/>
    <x v="4"/>
    <x v="0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0"/>
    <x v="0"/>
    <x v="1"/>
    <x v="1"/>
    <x v="2"/>
    <x v="1"/>
    <x v="1"/>
    <x v="1"/>
    <x v="0"/>
    <x v="0"/>
    <x v="0"/>
    <x v="0"/>
    <x v="0"/>
    <x v="0"/>
    <m/>
    <s v="MUY SEGURO GUARDIAS QUE LES PROTEGEN"/>
    <m/>
    <m/>
    <n v="83282895"/>
    <s v="487696d3-4263-4311-a8e6-4417f35a0d62"/>
    <d v="2025-04-09T15:29:21"/>
    <m/>
    <m/>
    <s v="submitted_via_web"/>
    <m/>
    <s v="vhGz9QPwmdkBybuGFUbzwe"/>
    <m/>
    <n v="375"/>
  </r>
  <r>
    <d v="2025-04-09T09:37:13"/>
    <d v="2025-04-09T10:20:17"/>
    <s v="GH"/>
    <n v="179"/>
    <d v="2025-03-14T00:00:00"/>
    <n v="4"/>
    <s v="GB-CCH"/>
    <s v="GH"/>
    <n v="61"/>
    <x v="1"/>
    <s v="1. Diariamente"/>
    <n v="0"/>
    <n v="0"/>
    <n v="0"/>
    <n v="0"/>
    <n v="0"/>
    <x v="1"/>
    <s v="1. Sí"/>
    <m/>
    <s v="6. Mestiza(o)"/>
    <m/>
    <x v="2"/>
    <s v="1. Completa"/>
    <s v="5. Quehaceres domésticos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HACE FALTA DICIPLINA DENTRO DEL PARQUE"/>
    <s v="PASEA EN LA MAÑANA"/>
    <m/>
    <m/>
    <x v="0"/>
    <x v="2"/>
    <x v="2"/>
    <x v="3"/>
    <x v="3"/>
    <x v="3"/>
    <x v="4"/>
    <x v="1"/>
    <s v="Ninguno"/>
    <n v="0"/>
    <n v="0"/>
    <n v="0"/>
    <n v="0"/>
    <n v="0"/>
    <n v="0"/>
    <n v="0"/>
    <n v="0"/>
    <n v="0"/>
    <n v="0"/>
    <n v="0"/>
    <n v="0"/>
    <n v="1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0"/>
    <x v="1"/>
    <x v="1"/>
    <x v="0"/>
    <x v="1"/>
    <x v="0"/>
    <x v="3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SEGURA"/>
    <m/>
    <m/>
    <n v="83281876"/>
    <s v="afdfde99-6ccc-4c47-a125-af5b5d037d9e"/>
    <d v="2025-04-09T15:20:12"/>
    <m/>
    <m/>
    <s v="submitted_via_web"/>
    <m/>
    <s v="vhGz9QPwmdkBybuGFUbzwe"/>
    <m/>
    <n v="373"/>
  </r>
  <r>
    <d v="2025-04-09T09:26:07"/>
    <d v="2025-04-09T09:37:13"/>
    <s v="GH"/>
    <n v="180"/>
    <d v="2025-03-14T00:00:00"/>
    <n v="4"/>
    <s v="GB-CCH"/>
    <s v="GH"/>
    <n v="70"/>
    <x v="1"/>
    <s v="3. al menos 2 veces al mes"/>
    <n v="0"/>
    <n v="0"/>
    <n v="0"/>
    <n v="0"/>
    <n v="0"/>
    <x v="1"/>
    <s v="1. Sí"/>
    <m/>
    <s v="6. Mestiza(o)"/>
    <m/>
    <x v="2"/>
    <s v="1. Completa"/>
    <s v="3. Es jubilada/o o pensionista/o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2"/>
    <s v="ENCANTADA DE ESTAR EN EL PARQUE"/>
    <s v="FALTA EDUCACIÓN A LA GENTE"/>
    <m/>
    <m/>
    <x v="0"/>
    <x v="2"/>
    <x v="2"/>
    <x v="3"/>
    <x v="3"/>
    <x v="3"/>
    <x v="4"/>
    <x v="0"/>
    <s v="Ninguno"/>
    <n v="0"/>
    <n v="0"/>
    <n v="0"/>
    <n v="0"/>
    <n v="0"/>
    <n v="0"/>
    <n v="0"/>
    <n v="0"/>
    <n v="0"/>
    <n v="0"/>
    <n v="0"/>
    <n v="0"/>
    <n v="1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TRANQUILIDAD"/>
    <s v="EMOSION DE VER EL PARQUE HERMOSO"/>
    <s v="SITIOS RECREATIVOS"/>
    <n v="83278123"/>
    <s v="fe8f6037-9995-4101-9e95-d32b746fb005"/>
    <d v="2025-04-09T14:37:07"/>
    <m/>
    <m/>
    <s v="submitted_via_web"/>
    <m/>
    <s v="vhGz9QPwmdkBybuGFUbzwe"/>
    <m/>
    <n v="368"/>
  </r>
  <r>
    <d v="2025-04-09T09:19:10"/>
    <d v="2025-04-09T09:26:07"/>
    <s v="GH"/>
    <n v="181"/>
    <d v="2025-03-14T00:00:00"/>
    <n v="4"/>
    <s v="GB-MA"/>
    <s v="GH"/>
    <n v="67"/>
    <x v="1"/>
    <s v="3. al menos 2 veces al mes"/>
    <n v="0"/>
    <n v="0"/>
    <n v="0"/>
    <n v="0"/>
    <n v="0"/>
    <x v="0"/>
    <s v="1. Sí"/>
    <m/>
    <s v="6. Mestiza(o)"/>
    <m/>
    <x v="0"/>
    <s v="1. Completa"/>
    <s v="3. Es jubilada/o o pensionista/o"/>
    <m/>
    <s v="3. de $920 a $1339"/>
    <s v="4. De paso"/>
    <x v="1"/>
    <x v="0"/>
    <x v="0"/>
    <x v="1"/>
    <x v="0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HAY MÁS GENTE USUARIOS"/>
    <m/>
    <m/>
    <m/>
    <x v="0"/>
    <x v="2"/>
    <x v="2"/>
    <x v="1"/>
    <x v="3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PAZ"/>
    <m/>
    <m/>
    <n v="83277281"/>
    <s v="526f7f42-9ae5-4697-b101-5e19f9e02f33"/>
    <d v="2025-04-09T14:25:59"/>
    <m/>
    <m/>
    <s v="submitted_via_web"/>
    <m/>
    <s v="vhGz9QPwmdkBybuGFUbzwe"/>
    <m/>
    <n v="367"/>
  </r>
  <r>
    <d v="2025-04-09T09:12:04"/>
    <d v="2025-04-09T09:19:10"/>
    <s v="GH"/>
    <n v="182"/>
    <d v="2025-03-14T00:00:00"/>
    <n v="4"/>
    <s v="MQ"/>
    <s v="GH"/>
    <n v="60"/>
    <x v="1"/>
    <s v="2. Semanalmente"/>
    <n v="0"/>
    <n v="0"/>
    <n v="0"/>
    <n v="0"/>
    <n v="0"/>
    <x v="0"/>
    <s v="1. Sí"/>
    <m/>
    <s v="6. Mestiza(o)"/>
    <m/>
    <x v="0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1"/>
    <s v="CONSUMO DE DROGAS"/>
    <s v="POLICIA NACIONAL FALTA"/>
    <s v="CACMQ FALTA"/>
    <m/>
    <x v="1"/>
    <x v="2"/>
    <x v="1"/>
    <x v="0"/>
    <x v="2"/>
    <x v="3"/>
    <x v="1"/>
    <x v="1"/>
    <s v="C D H I"/>
    <n v="0"/>
    <n v="0"/>
    <n v="1"/>
    <n v="1"/>
    <n v="0"/>
    <n v="0"/>
    <n v="0"/>
    <n v="1"/>
    <n v="1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0"/>
    <x v="1"/>
    <x v="3"/>
    <x v="0"/>
    <x v="0"/>
    <x v="0"/>
    <x v="0"/>
    <x v="1"/>
    <x v="2"/>
    <x v="0"/>
    <x v="0"/>
    <x v="1"/>
    <x v="1"/>
    <x v="0"/>
    <x v="0"/>
    <x v="0"/>
    <x v="0"/>
    <x v="1"/>
    <x v="2"/>
    <x v="0"/>
    <x v="0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3"/>
    <x v="1"/>
    <x v="1"/>
    <x v="3"/>
    <x v="0"/>
    <x v="0"/>
    <x v="0"/>
    <x v="0"/>
    <x v="0"/>
    <x v="0"/>
    <m/>
    <s v="TRANQUILO"/>
    <s v="NERVIOSO"/>
    <s v="ESTRESADO"/>
    <n v="83276998"/>
    <s v="3d86eab0-23b1-48b5-83a0-97159d371e38"/>
    <d v="2025-04-09T14:19:04"/>
    <m/>
    <m/>
    <s v="submitted_via_web"/>
    <m/>
    <s v="vhGz9QPwmdkBybuGFUbzwe"/>
    <m/>
    <n v="366"/>
  </r>
  <r>
    <d v="2025-04-09T08:57:10"/>
    <d v="2025-04-09T09:12:04"/>
    <s v="GH"/>
    <n v="183"/>
    <d v="2025-03-14T00:00:00"/>
    <n v="4"/>
    <s v="GB-LS"/>
    <s v="GH"/>
    <n v="22"/>
    <x v="3"/>
    <s v="3. al menos 2 veces al mes"/>
    <n v="2"/>
    <n v="0"/>
    <n v="0"/>
    <n v="0"/>
    <n v="0"/>
    <x v="0"/>
    <s v="1. Sí"/>
    <m/>
    <s v="6. Mestiza(o)"/>
    <m/>
    <x v="6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0"/>
    <s v="3. Caminos de ciclismo"/>
    <x v="0"/>
    <x v="0"/>
    <x v="1"/>
    <x v="1"/>
    <x v="0"/>
    <x v="0"/>
    <x v="0"/>
    <m/>
    <x v="1"/>
    <x v="1"/>
    <x v="1"/>
    <s v="NO HAY POLICIA"/>
    <m/>
    <m/>
    <m/>
    <x v="1"/>
    <x v="1"/>
    <x v="3"/>
    <x v="2"/>
    <x v="0"/>
    <x v="0"/>
    <x v="0"/>
    <x v="1"/>
    <s v="D"/>
    <n v="0"/>
    <n v="0"/>
    <n v="0"/>
    <n v="1"/>
    <n v="0"/>
    <n v="0"/>
    <n v="0"/>
    <n v="0"/>
    <n v="0"/>
    <n v="0"/>
    <n v="0"/>
    <n v="0"/>
    <n v="0"/>
    <x v="3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3"/>
    <x v="0"/>
    <x v="0"/>
    <x v="1"/>
    <x v="2"/>
    <x v="1"/>
    <x v="1"/>
    <x v="1"/>
    <x v="3"/>
    <x v="0"/>
    <x v="0"/>
    <x v="0"/>
    <x v="0"/>
    <x v="0"/>
    <x v="0"/>
    <x v="0"/>
    <x v="0"/>
    <x v="1"/>
    <x v="2"/>
    <x v="0"/>
    <x v="2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m/>
    <m/>
    <n v="83276748"/>
    <s v="a621059d-18d9-4b19-a19b-c081f032d2cb"/>
    <d v="2025-04-09T14:11:57"/>
    <m/>
    <m/>
    <s v="submitted_via_web"/>
    <m/>
    <s v="vhGz9QPwmdkBybuGFUbzwe"/>
    <m/>
    <n v="364"/>
  </r>
  <r>
    <d v="2025-04-10T12:19:30"/>
    <d v="2025-04-10T12:37:33"/>
    <s v="OM"/>
    <n v="184"/>
    <d v="2025-03-14T00:00:00"/>
    <n v="4"/>
    <s v="GB-CCH"/>
    <s v="GH"/>
    <n v="26"/>
    <x v="0"/>
    <s v="1. Diariamente"/>
    <n v="1"/>
    <n v="0"/>
    <n v="0"/>
    <n v="0"/>
    <n v="0"/>
    <x v="1"/>
    <s v="1. Sí"/>
    <m/>
    <s v="6. Mestiza(o)"/>
    <m/>
    <x v="0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1"/>
    <x v="1"/>
    <x v="0"/>
    <s v="UN AMBIENTE TRANQUILO"/>
    <s v="LA GENTE ESTÁ EN SUS COSAS"/>
    <m/>
    <m/>
    <x v="0"/>
    <x v="2"/>
    <x v="2"/>
    <x v="3"/>
    <x v="3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0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1"/>
    <x v="2"/>
    <x v="1"/>
    <x v="1"/>
    <x v="0"/>
    <x v="2"/>
    <x v="1"/>
    <x v="1"/>
    <x v="0"/>
    <x v="0"/>
    <x v="1"/>
    <x v="2"/>
    <x v="1"/>
    <x v="1"/>
    <x v="0"/>
    <x v="0"/>
    <x v="1"/>
    <x v="2"/>
    <x v="0"/>
    <x v="2"/>
    <x v="1"/>
    <x v="2"/>
    <x v="0"/>
    <x v="2"/>
    <x v="0"/>
    <m/>
    <x v="0"/>
    <x v="1"/>
    <x v="1"/>
    <x v="2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2"/>
    <x v="1"/>
    <x v="1"/>
    <x v="1"/>
    <x v="0"/>
    <x v="0"/>
    <x v="0"/>
    <x v="0"/>
    <x v="0"/>
    <x v="0"/>
    <m/>
    <s v="TRANQUILIDAD"/>
    <s v="SEGURIDAD"/>
    <m/>
    <n v="83426854"/>
    <s v="76290af0-7769-4d5b-a4cd-5fb7a8ecae42"/>
    <d v="2025-04-10T17:37:26"/>
    <m/>
    <m/>
    <s v="submitted_via_web"/>
    <m/>
    <s v="v5uNQoYdGp6CCoWUMSjVDf"/>
    <m/>
    <n v="446"/>
  </r>
  <r>
    <d v="2025-04-09T08:41:59"/>
    <d v="2025-04-09T08:57:10"/>
    <s v="GH"/>
    <n v="185"/>
    <d v="2025-03-14T00:00:00"/>
    <n v="4"/>
    <s v="MQ"/>
    <s v="GH"/>
    <n v="62"/>
    <x v="1"/>
    <s v="1. Diariamente"/>
    <n v="0"/>
    <n v="0"/>
    <n v="0"/>
    <n v="0"/>
    <n v="0"/>
    <x v="1"/>
    <s v="1. Sí"/>
    <m/>
    <s v="6. Mestiza(o)"/>
    <m/>
    <x v="1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0"/>
    <x v="0"/>
    <x v="1"/>
    <s v="NO EXISTE PERSONAL SEGURIDAD"/>
    <s v="POLICIA NACIONAL"/>
    <m/>
    <m/>
    <x v="1"/>
    <x v="1"/>
    <x v="1"/>
    <x v="0"/>
    <x v="2"/>
    <x v="2"/>
    <x v="0"/>
    <x v="2"/>
    <s v="B"/>
    <n v="0"/>
    <n v="1"/>
    <n v="0"/>
    <n v="0"/>
    <n v="0"/>
    <n v="0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2"/>
    <x v="0"/>
    <x v="2"/>
    <x v="0"/>
    <x v="0"/>
    <x v="0"/>
    <x v="0"/>
    <x v="0"/>
    <x v="2"/>
    <x v="1"/>
    <x v="2"/>
    <x v="0"/>
    <x v="0"/>
    <x v="0"/>
    <x v="0"/>
    <x v="0"/>
    <x v="0"/>
    <x v="1"/>
    <x v="2"/>
    <x v="1"/>
    <x v="2"/>
    <x v="0"/>
    <x v="0"/>
    <x v="0"/>
    <x v="0"/>
    <x v="0"/>
    <x v="0"/>
    <x v="1"/>
    <s v="NO HAY BOTÓN DE PÁNICO EN LAS AREAS"/>
    <x v="3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3"/>
    <x v="0"/>
    <x v="0"/>
    <x v="0"/>
    <x v="0"/>
    <x v="0"/>
    <x v="0"/>
    <m/>
    <s v="INSEGURA"/>
    <s v="INTRANQUILIDAD"/>
    <m/>
    <n v="83275714"/>
    <s v="970de7e4-eaf9-4a6a-8ec9-8d28daf3c194"/>
    <d v="2025-04-09T13:57:03"/>
    <m/>
    <m/>
    <s v="submitted_via_web"/>
    <m/>
    <s v="vhGz9QPwmdkBybuGFUbzwe"/>
    <m/>
    <n v="361"/>
  </r>
  <r>
    <d v="2025-04-10T16:03:16"/>
    <d v="2025-04-10T16:10:27"/>
    <s v="OM"/>
    <n v="186"/>
    <d v="2025-03-14T00:00:00"/>
    <n v="4"/>
    <s v="GB-LS"/>
    <s v="GH"/>
    <n v="30"/>
    <x v="0"/>
    <s v="2. Semanalmente"/>
    <n v="5"/>
    <n v="0"/>
    <n v="0"/>
    <n v="0"/>
    <n v="0"/>
    <x v="0"/>
    <s v="1. Sí"/>
    <m/>
    <s v="6. Mestiza(o)"/>
    <m/>
    <x v="3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SE ENCUENTRA POLICÍA"/>
    <s v="VIENEN EN GRUPO"/>
    <m/>
    <m/>
    <x v="1"/>
    <x v="1"/>
    <x v="1"/>
    <x v="1"/>
    <x v="0"/>
    <x v="3"/>
    <x v="1"/>
    <x v="2"/>
    <s v="D L"/>
    <n v="0"/>
    <n v="0"/>
    <n v="0"/>
    <n v="1"/>
    <n v="0"/>
    <n v="0"/>
    <n v="0"/>
    <n v="0"/>
    <n v="0"/>
    <n v="0"/>
    <n v="0"/>
    <n v="1"/>
    <n v="0"/>
    <x v="2"/>
    <x v="2"/>
    <x v="1"/>
    <x v="0"/>
    <x v="1"/>
    <x v="4"/>
    <n v="0"/>
    <n v="0"/>
    <n v="0"/>
    <n v="0"/>
    <n v="0"/>
    <n v="0"/>
    <n v="0"/>
    <n v="0"/>
    <n v="0"/>
    <n v="0"/>
    <n v="1"/>
    <s v="ARTESANOS"/>
    <m/>
    <m/>
    <m/>
    <m/>
    <m/>
    <m/>
    <m/>
    <m/>
    <m/>
    <m/>
    <s v="1. Sí"/>
    <m/>
    <m/>
    <m/>
    <m/>
    <m/>
    <m/>
    <m/>
    <m/>
    <m/>
    <m/>
    <m/>
    <m/>
    <m/>
    <m/>
    <m/>
    <m/>
    <m/>
    <m/>
    <m/>
    <m/>
    <s v="6. Ninguna"/>
    <m/>
    <m/>
    <x v="0"/>
    <x v="0"/>
    <x v="0"/>
    <x v="0"/>
    <x v="1"/>
    <x v="1"/>
    <x v="0"/>
    <x v="0"/>
    <x v="0"/>
    <x v="0"/>
    <x v="0"/>
    <x v="0"/>
    <x v="1"/>
    <x v="1"/>
    <x v="0"/>
    <x v="0"/>
    <x v="0"/>
    <x v="0"/>
    <x v="0"/>
    <x v="0"/>
    <x v="0"/>
    <x v="0"/>
    <x v="1"/>
    <x v="2"/>
    <x v="0"/>
    <x v="0"/>
    <x v="0"/>
    <x v="0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2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SE SIENTE INSEGURO EN LA MAÑANA Y EN LA NOCHE"/>
    <m/>
    <m/>
    <n v="83442224"/>
    <s v="f576b875-651c-438f-b112-1f7b86b9153d"/>
    <d v="2025-04-10T21:10:21"/>
    <m/>
    <m/>
    <s v="submitted_via_web"/>
    <m/>
    <s v="v5uNQoYdGp6CCoWUMSjVDf"/>
    <m/>
    <n v="456"/>
  </r>
  <r>
    <d v="2025-04-10T12:37:33"/>
    <d v="2025-04-10T12:47:54"/>
    <s v="OM"/>
    <n v="187"/>
    <d v="2025-03-14T00:00:00"/>
    <n v="4"/>
    <s v="MQ"/>
    <s v="GH"/>
    <n v="50"/>
    <x v="2"/>
    <s v="2. Semanalmente"/>
    <n v="0"/>
    <n v="0"/>
    <n v="0"/>
    <n v="0"/>
    <n v="0"/>
    <x v="1"/>
    <s v="1. Sí"/>
    <m/>
    <s v="6. Mestiza(o)"/>
    <m/>
    <x v="0"/>
    <s v="1. Completa"/>
    <s v="1. Trabajar"/>
    <m/>
    <s v="99. NS/NC"/>
    <s v="1. Deporte / ejercicio 4. De paso"/>
    <x v="0"/>
    <x v="0"/>
    <x v="0"/>
    <x v="1"/>
    <x v="0"/>
    <x v="0"/>
    <m/>
    <s v="2. Mañana  (06:00 a 11:59)"/>
    <x v="0"/>
    <x v="0"/>
    <x v="0"/>
    <x v="0"/>
    <x v="3"/>
    <s v="7. Áreas verdes"/>
    <x v="2"/>
    <x v="2"/>
    <x v="2"/>
    <x v="2"/>
    <x v="2"/>
    <x v="2"/>
    <x v="2"/>
    <m/>
    <x v="1"/>
    <x v="1"/>
    <x v="1"/>
    <s v="PERSONAS INDIGENTES DELINCUENTES"/>
    <s v="POLICÍA NACIONAL"/>
    <s v="ILUMINACIÓN"/>
    <m/>
    <x v="1"/>
    <x v="2"/>
    <x v="1"/>
    <x v="2"/>
    <x v="0"/>
    <x v="0"/>
    <x v="0"/>
    <x v="1"/>
    <s v="A B C D E L"/>
    <n v="1"/>
    <n v="1"/>
    <n v="1"/>
    <n v="1"/>
    <n v="1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0"/>
    <x v="1"/>
    <x v="2"/>
    <x v="0"/>
    <x v="0"/>
    <x v="0"/>
    <x v="0"/>
    <x v="1"/>
    <x v="1"/>
    <x v="1"/>
    <x v="3"/>
    <x v="1"/>
    <x v="2"/>
    <x v="1"/>
    <x v="1"/>
    <x v="1"/>
    <x v="2"/>
    <x v="0"/>
    <x v="1"/>
    <x v="0"/>
    <x v="0"/>
    <x v="1"/>
    <x v="1"/>
    <x v="0"/>
    <x v="2"/>
    <x v="1"/>
    <s v="CAMPAÑAS COMERCIALIZACIÓN"/>
    <x v="2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3"/>
    <x v="0"/>
    <x v="0"/>
    <x v="0"/>
    <x v="0"/>
    <x v="0"/>
    <x v="0"/>
    <m/>
    <s v="INSEGURO"/>
    <s v="INTRANQUILO"/>
    <m/>
    <n v="83427556"/>
    <s v="4b6be8b0-0406-4778-9734-9d2a4949c840"/>
    <d v="2025-04-10T17:47:47"/>
    <m/>
    <m/>
    <s v="submitted_via_web"/>
    <m/>
    <s v="v5uNQoYdGp6CCoWUMSjVDf"/>
    <m/>
    <n v="448"/>
  </r>
  <r>
    <d v="2025-04-10T12:47:54"/>
    <d v="2025-04-10T12:53:09"/>
    <s v="OM"/>
    <n v="188"/>
    <d v="2025-03-14T00:00:00"/>
    <n v="4"/>
    <s v="GB-CCH"/>
    <s v="GH"/>
    <n v="38"/>
    <x v="0"/>
    <s v="3. al menos 2 veces al mes"/>
    <n v="0"/>
    <n v="0"/>
    <n v="0"/>
    <n v="0"/>
    <n v="0"/>
    <x v="0"/>
    <s v="2. No"/>
    <s v="GUATEMALTECA"/>
    <s v="1. Indígena"/>
    <m/>
    <x v="5"/>
    <s v="1. Completa"/>
    <s v="8. Otro"/>
    <s v="INDEPENDIENTE"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1. Canchas de fútbol y basquet"/>
    <x v="1"/>
    <x v="0"/>
    <x v="0"/>
    <x v="1"/>
    <x v="0"/>
    <x v="0"/>
    <x v="0"/>
    <m/>
    <x v="1"/>
    <x v="1"/>
    <x v="0"/>
    <s v="TODO TRANQUILO"/>
    <m/>
    <m/>
    <m/>
    <x v="0"/>
    <x v="2"/>
    <x v="2"/>
    <x v="3"/>
    <x v="3"/>
    <x v="3"/>
    <x v="4"/>
    <x v="0"/>
    <s v="Ninguno"/>
    <n v="0"/>
    <n v="0"/>
    <n v="0"/>
    <n v="0"/>
    <n v="0"/>
    <n v="0"/>
    <n v="0"/>
    <n v="0"/>
    <n v="0"/>
    <n v="0"/>
    <n v="0"/>
    <n v="0"/>
    <n v="1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1"/>
    <x v="1"/>
    <x v="1"/>
    <x v="2"/>
    <x v="1"/>
    <x v="0"/>
    <x v="0"/>
    <x v="0"/>
    <m/>
    <s v="SE SIENTE BIEN Y LE GUSTA"/>
    <s v="QUE SE MANTENGA IGUAL EL PARQUE"/>
    <m/>
    <n v="83427976"/>
    <s v="3a25ed1d-d33d-41aa-be8e-bd7e7dc78e2d"/>
    <d v="2025-04-10T17:53:03"/>
    <m/>
    <m/>
    <s v="submitted_via_web"/>
    <m/>
    <s v="v5uNQoYdGp6CCoWUMSjVDf"/>
    <m/>
    <n v="449"/>
  </r>
  <r>
    <d v="2025-04-10T16:10:27"/>
    <d v="2025-04-10T16:15:15"/>
    <s v="OM"/>
    <n v="190"/>
    <d v="2025-03-14T00:00:00"/>
    <n v="4"/>
    <s v="GB-LS"/>
    <s v="GH"/>
    <n v="23"/>
    <x v="3"/>
    <s v="3. al menos 2 veces al mes"/>
    <n v="0"/>
    <n v="0"/>
    <n v="0"/>
    <n v="0"/>
    <n v="0"/>
    <x v="0"/>
    <s v="1. Sí"/>
    <m/>
    <s v="6. Mestiza(o)"/>
    <m/>
    <x v="1"/>
    <s v="1. Completa"/>
    <s v="4. Es estudiante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2"/>
    <s v="GENTE TRANQUILA"/>
    <s v="LA ATENCIÓN DE LOS SERVIDORES ES BUENA"/>
    <m/>
    <m/>
    <x v="0"/>
    <x v="2"/>
    <x v="3"/>
    <x v="1"/>
    <x v="0"/>
    <x v="3"/>
    <x v="0"/>
    <x v="2"/>
    <s v="L"/>
    <n v="0"/>
    <n v="0"/>
    <n v="0"/>
    <n v="0"/>
    <n v="0"/>
    <n v="0"/>
    <n v="0"/>
    <n v="0"/>
    <n v="0"/>
    <n v="0"/>
    <n v="0"/>
    <n v="1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2"/>
    <x v="0"/>
    <x v="0"/>
    <x v="0"/>
    <x v="0"/>
    <x v="2"/>
    <x v="1"/>
    <x v="2"/>
    <x v="0"/>
    <x v="0"/>
    <x v="0"/>
    <x v="0"/>
    <x v="0"/>
    <x v="0"/>
    <x v="0"/>
    <x v="0"/>
    <x v="0"/>
    <x v="1"/>
    <x v="0"/>
    <x v="0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1"/>
    <x v="1"/>
    <x v="0"/>
    <x v="0"/>
    <x v="0"/>
    <x v="0"/>
    <x v="0"/>
    <x v="0"/>
    <m/>
    <s v="TRANQUILIDAD"/>
    <s v="PAZ"/>
    <s v="LIBERTAD"/>
    <n v="83442732"/>
    <s v="3280fe32-e03d-4ecd-bbe7-efb330a90d37"/>
    <d v="2025-04-10T21:15:08"/>
    <m/>
    <m/>
    <s v="submitted_via_web"/>
    <m/>
    <s v="v5uNQoYdGp6CCoWUMSjVDf"/>
    <m/>
    <n v="458"/>
  </r>
  <r>
    <d v="2025-04-08T16:16:39"/>
    <d v="2025-04-08T16:20:38"/>
    <s v="GH"/>
    <n v="191"/>
    <d v="2025-03-14T00:00:00"/>
    <n v="4"/>
    <s v="GB-CCH"/>
    <s v="GH"/>
    <n v="69"/>
    <x v="1"/>
    <s v="1. Diariamente"/>
    <n v="1"/>
    <n v="0"/>
    <n v="0"/>
    <n v="0"/>
    <n v="0"/>
    <x v="0"/>
    <s v="1. Sí"/>
    <m/>
    <s v="6. Mestiza(o)"/>
    <m/>
    <x v="2"/>
    <s v="1. Completa"/>
    <s v="1. Trabajar"/>
    <m/>
    <s v="4. de $1340 a $1839"/>
    <s v="1. Deporte / ejercicio"/>
    <x v="0"/>
    <x v="0"/>
    <x v="0"/>
    <x v="0"/>
    <x v="0"/>
    <x v="0"/>
    <m/>
    <s v="2. Mañana  (06:00 a 11:59) 3. Tarde (12:00 a 17:59)"/>
    <x v="0"/>
    <x v="0"/>
    <x v="1"/>
    <x v="0"/>
    <x v="3"/>
    <s v="7. Áreas verdes"/>
    <x v="0"/>
    <x v="0"/>
    <x v="0"/>
    <x v="1"/>
    <x v="0"/>
    <x v="1"/>
    <x v="0"/>
    <m/>
    <x v="0"/>
    <x v="0"/>
    <x v="2"/>
    <s v="MUY BIEN DENTRO DEL PARQUE"/>
    <s v="VIVE CERCA AL PARQUE"/>
    <m/>
    <m/>
    <x v="1"/>
    <x v="1"/>
    <x v="1"/>
    <x v="3"/>
    <x v="3"/>
    <x v="3"/>
    <x v="4"/>
    <x v="0"/>
    <s v="A L"/>
    <n v="1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BIENESTAR AL ORGANISMO"/>
    <s v="MENTALMENTE"/>
    <m/>
    <n v="83192073"/>
    <s v="e26209c8-f58b-4488-a8bd-44b2668e940c"/>
    <d v="2025-04-08T21:20:31"/>
    <m/>
    <m/>
    <s v="submitted_via_web"/>
    <m/>
    <s v="vhGz9QPwmdkBybuGFUbzwe"/>
    <m/>
    <n v="359"/>
  </r>
  <r>
    <d v="2025-04-08T16:11:51"/>
    <d v="2025-04-08T16:16:39"/>
    <s v="GH"/>
    <n v="192"/>
    <d v="2025-03-14T00:00:00"/>
    <n v="4"/>
    <s v="GB-MA"/>
    <s v="GH"/>
    <n v="26"/>
    <x v="0"/>
    <s v="1. Diariamente"/>
    <n v="3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 7. Áreas verdes"/>
    <x v="1"/>
    <x v="0"/>
    <x v="0"/>
    <x v="1"/>
    <x v="0"/>
    <x v="1"/>
    <x v="0"/>
    <m/>
    <x v="1"/>
    <x v="1"/>
    <x v="1"/>
    <s v="ROBOS EN LA NOCHE"/>
    <m/>
    <m/>
    <m/>
    <x v="0"/>
    <x v="2"/>
    <x v="2"/>
    <x v="1"/>
    <x v="0"/>
    <x v="3"/>
    <x v="2"/>
    <x v="1"/>
    <s v="J"/>
    <n v="0"/>
    <n v="0"/>
    <n v="0"/>
    <n v="0"/>
    <n v="0"/>
    <n v="0"/>
    <n v="0"/>
    <n v="0"/>
    <n v="0"/>
    <n v="1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3"/>
    <x v="1"/>
    <x v="3"/>
    <x v="1"/>
    <x v="3"/>
    <x v="1"/>
    <x v="3"/>
    <x v="1"/>
    <x v="3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1"/>
    <x v="1"/>
    <x v="1"/>
    <x v="1"/>
    <x v="1"/>
    <x v="2"/>
    <x v="1"/>
    <x v="2"/>
    <x v="2"/>
    <x v="0"/>
    <x v="0"/>
    <x v="0"/>
    <m/>
    <s v="SATISFACCIÓN BUENA"/>
    <m/>
    <m/>
    <n v="83191649"/>
    <s v="0d4410d9-3261-48fa-9c82-c99af3e9427a"/>
    <d v="2025-04-08T21:16:31"/>
    <m/>
    <m/>
    <s v="submitted_via_web"/>
    <m/>
    <s v="vhGz9QPwmdkBybuGFUbzwe"/>
    <m/>
    <n v="358"/>
  </r>
  <r>
    <d v="2025-04-08T16:07:21"/>
    <d v="2025-04-08T16:11:51"/>
    <s v="GH"/>
    <n v="193"/>
    <d v="2025-03-14T00:00:00"/>
    <n v="4"/>
    <s v="MQ"/>
    <s v="GH"/>
    <n v="28"/>
    <x v="0"/>
    <s v="2. Semanalmente"/>
    <n v="0"/>
    <n v="0"/>
    <n v="0"/>
    <n v="0"/>
    <n v="0"/>
    <x v="1"/>
    <s v="1. Sí"/>
    <m/>
    <s v="6. Mestiza(o)"/>
    <m/>
    <x v="3"/>
    <s v="1. Completa"/>
    <s v="1. Trabajar"/>
    <m/>
    <s v="2. de $471 a $919"/>
    <s v="1. Deporte / ejercicio"/>
    <x v="0"/>
    <x v="0"/>
    <x v="0"/>
    <x v="0"/>
    <x v="0"/>
    <x v="0"/>
    <m/>
    <s v="4. Noche  (18:00 a 23:59)"/>
    <x v="0"/>
    <x v="1"/>
    <x v="0"/>
    <x v="1"/>
    <x v="1"/>
    <s v="4. Pistas para correr"/>
    <x v="0"/>
    <x v="0"/>
    <x v="0"/>
    <x v="0"/>
    <x v="0"/>
    <x v="0"/>
    <x v="0"/>
    <m/>
    <x v="1"/>
    <x v="1"/>
    <x v="1"/>
    <s v="FALTA SEGURIDAD"/>
    <s v="FALTA ILUMINACIÓN"/>
    <m/>
    <m/>
    <x v="1"/>
    <x v="2"/>
    <x v="1"/>
    <x v="1"/>
    <x v="0"/>
    <x v="3"/>
    <x v="2"/>
    <x v="1"/>
    <s v="B E F"/>
    <n v="0"/>
    <n v="1"/>
    <n v="0"/>
    <n v="0"/>
    <n v="1"/>
    <n v="1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1"/>
    <x v="3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2"/>
    <x v="3"/>
    <x v="1"/>
    <x v="1"/>
    <x v="0"/>
    <x v="0"/>
    <x v="0"/>
    <x v="0"/>
    <x v="0"/>
    <x v="1"/>
    <x v="3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ALERTA"/>
    <s v="INSEGURA"/>
    <m/>
    <n v="83191235"/>
    <s v="a1b75b57-2134-4780-a5cb-fe12f563dc18"/>
    <d v="2025-04-08T21:11:44"/>
    <m/>
    <m/>
    <s v="submitted_via_web"/>
    <m/>
    <s v="vhGz9QPwmdkBybuGFUbzwe"/>
    <m/>
    <n v="357"/>
  </r>
  <r>
    <d v="2025-04-08T16:02:59"/>
    <d v="2025-04-08T16:07:21"/>
    <s v="GH"/>
    <n v="194"/>
    <d v="2025-03-14T00:00:00"/>
    <n v="4"/>
    <s v="GB-CCH"/>
    <s v="GH"/>
    <n v="34"/>
    <x v="0"/>
    <s v="1. Diariamente"/>
    <n v="0"/>
    <n v="0"/>
    <n v="0"/>
    <n v="0"/>
    <n v="0"/>
    <x v="0"/>
    <s v="1. Sí"/>
    <m/>
    <s v="5. Montubi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TODO BIEN TRANQUILO"/>
    <s v="SATISFECHO"/>
    <m/>
    <m/>
    <x v="0"/>
    <x v="2"/>
    <x v="2"/>
    <x v="1"/>
    <x v="0"/>
    <x v="3"/>
    <x v="4"/>
    <x v="0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TRANQUILO SEGURO EN PAZ CON LA FAMILIA"/>
    <m/>
    <m/>
    <n v="83190920"/>
    <s v="608f1ee4-00c8-4606-839e-4086faf28293"/>
    <d v="2025-04-08T21:07:13"/>
    <m/>
    <m/>
    <s v="submitted_via_web"/>
    <m/>
    <s v="vhGz9QPwmdkBybuGFUbzwe"/>
    <m/>
    <n v="356"/>
  </r>
  <r>
    <d v="2025-04-08T15:29:12"/>
    <d v="2025-04-08T16:02:59"/>
    <s v="GH"/>
    <n v="195"/>
    <d v="2025-03-14T00:00:00"/>
    <n v="4"/>
    <s v="MQ"/>
    <s v="GH"/>
    <n v="27"/>
    <x v="0"/>
    <s v="1. Diariamente"/>
    <n v="0"/>
    <n v="0"/>
    <n v="0"/>
    <n v="0"/>
    <n v="0"/>
    <x v="1"/>
    <s v="1. Sí"/>
    <m/>
    <s v="6. Mestiza(o)"/>
    <m/>
    <x v="1"/>
    <s v="1. Completa"/>
    <s v="1. Trabajar"/>
    <m/>
    <s v="99. NS/NC"/>
    <s v="1. Deporte / ejercicio"/>
    <x v="0"/>
    <x v="0"/>
    <x v="0"/>
    <x v="0"/>
    <x v="0"/>
    <x v="0"/>
    <m/>
    <s v="3. Tarde (12:00 a 17:59)"/>
    <x v="0"/>
    <x v="1"/>
    <x v="1"/>
    <x v="0"/>
    <x v="1"/>
    <s v="8. Otro."/>
    <x v="0"/>
    <x v="0"/>
    <x v="0"/>
    <x v="1"/>
    <x v="0"/>
    <x v="0"/>
    <x v="1"/>
    <s v="SENDEROS"/>
    <x v="1"/>
    <x v="1"/>
    <x v="0"/>
    <s v="SITIOS DE CONCURRENCIA"/>
    <s v="EXISTENCIA PRESENCIA DE GENTE"/>
    <m/>
    <m/>
    <x v="1"/>
    <x v="2"/>
    <x v="1"/>
    <x v="0"/>
    <x v="0"/>
    <x v="3"/>
    <x v="0"/>
    <x v="2"/>
    <s v="F"/>
    <n v="0"/>
    <n v="0"/>
    <n v="0"/>
    <n v="0"/>
    <n v="0"/>
    <n v="1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0"/>
    <x v="2"/>
    <x v="0"/>
    <x v="0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TRANQUILIDAD"/>
    <s v="PENDIENTE"/>
    <m/>
    <n v="83190681"/>
    <s v="0926a9d5-f38d-4cee-8557-8a5cf9b4bbd0"/>
    <d v="2025-04-08T21:02:52"/>
    <m/>
    <m/>
    <s v="submitted_via_web"/>
    <m/>
    <s v="vhGz9QPwmdkBybuGFUbzwe"/>
    <m/>
    <n v="355"/>
  </r>
  <r>
    <d v="2025-04-10T16:15:15"/>
    <d v="2025-04-10T16:19:33"/>
    <s v="OM"/>
    <n v="196"/>
    <d v="2025-03-14T00:00:00"/>
    <n v="4"/>
    <s v="GB-LS"/>
    <s v="GH"/>
    <n v="19"/>
    <x v="3"/>
    <s v="1. Diariamente"/>
    <n v="0"/>
    <n v="0"/>
    <n v="0"/>
    <n v="0"/>
    <n v="0"/>
    <x v="0"/>
    <s v="1. Sí"/>
    <m/>
    <s v="6. Mestiza(o)"/>
    <m/>
    <x v="1"/>
    <s v="1. Completa"/>
    <s v="2. Es rentista (arrendador)"/>
    <m/>
    <s v="2. de $471 a $919"/>
    <s v="5. Recreación/Ocio"/>
    <x v="1"/>
    <x v="0"/>
    <x v="0"/>
    <x v="0"/>
    <x v="1"/>
    <x v="0"/>
    <m/>
    <s v="3. Tarde (12:00 a 17:59) 4. Noche  (18:00 a 23:59)"/>
    <x v="0"/>
    <x v="1"/>
    <x v="1"/>
    <x v="1"/>
    <x v="3"/>
    <s v="7. Áreas verdes"/>
    <x v="0"/>
    <x v="0"/>
    <x v="0"/>
    <x v="1"/>
    <x v="0"/>
    <x v="1"/>
    <x v="0"/>
    <m/>
    <x v="1"/>
    <x v="1"/>
    <x v="2"/>
    <s v="PORQUE HAY GENTE"/>
    <s v="NO ROBAN"/>
    <m/>
    <m/>
    <x v="0"/>
    <x v="2"/>
    <x v="2"/>
    <x v="5"/>
    <x v="0"/>
    <x v="4"/>
    <x v="0"/>
    <x v="0"/>
    <s v="L"/>
    <n v="0"/>
    <n v="0"/>
    <n v="0"/>
    <n v="0"/>
    <n v="0"/>
    <n v="0"/>
    <n v="0"/>
    <n v="0"/>
    <n v="0"/>
    <n v="0"/>
    <n v="0"/>
    <n v="1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1"/>
    <x v="2"/>
    <x v="0"/>
    <x v="0"/>
    <x v="0"/>
    <x v="0"/>
    <x v="0"/>
    <x v="0"/>
    <m/>
    <s v="TRANQUILIDAD"/>
    <m/>
    <m/>
    <n v="83443186"/>
    <s v="8b2e4d56-3f66-48f1-8e03-f4a625404030"/>
    <d v="2025-04-10T21:19:26"/>
    <m/>
    <m/>
    <s v="submitted_via_web"/>
    <m/>
    <s v="v5uNQoYdGp6CCoWUMSjVDf"/>
    <m/>
    <n v="460"/>
  </r>
  <r>
    <d v="2025-04-08T14:25:18"/>
    <d v="2025-04-08T15:29:12"/>
    <s v="GH"/>
    <n v="197"/>
    <d v="2025-03-14T00:00:00"/>
    <n v="4"/>
    <s v="GB-CCH"/>
    <s v="GH"/>
    <n v="39"/>
    <x v="0"/>
    <s v="1. Diariamente"/>
    <n v="1"/>
    <n v="0"/>
    <n v="0"/>
    <n v="0"/>
    <n v="0"/>
    <x v="1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 3. Tarde (12:00 a 17:59)"/>
    <x v="0"/>
    <x v="0"/>
    <x v="1"/>
    <x v="0"/>
    <x v="1"/>
    <s v="7. Áreas verdes"/>
    <x v="0"/>
    <x v="0"/>
    <x v="0"/>
    <x v="1"/>
    <x v="0"/>
    <x v="1"/>
    <x v="0"/>
    <m/>
    <x v="1"/>
    <x v="1"/>
    <x v="0"/>
    <s v="HASTA AHORA SEGURO"/>
    <s v="NO HABIDO ROBOS CUANDO PASA"/>
    <m/>
    <m/>
    <x v="0"/>
    <x v="2"/>
    <x v="2"/>
    <x v="1"/>
    <x v="0"/>
    <x v="3"/>
    <x v="4"/>
    <x v="0"/>
    <s v="A"/>
    <n v="1"/>
    <n v="0"/>
    <n v="0"/>
    <n v="0"/>
    <n v="0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SEGURA TRANQUILA"/>
    <s v="ESTABILIDAD"/>
    <m/>
    <n v="83188590"/>
    <s v="12f6b014-c9e8-4c79-8aaa-19429c1dffdb"/>
    <d v="2025-04-08T20:29:06"/>
    <m/>
    <m/>
    <s v="submitted_via_web"/>
    <m/>
    <s v="vhGz9QPwmdkBybuGFUbzwe"/>
    <m/>
    <n v="354"/>
  </r>
  <r>
    <d v="2025-04-11T08:25:08"/>
    <d v="2025-04-11T08:44:00"/>
    <s v="OM"/>
    <n v="198"/>
    <d v="2025-03-14T00:00:00"/>
    <n v="4"/>
    <s v="MQ"/>
    <s v="GH"/>
    <n v="29"/>
    <x v="0"/>
    <s v="2. Semanalmente"/>
    <n v="3"/>
    <n v="0"/>
    <n v="0"/>
    <n v="0"/>
    <n v="0"/>
    <x v="1"/>
    <s v="1. Sí"/>
    <m/>
    <s v="2. Afro Ecuatoriana(o)/Afro Descendiente"/>
    <m/>
    <x v="0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3"/>
    <s v="8. Otro."/>
    <x v="0"/>
    <x v="0"/>
    <x v="0"/>
    <x v="1"/>
    <x v="0"/>
    <x v="0"/>
    <x v="1"/>
    <s v="SENDEROS"/>
    <x v="0"/>
    <x v="0"/>
    <x v="0"/>
    <s v="EXISTE GENTE"/>
    <s v="ACUDE A LUGARES CON GENTE DEL PARQUE"/>
    <m/>
    <m/>
    <x v="4"/>
    <x v="2"/>
    <x v="0"/>
    <x v="0"/>
    <x v="0"/>
    <x v="3"/>
    <x v="0"/>
    <x v="1"/>
    <s v="B D E I J"/>
    <n v="0"/>
    <n v="1"/>
    <n v="0"/>
    <n v="1"/>
    <n v="0"/>
    <n v="1"/>
    <n v="0"/>
    <n v="0"/>
    <n v="1"/>
    <n v="1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tranquila"/>
    <m/>
    <m/>
    <n v="83512112"/>
    <s v="2d39b4ac-af59-484b-a885-2498ab675bad"/>
    <d v="2025-04-11T13:44:01"/>
    <m/>
    <m/>
    <s v="submitted_via_web"/>
    <m/>
    <s v="v5uNQoYdGp6CCoWUMSjVDf"/>
    <m/>
    <n v="471"/>
  </r>
  <r>
    <d v="2025-04-10T16:19:33"/>
    <d v="2025-04-10T16:23:27"/>
    <s v="OM"/>
    <n v="199"/>
    <d v="2025-03-14T00:00:00"/>
    <n v="4"/>
    <s v="GB-LS"/>
    <s v="GH"/>
    <n v="42"/>
    <x v="2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1. Menos de $470"/>
    <s v="4. De paso"/>
    <x v="1"/>
    <x v="0"/>
    <x v="0"/>
    <x v="1"/>
    <x v="0"/>
    <x v="0"/>
    <m/>
    <s v="4. Noche  (18:00 a 23:59)"/>
    <x v="0"/>
    <x v="1"/>
    <x v="0"/>
    <x v="1"/>
    <x v="1"/>
    <s v="3. Caminos de ciclismo"/>
    <x v="0"/>
    <x v="0"/>
    <x v="1"/>
    <x v="1"/>
    <x v="0"/>
    <x v="0"/>
    <x v="0"/>
    <m/>
    <x v="0"/>
    <x v="0"/>
    <x v="0"/>
    <s v="ANDA EN LA BICICLETA Y NO SE DETIENE"/>
    <m/>
    <m/>
    <m/>
    <x v="0"/>
    <x v="2"/>
    <x v="2"/>
    <x v="0"/>
    <x v="2"/>
    <x v="3"/>
    <x v="0"/>
    <x v="1"/>
    <s v="K"/>
    <n v="0"/>
    <n v="0"/>
    <n v="0"/>
    <n v="0"/>
    <n v="0"/>
    <n v="0"/>
    <n v="0"/>
    <n v="0"/>
    <n v="0"/>
    <n v="0"/>
    <n v="1"/>
    <n v="0"/>
    <n v="0"/>
    <x v="1"/>
    <x v="0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2"/>
    <x v="0"/>
    <x v="0"/>
    <x v="0"/>
    <x v="1"/>
    <x v="1"/>
    <x v="1"/>
    <x v="2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1"/>
    <x v="1"/>
    <x v="0"/>
    <m/>
    <s v="SE SIENTE CALMADO"/>
    <m/>
    <m/>
    <n v="83443448"/>
    <s v="ec69968b-bd69-4bbb-956c-ffc55f11005b"/>
    <d v="2025-04-10T21:23:20"/>
    <m/>
    <m/>
    <s v="submitted_via_web"/>
    <m/>
    <s v="v5uNQoYdGp6CCoWUMSjVDf"/>
    <m/>
    <n v="462"/>
  </r>
  <r>
    <d v="2025-04-04T13:43:16"/>
    <d v="2025-04-04T13:48:02"/>
    <s v="AFC"/>
    <n v="201"/>
    <d v="2025-03-14T00:00:00"/>
    <n v="4"/>
    <s v="MQ"/>
    <s v="GH"/>
    <n v="54"/>
    <x v="2"/>
    <s v="2. Semanalmente"/>
    <n v="0"/>
    <n v="0"/>
    <n v="0"/>
    <n v="0"/>
    <n v="0"/>
    <x v="0"/>
    <s v="1. Sí"/>
    <m/>
    <s v="6. Mestiza(o)"/>
    <m/>
    <x v="5"/>
    <s v="1. Completa"/>
    <s v="1. Trabajar"/>
    <m/>
    <s v="99. NS/NC"/>
    <s v="4. De paso"/>
    <x v="1"/>
    <x v="0"/>
    <x v="0"/>
    <x v="1"/>
    <x v="0"/>
    <x v="0"/>
    <m/>
    <s v="3. Tarde (12:00 a 17:59)"/>
    <x v="0"/>
    <x v="1"/>
    <x v="1"/>
    <x v="0"/>
    <x v="1"/>
    <s v="8. Otro."/>
    <x v="0"/>
    <x v="0"/>
    <x v="0"/>
    <x v="1"/>
    <x v="0"/>
    <x v="0"/>
    <x v="1"/>
    <s v="SERVICIOS"/>
    <x v="0"/>
    <x v="0"/>
    <x v="0"/>
    <s v="SEGURIDAD GUARDIANIA"/>
    <s v="POLICIA NACIONAL"/>
    <m/>
    <m/>
    <x v="4"/>
    <x v="2"/>
    <x v="0"/>
    <x v="1"/>
    <x v="0"/>
    <x v="3"/>
    <x v="0"/>
    <x v="2"/>
    <s v="A C E L"/>
    <n v="1"/>
    <n v="0"/>
    <n v="1"/>
    <n v="0"/>
    <n v="1"/>
    <n v="0"/>
    <n v="0"/>
    <n v="0"/>
    <n v="0"/>
    <n v="0"/>
    <n v="0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1"/>
    <x v="1"/>
    <x v="1"/>
    <x v="3"/>
    <x v="0"/>
    <x v="0"/>
    <x v="1"/>
    <x v="1"/>
    <x v="0"/>
    <x v="0"/>
    <x v="1"/>
    <x v="2"/>
    <x v="0"/>
    <x v="0"/>
    <x v="0"/>
    <x v="0"/>
    <x v="0"/>
    <x v="0"/>
    <x v="1"/>
    <x v="2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4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TRANQUILIDAD"/>
    <s v="PAZ"/>
    <m/>
    <n v="82863877"/>
    <s v="a210f9e4-ac6e-44fb-9579-9efbe911a495"/>
    <d v="2025-04-04T18:47:55"/>
    <m/>
    <m/>
    <s v="submitted_via_web"/>
    <m/>
    <s v="vhGz9QPwmdkBybuGFUbzwe"/>
    <m/>
    <n v="140"/>
  </r>
  <r>
    <d v="2025-04-04T12:35:24"/>
    <d v="2025-04-04T12:49:11"/>
    <s v="AFC"/>
    <n v="203"/>
    <d v="2025-03-14T00:00:00"/>
    <n v="4"/>
    <s v="GB-LS"/>
    <s v="GH"/>
    <n v="65"/>
    <x v="1"/>
    <s v="1. Diariamente"/>
    <n v="2"/>
    <n v="0"/>
    <n v="1"/>
    <n v="0"/>
    <n v="0"/>
    <x v="1"/>
    <s v="1. Sí"/>
    <m/>
    <s v="6. Mestiza(o)"/>
    <m/>
    <x v="0"/>
    <s v="1. Completa"/>
    <s v="3. Es jubilada/o o pensionista/o"/>
    <m/>
    <s v="3. de $920 a $1339"/>
    <s v="2. Culturales y sociales 4. De paso"/>
    <x v="1"/>
    <x v="1"/>
    <x v="0"/>
    <x v="1"/>
    <x v="0"/>
    <x v="0"/>
    <m/>
    <s v="2. Mañana  (06:00 a 11:59) 3. Tarde (12:00 a 17:59)"/>
    <x v="0"/>
    <x v="0"/>
    <x v="1"/>
    <x v="0"/>
    <x v="1"/>
    <s v="3. Caminos de ciclismo"/>
    <x v="0"/>
    <x v="0"/>
    <x v="1"/>
    <x v="1"/>
    <x v="0"/>
    <x v="0"/>
    <x v="0"/>
    <m/>
    <x v="0"/>
    <x v="0"/>
    <x v="0"/>
    <s v="POLICIA"/>
    <s v="HAY BASTANTE GENTE"/>
    <m/>
    <m/>
    <x v="1"/>
    <x v="1"/>
    <x v="1"/>
    <x v="0"/>
    <x v="2"/>
    <x v="3"/>
    <x v="0"/>
    <x v="1"/>
    <s v="K"/>
    <n v="0"/>
    <n v="0"/>
    <n v="0"/>
    <n v="0"/>
    <n v="0"/>
    <n v="0"/>
    <n v="0"/>
    <n v="0"/>
    <n v="0"/>
    <n v="0"/>
    <n v="1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1"/>
    <s v="VENDEDORES AMBULANTES, MUSICA A ALTO VOLUMEN, BASURA EL SABADO Y DOMINGO O DIAS FERIADOS"/>
    <x v="3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PAZ"/>
    <s v="TRANQUILIDAD"/>
    <s v="LE GUSTA DESCANSAR SOBRE UNA BANCA"/>
    <n v="82860227"/>
    <s v="7d5fccb5-4436-4a4e-b3a9-91f33a459737"/>
    <d v="2025-04-04T17:49:03"/>
    <m/>
    <m/>
    <s v="submitted_via_web"/>
    <m/>
    <s v="vhGz9QPwmdkBybuGFUbzwe"/>
    <m/>
    <n v="138"/>
  </r>
  <r>
    <d v="2025-04-04T12:49:11"/>
    <d v="2025-04-04T13:37:16"/>
    <s v="AFC"/>
    <n v="204"/>
    <d v="2025-03-14T00:00:00"/>
    <n v="4"/>
    <s v="MQ"/>
    <s v="GH"/>
    <n v="38"/>
    <x v="0"/>
    <s v="3. al menos 2 veces al mes"/>
    <n v="1"/>
    <n v="0"/>
    <n v="0"/>
    <n v="0"/>
    <n v="0"/>
    <x v="0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 8. Otro."/>
    <x v="1"/>
    <x v="0"/>
    <x v="0"/>
    <x v="1"/>
    <x v="0"/>
    <x v="0"/>
    <x v="1"/>
    <s v="LAGUNA"/>
    <x v="1"/>
    <x v="1"/>
    <x v="1"/>
    <s v="POLICIA NACIONAL"/>
    <s v="MUCHA VIGILANCIA"/>
    <s v="MOTORIZADO POLICIA NACIONAL"/>
    <m/>
    <x v="4"/>
    <x v="1"/>
    <x v="0"/>
    <x v="1"/>
    <x v="0"/>
    <x v="3"/>
    <x v="0"/>
    <x v="1"/>
    <s v="C D E I J"/>
    <n v="0"/>
    <n v="0"/>
    <n v="1"/>
    <n v="1"/>
    <n v="1"/>
    <n v="0"/>
    <n v="0"/>
    <n v="0"/>
    <n v="1"/>
    <n v="1"/>
    <n v="0"/>
    <n v="0"/>
    <n v="0"/>
    <x v="1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0"/>
    <x v="0"/>
    <x v="0"/>
    <x v="0"/>
    <x v="0"/>
    <x v="0"/>
    <x v="1"/>
    <x v="1"/>
    <x v="0"/>
    <x v="0"/>
    <x v="1"/>
    <x v="2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0"/>
    <x v="2"/>
    <x v="2"/>
    <x v="1"/>
    <x v="2"/>
    <x v="0"/>
    <x v="1"/>
    <x v="1"/>
    <x v="1"/>
    <x v="1"/>
    <x v="1"/>
    <x v="3"/>
    <x v="0"/>
    <x v="0"/>
    <x v="0"/>
    <x v="0"/>
    <x v="0"/>
    <x v="0"/>
    <m/>
    <s v="POCO TRANQUILO"/>
    <s v="PENDIENTE"/>
    <m/>
    <n v="82863517"/>
    <s v="1012ee64-2f78-46a6-9f43-113aa6908e64"/>
    <d v="2025-04-04T18:37:08"/>
    <m/>
    <m/>
    <s v="submitted_via_web"/>
    <m/>
    <s v="vhGz9QPwmdkBybuGFUbzwe"/>
    <m/>
    <n v="139"/>
  </r>
  <r>
    <d v="2025-04-04T11:17:03"/>
    <d v="2025-04-04T11:24:46"/>
    <s v="AFC"/>
    <n v="206"/>
    <d v="2025-03-15T00:00:00"/>
    <n v="1"/>
    <s v="GB-GC"/>
    <s v="AE"/>
    <n v="48"/>
    <x v="2"/>
    <s v="1. Diariamente"/>
    <n v="1"/>
    <n v="0"/>
    <n v="0"/>
    <n v="0"/>
    <n v="0"/>
    <x v="0"/>
    <s v="1. Sí"/>
    <m/>
    <s v="5. Montubia(o)"/>
    <m/>
    <x v="5"/>
    <s v="1. Completa"/>
    <s v="1. Trabajar"/>
    <m/>
    <s v="1. Menos de $470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0"/>
    <s v="PROTEJIDO"/>
    <s v="POLICIA NACIONAL"/>
    <m/>
    <m/>
    <x v="0"/>
    <x v="2"/>
    <x v="2"/>
    <x v="1"/>
    <x v="0"/>
    <x v="3"/>
    <x v="0"/>
    <x v="0"/>
    <s v="A"/>
    <n v="1"/>
    <n v="0"/>
    <n v="0"/>
    <n v="0"/>
    <n v="0"/>
    <n v="0"/>
    <n v="0"/>
    <n v="0"/>
    <n v="0"/>
    <n v="0"/>
    <n v="0"/>
    <n v="0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1"/>
    <x v="1"/>
    <x v="1"/>
    <x v="0"/>
    <x v="0"/>
    <x v="0"/>
    <x v="0"/>
    <x v="0"/>
    <m/>
    <x v="0"/>
    <x v="1"/>
    <x v="1"/>
    <x v="2"/>
    <x v="0"/>
    <m/>
    <x v="0"/>
    <x v="0"/>
    <x v="0"/>
    <x v="0"/>
    <x v="0"/>
    <m/>
    <x v="0"/>
    <m/>
    <x v="0"/>
    <x v="2"/>
    <x v="1"/>
    <x v="0"/>
    <x v="2"/>
    <x v="2"/>
    <x v="1"/>
    <x v="1"/>
    <x v="1"/>
    <x v="0"/>
    <x v="1"/>
    <x v="2"/>
    <x v="0"/>
    <x v="2"/>
    <x v="1"/>
    <x v="0"/>
    <x v="1"/>
    <x v="2"/>
    <x v="1"/>
    <x v="1"/>
    <x v="1"/>
    <x v="1"/>
    <x v="1"/>
    <x v="2"/>
    <x v="1"/>
    <x v="1"/>
    <x v="0"/>
    <x v="0"/>
    <x v="0"/>
    <x v="0"/>
    <m/>
    <s v="FELIZ"/>
    <s v="CONTENTO"/>
    <m/>
    <n v="82856130"/>
    <s v="d1e5a6d1-ebe7-416a-97d8-522620405562"/>
    <d v="2025-04-04T16:24:39"/>
    <m/>
    <m/>
    <s v="submitted_via_web"/>
    <m/>
    <s v="vhGz9QPwmdkBybuGFUbzwe"/>
    <m/>
    <n v="136"/>
  </r>
  <r>
    <d v="2025-04-04T11:10:00"/>
    <d v="2025-04-04T11:17:03"/>
    <s v="AFC"/>
    <n v="207"/>
    <d v="2025-03-15T00:00:00"/>
    <n v="1"/>
    <s v="GB-SCH"/>
    <s v="AE"/>
    <n v="30"/>
    <x v="0"/>
    <s v="3. al menos 2 veces al mes"/>
    <n v="0"/>
    <n v="0"/>
    <n v="0"/>
    <n v="0"/>
    <n v="0"/>
    <x v="1"/>
    <s v="1. Sí"/>
    <m/>
    <s v="6. Mestiza(o)"/>
    <m/>
    <x v="0"/>
    <s v="1. Completa"/>
    <s v="7. Dueña/o de su propio negocio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JUEGOS INFANTILES"/>
    <x v="1"/>
    <x v="1"/>
    <x v="0"/>
    <s v="HAY MAS POLICIA Y VIGILANCIA"/>
    <m/>
    <m/>
    <m/>
    <x v="1"/>
    <x v="0"/>
    <x v="2"/>
    <x v="1"/>
    <x v="0"/>
    <x v="2"/>
    <x v="2"/>
    <x v="2"/>
    <s v="L"/>
    <n v="0"/>
    <n v="0"/>
    <n v="0"/>
    <n v="0"/>
    <n v="0"/>
    <n v="0"/>
    <n v="0"/>
    <n v="0"/>
    <n v="0"/>
    <n v="0"/>
    <n v="0"/>
    <n v="1"/>
    <n v="0"/>
    <x v="1"/>
    <x v="2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3"/>
    <x v="0"/>
    <x v="0"/>
    <x v="0"/>
    <x v="0"/>
    <x v="0"/>
    <x v="0"/>
    <x v="0"/>
    <x v="0"/>
    <x v="0"/>
    <x v="0"/>
    <x v="1"/>
    <x v="2"/>
    <x v="0"/>
    <x v="2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2"/>
    <x v="2"/>
    <x v="0"/>
    <x v="0"/>
    <x v="0"/>
    <x v="0"/>
    <x v="0"/>
    <x v="0"/>
    <x v="0"/>
    <x v="1"/>
    <x v="2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FELICIDAD COMPARTE CON SU HIJA"/>
    <m/>
    <m/>
    <n v="82855354"/>
    <s v="718b0c5b-2fed-44bd-a0e9-f59770a9e1a9"/>
    <d v="2025-04-04T16:16:56"/>
    <m/>
    <m/>
    <s v="submitted_via_web"/>
    <m/>
    <s v="vhGz9QPwmdkBybuGFUbzwe"/>
    <m/>
    <n v="135"/>
  </r>
  <r>
    <d v="2025-04-04T11:03:43"/>
    <d v="2025-04-04T11:10:00"/>
    <s v="AFC"/>
    <n v="208"/>
    <d v="2025-03-15T00:00:00"/>
    <n v="1"/>
    <s v="GB-SCH"/>
    <s v="AE"/>
    <n v="30"/>
    <x v="0"/>
    <s v="1. Diariamente"/>
    <n v="0"/>
    <n v="0"/>
    <n v="0"/>
    <n v="0"/>
    <n v="0"/>
    <x v="0"/>
    <s v="1. Sí"/>
    <m/>
    <s v="1. Indígena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 3. Tarde (12:00 a 17:59)"/>
    <x v="0"/>
    <x v="0"/>
    <x v="1"/>
    <x v="0"/>
    <x v="0"/>
    <s v="4. Pistas para correr"/>
    <x v="0"/>
    <x v="0"/>
    <x v="0"/>
    <x v="0"/>
    <x v="0"/>
    <x v="0"/>
    <x v="0"/>
    <m/>
    <x v="1"/>
    <x v="1"/>
    <x v="1"/>
    <s v="ROBO"/>
    <m/>
    <m/>
    <m/>
    <x v="1"/>
    <x v="4"/>
    <x v="1"/>
    <x v="2"/>
    <x v="0"/>
    <x v="3"/>
    <x v="2"/>
    <x v="2"/>
    <s v="I"/>
    <n v="0"/>
    <n v="0"/>
    <n v="0"/>
    <n v="0"/>
    <n v="0"/>
    <n v="0"/>
    <n v="0"/>
    <n v="0"/>
    <n v="1"/>
    <n v="0"/>
    <n v="0"/>
    <n v="0"/>
    <n v="0"/>
    <x v="2"/>
    <x v="0"/>
    <x v="2"/>
    <x v="1"/>
    <x v="1"/>
    <x v="1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3"/>
    <x v="1"/>
    <x v="3"/>
    <x v="1"/>
    <x v="1"/>
    <x v="0"/>
    <x v="3"/>
    <x v="1"/>
    <x v="2"/>
    <x v="0"/>
    <x v="0"/>
    <x v="1"/>
    <x v="3"/>
    <x v="1"/>
    <x v="2"/>
    <x v="1"/>
    <x v="2"/>
    <x v="1"/>
    <x v="2"/>
    <x v="0"/>
    <x v="2"/>
    <x v="0"/>
    <x v="0"/>
    <x v="0"/>
    <x v="2"/>
    <x v="0"/>
    <m/>
    <x v="0"/>
    <x v="0"/>
    <x v="0"/>
    <x v="1"/>
    <x v="1"/>
    <s v="2. Blanca"/>
    <x v="1"/>
    <x v="1"/>
    <x v="1"/>
    <x v="1"/>
    <x v="1"/>
    <m/>
    <x v="1"/>
    <m/>
    <x v="0"/>
    <x v="0"/>
    <x v="0"/>
    <x v="0"/>
    <x v="0"/>
    <x v="0"/>
    <x v="0"/>
    <x v="0"/>
    <x v="0"/>
    <x v="1"/>
    <x v="2"/>
    <x v="0"/>
    <x v="0"/>
    <x v="0"/>
    <x v="0"/>
    <x v="1"/>
    <x v="2"/>
    <x v="0"/>
    <x v="1"/>
    <x v="1"/>
    <x v="1"/>
    <x v="1"/>
    <x v="1"/>
    <x v="2"/>
    <x v="0"/>
    <x v="0"/>
    <x v="0"/>
    <x v="0"/>
    <x v="0"/>
    <x v="0"/>
    <m/>
    <s v="INSEGURIDAD NOCHE"/>
    <m/>
    <m/>
    <n v="82854827"/>
    <s v="3aa461aa-0b59-44bc-b22f-000b348a9406"/>
    <d v="2025-04-04T16:09:52"/>
    <m/>
    <m/>
    <s v="submitted_via_web"/>
    <m/>
    <s v="vhGz9QPwmdkBybuGFUbzwe"/>
    <m/>
    <n v="134"/>
  </r>
  <r>
    <d v="2025-04-04T10:53:49"/>
    <d v="2025-04-04T11:03:42"/>
    <s v="AFC"/>
    <n v="209"/>
    <d v="2025-03-14T00:00:00"/>
    <n v="1"/>
    <s v="GB-SCH"/>
    <s v="AE"/>
    <n v="50"/>
    <x v="2"/>
    <s v="1. Diariamente"/>
    <n v="1"/>
    <n v="0"/>
    <n v="0"/>
    <n v="0"/>
    <n v="0"/>
    <x v="0"/>
    <s v="1. Sí"/>
    <m/>
    <s v="6. Mestiza(o)"/>
    <m/>
    <x v="2"/>
    <s v="2. In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7. Áreas verdes"/>
    <x v="0"/>
    <x v="0"/>
    <x v="1"/>
    <x v="1"/>
    <x v="0"/>
    <x v="1"/>
    <x v="0"/>
    <m/>
    <x v="0"/>
    <x v="0"/>
    <x v="1"/>
    <s v="CONTROL POLICIAL"/>
    <m/>
    <m/>
    <m/>
    <x v="1"/>
    <x v="1"/>
    <x v="1"/>
    <x v="0"/>
    <x v="0"/>
    <x v="2"/>
    <x v="0"/>
    <x v="2"/>
    <s v="A B C D E F G H I J K L"/>
    <n v="1"/>
    <n v="1"/>
    <n v="1"/>
    <n v="1"/>
    <n v="1"/>
    <n v="1"/>
    <n v="1"/>
    <n v="1"/>
    <n v="1"/>
    <n v="1"/>
    <n v="1"/>
    <n v="1"/>
    <n v="0"/>
    <x v="1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3"/>
    <x v="1"/>
    <x v="3"/>
    <x v="0"/>
    <x v="2"/>
    <x v="1"/>
    <x v="2"/>
    <x v="0"/>
    <x v="0"/>
    <x v="0"/>
    <x v="3"/>
    <x v="1"/>
    <x v="1"/>
    <x v="1"/>
    <x v="3"/>
    <x v="1"/>
    <x v="2"/>
    <x v="1"/>
    <x v="2"/>
    <x v="1"/>
    <x v="2"/>
    <x v="0"/>
    <x v="0"/>
    <x v="0"/>
    <x v="2"/>
    <x v="0"/>
    <x v="0"/>
    <x v="1"/>
    <x v="1"/>
    <x v="0"/>
    <m/>
    <x v="0"/>
    <x v="0"/>
    <x v="3"/>
    <x v="1"/>
    <x v="1"/>
    <s v="1. De fuego 2. Blanca"/>
    <x v="2"/>
    <x v="1"/>
    <x v="1"/>
    <x v="1"/>
    <x v="1"/>
    <m/>
    <x v="2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INSEGURIDAD"/>
    <m/>
    <m/>
    <n v="82854435"/>
    <s v="c613648e-8513-473c-90c7-3e7ffcc6e4d2"/>
    <d v="2025-04-04T16:03:35"/>
    <m/>
    <m/>
    <s v="submitted_via_web"/>
    <m/>
    <s v="vhGz9QPwmdkBybuGFUbzwe"/>
    <m/>
    <n v="133"/>
  </r>
  <r>
    <d v="2025-04-04T10:48:58"/>
    <d v="2025-04-04T10:53:49"/>
    <s v="AFC"/>
    <n v="210"/>
    <d v="2025-03-14T00:00:00"/>
    <n v="1"/>
    <s v="GB-SCH"/>
    <s v="AE"/>
    <n v="28"/>
    <x v="0"/>
    <s v="3. al menos 2 veces al mes"/>
    <n v="1"/>
    <n v="0"/>
    <n v="0"/>
    <n v="0"/>
    <n v="0"/>
    <x v="0"/>
    <s v="1. Sí"/>
    <m/>
    <s v="6. Mestiza(o)"/>
    <m/>
    <x v="1"/>
    <s v="1. Completa"/>
    <s v="1. Trabajar"/>
    <m/>
    <s v="3. de $920 a $1339"/>
    <s v="5. Recreación/Ocio"/>
    <x v="1"/>
    <x v="0"/>
    <x v="0"/>
    <x v="0"/>
    <x v="1"/>
    <x v="0"/>
    <m/>
    <s v="2. Mañana  (06:00 a 11:59) 3. Tarde (12:00 a 17:59)"/>
    <x v="0"/>
    <x v="0"/>
    <x v="1"/>
    <x v="0"/>
    <x v="2"/>
    <s v="4. Pistas para correr 6. Área para perros 8. Otro."/>
    <x v="0"/>
    <x v="0"/>
    <x v="0"/>
    <x v="0"/>
    <x v="1"/>
    <x v="0"/>
    <x v="1"/>
    <s v="JUEGOS"/>
    <x v="1"/>
    <x v="1"/>
    <x v="0"/>
    <s v="PERSONAL DE CONTROL"/>
    <m/>
    <m/>
    <m/>
    <x v="2"/>
    <x v="1"/>
    <x v="2"/>
    <x v="1"/>
    <x v="2"/>
    <x v="3"/>
    <x v="1"/>
    <x v="1"/>
    <s v="F"/>
    <n v="0"/>
    <n v="0"/>
    <n v="0"/>
    <n v="0"/>
    <n v="0"/>
    <n v="1"/>
    <n v="0"/>
    <n v="0"/>
    <n v="0"/>
    <n v="0"/>
    <n v="0"/>
    <n v="0"/>
    <n v="0"/>
    <x v="2"/>
    <x v="0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2"/>
    <x v="1"/>
    <x v="3"/>
    <x v="1"/>
    <x v="1"/>
    <x v="1"/>
    <x v="3"/>
    <x v="0"/>
    <x v="0"/>
    <x v="0"/>
    <x v="3"/>
    <x v="1"/>
    <x v="1"/>
    <x v="0"/>
    <x v="0"/>
    <x v="1"/>
    <x v="2"/>
    <x v="0"/>
    <x v="0"/>
    <x v="1"/>
    <x v="3"/>
    <x v="1"/>
    <x v="2"/>
    <x v="1"/>
    <x v="1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1"/>
    <x v="1"/>
    <x v="1"/>
    <x v="1"/>
    <x v="1"/>
    <x v="1"/>
    <x v="1"/>
    <x v="1"/>
    <x v="0"/>
    <x v="0"/>
    <x v="0"/>
    <x v="0"/>
    <x v="0"/>
    <x v="0"/>
    <m/>
    <s v="SEGURIDAD"/>
    <m/>
    <m/>
    <n v="82853973"/>
    <s v="617f86cd-bbcf-459c-a7d4-75fbfc024db3"/>
    <d v="2025-04-04T15:53:42"/>
    <m/>
    <m/>
    <s v="submitted_via_web"/>
    <m/>
    <s v="vhGz9QPwmdkBybuGFUbzwe"/>
    <m/>
    <n v="131"/>
  </r>
  <r>
    <d v="2025-04-04T09:25:22"/>
    <d v="2025-04-04T09:33:20"/>
    <s v="AFC"/>
    <n v="211"/>
    <d v="2025-03-15T00:00:00"/>
    <n v="1"/>
    <s v="DA"/>
    <s v="AE"/>
    <n v="48"/>
    <x v="2"/>
    <s v="2. Semanalmente"/>
    <n v="0"/>
    <n v="0"/>
    <n v="0"/>
    <n v="0"/>
    <n v="0"/>
    <x v="0"/>
    <s v="1. Sí"/>
    <m/>
    <s v="6. Mestiza(o)"/>
    <m/>
    <x v="0"/>
    <s v="1. Completa"/>
    <s v="7. Dueña/o de su propio negoci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FRECUENCIA DE PERSONAL POLICIAL"/>
    <s v="AFLUENCIA DE GENTE"/>
    <m/>
    <m/>
    <x v="1"/>
    <x v="1"/>
    <x v="1"/>
    <x v="2"/>
    <x v="0"/>
    <x v="2"/>
    <x v="1"/>
    <x v="2"/>
    <s v="B"/>
    <n v="0"/>
    <n v="1"/>
    <n v="0"/>
    <n v="0"/>
    <n v="0"/>
    <n v="0"/>
    <n v="0"/>
    <n v="0"/>
    <n v="0"/>
    <n v="0"/>
    <n v="0"/>
    <n v="0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1"/>
    <x v="0"/>
    <x v="3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O"/>
    <s v="CALMADO"/>
    <m/>
    <n v="82849922"/>
    <s v="29311de7-5fcb-49ed-b45a-1bf554591173"/>
    <d v="2025-04-04T14:33:13"/>
    <m/>
    <m/>
    <s v="submitted_via_web"/>
    <m/>
    <s v="vhGz9QPwmdkBybuGFUbzwe"/>
    <m/>
    <n v="126"/>
  </r>
  <r>
    <d v="2025-04-04T09:20:07"/>
    <d v="2025-04-04T09:25:22"/>
    <s v="AFC"/>
    <n v="212"/>
    <d v="2025-03-15T00:00:00"/>
    <n v="1"/>
    <s v="GB-SCH"/>
    <s v="AE"/>
    <n v="47"/>
    <x v="2"/>
    <s v="3. al menos 2 veces al mes"/>
    <n v="0"/>
    <n v="0"/>
    <n v="0"/>
    <n v="0"/>
    <n v="0"/>
    <x v="1"/>
    <s v="1. Sí"/>
    <m/>
    <s v="6. Mestiza(o)"/>
    <m/>
    <x v="6"/>
    <s v="1. Completa"/>
    <s v="5. Quehaceres domésticos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"/>
    <x v="1"/>
    <x v="0"/>
    <x v="0"/>
    <x v="1"/>
    <x v="0"/>
    <x v="0"/>
    <x v="0"/>
    <m/>
    <x v="1"/>
    <x v="1"/>
    <x v="0"/>
    <s v="SE SIENTE SEGURO PORQUE A LA HORA QUE ESTA EN EL PARQUE HAY GENTE"/>
    <m/>
    <m/>
    <m/>
    <x v="1"/>
    <x v="1"/>
    <x v="1"/>
    <x v="0"/>
    <x v="2"/>
    <x v="2"/>
    <x v="0"/>
    <x v="1"/>
    <s v="B"/>
    <n v="0"/>
    <n v="1"/>
    <n v="0"/>
    <n v="0"/>
    <n v="0"/>
    <n v="0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1"/>
    <x v="2"/>
    <x v="0"/>
    <x v="0"/>
    <x v="0"/>
    <x v="0"/>
    <x v="0"/>
    <x v="0"/>
    <x v="1"/>
    <x v="2"/>
    <x v="1"/>
    <x v="2"/>
    <x v="0"/>
    <x v="2"/>
    <x v="0"/>
    <x v="0"/>
    <x v="0"/>
    <x v="2"/>
    <x v="0"/>
    <m/>
    <x v="0"/>
    <x v="0"/>
    <x v="2"/>
    <x v="0"/>
    <x v="0"/>
    <m/>
    <x v="0"/>
    <x v="0"/>
    <x v="0"/>
    <x v="0"/>
    <x v="0"/>
    <m/>
    <x v="0"/>
    <m/>
    <x v="0"/>
    <x v="0"/>
    <x v="0"/>
    <x v="1"/>
    <x v="1"/>
    <x v="0"/>
    <x v="1"/>
    <x v="2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TRANQUILA"/>
    <m/>
    <m/>
    <n v="82849645"/>
    <s v="b7a298ec-8217-4199-b14b-81cd5570103e"/>
    <d v="2025-04-04T14:25:14"/>
    <m/>
    <m/>
    <s v="submitted_via_web"/>
    <m/>
    <s v="vhGz9QPwmdkBybuGFUbzwe"/>
    <m/>
    <n v="125"/>
  </r>
  <r>
    <d v="2025-04-04T09:14:51"/>
    <d v="2025-04-04T09:20:07"/>
    <s v="AFC"/>
    <n v="213"/>
    <d v="2025-03-15T00:00:00"/>
    <n v="1"/>
    <s v="LB"/>
    <s v="AE"/>
    <n v="48"/>
    <x v="2"/>
    <s v="2. Semanalmente"/>
    <n v="0"/>
    <n v="0"/>
    <n v="0"/>
    <n v="0"/>
    <n v="0"/>
    <x v="0"/>
    <s v="1. Sí"/>
    <m/>
    <s v="6. Mestiza(o)"/>
    <m/>
    <x v="3"/>
    <s v="1. Completa"/>
    <s v="7. Dueña/o de su propio negoci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 3. Caminos de ciclismo"/>
    <x v="1"/>
    <x v="0"/>
    <x v="1"/>
    <x v="1"/>
    <x v="0"/>
    <x v="0"/>
    <x v="0"/>
    <m/>
    <x v="0"/>
    <x v="0"/>
    <x v="0"/>
    <s v="UNO TIENE QUE ESTAR PENDIENTE DE SUS COSAS"/>
    <m/>
    <m/>
    <m/>
    <x v="1"/>
    <x v="2"/>
    <x v="1"/>
    <x v="1"/>
    <x v="0"/>
    <x v="2"/>
    <x v="2"/>
    <x v="2"/>
    <s v="G L"/>
    <n v="0"/>
    <n v="0"/>
    <n v="0"/>
    <n v="0"/>
    <n v="0"/>
    <n v="0"/>
    <n v="1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1"/>
    <x v="1"/>
    <x v="0"/>
    <x v="0"/>
    <x v="0"/>
    <x v="0"/>
    <x v="1"/>
    <x v="1"/>
    <x v="0"/>
    <x v="0"/>
    <x v="0"/>
    <x v="0"/>
    <x v="1"/>
    <x v="2"/>
    <x v="1"/>
    <x v="1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FELICIDAD"/>
    <s v="LIBERAR ESTRES"/>
    <m/>
    <n v="82849427"/>
    <s v="7ba98817-3642-4342-9493-c053b111636a"/>
    <d v="2025-04-04T14:19:59"/>
    <m/>
    <m/>
    <s v="submitted_via_web"/>
    <m/>
    <s v="vhGz9QPwmdkBybuGFUbzwe"/>
    <m/>
    <n v="124"/>
  </r>
  <r>
    <d v="2025-04-04T09:10:22"/>
    <d v="2025-04-04T09:14:51"/>
    <s v="AFC"/>
    <n v="214"/>
    <d v="2025-03-15T00:00:00"/>
    <n v="1"/>
    <s v="DA"/>
    <s v="AE"/>
    <n v="59"/>
    <x v="1"/>
    <s v="1. Diariamente"/>
    <n v="0"/>
    <n v="0"/>
    <n v="0"/>
    <n v="0"/>
    <n v="0"/>
    <x v="0"/>
    <s v="1. Sí"/>
    <m/>
    <s v="6. Mestiza(o)"/>
    <m/>
    <x v="1"/>
    <s v="1. Completa"/>
    <s v="7. Dueña/o de su propio negoci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2"/>
    <x v="0"/>
    <s v="AFLUENCIA DE GENTE"/>
    <s v="PRESENCIA POLICIAL"/>
    <m/>
    <m/>
    <x v="0"/>
    <x v="2"/>
    <x v="1"/>
    <x v="1"/>
    <x v="0"/>
    <x v="3"/>
    <x v="0"/>
    <x v="1"/>
    <s v="B"/>
    <n v="0"/>
    <n v="1"/>
    <n v="0"/>
    <n v="0"/>
    <n v="0"/>
    <n v="0"/>
    <n v="0"/>
    <n v="0"/>
    <n v="0"/>
    <n v="0"/>
    <n v="0"/>
    <n v="0"/>
    <n v="0"/>
    <x v="3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O"/>
    <s v="BIEN"/>
    <m/>
    <n v="82849130"/>
    <s v="5ac291f5-06e3-4f5e-abd0-20a376daddd3"/>
    <d v="2025-04-04T14:14:44"/>
    <m/>
    <m/>
    <s v="submitted_via_web"/>
    <m/>
    <s v="vhGz9QPwmdkBybuGFUbzwe"/>
    <m/>
    <n v="123"/>
  </r>
  <r>
    <d v="2025-04-04T09:06:01"/>
    <d v="2025-04-04T09:10:22"/>
    <s v="AFC"/>
    <n v="215"/>
    <d v="2025-03-15T00:00:00"/>
    <n v="1"/>
    <s v="LB"/>
    <s v="AE"/>
    <n v="50"/>
    <x v="2"/>
    <s v="2. Semanalmente"/>
    <n v="0"/>
    <n v="0"/>
    <n v="0"/>
    <n v="0"/>
    <n v="0"/>
    <x v="0"/>
    <s v="1. Sí"/>
    <m/>
    <s v="6. Mestiza(o)"/>
    <m/>
    <x v="1"/>
    <s v="1. Completa"/>
    <s v="7. Dueña/o de su propio negoci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 7. Áreas verdes"/>
    <x v="1"/>
    <x v="0"/>
    <x v="0"/>
    <x v="1"/>
    <x v="0"/>
    <x v="1"/>
    <x v="0"/>
    <m/>
    <x v="1"/>
    <x v="2"/>
    <x v="1"/>
    <s v="MUCHAS PERSONAS QUE FUMAN SUSTANCIAS PSICOTROPICAS"/>
    <s v="VENDEDORES VENEZOLANOS"/>
    <m/>
    <m/>
    <x v="1"/>
    <x v="1"/>
    <x v="1"/>
    <x v="1"/>
    <x v="0"/>
    <x v="2"/>
    <x v="2"/>
    <x v="1"/>
    <s v="A C"/>
    <n v="1"/>
    <n v="0"/>
    <n v="1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3"/>
    <x v="0"/>
    <x v="3"/>
    <x v="0"/>
    <x v="0"/>
    <x v="0"/>
    <x v="0"/>
    <x v="1"/>
    <x v="1"/>
    <x v="1"/>
    <x v="3"/>
    <x v="0"/>
    <x v="0"/>
    <x v="1"/>
    <x v="3"/>
    <x v="0"/>
    <x v="0"/>
    <x v="0"/>
    <x v="0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VIENE A CORRER"/>
    <s v="DISFRUTA CON LA FAMILIA"/>
    <m/>
    <n v="82848860"/>
    <s v="38c0162a-4a4c-4f2c-be00-4faf852d59bb"/>
    <d v="2025-04-04T14:10:14"/>
    <m/>
    <m/>
    <s v="submitted_via_web"/>
    <m/>
    <s v="vhGz9QPwmdkBybuGFUbzwe"/>
    <m/>
    <n v="122"/>
  </r>
  <r>
    <d v="2025-04-04T09:00:42"/>
    <d v="2025-04-04T09:06:01"/>
    <s v="AFC"/>
    <n v="216"/>
    <d v="2025-03-15T00:00:00"/>
    <n v="1"/>
    <s v="GB-SCH"/>
    <s v="AE"/>
    <n v="51"/>
    <x v="2"/>
    <s v="2. Semanalmente"/>
    <n v="0"/>
    <n v="0"/>
    <n v="0"/>
    <n v="0"/>
    <n v="0"/>
    <x v="1"/>
    <s v="1. Sí"/>
    <m/>
    <s v="5. Montubia(o)"/>
    <m/>
    <x v="1"/>
    <s v="1. Completa"/>
    <s v="5. Quehaceres domésticos"/>
    <m/>
    <s v="1. Menos de $470"/>
    <s v="1. Deporte / ejercicio 5. Recreación/Ocio"/>
    <x v="0"/>
    <x v="0"/>
    <x v="0"/>
    <x v="0"/>
    <x v="1"/>
    <x v="0"/>
    <m/>
    <s v="2. Mañana  (06:00 a 11:59)"/>
    <x v="0"/>
    <x v="0"/>
    <x v="0"/>
    <x v="0"/>
    <x v="0"/>
    <s v="1. Canchas de fútbol y basquet 7. Áreas verdes"/>
    <x v="1"/>
    <x v="0"/>
    <x v="0"/>
    <x v="1"/>
    <x v="0"/>
    <x v="1"/>
    <x v="0"/>
    <m/>
    <x v="1"/>
    <x v="1"/>
    <x v="1"/>
    <s v="NO SABE QUE CLASE DE GENTE VIENE"/>
    <m/>
    <m/>
    <m/>
    <x v="1"/>
    <x v="3"/>
    <x v="1"/>
    <x v="0"/>
    <x v="0"/>
    <x v="2"/>
    <x v="0"/>
    <x v="1"/>
    <s v="A C"/>
    <n v="1"/>
    <n v="0"/>
    <n v="1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0"/>
    <x v="0"/>
    <x v="0"/>
    <x v="0"/>
    <x v="0"/>
    <x v="2"/>
    <x v="1"/>
    <x v="1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TEMOR"/>
    <m/>
    <m/>
    <n v="82848675"/>
    <s v="e408c536-da53-4f0d-8cd6-4d601eddc0ca"/>
    <d v="2025-04-04T14:05:54"/>
    <m/>
    <m/>
    <s v="submitted_via_web"/>
    <m/>
    <s v="vhGz9QPwmdkBybuGFUbzwe"/>
    <m/>
    <n v="121"/>
  </r>
  <r>
    <d v="2025-04-04T08:55:34"/>
    <d v="2025-04-04T09:00:42"/>
    <s v="AFC"/>
    <n v="217"/>
    <d v="2025-03-15T00:00:00"/>
    <n v="1"/>
    <s v="GB-SCH"/>
    <s v="AE"/>
    <n v="30"/>
    <x v="0"/>
    <s v="3. al menos 2 veces al mes"/>
    <n v="0"/>
    <n v="0"/>
    <n v="0"/>
    <n v="0"/>
    <n v="0"/>
    <x v="1"/>
    <s v="1. Sí"/>
    <m/>
    <s v="6. Mestiza(o)"/>
    <m/>
    <x v="0"/>
    <s v="1. Completa"/>
    <s v="4. Es estudiante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1. Canchas de fútbol y basquet 7. Áreas verdes"/>
    <x v="1"/>
    <x v="0"/>
    <x v="0"/>
    <x v="1"/>
    <x v="0"/>
    <x v="1"/>
    <x v="0"/>
    <m/>
    <x v="1"/>
    <x v="1"/>
    <x v="0"/>
    <s v="PORQUE HAY PRESENCIA POLICIAL"/>
    <s v="PORQUE VIENE ACOMPAÑADA"/>
    <m/>
    <m/>
    <x v="1"/>
    <x v="1"/>
    <x v="1"/>
    <x v="2"/>
    <x v="0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1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0"/>
    <x v="1"/>
    <x v="1"/>
    <x v="1"/>
    <x v="1"/>
    <x v="0"/>
    <x v="2"/>
    <x v="1"/>
    <x v="2"/>
    <x v="0"/>
    <x v="0"/>
    <x v="0"/>
    <x v="0"/>
    <x v="0"/>
    <x v="0"/>
    <x v="1"/>
    <x v="2"/>
    <x v="0"/>
    <x v="1"/>
    <x v="0"/>
    <x v="2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0"/>
    <x v="2"/>
    <x v="1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INSEGURIDAD"/>
    <s v="DISTRACCION PARA LA MENTE"/>
    <m/>
    <n v="82848460"/>
    <s v="b853f2b8-acbe-4ec3-bd9f-0ca388f5c4ea"/>
    <d v="2025-04-04T14:00:35"/>
    <m/>
    <m/>
    <s v="submitted_via_web"/>
    <m/>
    <s v="vhGz9QPwmdkBybuGFUbzwe"/>
    <m/>
    <n v="120"/>
  </r>
  <r>
    <d v="2025-04-04T08:50:04"/>
    <d v="2025-04-04T08:55:34"/>
    <s v="AFC"/>
    <n v="218"/>
    <d v="2025-03-15T00:00:00"/>
    <n v="1"/>
    <s v="DA"/>
    <s v="AE"/>
    <n v="32"/>
    <x v="0"/>
    <s v="2. Semanalmente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 2. Rampas para patineta"/>
    <x v="1"/>
    <x v="1"/>
    <x v="0"/>
    <x v="1"/>
    <x v="0"/>
    <x v="0"/>
    <x v="0"/>
    <m/>
    <x v="1"/>
    <x v="2"/>
    <x v="0"/>
    <s v="AFLUENCIA DE GENTE"/>
    <s v="GUARDIA DE SEGURIDAD"/>
    <m/>
    <m/>
    <x v="1"/>
    <x v="2"/>
    <x v="2"/>
    <x v="0"/>
    <x v="2"/>
    <x v="3"/>
    <x v="0"/>
    <x v="1"/>
    <s v="A"/>
    <n v="1"/>
    <n v="0"/>
    <n v="0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BIEN"/>
    <s v="TRANQUILA"/>
    <m/>
    <n v="82848347"/>
    <s v="6439093d-870f-4eae-b575-20db68a65268"/>
    <d v="2025-04-04T13:55:27"/>
    <m/>
    <m/>
    <s v="submitted_via_web"/>
    <m/>
    <s v="vhGz9QPwmdkBybuGFUbzwe"/>
    <m/>
    <n v="119"/>
  </r>
  <r>
    <d v="2025-04-04T08:41:35"/>
    <d v="2025-04-04T08:50:04"/>
    <s v="AFC"/>
    <n v="219"/>
    <d v="2025-03-15T00:00:00"/>
    <n v="1"/>
    <s v="LB"/>
    <s v="AE"/>
    <n v="30"/>
    <x v="0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0"/>
    <x v="0"/>
    <x v="0"/>
    <s v="PRESENCIA POLICIAL"/>
    <s v="ILUMINACION LAS NOCHES"/>
    <m/>
    <m/>
    <x v="1"/>
    <x v="2"/>
    <x v="1"/>
    <x v="1"/>
    <x v="0"/>
    <x v="3"/>
    <x v="2"/>
    <x v="2"/>
    <s v="L"/>
    <n v="0"/>
    <n v="0"/>
    <n v="0"/>
    <n v="0"/>
    <n v="0"/>
    <n v="0"/>
    <n v="0"/>
    <n v="0"/>
    <n v="0"/>
    <n v="0"/>
    <n v="0"/>
    <n v="1"/>
    <n v="0"/>
    <x v="0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3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REALIZAN NEGOCIOS CON LOS CANCHAS DE FUTBOL"/>
    <s v="NO REALIZAR NEGOCIO CON LAS COSAS DEL PARQUE"/>
    <m/>
    <n v="82848155"/>
    <s v="5f5a3b2e-0fe6-40cf-b53d-6dc648f29b43"/>
    <d v="2025-04-04T13:49:57"/>
    <m/>
    <m/>
    <s v="submitted_via_web"/>
    <m/>
    <s v="vhGz9QPwmdkBybuGFUbzwe"/>
    <m/>
    <n v="118"/>
  </r>
  <r>
    <d v="2025-04-04T08:01:29"/>
    <d v="2025-04-04T08:41:35"/>
    <s v="AFC"/>
    <n v="220"/>
    <d v="2025-03-15T00:00:00"/>
    <n v="1"/>
    <s v="DA"/>
    <s v="AE"/>
    <n v="63"/>
    <x v="1"/>
    <s v="2. Semanalmente"/>
    <n v="1"/>
    <n v="0"/>
    <n v="0"/>
    <n v="0"/>
    <n v="0"/>
    <x v="0"/>
    <s v="1. Sí"/>
    <m/>
    <s v="5. Montubia(o)"/>
    <m/>
    <x v="1"/>
    <s v="1. Completa"/>
    <s v="6. No trabaja"/>
    <m/>
    <s v="2. de $471 a $919"/>
    <s v="1. Deporte / ejercicio 4. De paso"/>
    <x v="0"/>
    <x v="0"/>
    <x v="0"/>
    <x v="1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0"/>
    <x v="0"/>
    <x v="1"/>
    <s v="NO HAY GUARDIAS"/>
    <s v="NO HAY POLICIAS"/>
    <s v="MENDICIDAD"/>
    <m/>
    <x v="1"/>
    <x v="2"/>
    <x v="2"/>
    <x v="2"/>
    <x v="0"/>
    <x v="2"/>
    <x v="2"/>
    <x v="2"/>
    <s v="E"/>
    <n v="0"/>
    <n v="0"/>
    <n v="0"/>
    <n v="0"/>
    <n v="1"/>
    <n v="0"/>
    <n v="0"/>
    <n v="0"/>
    <n v="0"/>
    <n v="0"/>
    <n v="0"/>
    <n v="0"/>
    <n v="0"/>
    <x v="1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1"/>
    <x v="1"/>
    <x v="0"/>
    <x v="0"/>
    <x v="1"/>
    <x v="3"/>
    <x v="1"/>
    <x v="1"/>
    <x v="1"/>
    <x v="1"/>
    <x v="0"/>
    <x v="0"/>
    <x v="0"/>
    <x v="0"/>
    <x v="0"/>
    <x v="0"/>
    <x v="1"/>
    <x v="2"/>
    <x v="1"/>
    <x v="2"/>
    <x v="1"/>
    <x v="1"/>
    <x v="0"/>
    <x v="0"/>
    <x v="1"/>
    <x v="1"/>
    <x v="0"/>
    <m/>
    <x v="0"/>
    <x v="1"/>
    <x v="1"/>
    <x v="2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INSEGURIDAD"/>
    <s v="MIEDO"/>
    <m/>
    <n v="82847929"/>
    <s v="051fdac5-3246-4113-bb76-93bf9afffd33"/>
    <d v="2025-04-04T13:41:27"/>
    <m/>
    <m/>
    <s v="submitted_via_web"/>
    <m/>
    <s v="vhGz9QPwmdkBybuGFUbzwe"/>
    <m/>
    <n v="117"/>
  </r>
  <r>
    <d v="2025-04-03T16:15:16"/>
    <d v="2025-04-03T16:18:35"/>
    <s v="AFC"/>
    <n v="221"/>
    <d v="2025-03-15T00:00:00"/>
    <n v="1"/>
    <s v="GB-SCH"/>
    <s v="AE"/>
    <n v="72"/>
    <x v="1"/>
    <s v="1. Diariamente"/>
    <n v="1"/>
    <n v="0"/>
    <n v="0"/>
    <n v="0"/>
    <n v="1"/>
    <x v="0"/>
    <s v="1. Sí"/>
    <m/>
    <s v="6. Mestiza(o)"/>
    <m/>
    <x v="1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 3. Tarde (12:00 a 17:59)"/>
    <x v="0"/>
    <x v="0"/>
    <x v="1"/>
    <x v="0"/>
    <x v="2"/>
    <s v="1. Canchas de fútbol y basquet"/>
    <x v="1"/>
    <x v="0"/>
    <x v="0"/>
    <x v="1"/>
    <x v="0"/>
    <x v="0"/>
    <x v="0"/>
    <m/>
    <x v="0"/>
    <x v="0"/>
    <x v="0"/>
    <s v="SE CUIDA SOLO"/>
    <m/>
    <m/>
    <m/>
    <x v="0"/>
    <x v="2"/>
    <x v="2"/>
    <x v="0"/>
    <x v="2"/>
    <x v="3"/>
    <x v="0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SEGURO"/>
    <m/>
    <m/>
    <n v="82800357"/>
    <s v="81a5460b-3b3c-4254-be9b-28ebbb5ae6ea"/>
    <d v="2025-04-03T21:18:27"/>
    <m/>
    <m/>
    <s v="submitted_via_web"/>
    <m/>
    <s v="vhGz9QPwmdkBybuGFUbzwe"/>
    <m/>
    <n v="116"/>
  </r>
  <r>
    <d v="2025-04-03T16:10:53"/>
    <d v="2025-04-03T16:15:16"/>
    <s v="AFC"/>
    <n v="222"/>
    <d v="2025-03-15T00:00:00"/>
    <n v="1"/>
    <s v="LB"/>
    <s v="AE"/>
    <n v="58"/>
    <x v="1"/>
    <s v="1. Diariamente"/>
    <n v="0"/>
    <n v="0"/>
    <n v="0"/>
    <n v="0"/>
    <n v="0"/>
    <x v="0"/>
    <s v="1. Sí"/>
    <m/>
    <s v="6. Mestiza(o)"/>
    <m/>
    <x v="1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1"/>
    <s v="MUCHAS PERSONAS QUE FUMAN DROGA"/>
    <s v="PERSONAS QUE POSAN BESANDOSE"/>
    <m/>
    <m/>
    <x v="1"/>
    <x v="2"/>
    <x v="2"/>
    <x v="2"/>
    <x v="0"/>
    <x v="3"/>
    <x v="2"/>
    <x v="0"/>
    <s v="A"/>
    <n v="1"/>
    <n v="0"/>
    <n v="0"/>
    <n v="0"/>
    <n v="0"/>
    <n v="0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1"/>
    <x v="2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MOMENTO DE DISTRACCION"/>
    <s v="FELICIDAD"/>
    <m/>
    <n v="82800138"/>
    <s v="b1d4885c-ee2f-4330-8df0-2a7349a2bc51"/>
    <d v="2025-04-03T21:15:08"/>
    <m/>
    <m/>
    <s v="submitted_via_web"/>
    <m/>
    <s v="vhGz9QPwmdkBybuGFUbzwe"/>
    <m/>
    <n v="115"/>
  </r>
  <r>
    <d v="2025-04-03T16:03:18"/>
    <d v="2025-04-03T16:10:53"/>
    <s v="AFC"/>
    <n v="223"/>
    <d v="2025-03-15T00:00:00"/>
    <n v="1"/>
    <s v="LB"/>
    <s v="AE"/>
    <n v="61"/>
    <x v="1"/>
    <s v="1. Diariamente"/>
    <n v="0"/>
    <n v="0"/>
    <n v="0"/>
    <n v="0"/>
    <n v="0"/>
    <x v="0"/>
    <s v="1. Sí"/>
    <m/>
    <s v="6. Mestiza(o)"/>
    <m/>
    <x v="0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ARREGLARON EL PARQUE"/>
    <s v="HAY MAS CUIDADO DEL MUNICIPIO"/>
    <m/>
    <m/>
    <x v="1"/>
    <x v="2"/>
    <x v="2"/>
    <x v="2"/>
    <x v="1"/>
    <x v="4"/>
    <x v="4"/>
    <x v="0"/>
    <s v="A"/>
    <n v="1"/>
    <n v="0"/>
    <n v="0"/>
    <n v="0"/>
    <n v="0"/>
    <n v="0"/>
    <n v="0"/>
    <n v="0"/>
    <n v="0"/>
    <n v="0"/>
    <n v="0"/>
    <n v="0"/>
    <n v="0"/>
    <x v="2"/>
    <x v="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ALUD"/>
    <s v="ALEGRIA"/>
    <s v="TRANQUILIDAD"/>
    <n v="82799637"/>
    <s v="7203550b-0b22-4af1-832a-7885ce3b7200"/>
    <d v="2025-04-03T21:10:46"/>
    <m/>
    <m/>
    <s v="submitted_via_web"/>
    <m/>
    <s v="vhGz9QPwmdkBybuGFUbzwe"/>
    <m/>
    <n v="114"/>
  </r>
  <r>
    <d v="2025-04-03T15:50:33"/>
    <d v="2025-04-03T16:03:18"/>
    <s v="AFC"/>
    <n v="224"/>
    <d v="2025-03-15T00:00:00"/>
    <n v="1"/>
    <s v="GB-GC"/>
    <s v="AE"/>
    <n v="39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1"/>
    <s v="3. Caminos de ciclismo 4. Pistas para correr 6. Área para perros"/>
    <x v="0"/>
    <x v="0"/>
    <x v="1"/>
    <x v="0"/>
    <x v="1"/>
    <x v="0"/>
    <x v="0"/>
    <m/>
    <x v="1"/>
    <x v="1"/>
    <x v="0"/>
    <s v="PATRULLEROS"/>
    <s v="ILUMINACION"/>
    <m/>
    <m/>
    <x v="1"/>
    <x v="2"/>
    <x v="3"/>
    <x v="1"/>
    <x v="0"/>
    <x v="3"/>
    <x v="4"/>
    <x v="1"/>
    <s v="E"/>
    <n v="0"/>
    <n v="0"/>
    <n v="0"/>
    <n v="0"/>
    <n v="1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3"/>
    <x v="1"/>
    <x v="1"/>
    <x v="0"/>
    <x v="0"/>
    <x v="0"/>
    <x v="0"/>
    <x v="1"/>
    <x v="2"/>
    <x v="0"/>
    <x v="0"/>
    <x v="1"/>
    <x v="1"/>
    <x v="0"/>
    <x v="0"/>
    <x v="0"/>
    <x v="0"/>
    <x v="0"/>
    <x v="0"/>
    <x v="0"/>
    <x v="3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0"/>
    <m/>
    <s v="FELIZ"/>
    <s v="LIBRE"/>
    <m/>
    <n v="82798612"/>
    <s v="8642b79a-a767-4095-8ff4-1ae90ccbf6c0"/>
    <d v="2025-04-03T21:03:11"/>
    <m/>
    <m/>
    <s v="submitted_via_web"/>
    <m/>
    <s v="vhGz9QPwmdkBybuGFUbzwe"/>
    <m/>
    <n v="113"/>
  </r>
  <r>
    <d v="2025-04-03T15:39:18"/>
    <d v="2025-04-03T15:50:33"/>
    <s v="AFC"/>
    <n v="225"/>
    <d v="2025-03-14T00:00:00"/>
    <n v="1"/>
    <s v="DA"/>
    <s v="AE"/>
    <n v="47"/>
    <x v="2"/>
    <s v="2. Semanalmente"/>
    <n v="2"/>
    <n v="0"/>
    <n v="0"/>
    <n v="0"/>
    <n v="0"/>
    <x v="0"/>
    <s v="2. No"/>
    <s v="COLOMBIANA"/>
    <s v="6. Mestiza(o)"/>
    <m/>
    <x v="1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0"/>
    <s v="6. Área para perros"/>
    <x v="0"/>
    <x v="0"/>
    <x v="0"/>
    <x v="1"/>
    <x v="1"/>
    <x v="0"/>
    <x v="0"/>
    <m/>
    <x v="0"/>
    <x v="0"/>
    <x v="0"/>
    <s v="PRESENCIA POLICIAL"/>
    <s v="ALUENCIA DE GENTE"/>
    <m/>
    <m/>
    <x v="4"/>
    <x v="2"/>
    <x v="2"/>
    <x v="0"/>
    <x v="0"/>
    <x v="3"/>
    <x v="0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2"/>
    <x v="0"/>
    <x v="0"/>
    <x v="0"/>
    <x v="0"/>
    <x v="1"/>
    <x v="1"/>
    <x v="1"/>
    <x v="2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TRANQUILIDAD"/>
    <s v="PAZ"/>
    <m/>
    <n v="82796532"/>
    <s v="c35c70db-e18e-4ac6-91d8-640ed9fb891f"/>
    <d v="2025-04-03T20:50:26"/>
    <m/>
    <m/>
    <s v="submitted_via_web"/>
    <m/>
    <s v="vhGz9QPwmdkBybuGFUbzwe"/>
    <m/>
    <n v="112"/>
  </r>
  <r>
    <d v="2025-04-03T15:33:12"/>
    <d v="2025-04-03T15:39:18"/>
    <s v="AFC"/>
    <n v="226"/>
    <d v="2025-03-15T00:00:00"/>
    <n v="1"/>
    <s v="LB"/>
    <s v="AE"/>
    <n v="47"/>
    <x v="2"/>
    <s v="2. Semanalmente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"/>
    <x v="1"/>
    <x v="0"/>
    <x v="0"/>
    <x v="1"/>
    <x v="0"/>
    <x v="0"/>
    <x v="0"/>
    <m/>
    <x v="1"/>
    <x v="2"/>
    <x v="0"/>
    <s v="PRESENCIA DE GUARDIAS"/>
    <s v="HAY PARQUEADEROS"/>
    <m/>
    <m/>
    <x v="1"/>
    <x v="2"/>
    <x v="2"/>
    <x v="1"/>
    <x v="1"/>
    <x v="2"/>
    <x v="2"/>
    <x v="1"/>
    <s v="B"/>
    <n v="0"/>
    <n v="1"/>
    <n v="0"/>
    <n v="0"/>
    <n v="0"/>
    <n v="0"/>
    <n v="0"/>
    <n v="0"/>
    <n v="0"/>
    <n v="0"/>
    <n v="0"/>
    <n v="0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s v="ESTA CUIDADO EL PARQUE"/>
    <m/>
    <n v="82794977"/>
    <s v="db2e67fc-91e1-4ae9-8e4b-765f63b0ee1e"/>
    <d v="2025-04-03T20:39:11"/>
    <m/>
    <m/>
    <s v="submitted_via_web"/>
    <m/>
    <s v="vhGz9QPwmdkBybuGFUbzwe"/>
    <m/>
    <n v="111"/>
  </r>
  <r>
    <d v="2025-04-03T15:28:01"/>
    <d v="2025-04-03T15:33:12"/>
    <s v="AFC"/>
    <n v="227"/>
    <d v="2025-03-15T00:00:00"/>
    <n v="1"/>
    <s v="GB-GC"/>
    <s v="AE"/>
    <n v="36"/>
    <x v="0"/>
    <s v="3. al menos 2 veces al mes"/>
    <n v="1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 3. Tarde (12:00 a 17:59)"/>
    <x v="0"/>
    <x v="0"/>
    <x v="1"/>
    <x v="0"/>
    <x v="0"/>
    <s v="1. Canchas de fútbol y basquet 3. Caminos de ciclismo"/>
    <x v="1"/>
    <x v="0"/>
    <x v="1"/>
    <x v="1"/>
    <x v="0"/>
    <x v="0"/>
    <x v="0"/>
    <m/>
    <x v="1"/>
    <x v="1"/>
    <x v="0"/>
    <s v="ESTACIONAMIENTO"/>
    <s v="SSHH"/>
    <m/>
    <m/>
    <x v="1"/>
    <x v="1"/>
    <x v="1"/>
    <x v="1"/>
    <x v="0"/>
    <x v="2"/>
    <x v="1"/>
    <x v="1"/>
    <s v="E"/>
    <n v="0"/>
    <n v="0"/>
    <n v="0"/>
    <n v="0"/>
    <n v="1"/>
    <n v="0"/>
    <n v="0"/>
    <n v="0"/>
    <n v="0"/>
    <n v="0"/>
    <n v="0"/>
    <n v="0"/>
    <n v="0"/>
    <x v="0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1"/>
    <x v="1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0"/>
    <x v="0"/>
    <x v="0"/>
    <x v="0"/>
    <x v="0"/>
    <x v="0"/>
    <x v="0"/>
    <x v="0"/>
    <x v="0"/>
    <m/>
    <s v="CONFORTABLE"/>
    <s v="SEGURO"/>
    <m/>
    <n v="82794108"/>
    <s v="744a7edc-5102-4d60-9687-14b4f613b347"/>
    <d v="2025-04-03T20:33:04"/>
    <m/>
    <m/>
    <s v="submitted_via_web"/>
    <m/>
    <s v="vhGz9QPwmdkBybuGFUbzwe"/>
    <m/>
    <n v="110"/>
  </r>
  <r>
    <d v="2025-04-03T15:21:30"/>
    <d v="2025-04-03T15:28:01"/>
    <s v="AFC"/>
    <n v="228"/>
    <d v="2025-03-15T00:00:00"/>
    <n v="1"/>
    <s v="DA"/>
    <s v="AE"/>
    <n v="71"/>
    <x v="1"/>
    <s v="2. Semanalmente"/>
    <n v="0"/>
    <n v="0"/>
    <n v="0"/>
    <n v="0"/>
    <n v="0"/>
    <x v="0"/>
    <s v="1. Sí"/>
    <m/>
    <s v="6. Mestiza(o)"/>
    <m/>
    <x v="0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 3. Tarde (12:00 a 17:59)"/>
    <x v="0"/>
    <x v="0"/>
    <x v="1"/>
    <x v="0"/>
    <x v="2"/>
    <s v="1. Canchas de fútbol y basquet"/>
    <x v="1"/>
    <x v="0"/>
    <x v="0"/>
    <x v="1"/>
    <x v="0"/>
    <x v="0"/>
    <x v="0"/>
    <m/>
    <x v="0"/>
    <x v="0"/>
    <x v="1"/>
    <s v="FALTA DE SEGURIDAD EN EL PARQUEADERO"/>
    <s v="FALTA DE CAMARAS"/>
    <m/>
    <m/>
    <x v="4"/>
    <x v="2"/>
    <x v="1"/>
    <x v="2"/>
    <x v="1"/>
    <x v="0"/>
    <x v="0"/>
    <x v="0"/>
    <s v="F"/>
    <n v="0"/>
    <n v="0"/>
    <n v="0"/>
    <n v="0"/>
    <n v="0"/>
    <n v="1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2"/>
    <x v="0"/>
    <x v="0"/>
    <x v="0"/>
    <x v="0"/>
    <x v="1"/>
    <x v="1"/>
    <x v="1"/>
    <x v="2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s v="SIN PROBLEMA"/>
    <m/>
    <n v="82793382"/>
    <s v="24a5f948-1061-45c3-906d-d445f5cc6363"/>
    <d v="2025-04-03T20:27:54"/>
    <m/>
    <m/>
    <s v="submitted_via_web"/>
    <m/>
    <s v="vhGz9QPwmdkBybuGFUbzwe"/>
    <m/>
    <n v="109"/>
  </r>
  <r>
    <d v="2025-04-03T15:11:28"/>
    <d v="2025-04-03T15:21:30"/>
    <s v="AFC"/>
    <n v="229"/>
    <d v="2025-03-15T00:00:00"/>
    <n v="1"/>
    <s v="LB"/>
    <s v="AE"/>
    <n v="41"/>
    <x v="2"/>
    <s v="1. Diariamente"/>
    <n v="0"/>
    <n v="0"/>
    <n v="0"/>
    <n v="0"/>
    <n v="0"/>
    <x v="0"/>
    <s v="1. Sí"/>
    <m/>
    <s v="6. Mestiza(o)"/>
    <m/>
    <x v="0"/>
    <s v="1. Completa"/>
    <s v="7. Dueña/o de su propio negocio"/>
    <m/>
    <s v="2. de $471 a $919"/>
    <s v="5. Recreación/Ocio"/>
    <x v="1"/>
    <x v="0"/>
    <x v="0"/>
    <x v="0"/>
    <x v="1"/>
    <x v="0"/>
    <m/>
    <s v="1. Madrugada (00:00 a 05:59) 2. Mañana  (06:00 a 11:59)"/>
    <x v="1"/>
    <x v="0"/>
    <x v="0"/>
    <x v="0"/>
    <x v="3"/>
    <s v="7. Áreas verdes"/>
    <x v="0"/>
    <x v="0"/>
    <x v="0"/>
    <x v="1"/>
    <x v="0"/>
    <x v="1"/>
    <x v="0"/>
    <m/>
    <x v="0"/>
    <x v="0"/>
    <x v="0"/>
    <s v="SI ES SEGURO PERO SI SE NECESITA MAS SEGURIDAD"/>
    <m/>
    <m/>
    <m/>
    <x v="1"/>
    <x v="1"/>
    <x v="2"/>
    <x v="1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FELIZ YA QUE SU MASCOTA ES FELIZ AQUI"/>
    <s v="SEGURIDAD"/>
    <m/>
    <n v="82792795"/>
    <s v="9aecd5cf-4574-43b1-9c1a-e7a2578c8e35"/>
    <d v="2025-04-03T20:21:23"/>
    <m/>
    <m/>
    <s v="submitted_via_web"/>
    <m/>
    <s v="vhGz9QPwmdkBybuGFUbzwe"/>
    <m/>
    <n v="108"/>
  </r>
  <r>
    <d v="2025-04-03T15:06:56"/>
    <d v="2025-04-03T15:11:28"/>
    <s v="AFC"/>
    <n v="230"/>
    <d v="2025-03-15T00:00:00"/>
    <n v="1"/>
    <s v="LB"/>
    <s v="AE"/>
    <n v="52"/>
    <x v="2"/>
    <s v="1. Diariamente"/>
    <n v="0"/>
    <n v="0"/>
    <n v="0"/>
    <n v="0"/>
    <n v="0"/>
    <x v="0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0"/>
    <s v="PRESENCIA POLICIAL"/>
    <m/>
    <m/>
    <m/>
    <x v="0"/>
    <x v="2"/>
    <x v="2"/>
    <x v="4"/>
    <x v="0"/>
    <x v="2"/>
    <x v="1"/>
    <x v="1"/>
    <s v="I"/>
    <n v="0"/>
    <n v="0"/>
    <n v="0"/>
    <n v="0"/>
    <n v="0"/>
    <n v="0"/>
    <n v="0"/>
    <n v="0"/>
    <n v="1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1"/>
    <x v="1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LIBERTAD"/>
    <s v="PAZ"/>
    <m/>
    <n v="82792003"/>
    <s v="c80cfbc5-3104-4ce9-8cf3-dd290c094310"/>
    <d v="2025-04-03T20:11:21"/>
    <m/>
    <m/>
    <s v="submitted_via_web"/>
    <m/>
    <s v="vhGz9QPwmdkBybuGFUbzwe"/>
    <m/>
    <n v="107"/>
  </r>
  <r>
    <d v="2025-04-03T15:02:07"/>
    <d v="2025-04-03T15:06:56"/>
    <s v="AFC"/>
    <n v="231"/>
    <d v="2025-03-15T00:00:00"/>
    <n v="1"/>
    <s v="DA"/>
    <s v="AE"/>
    <n v="28"/>
    <x v="0"/>
    <s v="3. al menos 2 veces al mes"/>
    <n v="0"/>
    <n v="0"/>
    <n v="0"/>
    <n v="0"/>
    <n v="0"/>
    <x v="1"/>
    <s v="1. Sí"/>
    <m/>
    <s v="1. Indígena"/>
    <m/>
    <x v="1"/>
    <s v="1. Completa"/>
    <s v="6. No trabaja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0"/>
    <s v="PRESENCIA DE GUARDIAS"/>
    <m/>
    <m/>
    <m/>
    <x v="0"/>
    <x v="1"/>
    <x v="1"/>
    <x v="1"/>
    <x v="0"/>
    <x v="4"/>
    <x v="2"/>
    <x v="0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1"/>
    <x v="1"/>
    <x v="1"/>
    <x v="2"/>
    <x v="0"/>
    <x v="0"/>
    <x v="1"/>
    <x v="1"/>
    <x v="0"/>
    <x v="0"/>
    <x v="0"/>
    <x v="0"/>
    <x v="0"/>
    <x v="0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TRANQUILA"/>
    <s v="RELAJADA"/>
    <s v="SEGURA"/>
    <n v="82791749"/>
    <s v="e7fa4c7e-eaf1-48b8-b4bb-f29d818d2e9d"/>
    <d v="2025-04-03T20:06:48"/>
    <m/>
    <m/>
    <s v="submitted_via_web"/>
    <m/>
    <s v="vhGz9QPwmdkBybuGFUbzwe"/>
    <m/>
    <n v="106"/>
  </r>
  <r>
    <d v="2025-04-03T14:56:49"/>
    <d v="2025-04-03T15:02:07"/>
    <s v="AFC"/>
    <n v="232"/>
    <d v="2025-03-15T00:00:00"/>
    <n v="1"/>
    <s v="GB-SCH"/>
    <s v="AE"/>
    <n v="75"/>
    <x v="1"/>
    <s v="3. al menos 2 veces al mes"/>
    <n v="0"/>
    <n v="0"/>
    <n v="0"/>
    <n v="0"/>
    <n v="1"/>
    <x v="0"/>
    <s v="1. Sí"/>
    <m/>
    <s v="6. Mestiza(o)"/>
    <m/>
    <x v="5"/>
    <s v="1. Completa"/>
    <s v="3. Es jubilada/o o pensionista/o"/>
    <m/>
    <s v="2. de $471 a $919"/>
    <s v="5. Recreación/Ocio"/>
    <x v="1"/>
    <x v="0"/>
    <x v="0"/>
    <x v="0"/>
    <x v="1"/>
    <x v="0"/>
    <m/>
    <s v="2. Mañana  (06:00 a 11:59) 3. Tarde (12:00 a 17:59)"/>
    <x v="0"/>
    <x v="0"/>
    <x v="1"/>
    <x v="0"/>
    <x v="2"/>
    <s v="3. Caminos de ciclismo 6. Área para perros 7. Áreas verdes"/>
    <x v="0"/>
    <x v="0"/>
    <x v="1"/>
    <x v="1"/>
    <x v="1"/>
    <x v="1"/>
    <x v="0"/>
    <m/>
    <x v="1"/>
    <x v="1"/>
    <x v="0"/>
    <s v="VISITA CUANDO HAY GENTE"/>
    <m/>
    <m/>
    <m/>
    <x v="0"/>
    <x v="2"/>
    <x v="1"/>
    <x v="0"/>
    <x v="2"/>
    <x v="2"/>
    <x v="0"/>
    <x v="1"/>
    <s v="B"/>
    <n v="0"/>
    <n v="1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1"/>
    <x v="2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TRANQUILIDAD"/>
    <m/>
    <m/>
    <n v="82791348"/>
    <s v="3bafa109-c48a-449a-b269-2066bb826d8d"/>
    <d v="2025-04-03T20:01:59"/>
    <m/>
    <m/>
    <s v="submitted_via_web"/>
    <m/>
    <s v="vhGz9QPwmdkBybuGFUbzwe"/>
    <m/>
    <n v="105"/>
  </r>
  <r>
    <d v="2025-04-03T14:51:38"/>
    <d v="2025-04-03T14:56:49"/>
    <s v="AFC"/>
    <n v="233"/>
    <d v="2025-03-15T00:00:00"/>
    <n v="1"/>
    <s v="LB"/>
    <s v="AE"/>
    <n v="49"/>
    <x v="2"/>
    <s v="1. Diariamente"/>
    <n v="1"/>
    <n v="0"/>
    <n v="0"/>
    <n v="0"/>
    <n v="0"/>
    <x v="0"/>
    <s v="2. No"/>
    <s v="COLOMBIANA"/>
    <s v="6. Mestiza(o)"/>
    <m/>
    <x v="1"/>
    <s v="1. Completa"/>
    <s v="1. Trabajar"/>
    <m/>
    <s v="1. Menos de $470"/>
    <s v="2. Culturales y sociales"/>
    <x v="1"/>
    <x v="1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0"/>
    <s v="SIEMPRE HAY POLICIAS EN EL SECTOR"/>
    <s v="GURADIAS DE SEGURIDAD"/>
    <m/>
    <m/>
    <x v="0"/>
    <x v="2"/>
    <x v="1"/>
    <x v="2"/>
    <x v="0"/>
    <x v="3"/>
    <x v="4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0"/>
    <x v="0"/>
    <x v="0"/>
    <x v="0"/>
    <x v="0"/>
    <x v="1"/>
    <x v="1"/>
    <x v="0"/>
    <x v="0"/>
    <x v="1"/>
    <x v="2"/>
    <x v="1"/>
    <x v="1"/>
    <x v="1"/>
    <x v="2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FELICIDAD"/>
    <s v="PAZ"/>
    <m/>
    <n v="82790982"/>
    <s v="fdef02bf-2e4e-429f-88a8-0fb41cfa9074"/>
    <d v="2025-04-03T19:56:41"/>
    <m/>
    <m/>
    <s v="submitted_via_web"/>
    <m/>
    <s v="vhGz9QPwmdkBybuGFUbzwe"/>
    <m/>
    <n v="104"/>
  </r>
  <r>
    <d v="2025-04-03T14:45:49"/>
    <d v="2025-04-03T14:51:38"/>
    <s v="AFC"/>
    <n v="234"/>
    <d v="2025-03-15T00:00:00"/>
    <n v="3"/>
    <s v="DA"/>
    <s v="AE"/>
    <n v="39"/>
    <x v="0"/>
    <s v="3. al menos 2 veces al mes"/>
    <n v="2"/>
    <n v="0"/>
    <n v="0"/>
    <n v="0"/>
    <n v="0"/>
    <x v="1"/>
    <s v="1. Sí"/>
    <m/>
    <s v="6. Mestiza(o)"/>
    <m/>
    <x v="0"/>
    <s v="1. Completa"/>
    <s v="7. Dueña/o de su propio negocio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3"/>
    <s v="1. Canchas de fútbol y basquet 3. Caminos de ciclismo"/>
    <x v="1"/>
    <x v="0"/>
    <x v="1"/>
    <x v="1"/>
    <x v="0"/>
    <x v="0"/>
    <x v="0"/>
    <m/>
    <x v="1"/>
    <x v="1"/>
    <x v="1"/>
    <s v="POR FALTA DE INFORMACION"/>
    <m/>
    <m/>
    <m/>
    <x v="1"/>
    <x v="1"/>
    <x v="1"/>
    <x v="0"/>
    <x v="0"/>
    <x v="0"/>
    <x v="0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2"/>
    <x v="0"/>
    <x v="0"/>
    <x v="0"/>
    <x v="0"/>
    <x v="0"/>
    <x v="0"/>
    <m/>
    <s v="FELICIDAD"/>
    <s v="RELAJACION"/>
    <m/>
    <n v="82790766"/>
    <s v="b1e50f98-8522-4ec5-a6be-c4ead2b025b9"/>
    <d v="2025-04-03T19:51:31"/>
    <m/>
    <m/>
    <s v="submitted_via_web"/>
    <m/>
    <s v="vhGz9QPwmdkBybuGFUbzwe"/>
    <m/>
    <n v="103"/>
  </r>
  <r>
    <d v="2025-04-03T14:34:49"/>
    <d v="2025-04-03T14:45:49"/>
    <s v="AFC"/>
    <n v="235"/>
    <d v="2025-03-14T00:00:00"/>
    <n v="1"/>
    <s v="LB"/>
    <s v="AE"/>
    <n v="36"/>
    <x v="0"/>
    <s v="2. Semanalmente"/>
    <n v="3"/>
    <n v="0"/>
    <n v="0"/>
    <n v="0"/>
    <n v="0"/>
    <x v="1"/>
    <s v="1. Sí"/>
    <m/>
    <s v="6. Mestiza(o)"/>
    <m/>
    <x v="0"/>
    <s v="1. Completa"/>
    <s v="1. Trabajar"/>
    <m/>
    <s v="3. de $920 a $1339"/>
    <s v="4. De paso"/>
    <x v="1"/>
    <x v="0"/>
    <x v="0"/>
    <x v="1"/>
    <x v="0"/>
    <x v="0"/>
    <m/>
    <s v="2. Mañana  (06:00 a 11:59)"/>
    <x v="0"/>
    <x v="0"/>
    <x v="0"/>
    <x v="0"/>
    <x v="0"/>
    <s v="2. Rampas para patineta 3. Caminos de ciclismo"/>
    <x v="0"/>
    <x v="1"/>
    <x v="1"/>
    <x v="1"/>
    <x v="0"/>
    <x v="0"/>
    <x v="0"/>
    <m/>
    <x v="1"/>
    <x v="1"/>
    <x v="0"/>
    <s v="SIEMPRE VIENE EN EL DIA"/>
    <m/>
    <m/>
    <m/>
    <x v="1"/>
    <x v="1"/>
    <x v="1"/>
    <x v="1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0"/>
    <x v="1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0"/>
    <x v="0"/>
    <x v="1"/>
    <x v="1"/>
    <x v="0"/>
    <x v="0"/>
    <x v="1"/>
    <x v="2"/>
    <x v="1"/>
    <x v="1"/>
    <x v="0"/>
    <x v="0"/>
    <x v="0"/>
    <x v="0"/>
    <x v="0"/>
    <x v="0"/>
    <x v="0"/>
    <x v="0"/>
    <x v="0"/>
    <x v="0"/>
    <x v="0"/>
    <x v="1"/>
    <x v="1"/>
    <x v="1"/>
    <x v="0"/>
    <x v="0"/>
    <x v="0"/>
    <x v="3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PARECE FERIA DE COMIDA"/>
    <s v="MUCHA AGLOMERACION DE PERSONAS"/>
    <m/>
    <n v="82790541"/>
    <s v="ae0fda5c-4f99-4b76-b55c-22726e889f5f"/>
    <d v="2025-04-03T19:45:42"/>
    <m/>
    <m/>
    <s v="submitted_via_web"/>
    <m/>
    <s v="vhGz9QPwmdkBybuGFUbzwe"/>
    <m/>
    <n v="102"/>
  </r>
  <r>
    <d v="2025-04-03T14:29:05"/>
    <d v="2025-04-03T14:34:49"/>
    <s v="AFC"/>
    <n v="236"/>
    <d v="2025-03-14T00:00:00"/>
    <n v="1"/>
    <s v="DA"/>
    <s v="AE"/>
    <n v="81"/>
    <x v="1"/>
    <s v="3. al menos 2 veces al mes"/>
    <n v="2"/>
    <n v="0"/>
    <n v="0"/>
    <n v="0"/>
    <n v="0"/>
    <x v="1"/>
    <s v="1. Sí"/>
    <m/>
    <s v="6. Mestiza(o)"/>
    <m/>
    <x v="5"/>
    <s v="1. 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1"/>
    <x v="2"/>
    <x v="0"/>
    <s v="PRESENCIA POLICIAL"/>
    <m/>
    <m/>
    <m/>
    <x v="0"/>
    <x v="2"/>
    <x v="1"/>
    <x v="2"/>
    <x v="0"/>
    <x v="3"/>
    <x v="2"/>
    <x v="0"/>
    <s v="A"/>
    <n v="1"/>
    <n v="0"/>
    <n v="0"/>
    <n v="0"/>
    <n v="0"/>
    <n v="0"/>
    <n v="0"/>
    <n v="0"/>
    <n v="0"/>
    <n v="0"/>
    <n v="0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2"/>
    <x v="1"/>
    <x v="2"/>
    <x v="1"/>
    <x v="1"/>
    <x v="0"/>
    <x v="0"/>
    <x v="0"/>
    <x v="2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TRANQUILA"/>
    <s v="RELAJADA"/>
    <m/>
    <n v="82789980"/>
    <s v="5b9b1d30-8037-44de-ad79-f4b37306b56f"/>
    <d v="2025-04-03T19:34:41"/>
    <m/>
    <m/>
    <s v="submitted_via_web"/>
    <m/>
    <s v="vhGz9QPwmdkBybuGFUbzwe"/>
    <m/>
    <n v="101"/>
  </r>
  <r>
    <d v="2025-04-03T14:20:17"/>
    <d v="2025-04-03T14:29:05"/>
    <s v="AFC"/>
    <n v="237"/>
    <d v="2025-03-14T00:00:00"/>
    <n v="1"/>
    <s v="GB-SCH"/>
    <s v="JA"/>
    <n v="61"/>
    <x v="1"/>
    <s v="2. Semanalmente"/>
    <n v="0"/>
    <n v="0"/>
    <n v="0"/>
    <n v="0"/>
    <n v="0"/>
    <x v="0"/>
    <s v="1. Sí"/>
    <m/>
    <s v="6. Mestiza(o)"/>
    <m/>
    <x v="0"/>
    <s v="1. Completa"/>
    <s v="7. Dueña/o de su propio negocio"/>
    <m/>
    <s v="3. de $920 a $1339"/>
    <s v="1. Deporte / ejercicio 5. Recreación/Ocio"/>
    <x v="0"/>
    <x v="0"/>
    <x v="0"/>
    <x v="0"/>
    <x v="1"/>
    <x v="0"/>
    <m/>
    <s v="2. Mañana  (06:00 a 11:59) 3. Tarde (12:00 a 17:59)"/>
    <x v="0"/>
    <x v="0"/>
    <x v="1"/>
    <x v="0"/>
    <x v="3"/>
    <s v="3. Caminos de ciclismo 4. Pistas para correr 8. Otro."/>
    <x v="0"/>
    <x v="0"/>
    <x v="1"/>
    <x v="0"/>
    <x v="0"/>
    <x v="0"/>
    <x v="1"/>
    <s v="JUEGOS"/>
    <x v="1"/>
    <x v="2"/>
    <x v="0"/>
    <s v="SEGURO EN EL HORARIO QUE VIENEN"/>
    <m/>
    <m/>
    <m/>
    <x v="1"/>
    <x v="1"/>
    <x v="1"/>
    <x v="0"/>
    <x v="2"/>
    <x v="3"/>
    <x v="1"/>
    <x v="0"/>
    <s v="A B C D E H I L"/>
    <n v="1"/>
    <n v="1"/>
    <n v="1"/>
    <n v="1"/>
    <n v="1"/>
    <n v="0"/>
    <n v="0"/>
    <n v="1"/>
    <n v="1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1"/>
    <x v="2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0"/>
    <x v="1"/>
    <x v="1"/>
    <x v="1"/>
    <x v="1"/>
    <x v="1"/>
    <x v="1"/>
    <x v="2"/>
    <x v="0"/>
    <x v="0"/>
    <x v="0"/>
    <x v="0"/>
    <x v="0"/>
    <x v="0"/>
    <x v="0"/>
    <m/>
    <s v="RELAJACION"/>
    <s v="SATISFACCION"/>
    <m/>
    <n v="82789811"/>
    <s v="3fd4f33c-2938-45b7-87be-bc2f039f06de"/>
    <d v="2025-04-03T19:28:58"/>
    <m/>
    <m/>
    <s v="submitted_via_web"/>
    <m/>
    <s v="vhGz9QPwmdkBybuGFUbzwe"/>
    <m/>
    <n v="100"/>
  </r>
  <r>
    <d v="2025-04-03T14:13:21"/>
    <d v="2025-04-03T14:20:17"/>
    <s v="AFC"/>
    <n v="238"/>
    <d v="2025-03-15T00:00:00"/>
    <n v="1"/>
    <s v="GB-SCH"/>
    <s v="AE"/>
    <n v="76"/>
    <x v="1"/>
    <s v="2. Semanalmente"/>
    <n v="0"/>
    <n v="0"/>
    <n v="0"/>
    <n v="0"/>
    <n v="0"/>
    <x v="1"/>
    <s v="1. Sí"/>
    <m/>
    <s v="6. Mestiza(o)"/>
    <m/>
    <x v="5"/>
    <s v="1. Completa"/>
    <s v="5. Quehaceres domésticos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1"/>
    <x v="0"/>
    <s v="PORQUE HAY MAS PERSONAS"/>
    <m/>
    <m/>
    <m/>
    <x v="1"/>
    <x v="2"/>
    <x v="1"/>
    <x v="0"/>
    <x v="2"/>
    <x v="0"/>
    <x v="0"/>
    <x v="2"/>
    <s v="B C D E H I J L"/>
    <n v="0"/>
    <n v="1"/>
    <n v="1"/>
    <n v="1"/>
    <n v="1"/>
    <n v="0"/>
    <n v="0"/>
    <n v="1"/>
    <n v="1"/>
    <n v="1"/>
    <n v="0"/>
    <n v="1"/>
    <n v="0"/>
    <x v="3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0"/>
    <x v="1"/>
    <x v="2"/>
    <x v="1"/>
    <x v="1"/>
    <x v="1"/>
    <x v="1"/>
    <x v="2"/>
    <x v="0"/>
    <x v="1"/>
    <x v="1"/>
    <x v="0"/>
    <x v="0"/>
    <x v="0"/>
    <x v="0"/>
    <m/>
    <s v="DESPEJA LA MENTE"/>
    <s v="ALEGRIA EN CIERTOS SITIOS"/>
    <m/>
    <n v="82789357"/>
    <s v="632cb02f-4fec-4ab2-ac9c-c2785f877bd3"/>
    <d v="2025-04-03T19:20:10"/>
    <m/>
    <m/>
    <s v="submitted_via_web"/>
    <m/>
    <s v="vhGz9QPwmdkBybuGFUbzwe"/>
    <m/>
    <n v="99"/>
  </r>
  <r>
    <d v="2025-04-03T12:35:27"/>
    <d v="2025-04-03T14:13:21"/>
    <s v="AFC"/>
    <n v="239"/>
    <d v="2025-03-14T00:00:00"/>
    <n v="3"/>
    <s v="DA"/>
    <s v="AE"/>
    <n v="43"/>
    <x v="2"/>
    <s v="2. Semanalmente"/>
    <n v="1"/>
    <n v="0"/>
    <n v="0"/>
    <n v="0"/>
    <n v="0"/>
    <x v="1"/>
    <s v="1. Sí"/>
    <m/>
    <s v="1. Indígena"/>
    <m/>
    <x v="5"/>
    <s v="1. Completa"/>
    <s v="7. Dueña/o de su propio negocio"/>
    <m/>
    <s v="2. de $471 a $919"/>
    <s v="4. De paso"/>
    <x v="1"/>
    <x v="0"/>
    <x v="0"/>
    <x v="1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RESENCIA DE GUARDIAS"/>
    <s v="MUY CUIDADO"/>
    <m/>
    <m/>
    <x v="4"/>
    <x v="1"/>
    <x v="2"/>
    <x v="1"/>
    <x v="0"/>
    <x v="3"/>
    <x v="0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0"/>
    <x v="3"/>
    <x v="0"/>
    <m/>
    <x v="0"/>
    <x v="0"/>
    <x v="0"/>
    <x v="0"/>
    <x v="0"/>
    <m/>
    <x v="0"/>
    <x v="0"/>
    <x v="0"/>
    <x v="0"/>
    <x v="0"/>
    <m/>
    <x v="0"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IDAD"/>
    <s v="SEGURIDAD"/>
    <m/>
    <n v="82788910"/>
    <s v="5517ad43-11dd-4e87-b9ea-04ce7b9ebd6e"/>
    <d v="2025-04-03T19:13:14"/>
    <m/>
    <m/>
    <s v="submitted_via_web"/>
    <m/>
    <s v="vhGz9QPwmdkBybuGFUbzwe"/>
    <m/>
    <n v="98"/>
  </r>
  <r>
    <d v="2025-04-03T11:53:11"/>
    <d v="2025-04-03T12:35:27"/>
    <s v="AFC"/>
    <n v="240"/>
    <d v="2025-03-15T00:00:00"/>
    <n v="1"/>
    <s v="LB"/>
    <s v="AE"/>
    <n v="25"/>
    <x v="3"/>
    <s v="2. Semanalmente"/>
    <n v="0"/>
    <n v="0"/>
    <n v="0"/>
    <n v="0"/>
    <n v="0"/>
    <x v="1"/>
    <s v="1. Sí"/>
    <m/>
    <s v="6. Mestiza(o)"/>
    <m/>
    <x v="1"/>
    <s v="1. Completa"/>
    <s v="1. Trabajar"/>
    <m/>
    <s v="1. Menos de $470"/>
    <s v="2. Culturales y sociales"/>
    <x v="1"/>
    <x v="1"/>
    <x v="0"/>
    <x v="0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1"/>
    <x v="2"/>
    <x v="1"/>
    <s v="SE ACERCAN VENDEDORES AMBULANTES ENOJADOS"/>
    <m/>
    <m/>
    <m/>
    <x v="1"/>
    <x v="2"/>
    <x v="1"/>
    <x v="5"/>
    <x v="1"/>
    <x v="3"/>
    <x v="4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0"/>
    <x v="0"/>
    <x v="0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NO ES MUY ADECUADO LAS INSTALACIONES"/>
    <m/>
    <m/>
    <n v="82779670"/>
    <s v="31d5a73b-659a-43a8-990d-230e8c51cfc1"/>
    <d v="2025-04-03T17:35:19"/>
    <m/>
    <m/>
    <s v="submitted_via_web"/>
    <m/>
    <s v="vhGz9QPwmdkBybuGFUbzwe"/>
    <m/>
    <n v="97"/>
  </r>
  <r>
    <d v="2025-04-05T13:05:20"/>
    <d v="2025-04-05T13:09:10"/>
    <s v="JP"/>
    <n v="242"/>
    <d v="2025-03-15T00:00:00"/>
    <n v="1"/>
    <s v="DA"/>
    <s v="AE"/>
    <n v="49"/>
    <x v="2"/>
    <s v="3. al menos 2 veces al mes"/>
    <n v="1"/>
    <n v="0"/>
    <n v="0"/>
    <n v="0"/>
    <n v="0"/>
    <x v="0"/>
    <s v="1. Sí"/>
    <m/>
    <s v="6. Mestiza(o)"/>
    <m/>
    <x v="0"/>
    <s v="1. Completa"/>
    <s v="7. Dueña/o de su propio negocio"/>
    <m/>
    <s v="3. de $920 a $1339"/>
    <s v="4. De paso"/>
    <x v="1"/>
    <x v="0"/>
    <x v="0"/>
    <x v="1"/>
    <x v="0"/>
    <x v="0"/>
    <m/>
    <s v="2. Mañana  (06:00 a 11:59)"/>
    <x v="0"/>
    <x v="0"/>
    <x v="0"/>
    <x v="0"/>
    <x v="0"/>
    <s v="3. Caminos de ciclismo 4. Pistas para correr"/>
    <x v="0"/>
    <x v="0"/>
    <x v="1"/>
    <x v="0"/>
    <x v="0"/>
    <x v="0"/>
    <x v="0"/>
    <m/>
    <x v="1"/>
    <x v="2"/>
    <x v="2"/>
    <s v="AFLUENCIA DE GENTE"/>
    <s v="FUERZA POLICIAL"/>
    <m/>
    <m/>
    <x v="4"/>
    <x v="2"/>
    <x v="2"/>
    <x v="0"/>
    <x v="2"/>
    <x v="3"/>
    <x v="0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0"/>
    <x v="3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1"/>
    <x v="2"/>
    <x v="1"/>
    <x v="1"/>
    <x v="1"/>
    <x v="1"/>
    <x v="2"/>
    <x v="0"/>
    <x v="0"/>
    <x v="0"/>
    <x v="0"/>
    <x v="0"/>
    <x v="0"/>
    <x v="0"/>
    <m/>
    <s v="TRANQUILIDAD"/>
    <s v="RELAJACION"/>
    <m/>
    <n v="82910686"/>
    <s v="24d7bb6e-8917-4d60-9c1c-b0728e5cc4c0"/>
    <d v="2025-04-05T18:09:11"/>
    <m/>
    <m/>
    <s v="submitted_via_web"/>
    <m/>
    <s v="vhGz9QPwmdkBybuGFUbzwe"/>
    <m/>
    <n v="157"/>
  </r>
  <r>
    <d v="2025-04-05T13:09:10"/>
    <d v="2025-04-05T13:13:23"/>
    <s v="JP"/>
    <n v="243"/>
    <d v="2025-03-14T00:00:00"/>
    <n v="5"/>
    <s v="GB-JG"/>
    <s v="AMA"/>
    <n v="35"/>
    <x v="0"/>
    <s v="1. Diariamente"/>
    <n v="0"/>
    <n v="0"/>
    <n v="0"/>
    <n v="0"/>
    <n v="0"/>
    <x v="1"/>
    <s v="1. Sí"/>
    <m/>
    <s v="6. Mestiza(o)"/>
    <m/>
    <x v="0"/>
    <s v="1. Completa"/>
    <s v="5. Quehaceres domésticos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JUGAR CON LA NIÑA TRANQUILA"/>
    <m/>
    <m/>
    <m/>
    <x v="0"/>
    <x v="2"/>
    <x v="2"/>
    <x v="1"/>
    <x v="0"/>
    <x v="3"/>
    <x v="4"/>
    <x v="0"/>
    <s v="C"/>
    <n v="0"/>
    <n v="0"/>
    <n v="1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3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1"/>
    <x v="2"/>
    <x v="1"/>
    <x v="1"/>
    <x v="2"/>
    <x v="0"/>
    <x v="0"/>
    <x v="0"/>
    <x v="0"/>
    <x v="0"/>
    <x v="0"/>
    <m/>
    <s v="TRANQUILA"/>
    <s v="DISFRUTA DEL AMBIENTE"/>
    <m/>
    <n v="82910715"/>
    <s v="c86df783-e0d5-49af-b512-2cf137973d3e"/>
    <d v="2025-04-05T18:13:24"/>
    <m/>
    <m/>
    <s v="submitted_via_web"/>
    <m/>
    <s v="vhGz9QPwmdkBybuGFUbzwe"/>
    <m/>
    <n v="159"/>
  </r>
  <r>
    <d v="2025-04-10T09:49:12"/>
    <d v="2025-04-10T10:15:56"/>
    <s v="GH"/>
    <n v="244"/>
    <d v="2025-03-14T00:00:00"/>
    <n v="5"/>
    <s v="GB-IG"/>
    <s v="AMA"/>
    <n v="29"/>
    <x v="0"/>
    <s v="2. Semanalmente"/>
    <n v="0"/>
    <n v="0"/>
    <n v="0"/>
    <n v="0"/>
    <n v="0"/>
    <x v="1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PRESENCIA DE LA POLICIA"/>
    <m/>
    <m/>
    <m/>
    <x v="1"/>
    <x v="1"/>
    <x v="1"/>
    <x v="1"/>
    <x v="0"/>
    <x v="3"/>
    <x v="2"/>
    <x v="1"/>
    <s v="K"/>
    <n v="0"/>
    <n v="0"/>
    <n v="0"/>
    <n v="0"/>
    <n v="0"/>
    <n v="0"/>
    <n v="0"/>
    <n v="0"/>
    <n v="0"/>
    <n v="0"/>
    <n v="1"/>
    <n v="0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A Y MIEDO POR LAS PERSONAS EN SITUACIÓN DE CALLE"/>
    <m/>
    <m/>
    <n v="83412697"/>
    <s v="572a3526-8f17-4289-8476-4fa1b6f9d14f"/>
    <d v="2025-04-10T15:15:55"/>
    <m/>
    <m/>
    <s v="submitted_via_web"/>
    <m/>
    <s v="v5uNQoYdGp6CCoWUMSjVDf"/>
    <m/>
    <n v="414"/>
  </r>
  <r>
    <d v="2025-04-05T13:13:23"/>
    <d v="2025-04-05T13:17:45"/>
    <s v="JP"/>
    <n v="245"/>
    <d v="2025-03-14T00:00:00"/>
    <n v="5"/>
    <s v="GB-JG"/>
    <s v="AMA"/>
    <n v="38"/>
    <x v="0"/>
    <s v="3. al menos 2 veces al mes"/>
    <n v="1"/>
    <n v="0"/>
    <n v="0"/>
    <n v="0"/>
    <n v="0"/>
    <x v="0"/>
    <s v="1. Sí"/>
    <m/>
    <s v="6. Mestiza(o)"/>
    <m/>
    <x v="3"/>
    <s v="1. Completa"/>
    <s v="7. Dueña/o de su propio negocio"/>
    <m/>
    <s v="4. de $1340 a $1839"/>
    <s v="4. De paso 5. Recreación/Ocio"/>
    <x v="1"/>
    <x v="0"/>
    <x v="0"/>
    <x v="1"/>
    <x v="1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1"/>
    <x v="1"/>
    <x v="0"/>
    <s v="ACOMPAÑADO"/>
    <s v="BASTANTE SEGURIDAD"/>
    <s v="MENOS VENTAS INFORMALES"/>
    <m/>
    <x v="1"/>
    <x v="3"/>
    <x v="2"/>
    <x v="1"/>
    <x v="1"/>
    <x v="3"/>
    <x v="2"/>
    <x v="1"/>
    <s v="B"/>
    <n v="0"/>
    <n v="1"/>
    <n v="0"/>
    <n v="0"/>
    <n v="0"/>
    <n v="0"/>
    <n v="0"/>
    <n v="0"/>
    <n v="0"/>
    <n v="0"/>
    <n v="0"/>
    <n v="0"/>
    <n v="0"/>
    <x v="3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SEGURO"/>
    <m/>
    <m/>
    <n v="82910740"/>
    <s v="ed6ad36b-4a9d-405e-95d1-e130b9feed63"/>
    <d v="2025-04-05T18:17:46"/>
    <m/>
    <m/>
    <s v="submitted_via_web"/>
    <m/>
    <s v="vhGz9QPwmdkBybuGFUbzwe"/>
    <m/>
    <n v="160"/>
  </r>
  <r>
    <d v="2025-04-05T13:17:45"/>
    <d v="2025-04-05T13:22:02"/>
    <s v="JP"/>
    <n v="246"/>
    <d v="2025-03-14T00:00:00"/>
    <n v="5"/>
    <s v="GB-JG"/>
    <s v="AMA"/>
    <n v="27"/>
    <x v="0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0"/>
    <s v="6. Área para perros"/>
    <x v="0"/>
    <x v="0"/>
    <x v="0"/>
    <x v="1"/>
    <x v="1"/>
    <x v="0"/>
    <x v="0"/>
    <m/>
    <x v="0"/>
    <x v="0"/>
    <x v="0"/>
    <s v="NO HA TENIDO NINGUNO"/>
    <s v="POLICIA NACIONAL"/>
    <s v="BASTANTE GENTE"/>
    <m/>
    <x v="1"/>
    <x v="1"/>
    <x v="2"/>
    <x v="1"/>
    <x v="0"/>
    <x v="3"/>
    <x v="0"/>
    <x v="1"/>
    <s v="C"/>
    <n v="0"/>
    <n v="0"/>
    <n v="1"/>
    <n v="0"/>
    <n v="0"/>
    <n v="0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0"/>
    <x v="2"/>
    <x v="0"/>
    <x v="0"/>
    <x v="0"/>
    <x v="0"/>
    <x v="1"/>
    <x v="2"/>
    <x v="1"/>
    <x v="3"/>
    <x v="0"/>
    <x v="0"/>
    <x v="1"/>
    <x v="2"/>
    <x v="0"/>
    <x v="2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SEGURIDAD"/>
    <s v="TRANQUILIDAD"/>
    <s v="PASAR EL TIEMPO"/>
    <n v="82910769"/>
    <s v="f3cac0e8-79af-4ea0-b41f-e60770e24c28"/>
    <d v="2025-04-05T18:22:02"/>
    <m/>
    <m/>
    <s v="submitted_via_web"/>
    <m/>
    <s v="vhGz9QPwmdkBybuGFUbzwe"/>
    <m/>
    <n v="162"/>
  </r>
  <r>
    <d v="2025-04-05T13:22:02"/>
    <d v="2025-04-05T13:25:52"/>
    <s v="JP"/>
    <n v="247"/>
    <d v="2025-03-14T00:00:00"/>
    <n v="5"/>
    <s v="GB-JG"/>
    <s v="AMA"/>
    <n v="65"/>
    <x v="1"/>
    <s v="2. Semanalmente"/>
    <n v="0"/>
    <n v="0"/>
    <n v="0"/>
    <n v="0"/>
    <n v="0"/>
    <x v="0"/>
    <s v="1. Sí"/>
    <m/>
    <s v="6. Mestiza(o)"/>
    <m/>
    <x v="2"/>
    <s v="1. Completa"/>
    <s v="3. Es jubilada/o o pensionista/o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0"/>
    <x v="0"/>
    <x v="0"/>
    <s v="BASTANTE GENTE"/>
    <m/>
    <m/>
    <m/>
    <x v="0"/>
    <x v="2"/>
    <x v="3"/>
    <x v="5"/>
    <x v="3"/>
    <x v="3"/>
    <x v="1"/>
    <x v="1"/>
    <s v="Ninguno"/>
    <n v="0"/>
    <n v="0"/>
    <n v="0"/>
    <n v="0"/>
    <n v="0"/>
    <n v="0"/>
    <n v="0"/>
    <n v="0"/>
    <n v="0"/>
    <n v="0"/>
    <n v="0"/>
    <n v="0"/>
    <n v="1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3"/>
    <x v="1"/>
    <x v="2"/>
    <x v="0"/>
    <x v="0"/>
    <x v="0"/>
    <x v="0"/>
    <x v="0"/>
    <x v="0"/>
    <x v="0"/>
    <x v="0"/>
    <x v="0"/>
    <x v="0"/>
    <x v="0"/>
    <x v="0"/>
    <x v="1"/>
    <x v="1"/>
    <x v="0"/>
    <x v="0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DISTRACCION"/>
    <m/>
    <m/>
    <n v="82910813"/>
    <s v="5dbc6041-1290-41cd-9434-3304f94cef8d"/>
    <d v="2025-04-05T18:25:53"/>
    <m/>
    <m/>
    <s v="submitted_via_web"/>
    <m/>
    <s v="vhGz9QPwmdkBybuGFUbzwe"/>
    <m/>
    <n v="163"/>
  </r>
  <r>
    <d v="2025-04-05T13:25:53"/>
    <d v="2025-04-05T13:29:49"/>
    <s v="JP"/>
    <n v="248"/>
    <d v="2025-03-14T00:00:00"/>
    <n v="5"/>
    <s v="GB-JG"/>
    <s v="AMA"/>
    <n v="65"/>
    <x v="1"/>
    <s v="2. Semanalmente"/>
    <n v="0"/>
    <n v="0"/>
    <n v="0"/>
    <n v="0"/>
    <n v="0"/>
    <x v="0"/>
    <s v="1. Sí"/>
    <m/>
    <s v="7. Blanca(o)"/>
    <m/>
    <x v="1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0"/>
    <s v="3. Caminos de ciclismo"/>
    <x v="0"/>
    <x v="0"/>
    <x v="1"/>
    <x v="1"/>
    <x v="0"/>
    <x v="0"/>
    <x v="0"/>
    <m/>
    <x v="0"/>
    <x v="0"/>
    <x v="0"/>
    <s v="EL HORARIO"/>
    <s v="PRESENCIA DE POLICIA MONTADA"/>
    <m/>
    <m/>
    <x v="0"/>
    <x v="2"/>
    <x v="1"/>
    <x v="0"/>
    <x v="3"/>
    <x v="3"/>
    <x v="1"/>
    <x v="1"/>
    <s v="B"/>
    <n v="0"/>
    <n v="1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3"/>
    <x v="0"/>
    <x v="3"/>
    <x v="1"/>
    <x v="3"/>
    <x v="0"/>
    <x v="0"/>
    <x v="0"/>
    <x v="0"/>
    <x v="1"/>
    <x v="1"/>
    <x v="0"/>
    <x v="0"/>
    <x v="1"/>
    <x v="2"/>
    <x v="0"/>
    <x v="0"/>
    <x v="1"/>
    <x v="1"/>
    <x v="0"/>
    <x v="1"/>
    <x v="0"/>
    <x v="3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FELICIDAD"/>
    <s v="TRANQUILIDAD"/>
    <s v="DISFRUTA"/>
    <n v="82910843"/>
    <s v="fc67dbab-f3f1-497a-91ed-c89588fbe5a4"/>
    <d v="2025-04-05T18:29:50"/>
    <m/>
    <m/>
    <s v="submitted_via_web"/>
    <m/>
    <s v="vhGz9QPwmdkBybuGFUbzwe"/>
    <m/>
    <n v="164"/>
  </r>
  <r>
    <d v="2025-04-05T13:29:49"/>
    <d v="2025-04-05T15:20:16"/>
    <s v="JP"/>
    <n v="249"/>
    <d v="2025-03-14T00:00:00"/>
    <n v="5"/>
    <s v="GB-JG"/>
    <s v="AMA"/>
    <n v="59"/>
    <x v="1"/>
    <s v="1. Diariamente"/>
    <n v="0"/>
    <n v="0"/>
    <n v="0"/>
    <n v="0"/>
    <n v="0"/>
    <x v="1"/>
    <s v="1. Sí"/>
    <m/>
    <s v="1. Indígena"/>
    <m/>
    <x v="1"/>
    <s v="1. Completa"/>
    <s v="5. Quehaceres domésticos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SER ECUATORIANA"/>
    <m/>
    <m/>
    <m/>
    <x v="2"/>
    <x v="3"/>
    <x v="1"/>
    <x v="2"/>
    <x v="1"/>
    <x v="3"/>
    <x v="0"/>
    <x v="1"/>
    <s v="L"/>
    <n v="0"/>
    <n v="0"/>
    <n v="0"/>
    <n v="0"/>
    <n v="0"/>
    <n v="0"/>
    <n v="0"/>
    <n v="0"/>
    <n v="0"/>
    <n v="0"/>
    <n v="0"/>
    <n v="1"/>
    <n v="0"/>
    <x v="1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3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1"/>
    <x v="1"/>
    <x v="1"/>
    <x v="0"/>
    <x v="1"/>
    <x v="1"/>
    <x v="0"/>
    <x v="2"/>
    <x v="1"/>
    <x v="0"/>
    <x v="1"/>
    <x v="2"/>
    <x v="1"/>
    <x v="1"/>
    <x v="1"/>
    <x v="1"/>
    <x v="1"/>
    <x v="2"/>
    <x v="0"/>
    <x v="0"/>
    <x v="0"/>
    <x v="0"/>
    <x v="0"/>
    <x v="0"/>
    <m/>
    <s v="TRANQUILA"/>
    <s v="SEGURA"/>
    <m/>
    <n v="82913641"/>
    <s v="8d24d5f9-a03a-45a6-b046-2397ab63da34"/>
    <d v="2025-04-05T20:20:15"/>
    <m/>
    <m/>
    <s v="submitted_via_web"/>
    <m/>
    <s v="vhGz9QPwmdkBybuGFUbzwe"/>
    <m/>
    <n v="165"/>
  </r>
  <r>
    <d v="2025-04-05T15:20:16"/>
    <d v="2025-04-05T15:24:26"/>
    <s v="JP"/>
    <n v="250"/>
    <d v="2025-03-14T00:00:00"/>
    <n v="5"/>
    <s v="GB-JG"/>
    <s v="AMA"/>
    <n v="20"/>
    <x v="3"/>
    <s v="3. al menos 2 veces al mes"/>
    <n v="0"/>
    <n v="0"/>
    <n v="0"/>
    <n v="0"/>
    <n v="0"/>
    <x v="1"/>
    <s v="1. Sí"/>
    <m/>
    <s v="6. Mestiza(o)"/>
    <m/>
    <x v="1"/>
    <s v="1. Completa"/>
    <s v="4. Es estudiante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POR LUGARES MUY CONCURRIDOS"/>
    <m/>
    <m/>
    <m/>
    <x v="1"/>
    <x v="2"/>
    <x v="2"/>
    <x v="1"/>
    <x v="0"/>
    <x v="2"/>
    <x v="1"/>
    <x v="1"/>
    <s v="L"/>
    <n v="0"/>
    <n v="0"/>
    <n v="0"/>
    <n v="0"/>
    <n v="0"/>
    <n v="0"/>
    <n v="0"/>
    <n v="0"/>
    <n v="0"/>
    <n v="0"/>
    <n v="0"/>
    <n v="1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3"/>
    <x v="1"/>
    <x v="1"/>
    <x v="0"/>
    <x v="2"/>
    <x v="0"/>
    <x v="0"/>
    <x v="0"/>
    <x v="0"/>
    <x v="0"/>
    <x v="0"/>
    <x v="1"/>
    <x v="2"/>
    <x v="0"/>
    <x v="0"/>
    <x v="1"/>
    <x v="1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1"/>
    <x v="1"/>
    <x v="1"/>
    <x v="1"/>
    <x v="0"/>
    <x v="0"/>
    <x v="1"/>
    <x v="2"/>
    <x v="1"/>
    <x v="1"/>
    <x v="1"/>
    <x v="0"/>
    <x v="0"/>
    <x v="0"/>
    <x v="0"/>
    <x v="0"/>
    <x v="0"/>
    <x v="0"/>
    <x v="0"/>
    <x v="0"/>
    <m/>
    <s v="CALMA"/>
    <s v="DISFRUTA LAS AREAS VERDES"/>
    <s v="DIVERSION"/>
    <n v="82913760"/>
    <s v="53e5f039-ab84-49dc-bad5-74e780ba3c81"/>
    <d v="2025-04-05T20:24:26"/>
    <m/>
    <m/>
    <s v="submitted_via_web"/>
    <m/>
    <s v="vhGz9QPwmdkBybuGFUbzwe"/>
    <m/>
    <n v="166"/>
  </r>
  <r>
    <d v="2025-04-05T15:24:26"/>
    <d v="2025-04-05T15:29:12"/>
    <s v="JP"/>
    <n v="251"/>
    <d v="2025-03-14T00:00:00"/>
    <n v="5"/>
    <s v="GB-JG"/>
    <s v="AMA"/>
    <n v="66"/>
    <x v="1"/>
    <s v="1. Diariamente"/>
    <n v="1"/>
    <n v="0"/>
    <n v="0"/>
    <n v="0"/>
    <n v="0"/>
    <x v="0"/>
    <s v="2. No"/>
    <s v="VENEZOLANA"/>
    <s v="2. Afro Ecuatoriana(o)/Afro Descendiente"/>
    <m/>
    <x v="0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 3. Tarde (12:00 a 17:59)"/>
    <x v="0"/>
    <x v="0"/>
    <x v="1"/>
    <x v="0"/>
    <x v="0"/>
    <s v="4. Pistas para correr 6. Área para perros"/>
    <x v="0"/>
    <x v="0"/>
    <x v="0"/>
    <x v="0"/>
    <x v="1"/>
    <x v="0"/>
    <x v="0"/>
    <m/>
    <x v="0"/>
    <x v="0"/>
    <x v="2"/>
    <s v="PRESENCIA POLICIAL"/>
    <s v="PATRULLAJE CONTINUOS"/>
    <m/>
    <m/>
    <x v="0"/>
    <x v="4"/>
    <x v="2"/>
    <x v="4"/>
    <x v="4"/>
    <x v="4"/>
    <x v="5"/>
    <x v="0"/>
    <s v="L"/>
    <n v="0"/>
    <n v="0"/>
    <n v="0"/>
    <n v="0"/>
    <n v="0"/>
    <n v="0"/>
    <n v="0"/>
    <n v="0"/>
    <n v="0"/>
    <n v="0"/>
    <n v="0"/>
    <n v="1"/>
    <n v="0"/>
    <x v="0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1"/>
    <x v="1"/>
    <x v="0"/>
    <x v="0"/>
    <x v="1"/>
    <x v="3"/>
    <x v="0"/>
    <x v="0"/>
    <x v="1"/>
    <x v="1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IDAD"/>
    <s v="FELICIDAD"/>
    <s v="SEGURIDAD"/>
    <n v="82913887"/>
    <s v="f85e6782-7868-483d-a90c-87edcd6ebe65"/>
    <d v="2025-04-05T20:29:12"/>
    <m/>
    <m/>
    <s v="submitted_via_web"/>
    <m/>
    <s v="vhGz9QPwmdkBybuGFUbzwe"/>
    <m/>
    <n v="167"/>
  </r>
  <r>
    <d v="2025-04-05T15:29:12"/>
    <d v="2025-04-05T15:33:24"/>
    <s v="JP"/>
    <n v="252"/>
    <d v="2025-03-14T00:00:00"/>
    <n v="5"/>
    <s v="GB-JG"/>
    <s v="AMA"/>
    <n v="53"/>
    <x v="2"/>
    <s v="1. Diariamente"/>
    <n v="0"/>
    <n v="1"/>
    <n v="0"/>
    <n v="0"/>
    <n v="1"/>
    <x v="1"/>
    <s v="1. Sí"/>
    <m/>
    <s v="6. Mestiza(o)"/>
    <m/>
    <x v="1"/>
    <s v="1. Completa"/>
    <s v="5. Quehaceres domésticos"/>
    <m/>
    <s v="4. de $1340 a $1839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0"/>
    <s v="PORQUE VEO GENTE EN EL LUGAR"/>
    <s v="SALIR CON EL PERRO"/>
    <m/>
    <m/>
    <x v="0"/>
    <x v="2"/>
    <x v="3"/>
    <x v="0"/>
    <x v="0"/>
    <x v="3"/>
    <x v="0"/>
    <x v="0"/>
    <s v="B"/>
    <n v="0"/>
    <n v="1"/>
    <n v="0"/>
    <n v="0"/>
    <n v="0"/>
    <n v="0"/>
    <n v="0"/>
    <n v="0"/>
    <n v="0"/>
    <n v="0"/>
    <n v="0"/>
    <n v="0"/>
    <n v="0"/>
    <x v="2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1"/>
    <x v="1"/>
    <x v="2"/>
    <x v="1"/>
    <x v="2"/>
    <x v="0"/>
    <x v="0"/>
    <x v="0"/>
    <x v="0"/>
    <x v="0"/>
    <x v="0"/>
    <x v="0"/>
    <m/>
    <s v="TRANQUILA"/>
    <s v="RELAJACION"/>
    <s v="SEGURA"/>
    <n v="82913941"/>
    <s v="d55f3bbe-fd80-4662-8c05-cea5b81dc7d9"/>
    <d v="2025-04-05T20:33:24"/>
    <m/>
    <m/>
    <s v="submitted_via_web"/>
    <m/>
    <s v="vhGz9QPwmdkBybuGFUbzwe"/>
    <m/>
    <n v="168"/>
  </r>
  <r>
    <d v="2025-04-05T15:33:24"/>
    <d v="2025-04-05T15:38:02"/>
    <s v="JP"/>
    <n v="253"/>
    <d v="2025-03-14T00:00:00"/>
    <n v="5"/>
    <s v="GB-JG"/>
    <s v="AMA"/>
    <n v="24"/>
    <x v="3"/>
    <s v="3. al menos 2 veces al mes"/>
    <n v="0"/>
    <n v="0"/>
    <n v="0"/>
    <n v="0"/>
    <n v="0"/>
    <x v="1"/>
    <s v="1. Sí"/>
    <m/>
    <s v="6. Mestiza(o)"/>
    <m/>
    <x v="3"/>
    <s v="1. Completa"/>
    <s v="1. Trabajar"/>
    <m/>
    <s v="1. Menos de $470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0"/>
    <s v="NO HA TENIDO INCONVENIENTES"/>
    <m/>
    <m/>
    <m/>
    <x v="2"/>
    <x v="1"/>
    <x v="1"/>
    <x v="1"/>
    <x v="0"/>
    <x v="3"/>
    <x v="2"/>
    <x v="0"/>
    <s v="C D"/>
    <n v="0"/>
    <n v="0"/>
    <n v="1"/>
    <n v="1"/>
    <n v="0"/>
    <n v="0"/>
    <n v="0"/>
    <n v="0"/>
    <n v="0"/>
    <n v="0"/>
    <n v="0"/>
    <n v="0"/>
    <n v="0"/>
    <x v="1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1"/>
    <x v="3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1"/>
    <x v="1"/>
    <x v="0"/>
    <x v="1"/>
    <x v="1"/>
    <x v="0"/>
    <m/>
    <s v="PAZ"/>
    <s v="TRANQUILIDAD"/>
    <m/>
    <n v="82914046"/>
    <s v="93909537-f17d-4507-bf10-f69be99e7ff5"/>
    <d v="2025-04-05T20:38:02"/>
    <m/>
    <m/>
    <s v="submitted_via_web"/>
    <m/>
    <s v="vhGz9QPwmdkBybuGFUbzwe"/>
    <m/>
    <n v="169"/>
  </r>
  <r>
    <d v="2025-04-05T15:38:02"/>
    <d v="2025-04-05T15:41:57"/>
    <s v="JP"/>
    <n v="254"/>
    <d v="2025-03-14T00:00:00"/>
    <n v="5"/>
    <s v="GB-JG"/>
    <s v="AMA"/>
    <n v="56"/>
    <x v="1"/>
    <s v="3. al menos 2 veces al mes"/>
    <n v="0"/>
    <n v="0"/>
    <n v="0"/>
    <n v="0"/>
    <n v="0"/>
    <x v="1"/>
    <s v="1. Sí"/>
    <m/>
    <s v="6. Mestiza(o)"/>
    <m/>
    <x v="5"/>
    <s v="1. Completa"/>
    <s v="5. Quehaceres domésticos"/>
    <m/>
    <s v="1. Menos de $470"/>
    <s v="1. Deporte / ejercicio"/>
    <x v="0"/>
    <x v="0"/>
    <x v="0"/>
    <x v="0"/>
    <x v="0"/>
    <x v="0"/>
    <m/>
    <s v="3. Tarde (12:00 a 17:59)"/>
    <x v="0"/>
    <x v="1"/>
    <x v="1"/>
    <x v="0"/>
    <x v="1"/>
    <s v="3. Caminos de ciclismo"/>
    <x v="0"/>
    <x v="0"/>
    <x v="1"/>
    <x v="1"/>
    <x v="0"/>
    <x v="0"/>
    <x v="0"/>
    <m/>
    <x v="1"/>
    <x v="1"/>
    <x v="0"/>
    <s v="POR ESTAR ACOMPAÑADA"/>
    <m/>
    <m/>
    <m/>
    <x v="1"/>
    <x v="1"/>
    <x v="1"/>
    <x v="2"/>
    <x v="1"/>
    <x v="1"/>
    <x v="1"/>
    <x v="1"/>
    <s v="C"/>
    <n v="0"/>
    <n v="0"/>
    <n v="1"/>
    <n v="0"/>
    <n v="0"/>
    <n v="0"/>
    <n v="0"/>
    <n v="0"/>
    <n v="0"/>
    <n v="0"/>
    <n v="0"/>
    <n v="0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0"/>
    <x v="1"/>
    <x v="1"/>
    <x v="0"/>
    <x v="0"/>
    <x v="0"/>
    <x v="0"/>
    <x v="0"/>
    <x v="0"/>
    <x v="1"/>
    <x v="2"/>
    <x v="1"/>
    <x v="2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IDAD"/>
    <s v="MIEDO POR LA INSEGURIDAD"/>
    <m/>
    <n v="82914146"/>
    <s v="d790b2a6-7db4-4c74-8899-14f2ce70c212"/>
    <d v="2025-04-05T20:41:56"/>
    <m/>
    <m/>
    <s v="submitted_via_web"/>
    <m/>
    <s v="vhGz9QPwmdkBybuGFUbzwe"/>
    <m/>
    <n v="170"/>
  </r>
  <r>
    <d v="2025-04-05T15:41:57"/>
    <d v="2025-04-05T15:45:53"/>
    <s v="JP"/>
    <n v="255"/>
    <d v="2025-03-14T00:00:00"/>
    <n v="5"/>
    <s v="GB-JG"/>
    <s v="AMA"/>
    <n v="47"/>
    <x v="2"/>
    <s v="2. Semanalmente"/>
    <n v="0"/>
    <n v="0"/>
    <n v="0"/>
    <n v="0"/>
    <n v="0"/>
    <x v="0"/>
    <s v="1. Sí"/>
    <m/>
    <s v="6. Mestiza(o)"/>
    <m/>
    <x v="1"/>
    <s v="1. Completa"/>
    <s v="1. Trabajar"/>
    <m/>
    <s v="1. Menos de $470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0"/>
    <x v="0"/>
    <x v="1"/>
    <s v="NO ES SEGURO"/>
    <m/>
    <m/>
    <m/>
    <x v="1"/>
    <x v="2"/>
    <x v="2"/>
    <x v="1"/>
    <x v="0"/>
    <x v="2"/>
    <x v="2"/>
    <x v="1"/>
    <s v="B"/>
    <n v="0"/>
    <n v="1"/>
    <n v="0"/>
    <n v="0"/>
    <n v="0"/>
    <n v="0"/>
    <n v="0"/>
    <n v="0"/>
    <n v="0"/>
    <n v="0"/>
    <n v="0"/>
    <n v="0"/>
    <n v="0"/>
    <x v="1"/>
    <x v="1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1"/>
    <x v="1"/>
    <x v="1"/>
    <x v="0"/>
    <x v="0"/>
    <x v="0"/>
    <x v="0"/>
    <x v="1"/>
    <x v="2"/>
    <x v="0"/>
    <x v="0"/>
    <x v="1"/>
    <x v="2"/>
    <x v="0"/>
    <x v="0"/>
    <x v="1"/>
    <x v="2"/>
    <x v="1"/>
    <x v="1"/>
    <x v="1"/>
    <x v="1"/>
    <x v="0"/>
    <x v="1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0"/>
    <x v="2"/>
    <x v="1"/>
    <x v="1"/>
    <x v="2"/>
    <x v="0"/>
    <x v="1"/>
    <x v="1"/>
    <x v="2"/>
    <x v="0"/>
    <x v="0"/>
    <x v="0"/>
    <x v="0"/>
    <x v="0"/>
    <x v="0"/>
    <x v="0"/>
    <x v="0"/>
    <x v="0"/>
    <m/>
    <s v="INSEGURIDAD EN EL PARQUE"/>
    <m/>
    <m/>
    <n v="82914269"/>
    <s v="bf8a3b84-ae79-4ac2-b51b-a36715584bc4"/>
    <d v="2025-04-05T20:45:52"/>
    <m/>
    <m/>
    <s v="submitted_via_web"/>
    <m/>
    <s v="vhGz9QPwmdkBybuGFUbzwe"/>
    <m/>
    <n v="171"/>
  </r>
  <r>
    <d v="2025-04-05T15:53:02"/>
    <d v="2025-04-05T15:59:25"/>
    <s v="JP"/>
    <n v="257"/>
    <d v="2025-03-14T00:00:00"/>
    <n v="5"/>
    <s v="GB-JG"/>
    <s v="AMA"/>
    <n v="23"/>
    <x v="3"/>
    <s v="2. Semanalmente"/>
    <n v="2"/>
    <n v="0"/>
    <n v="0"/>
    <n v="0"/>
    <n v="0"/>
    <x v="0"/>
    <s v="1. Sí"/>
    <m/>
    <s v="6. Mestiza(o)"/>
    <m/>
    <x v="0"/>
    <s v="1. Completa"/>
    <s v="1. Trabajar"/>
    <m/>
    <s v="3. de $920 a $1339"/>
    <s v="5. Recreación/Ocio"/>
    <x v="1"/>
    <x v="0"/>
    <x v="0"/>
    <x v="0"/>
    <x v="1"/>
    <x v="0"/>
    <m/>
    <s v="1. Madrugada (00:00 a 05:59)"/>
    <x v="1"/>
    <x v="1"/>
    <x v="0"/>
    <x v="0"/>
    <x v="0"/>
    <s v="7. Áreas verdes"/>
    <x v="0"/>
    <x v="0"/>
    <x v="0"/>
    <x v="1"/>
    <x v="0"/>
    <x v="1"/>
    <x v="0"/>
    <m/>
    <x v="0"/>
    <x v="0"/>
    <x v="2"/>
    <s v="EJERCICIO"/>
    <s v="RECREACION"/>
    <m/>
    <m/>
    <x v="0"/>
    <x v="4"/>
    <x v="1"/>
    <x v="5"/>
    <x v="0"/>
    <x v="3"/>
    <x v="2"/>
    <x v="0"/>
    <s v="I"/>
    <n v="0"/>
    <n v="0"/>
    <n v="0"/>
    <n v="0"/>
    <n v="0"/>
    <n v="0"/>
    <n v="0"/>
    <n v="0"/>
    <n v="1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1"/>
    <x v="2"/>
    <x v="0"/>
    <x v="2"/>
    <x v="1"/>
    <x v="2"/>
    <x v="1"/>
    <x v="3"/>
    <x v="1"/>
    <x v="1"/>
    <x v="1"/>
    <x v="1"/>
    <x v="1"/>
    <x v="2"/>
    <x v="0"/>
    <x v="1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2"/>
    <x v="0"/>
    <x v="0"/>
    <x v="0"/>
    <x v="0"/>
    <x v="1"/>
    <x v="2"/>
    <x v="1"/>
    <x v="1"/>
    <x v="0"/>
    <x v="0"/>
    <x v="1"/>
    <x v="1"/>
    <x v="1"/>
    <x v="1"/>
    <x v="1"/>
    <x v="1"/>
    <x v="1"/>
    <x v="1"/>
    <x v="1"/>
    <x v="2"/>
    <x v="1"/>
    <x v="1"/>
    <x v="2"/>
    <x v="2"/>
    <m/>
    <s v="MEDIANAMENTE SEGURO"/>
    <m/>
    <m/>
    <n v="82914635"/>
    <s v="dd9d0037-c703-428b-a900-a6c84e6a642c"/>
    <d v="2025-04-05T20:59:25"/>
    <m/>
    <m/>
    <s v="submitted_via_web"/>
    <m/>
    <s v="vhGz9QPwmdkBybuGFUbzwe"/>
    <m/>
    <n v="173"/>
  </r>
  <r>
    <d v="2025-04-05T15:59:26"/>
    <d v="2025-04-05T16:09:06"/>
    <s v="JP"/>
    <n v="258"/>
    <d v="2025-03-14T00:00:00"/>
    <n v="5"/>
    <s v="GB-CV"/>
    <s v="AMA"/>
    <n v="59"/>
    <x v="1"/>
    <s v="1. Diariamente"/>
    <n v="2"/>
    <n v="0"/>
    <n v="0"/>
    <n v="0"/>
    <n v="0"/>
    <x v="0"/>
    <s v="1. Sí"/>
    <m/>
    <s v="6. Mestiza(o)"/>
    <m/>
    <x v="0"/>
    <s v="1. Completa"/>
    <s v="1. Trabajar"/>
    <m/>
    <s v="4. de $1340 a $1839"/>
    <s v="4. De paso"/>
    <x v="1"/>
    <x v="0"/>
    <x v="0"/>
    <x v="1"/>
    <x v="0"/>
    <x v="0"/>
    <m/>
    <s v="1. Madrugada (00:00 a 05:59)"/>
    <x v="1"/>
    <x v="1"/>
    <x v="0"/>
    <x v="0"/>
    <x v="1"/>
    <s v="4. Pistas para correr"/>
    <x v="0"/>
    <x v="0"/>
    <x v="0"/>
    <x v="0"/>
    <x v="0"/>
    <x v="0"/>
    <x v="0"/>
    <m/>
    <x v="0"/>
    <x v="0"/>
    <x v="0"/>
    <s v="SEGURO DENTRO DEL PARQUE POR POLICIA"/>
    <m/>
    <m/>
    <m/>
    <x v="1"/>
    <x v="2"/>
    <x v="1"/>
    <x v="5"/>
    <x v="0"/>
    <x v="4"/>
    <x v="1"/>
    <x v="2"/>
    <s v="F"/>
    <n v="0"/>
    <n v="0"/>
    <n v="0"/>
    <n v="0"/>
    <n v="0"/>
    <n v="1"/>
    <n v="0"/>
    <n v="0"/>
    <n v="0"/>
    <n v="0"/>
    <n v="0"/>
    <n v="0"/>
    <n v="0"/>
    <x v="1"/>
    <x v="3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2"/>
    <x v="1"/>
    <x v="2"/>
    <x v="0"/>
    <x v="0"/>
    <x v="0"/>
    <x v="0"/>
    <x v="1"/>
    <x v="2"/>
    <x v="0"/>
    <x v="0"/>
    <x v="1"/>
    <x v="1"/>
    <x v="0"/>
    <x v="0"/>
    <x v="1"/>
    <x v="1"/>
    <x v="1"/>
    <x v="2"/>
    <x v="0"/>
    <x v="0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ME DA TRANQUILIDAD"/>
    <s v="DISFRUTA DE LOS ARBOLES"/>
    <m/>
    <n v="82914905"/>
    <s v="3798071c-d008-43a5-aa4e-2cf9d4019b1e"/>
    <d v="2025-04-05T21:09:06"/>
    <m/>
    <m/>
    <s v="submitted_via_web"/>
    <m/>
    <s v="vhGz9QPwmdkBybuGFUbzwe"/>
    <m/>
    <n v="174"/>
  </r>
  <r>
    <d v="2025-04-07T08:07:52"/>
    <d v="2025-04-07T08:12:17"/>
    <s v="JP"/>
    <n v="259"/>
    <d v="2025-03-14T00:00:00"/>
    <n v="5"/>
    <s v="GB-CV"/>
    <s v="AMA"/>
    <n v="38"/>
    <x v="0"/>
    <s v="1. Diariamente"/>
    <n v="1"/>
    <n v="0"/>
    <n v="0"/>
    <n v="0"/>
    <n v="0"/>
    <x v="1"/>
    <s v="1. Sí"/>
    <m/>
    <s v="6. Mestiza(o)"/>
    <m/>
    <x v="0"/>
    <s v="1. Completa"/>
    <s v="1. Trabajar"/>
    <m/>
    <s v="1. Menos de $470"/>
    <s v="6. Otra"/>
    <x v="1"/>
    <x v="0"/>
    <x v="0"/>
    <x v="0"/>
    <x v="0"/>
    <x v="1"/>
    <s v="VENTAS"/>
    <s v="1. Madrugada (00:00 a 05:59) 2. Mañana  (06:00 a 11:59)"/>
    <x v="1"/>
    <x v="0"/>
    <x v="0"/>
    <x v="0"/>
    <x v="1"/>
    <s v="3. Caminos de ciclismo"/>
    <x v="0"/>
    <x v="0"/>
    <x v="1"/>
    <x v="1"/>
    <x v="0"/>
    <x v="0"/>
    <x v="0"/>
    <m/>
    <x v="0"/>
    <x v="0"/>
    <x v="3"/>
    <s v="FALTAN VIGILANTES"/>
    <m/>
    <m/>
    <m/>
    <x v="2"/>
    <x v="1"/>
    <x v="1"/>
    <x v="4"/>
    <x v="1"/>
    <x v="2"/>
    <x v="5"/>
    <x v="2"/>
    <s v="L"/>
    <n v="0"/>
    <n v="0"/>
    <n v="0"/>
    <n v="0"/>
    <n v="0"/>
    <n v="0"/>
    <n v="0"/>
    <n v="0"/>
    <n v="0"/>
    <n v="0"/>
    <n v="0"/>
    <n v="1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2"/>
    <x v="0"/>
    <x v="2"/>
    <x v="1"/>
    <x v="2"/>
    <x v="1"/>
    <x v="1"/>
    <x v="0"/>
    <x v="2"/>
    <x v="1"/>
    <x v="2"/>
    <x v="1"/>
    <x v="2"/>
    <x v="1"/>
    <x v="2"/>
    <x v="1"/>
    <x v="1"/>
    <x v="1"/>
    <x v="1"/>
    <x v="0"/>
    <x v="0"/>
    <x v="0"/>
    <x v="2"/>
    <x v="1"/>
    <x v="2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INSEGURIDAD EN E"/>
    <m/>
    <m/>
    <n v="83045570"/>
    <s v="8f958ec9-e580-4b26-be97-f84f5b33af8c"/>
    <d v="2025-04-07T13:12:09"/>
    <m/>
    <m/>
    <s v="submitted_via_web"/>
    <m/>
    <s v="vhGz9QPwmdkBybuGFUbzwe"/>
    <m/>
    <n v="320"/>
  </r>
  <r>
    <d v="2025-04-05T16:09:06"/>
    <d v="2025-04-05T16:26:09"/>
    <s v="JP"/>
    <n v="260"/>
    <d v="2025-03-14T00:00:00"/>
    <n v="5"/>
    <s v="GB-CV"/>
    <s v="AMA"/>
    <n v="24"/>
    <x v="3"/>
    <s v="2. Semanalmente"/>
    <n v="0"/>
    <n v="0"/>
    <n v="0"/>
    <n v="0"/>
    <n v="0"/>
    <x v="0"/>
    <s v="1. Sí"/>
    <m/>
    <s v="6. Mestiza(o)"/>
    <m/>
    <x v="1"/>
    <s v="1. Completa"/>
    <s v="1. Trabajar"/>
    <m/>
    <s v="1. Menos de $470"/>
    <s v="4. De paso"/>
    <x v="1"/>
    <x v="0"/>
    <x v="0"/>
    <x v="1"/>
    <x v="0"/>
    <x v="0"/>
    <m/>
    <s v="1. Madrugada (00:00 a 05:59)"/>
    <x v="1"/>
    <x v="1"/>
    <x v="0"/>
    <x v="0"/>
    <x v="2"/>
    <s v="3. Caminos de ciclismo"/>
    <x v="0"/>
    <x v="0"/>
    <x v="1"/>
    <x v="1"/>
    <x v="0"/>
    <x v="0"/>
    <x v="0"/>
    <m/>
    <x v="0"/>
    <x v="0"/>
    <x v="1"/>
    <s v="POCA POLICIA NACIONAL"/>
    <m/>
    <m/>
    <m/>
    <x v="1"/>
    <x v="2"/>
    <x v="2"/>
    <x v="1"/>
    <x v="1"/>
    <x v="3"/>
    <x v="5"/>
    <x v="0"/>
    <s v="E"/>
    <n v="0"/>
    <n v="0"/>
    <n v="0"/>
    <n v="0"/>
    <n v="1"/>
    <n v="0"/>
    <n v="0"/>
    <n v="0"/>
    <n v="0"/>
    <n v="0"/>
    <n v="0"/>
    <n v="0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2"/>
    <x v="1"/>
    <x v="2"/>
    <x v="0"/>
    <x v="0"/>
    <x v="0"/>
    <x v="3"/>
    <x v="1"/>
    <x v="2"/>
    <x v="1"/>
    <x v="2"/>
    <x v="1"/>
    <x v="2"/>
    <x v="0"/>
    <x v="0"/>
    <x v="1"/>
    <x v="2"/>
    <x v="0"/>
    <x v="0"/>
    <x v="0"/>
    <x v="2"/>
    <x v="0"/>
    <x v="0"/>
    <x v="0"/>
    <x v="2"/>
    <x v="0"/>
    <m/>
    <x v="0"/>
    <x v="0"/>
    <x v="3"/>
    <x v="1"/>
    <x v="0"/>
    <m/>
    <x v="0"/>
    <x v="0"/>
    <x v="0"/>
    <x v="0"/>
    <x v="0"/>
    <m/>
    <x v="0"/>
    <m/>
    <x v="1"/>
    <x v="1"/>
    <x v="0"/>
    <x v="0"/>
    <x v="2"/>
    <x v="2"/>
    <x v="0"/>
    <x v="0"/>
    <x v="0"/>
    <x v="0"/>
    <x v="1"/>
    <x v="1"/>
    <x v="1"/>
    <x v="1"/>
    <x v="0"/>
    <x v="1"/>
    <x v="2"/>
    <x v="0"/>
    <x v="1"/>
    <x v="1"/>
    <x v="1"/>
    <x v="1"/>
    <x v="1"/>
    <x v="2"/>
    <x v="1"/>
    <x v="2"/>
    <x v="1"/>
    <x v="0"/>
    <x v="0"/>
    <x v="0"/>
    <m/>
    <s v="POR EL AIRE Y LOS ARBOLES"/>
    <m/>
    <m/>
    <n v="82915290"/>
    <s v="4f7a3266-ba86-480d-bae5-78dfb709db3a"/>
    <d v="2025-04-05T21:26:09"/>
    <m/>
    <m/>
    <s v="submitted_via_web"/>
    <m/>
    <s v="vhGz9QPwmdkBybuGFUbzwe"/>
    <m/>
    <n v="175"/>
  </r>
  <r>
    <d v="2025-04-05T16:26:09"/>
    <d v="2025-04-05T16:29:44"/>
    <s v="JP"/>
    <n v="261"/>
    <d v="2025-03-14T00:00:00"/>
    <n v="5"/>
    <s v="GB-CV"/>
    <s v="AMA"/>
    <n v="50"/>
    <x v="2"/>
    <s v="1. Diariamente"/>
    <n v="2"/>
    <n v="0"/>
    <n v="0"/>
    <n v="0"/>
    <n v="0"/>
    <x v="1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1. Madrugada (00:00 a 05:59)"/>
    <x v="1"/>
    <x v="1"/>
    <x v="0"/>
    <x v="0"/>
    <x v="1"/>
    <s v="4. Pistas para correr"/>
    <x v="0"/>
    <x v="0"/>
    <x v="0"/>
    <x v="0"/>
    <x v="0"/>
    <x v="0"/>
    <x v="0"/>
    <m/>
    <x v="0"/>
    <x v="0"/>
    <x v="1"/>
    <s v="NO HAY POLICIA"/>
    <m/>
    <m/>
    <m/>
    <x v="1"/>
    <x v="1"/>
    <x v="1"/>
    <x v="1"/>
    <x v="0"/>
    <x v="3"/>
    <x v="5"/>
    <x v="1"/>
    <s v="F"/>
    <n v="0"/>
    <n v="0"/>
    <n v="0"/>
    <n v="0"/>
    <n v="0"/>
    <n v="1"/>
    <n v="0"/>
    <n v="0"/>
    <n v="0"/>
    <n v="0"/>
    <n v="0"/>
    <n v="0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INSEGURA"/>
    <m/>
    <m/>
    <n v="82915452"/>
    <s v="4abafc4e-d284-43b5-af0c-b1bfed627482"/>
    <d v="2025-04-05T21:29:44"/>
    <m/>
    <m/>
    <s v="submitted_via_web"/>
    <m/>
    <s v="vhGz9QPwmdkBybuGFUbzwe"/>
    <m/>
    <n v="176"/>
  </r>
  <r>
    <d v="2025-04-05T16:29:44"/>
    <d v="2025-04-05T17:24:29"/>
    <s v="JP"/>
    <n v="262"/>
    <d v="2025-03-14T00:00:00"/>
    <n v="5"/>
    <s v="GB-CV"/>
    <s v="AMA"/>
    <n v="24"/>
    <x v="3"/>
    <s v="2. Semanalmente"/>
    <n v="0"/>
    <n v="0"/>
    <n v="0"/>
    <n v="0"/>
    <n v="0"/>
    <x v="1"/>
    <s v="1. Sí"/>
    <m/>
    <s v="6. Mestiza(o)"/>
    <m/>
    <x v="0"/>
    <s v="1. Completa"/>
    <s v="1. Trabajar"/>
    <m/>
    <s v="1. Menos de $470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0"/>
    <s v="POLICIAS"/>
    <m/>
    <m/>
    <m/>
    <x v="0"/>
    <x v="1"/>
    <x v="2"/>
    <x v="1"/>
    <x v="1"/>
    <x v="2"/>
    <x v="4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3"/>
    <x v="0"/>
    <x v="0"/>
    <x v="0"/>
    <x v="0"/>
    <x v="0"/>
    <x v="3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0"/>
    <x v="0"/>
    <x v="0"/>
    <x v="1"/>
    <x v="1"/>
    <x v="2"/>
    <x v="1"/>
    <x v="1"/>
    <x v="2"/>
    <x v="0"/>
    <x v="0"/>
    <x v="0"/>
    <x v="0"/>
    <x v="0"/>
    <x v="0"/>
    <m/>
    <s v="PAZ"/>
    <m/>
    <m/>
    <n v="82918401"/>
    <s v="4786a69f-3fab-49bb-a8f4-4eded1e66c92"/>
    <d v="2025-04-05T22:24:29"/>
    <m/>
    <m/>
    <s v="submitted_via_web"/>
    <m/>
    <s v="vhGz9QPwmdkBybuGFUbzwe"/>
    <m/>
    <n v="177"/>
  </r>
  <r>
    <d v="2025-04-05T17:24:29"/>
    <d v="2025-04-05T17:27:42"/>
    <s v="JP"/>
    <n v="263"/>
    <d v="2025-03-14T00:00:00"/>
    <n v="5"/>
    <s v="GB-CV"/>
    <s v="AMA"/>
    <n v="69"/>
    <x v="1"/>
    <s v="2. Semanalmente"/>
    <n v="0"/>
    <n v="0"/>
    <n v="0"/>
    <n v="0"/>
    <n v="0"/>
    <x v="1"/>
    <s v="1. Sí"/>
    <m/>
    <s v="6. Mestiza(o)"/>
    <m/>
    <x v="0"/>
    <s v="1. Completa"/>
    <s v="3. Es jubilada/o o pensionista/o"/>
    <m/>
    <s v="2. de $471 a $919"/>
    <s v="4. De paso"/>
    <x v="1"/>
    <x v="0"/>
    <x v="0"/>
    <x v="1"/>
    <x v="0"/>
    <x v="0"/>
    <m/>
    <s v="3. Tarde (12:00 a 17:59)"/>
    <x v="0"/>
    <x v="1"/>
    <x v="1"/>
    <x v="0"/>
    <x v="1"/>
    <s v="4. Pistas para correr"/>
    <x v="0"/>
    <x v="0"/>
    <x v="0"/>
    <x v="0"/>
    <x v="0"/>
    <x v="0"/>
    <x v="0"/>
    <m/>
    <x v="0"/>
    <x v="0"/>
    <x v="0"/>
    <s v="CAMINA CON SEGURIDAD"/>
    <m/>
    <m/>
    <m/>
    <x v="0"/>
    <x v="1"/>
    <x v="2"/>
    <x v="2"/>
    <x v="1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0"/>
    <x v="0"/>
    <x v="0"/>
    <x v="0"/>
    <x v="0"/>
    <x v="2"/>
    <x v="1"/>
    <x v="2"/>
    <x v="1"/>
    <x v="2"/>
    <x v="0"/>
    <x v="0"/>
    <x v="0"/>
    <x v="0"/>
    <x v="1"/>
    <x v="2"/>
    <x v="0"/>
    <x v="0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SEGURA"/>
    <m/>
    <m/>
    <n v="82918489"/>
    <s v="d40efd8e-291c-47c8-8763-9d98b08649f1"/>
    <d v="2025-04-05T22:27:42"/>
    <m/>
    <m/>
    <s v="submitted_via_web"/>
    <m/>
    <s v="vhGz9QPwmdkBybuGFUbzwe"/>
    <m/>
    <n v="178"/>
  </r>
  <r>
    <d v="2025-04-05T17:27:42"/>
    <d v="2025-04-05T17:31:16"/>
    <s v="JP"/>
    <n v="264"/>
    <d v="2025-03-14T00:00:00"/>
    <n v="5"/>
    <s v="GB-EG"/>
    <s v="AMA"/>
    <n v="54"/>
    <x v="2"/>
    <s v="1. Diariamente"/>
    <n v="0"/>
    <n v="0"/>
    <n v="0"/>
    <n v="0"/>
    <n v="0"/>
    <x v="1"/>
    <s v="1. Sí"/>
    <m/>
    <s v="6. Mestiza(o)"/>
    <m/>
    <x v="5"/>
    <s v="1. Completa"/>
    <s v="7. Dueña/o de su propio negocio"/>
    <m/>
    <s v="3. de $920 a $1339"/>
    <s v="4. De paso"/>
    <x v="1"/>
    <x v="0"/>
    <x v="0"/>
    <x v="1"/>
    <x v="0"/>
    <x v="0"/>
    <m/>
    <s v="2. Mañana  (06:00 a 11:59)"/>
    <x v="0"/>
    <x v="0"/>
    <x v="0"/>
    <x v="0"/>
    <x v="1"/>
    <s v="6. Área para perros"/>
    <x v="0"/>
    <x v="0"/>
    <x v="0"/>
    <x v="1"/>
    <x v="1"/>
    <x v="0"/>
    <x v="0"/>
    <m/>
    <x v="1"/>
    <x v="2"/>
    <x v="0"/>
    <s v="PORQUE VENGO ACOMPAÑADA"/>
    <m/>
    <m/>
    <m/>
    <x v="1"/>
    <x v="3"/>
    <x v="3"/>
    <x v="2"/>
    <x v="0"/>
    <x v="3"/>
    <x v="4"/>
    <x v="0"/>
    <s v="Ninguno"/>
    <n v="0"/>
    <n v="0"/>
    <n v="0"/>
    <n v="0"/>
    <n v="0"/>
    <n v="0"/>
    <n v="0"/>
    <n v="0"/>
    <n v="0"/>
    <n v="0"/>
    <n v="0"/>
    <n v="0"/>
    <n v="1"/>
    <x v="0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1"/>
    <x v="2"/>
    <x v="0"/>
    <x v="0"/>
    <x v="1"/>
    <x v="1"/>
    <x v="0"/>
    <x v="0"/>
    <x v="0"/>
    <x v="0"/>
    <x v="1"/>
    <x v="1"/>
    <x v="1"/>
    <x v="2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ES BONITO PORQUE VIENE A RELAJARSE"/>
    <m/>
    <m/>
    <n v="82918606"/>
    <s v="3b94f60f-515d-4353-8a0f-c82c4189ac94"/>
    <d v="2025-04-05T22:31:16"/>
    <m/>
    <m/>
    <s v="submitted_via_web"/>
    <m/>
    <s v="vhGz9QPwmdkBybuGFUbzwe"/>
    <m/>
    <n v="179"/>
  </r>
  <r>
    <d v="2025-04-10T10:15:56"/>
    <d v="2025-04-10T10:24:54"/>
    <s v="GH"/>
    <n v="265"/>
    <d v="2025-03-14T00:00:00"/>
    <n v="5"/>
    <s v="GB-EG"/>
    <s v="AM"/>
    <n v="37"/>
    <x v="0"/>
    <s v="2. Semanalmente"/>
    <n v="0"/>
    <n v="0"/>
    <n v="0"/>
    <n v="0"/>
    <n v="0"/>
    <x v="0"/>
    <s v="1. Sí"/>
    <m/>
    <s v="6. Mestiza(o)"/>
    <m/>
    <x v="1"/>
    <s v="1. Completa"/>
    <s v="1. Trabajar"/>
    <m/>
    <s v="1. Menos de $470"/>
    <s v="2. Culturales y sociales"/>
    <x v="1"/>
    <x v="1"/>
    <x v="0"/>
    <x v="0"/>
    <x v="0"/>
    <x v="0"/>
    <m/>
    <s v="2. Mañana  (06:00 a 11:59)"/>
    <x v="0"/>
    <x v="0"/>
    <x v="0"/>
    <x v="0"/>
    <x v="2"/>
    <s v="3. Caminos de ciclismo"/>
    <x v="0"/>
    <x v="0"/>
    <x v="1"/>
    <x v="1"/>
    <x v="0"/>
    <x v="0"/>
    <x v="0"/>
    <m/>
    <x v="0"/>
    <x v="0"/>
    <x v="0"/>
    <s v="PORQUE HAY SEGURIDAD"/>
    <m/>
    <m/>
    <m/>
    <x v="1"/>
    <x v="2"/>
    <x v="1"/>
    <x v="2"/>
    <x v="0"/>
    <x v="2"/>
    <x v="1"/>
    <x v="0"/>
    <s v="Ninguno"/>
    <n v="0"/>
    <n v="0"/>
    <n v="0"/>
    <n v="0"/>
    <n v="0"/>
    <n v="0"/>
    <n v="0"/>
    <n v="0"/>
    <n v="0"/>
    <n v="0"/>
    <n v="0"/>
    <n v="0"/>
    <n v="1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3"/>
    <x v="0"/>
    <x v="0"/>
    <x v="1"/>
    <x v="1"/>
    <x v="1"/>
    <x v="1"/>
    <x v="0"/>
    <x v="0"/>
    <x v="1"/>
    <x v="1"/>
    <x v="0"/>
    <x v="0"/>
    <x v="1"/>
    <x v="2"/>
    <x v="1"/>
    <x v="1"/>
    <x v="1"/>
    <x v="2"/>
    <x v="1"/>
    <x v="2"/>
    <x v="0"/>
    <x v="2"/>
    <x v="2"/>
    <x v="0"/>
    <x v="0"/>
    <x v="0"/>
    <x v="0"/>
    <m/>
    <x v="0"/>
    <x v="0"/>
    <x v="3"/>
    <x v="0"/>
    <x v="1"/>
    <s v="2. Blanca 3. Contundente 5. Otras"/>
    <x v="1"/>
    <x v="1"/>
    <x v="1"/>
    <x v="1"/>
    <x v="2"/>
    <s v="CUCHILLO Y PIEDRAS"/>
    <x v="1"/>
    <m/>
    <x v="1"/>
    <x v="1"/>
    <x v="0"/>
    <x v="1"/>
    <x v="1"/>
    <x v="0"/>
    <x v="0"/>
    <x v="0"/>
    <x v="0"/>
    <x v="0"/>
    <x v="1"/>
    <x v="3"/>
    <x v="1"/>
    <x v="1"/>
    <x v="0"/>
    <x v="0"/>
    <x v="1"/>
    <x v="1"/>
    <x v="1"/>
    <x v="1"/>
    <x v="1"/>
    <x v="1"/>
    <x v="1"/>
    <x v="1"/>
    <x v="0"/>
    <x v="0"/>
    <x v="0"/>
    <x v="0"/>
    <x v="0"/>
    <x v="0"/>
    <m/>
    <s v="TRANQUILIDAD CONFORMIDAD Y SEGURIDAD"/>
    <m/>
    <m/>
    <n v="83413636"/>
    <s v="aa3f61e4-4152-4771-8da6-7f2d292556f6"/>
    <d v="2025-04-10T15:24:53"/>
    <m/>
    <m/>
    <s v="submitted_via_web"/>
    <m/>
    <s v="v5uNQoYdGp6CCoWUMSjVDf"/>
    <m/>
    <n v="417"/>
  </r>
  <r>
    <d v="2025-04-10T10:24:54"/>
    <d v="2025-04-10T10:33:17"/>
    <s v="GH"/>
    <n v="266"/>
    <d v="2025-03-14T00:00:00"/>
    <n v="5"/>
    <s v="GB-EG"/>
    <s v="AMA"/>
    <n v="35"/>
    <x v="0"/>
    <s v="3. al menos 2 veces al mes"/>
    <n v="0"/>
    <n v="0"/>
    <n v="0"/>
    <n v="0"/>
    <n v="0"/>
    <x v="1"/>
    <s v="1. Sí"/>
    <m/>
    <s v="1. Indígena"/>
    <m/>
    <x v="5"/>
    <s v="1. Completa"/>
    <s v="1. Trabajar"/>
    <m/>
    <s v="1. Menos de $470"/>
    <s v="6. Otra"/>
    <x v="1"/>
    <x v="0"/>
    <x v="0"/>
    <x v="0"/>
    <x v="0"/>
    <x v="1"/>
    <s v="TRABAJAR"/>
    <s v="3. Tarde (12:00 a 17:59)"/>
    <x v="0"/>
    <x v="1"/>
    <x v="1"/>
    <x v="0"/>
    <x v="0"/>
    <s v="3. Caminos de ciclismo"/>
    <x v="0"/>
    <x v="0"/>
    <x v="1"/>
    <x v="1"/>
    <x v="0"/>
    <x v="0"/>
    <x v="0"/>
    <m/>
    <x v="0"/>
    <x v="0"/>
    <x v="1"/>
    <s v="MUCHOS DELINCUENTES"/>
    <m/>
    <m/>
    <m/>
    <x v="1"/>
    <x v="2"/>
    <x v="1"/>
    <x v="1"/>
    <x v="0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1"/>
    <x v="1"/>
    <x v="0"/>
    <x v="0"/>
    <x v="0"/>
    <x v="0"/>
    <x v="0"/>
    <x v="2"/>
    <x v="1"/>
    <x v="1"/>
    <x v="0"/>
    <x v="0"/>
    <x v="1"/>
    <x v="2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1"/>
    <x v="2"/>
    <x v="0"/>
    <x v="1"/>
    <x v="1"/>
    <x v="0"/>
    <x v="0"/>
    <x v="1"/>
    <x v="1"/>
    <x v="1"/>
    <x v="1"/>
    <x v="1"/>
    <x v="1"/>
    <x v="1"/>
    <x v="2"/>
    <x v="0"/>
    <x v="0"/>
    <x v="0"/>
    <x v="0"/>
    <x v="0"/>
    <x v="0"/>
    <m/>
    <s v="TRANQUILA Y SEGURA POR LA POLICIA"/>
    <m/>
    <m/>
    <n v="83414255"/>
    <s v="85227087-d399-41e6-8e21-f5b655471a0d"/>
    <d v="2025-04-10T15:33:16"/>
    <m/>
    <m/>
    <s v="submitted_via_web"/>
    <m/>
    <s v="v5uNQoYdGp6CCoWUMSjVDf"/>
    <m/>
    <n v="421"/>
  </r>
  <r>
    <d v="2025-04-05T17:31:16"/>
    <d v="2025-04-05T17:37:28"/>
    <s v="JP"/>
    <n v="267"/>
    <d v="2025-03-14T00:00:00"/>
    <n v="5"/>
    <s v="GB-EG"/>
    <s v="AMA"/>
    <n v="45"/>
    <x v="2"/>
    <s v="1. Diariamente"/>
    <n v="0"/>
    <n v="0"/>
    <n v="0"/>
    <n v="0"/>
    <n v="0"/>
    <x v="0"/>
    <s v="1. Sí"/>
    <m/>
    <s v="1. Indígena"/>
    <m/>
    <x v="5"/>
    <s v="1. Completa"/>
    <s v="1. Trabajar"/>
    <m/>
    <s v="1. Menos de $470"/>
    <s v="6. Otra"/>
    <x v="1"/>
    <x v="0"/>
    <x v="0"/>
    <x v="0"/>
    <x v="0"/>
    <x v="1"/>
    <s v="TRABAJAR"/>
    <s v="1. Madrugada (00:00 a 05:59)"/>
    <x v="1"/>
    <x v="1"/>
    <x v="0"/>
    <x v="0"/>
    <x v="2"/>
    <s v="3. Caminos de ciclismo"/>
    <x v="0"/>
    <x v="0"/>
    <x v="1"/>
    <x v="1"/>
    <x v="0"/>
    <x v="0"/>
    <x v="0"/>
    <m/>
    <x v="1"/>
    <x v="1"/>
    <x v="0"/>
    <s v="PORQUE HAY SEGURIDAD"/>
    <m/>
    <m/>
    <m/>
    <x v="1"/>
    <x v="2"/>
    <x v="5"/>
    <x v="2"/>
    <x v="0"/>
    <x v="3"/>
    <x v="2"/>
    <x v="1"/>
    <s v="F"/>
    <n v="0"/>
    <n v="0"/>
    <n v="0"/>
    <n v="0"/>
    <n v="0"/>
    <n v="1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1"/>
    <x v="2"/>
    <x v="1"/>
    <x v="2"/>
    <x v="0"/>
    <x v="2"/>
    <x v="1"/>
    <x v="1"/>
    <x v="0"/>
    <x v="0"/>
    <x v="1"/>
    <x v="2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2"/>
    <x v="1"/>
    <x v="0"/>
    <x v="0"/>
    <x v="0"/>
    <x v="1"/>
    <x v="2"/>
    <x v="0"/>
    <x v="1"/>
    <x v="1"/>
    <x v="0"/>
    <x v="0"/>
    <x v="1"/>
    <x v="2"/>
    <x v="1"/>
    <x v="1"/>
    <x v="1"/>
    <x v="1"/>
    <x v="1"/>
    <x v="1"/>
    <x v="0"/>
    <x v="0"/>
    <x v="0"/>
    <x v="0"/>
    <x v="0"/>
    <x v="0"/>
    <m/>
    <s v="TRANQUILIDAD EN EL PARQUE PORQUE SI HAY POLICIA"/>
    <m/>
    <m/>
    <n v="82918699"/>
    <s v="cba6bcf8-cbb3-4f99-b6a4-67019a6dbf1d"/>
    <d v="2025-04-05T22:37:28"/>
    <m/>
    <m/>
    <s v="submitted_via_web"/>
    <m/>
    <s v="vhGz9QPwmdkBybuGFUbzwe"/>
    <m/>
    <n v="180"/>
  </r>
  <r>
    <d v="2025-04-07T08:12:17"/>
    <d v="2025-04-07T08:16:43"/>
    <s v="JP"/>
    <n v="269"/>
    <d v="2025-03-14T00:00:00"/>
    <n v="5"/>
    <s v="GB-EG"/>
    <s v="AMA"/>
    <n v="39"/>
    <x v="0"/>
    <s v="3. al menos 2 veces al mes"/>
    <n v="0"/>
    <n v="0"/>
    <n v="0"/>
    <n v="0"/>
    <n v="0"/>
    <x v="1"/>
    <s v="1. Sí"/>
    <m/>
    <s v="1. Indígena"/>
    <m/>
    <x v="5"/>
    <s v="2. Incompleta"/>
    <s v="1. Trabajar"/>
    <m/>
    <s v="1. Menos de $470"/>
    <s v="6. Otra"/>
    <x v="1"/>
    <x v="0"/>
    <x v="0"/>
    <x v="0"/>
    <x v="0"/>
    <x v="1"/>
    <s v="VENDER"/>
    <s v="2. Mañana  (06:00 a 11:59)"/>
    <x v="0"/>
    <x v="0"/>
    <x v="0"/>
    <x v="0"/>
    <x v="0"/>
    <s v="3. Caminos de ciclismo"/>
    <x v="0"/>
    <x v="0"/>
    <x v="1"/>
    <x v="1"/>
    <x v="0"/>
    <x v="0"/>
    <x v="0"/>
    <m/>
    <x v="0"/>
    <x v="0"/>
    <x v="0"/>
    <s v="PORQUE HAY POLICIAS"/>
    <m/>
    <m/>
    <m/>
    <x v="3"/>
    <x v="2"/>
    <x v="1"/>
    <x v="1"/>
    <x v="0"/>
    <x v="2"/>
    <x v="2"/>
    <x v="2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1"/>
    <x v="2"/>
    <x v="0"/>
    <x v="0"/>
    <x v="0"/>
    <x v="0"/>
    <x v="0"/>
    <x v="0"/>
    <x v="0"/>
    <x v="1"/>
    <x v="2"/>
    <x v="0"/>
    <x v="1"/>
    <x v="1"/>
    <x v="2"/>
    <x v="1"/>
    <x v="1"/>
    <x v="1"/>
    <x v="0"/>
    <x v="0"/>
    <x v="0"/>
    <x v="0"/>
    <x v="0"/>
    <x v="0"/>
    <m/>
    <s v="SE SIENTE BIEN TRANQUILA"/>
    <m/>
    <m/>
    <n v="83045892"/>
    <s v="086f9401-f426-44ef-9544-efd3a053a926"/>
    <d v="2025-04-07T13:16:35"/>
    <m/>
    <m/>
    <s v="submitted_via_web"/>
    <m/>
    <s v="vhGz9QPwmdkBybuGFUbzwe"/>
    <m/>
    <n v="321"/>
  </r>
  <r>
    <d v="2025-04-05T17:41:45"/>
    <d v="2025-04-05T17:45:54"/>
    <s v="JP"/>
    <n v="270"/>
    <d v="2025-03-14T00:00:00"/>
    <n v="5"/>
    <s v="GB-EG"/>
    <s v="AMA"/>
    <n v="38"/>
    <x v="0"/>
    <s v="1. Diariamente"/>
    <n v="0"/>
    <n v="0"/>
    <n v="0"/>
    <n v="0"/>
    <n v="1"/>
    <x v="1"/>
    <s v="1. Sí"/>
    <m/>
    <s v="1. Indígena"/>
    <m/>
    <x v="5"/>
    <s v="1. Completa"/>
    <s v="1. Trabajar"/>
    <m/>
    <s v="1. Menos de $470"/>
    <s v="2. Culturales y sociales"/>
    <x v="1"/>
    <x v="1"/>
    <x v="0"/>
    <x v="0"/>
    <x v="0"/>
    <x v="0"/>
    <m/>
    <s v="1. Madrugada (00:00 a 05:59)"/>
    <x v="1"/>
    <x v="1"/>
    <x v="0"/>
    <x v="0"/>
    <x v="1"/>
    <s v="1. Canchas de fútbol y basquet"/>
    <x v="1"/>
    <x v="0"/>
    <x v="0"/>
    <x v="1"/>
    <x v="0"/>
    <x v="0"/>
    <x v="0"/>
    <m/>
    <x v="1"/>
    <x v="1"/>
    <x v="0"/>
    <s v="POR VENIR EN LA MAÑANA"/>
    <m/>
    <m/>
    <m/>
    <x v="1"/>
    <x v="2"/>
    <x v="1"/>
    <x v="1"/>
    <x v="1"/>
    <x v="2"/>
    <x v="2"/>
    <x v="2"/>
    <s v="F"/>
    <n v="0"/>
    <n v="0"/>
    <n v="0"/>
    <n v="0"/>
    <n v="0"/>
    <n v="1"/>
    <n v="0"/>
    <n v="0"/>
    <n v="0"/>
    <n v="0"/>
    <n v="0"/>
    <n v="0"/>
    <n v="0"/>
    <x v="0"/>
    <x v="2"/>
    <x v="0"/>
    <x v="1"/>
    <x v="1"/>
    <x v="3"/>
    <n v="0"/>
    <n v="1"/>
    <n v="0"/>
    <n v="0"/>
    <n v="0"/>
    <n v="0"/>
    <n v="0"/>
    <n v="0"/>
    <n v="0"/>
    <n v="0"/>
    <n v="0"/>
    <m/>
    <m/>
    <s v="1. Sí"/>
    <m/>
    <m/>
    <m/>
    <m/>
    <m/>
    <m/>
    <m/>
    <m/>
    <m/>
    <m/>
    <m/>
    <s v="6. Ninguna"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1"/>
    <x v="1"/>
    <x v="1"/>
    <x v="1"/>
    <x v="1"/>
    <x v="1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BIEN EN EL PARQUE PORQUE ES SANO"/>
    <m/>
    <m/>
    <n v="82918844"/>
    <s v="bb140e25-bd6e-4ea5-a9c8-07656fe5a8cb"/>
    <d v="2025-04-05T22:45:54"/>
    <m/>
    <m/>
    <s v="submitted_via_web"/>
    <m/>
    <s v="vhGz9QPwmdkBybuGFUbzwe"/>
    <m/>
    <n v="182"/>
  </r>
  <r>
    <d v="2025-04-05T17:45:54"/>
    <d v="2025-04-05T17:49:11"/>
    <s v="JP"/>
    <n v="271"/>
    <d v="2025-03-14T00:00:00"/>
    <n v="5"/>
    <s v="GB-EG"/>
    <s v="AMA"/>
    <n v="19"/>
    <x v="3"/>
    <s v="3. al menos 2 veces al mes"/>
    <n v="0"/>
    <n v="0"/>
    <n v="0"/>
    <n v="0"/>
    <n v="0"/>
    <x v="0"/>
    <s v="1. Sí"/>
    <m/>
    <s v="6. Mestiza(o)"/>
    <m/>
    <x v="1"/>
    <s v="1. Completa"/>
    <s v="4. Es estudiante"/>
    <m/>
    <s v="99. NS/NC"/>
    <s v="4. De paso"/>
    <x v="1"/>
    <x v="0"/>
    <x v="0"/>
    <x v="1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ORQUE VIENE EN LA MAÑANA"/>
    <m/>
    <m/>
    <m/>
    <x v="0"/>
    <x v="2"/>
    <x v="1"/>
    <x v="1"/>
    <x v="0"/>
    <x v="3"/>
    <x v="4"/>
    <x v="1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3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2"/>
    <x v="2"/>
    <x v="0"/>
    <x v="0"/>
    <x v="0"/>
    <x v="0"/>
    <x v="1"/>
    <x v="2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MUY SEGURO"/>
    <m/>
    <m/>
    <n v="82918877"/>
    <s v="220d8553-cdeb-4c10-be0d-556215cec8d4"/>
    <d v="2025-04-05T22:49:11"/>
    <m/>
    <m/>
    <s v="submitted_via_web"/>
    <m/>
    <s v="vhGz9QPwmdkBybuGFUbzwe"/>
    <m/>
    <n v="183"/>
  </r>
  <r>
    <d v="2025-04-05T17:49:11"/>
    <d v="2025-04-05T17:53:11"/>
    <s v="JP"/>
    <n v="272"/>
    <d v="2025-03-14T00:00:00"/>
    <n v="5"/>
    <s v="GD"/>
    <s v="AMA"/>
    <n v="51"/>
    <x v="2"/>
    <s v="2. Semanalmente"/>
    <n v="1"/>
    <n v="0"/>
    <n v="0"/>
    <n v="0"/>
    <n v="0"/>
    <x v="0"/>
    <s v="1. Sí"/>
    <m/>
    <s v="6. Mestiza(o)"/>
    <m/>
    <x v="3"/>
    <s v="1. Completa"/>
    <s v="1. Trabajar"/>
    <m/>
    <s v="3. de $920 a $1339"/>
    <s v="5. Recreación/Ocio"/>
    <x v="1"/>
    <x v="0"/>
    <x v="0"/>
    <x v="0"/>
    <x v="1"/>
    <x v="0"/>
    <m/>
    <s v="1. Madrugada (00:00 a 05:59)"/>
    <x v="1"/>
    <x v="1"/>
    <x v="0"/>
    <x v="0"/>
    <x v="3"/>
    <s v="4. Pistas para correr"/>
    <x v="0"/>
    <x v="0"/>
    <x v="0"/>
    <x v="0"/>
    <x v="0"/>
    <x v="0"/>
    <x v="0"/>
    <m/>
    <x v="0"/>
    <x v="0"/>
    <x v="0"/>
    <s v="POLICIA NACIONAL"/>
    <m/>
    <m/>
    <m/>
    <x v="1"/>
    <x v="1"/>
    <x v="1"/>
    <x v="2"/>
    <x v="1"/>
    <x v="2"/>
    <x v="2"/>
    <x v="1"/>
    <s v="C E"/>
    <n v="0"/>
    <n v="0"/>
    <n v="1"/>
    <n v="0"/>
    <n v="1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1"/>
    <x v="1"/>
    <x v="0"/>
    <x v="0"/>
    <x v="0"/>
    <x v="0"/>
    <x v="1"/>
    <x v="2"/>
    <x v="0"/>
    <x v="0"/>
    <x v="1"/>
    <x v="1"/>
    <x v="1"/>
    <x v="1"/>
    <x v="0"/>
    <x v="0"/>
    <x v="0"/>
    <x v="0"/>
    <x v="0"/>
    <x v="0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0"/>
    <x v="1"/>
    <x v="1"/>
    <x v="1"/>
    <x v="1"/>
    <x v="2"/>
    <x v="0"/>
    <x v="0"/>
    <x v="0"/>
    <x v="0"/>
    <x v="0"/>
    <x v="0"/>
    <x v="0"/>
    <x v="0"/>
    <x v="0"/>
    <m/>
    <s v="PAZ"/>
    <s v="TRANQUILIDAD"/>
    <m/>
    <n v="82918957"/>
    <s v="f81cfc13-8ddc-4cc8-9c6e-c30cdefa441b"/>
    <d v="2025-04-05T22:53:11"/>
    <m/>
    <m/>
    <s v="submitted_via_web"/>
    <m/>
    <s v="vhGz9QPwmdkBybuGFUbzwe"/>
    <m/>
    <n v="184"/>
  </r>
  <r>
    <d v="2025-04-05T17:53:11"/>
    <d v="2025-04-05T17:56:30"/>
    <s v="JP"/>
    <n v="273"/>
    <d v="2025-03-14T00:00:00"/>
    <n v="5"/>
    <s v="GB-EG"/>
    <s v="AMA"/>
    <n v="21"/>
    <x v="3"/>
    <s v="1. Diariamente"/>
    <n v="0"/>
    <n v="0"/>
    <n v="0"/>
    <n v="0"/>
    <n v="0"/>
    <x v="0"/>
    <s v="1. Sí"/>
    <m/>
    <s v="5. Montubia(o)"/>
    <m/>
    <x v="1"/>
    <s v="1. Completa"/>
    <s v="4. Es estudiante"/>
    <m/>
    <s v="1. Menos de $470"/>
    <s v="5. Recreación/Ocio"/>
    <x v="1"/>
    <x v="0"/>
    <x v="0"/>
    <x v="0"/>
    <x v="1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0"/>
    <s v="PORQUE HAY POLICIAS"/>
    <m/>
    <m/>
    <m/>
    <x v="1"/>
    <x v="1"/>
    <x v="2"/>
    <x v="0"/>
    <x v="0"/>
    <x v="3"/>
    <x v="1"/>
    <x v="1"/>
    <s v="B"/>
    <n v="0"/>
    <n v="1"/>
    <n v="0"/>
    <n v="0"/>
    <n v="0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1"/>
    <x v="2"/>
    <x v="0"/>
    <x v="0"/>
    <x v="0"/>
    <x v="0"/>
    <x v="0"/>
    <x v="0"/>
    <x v="0"/>
    <m/>
    <s v="SEGURO CON POLICIA"/>
    <m/>
    <m/>
    <n v="82918990"/>
    <s v="3ffb09ce-9b07-47ab-9193-f5f1a3a4877f"/>
    <d v="2025-04-05T22:56:31"/>
    <m/>
    <m/>
    <s v="submitted_via_web"/>
    <m/>
    <s v="vhGz9QPwmdkBybuGFUbzwe"/>
    <m/>
    <n v="185"/>
  </r>
  <r>
    <d v="2025-04-10T10:33:17"/>
    <d v="2025-04-10T10:39:36"/>
    <s v="GH"/>
    <n v="274"/>
    <d v="2025-03-14T00:00:00"/>
    <n v="5"/>
    <s v="GB-EG"/>
    <s v="AMA"/>
    <n v="20"/>
    <x v="3"/>
    <s v="3. al menos 2 veces al mes"/>
    <n v="0"/>
    <n v="0"/>
    <n v="0"/>
    <n v="0"/>
    <n v="0"/>
    <x v="1"/>
    <s v="1. Sí"/>
    <m/>
    <s v="6. Mestiza(o)"/>
    <m/>
    <x v="3"/>
    <s v="1. Completa"/>
    <s v="4. Es estudiante"/>
    <m/>
    <s v="1. Menos de $470"/>
    <s v="3. Compras"/>
    <x v="1"/>
    <x v="0"/>
    <x v="1"/>
    <x v="0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0"/>
    <s v="ME SIENTO MUY SEGURO DÓNDE HAY MAS USUARIOS"/>
    <m/>
    <m/>
    <m/>
    <x v="1"/>
    <x v="1"/>
    <x v="2"/>
    <x v="1"/>
    <x v="0"/>
    <x v="3"/>
    <x v="2"/>
    <x v="1"/>
    <s v="F"/>
    <n v="0"/>
    <n v="0"/>
    <n v="0"/>
    <n v="0"/>
    <n v="0"/>
    <n v="1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1"/>
    <x v="1"/>
    <x v="0"/>
    <x v="2"/>
    <x v="1"/>
    <x v="1"/>
    <x v="0"/>
    <x v="0"/>
    <x v="1"/>
    <x v="2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2"/>
    <x v="1"/>
    <x v="1"/>
    <x v="0"/>
    <x v="0"/>
    <x v="0"/>
    <x v="0"/>
    <x v="1"/>
    <x v="2"/>
    <x v="0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SE SIENTE BIEN CUANDO HAY POLICIAS Y GUARDIAS DE SEGURIDAD"/>
    <m/>
    <m/>
    <n v="83414547"/>
    <s v="49d7a69b-2e39-4c99-867a-04eca10f65ba"/>
    <d v="2025-04-10T15:39:35"/>
    <m/>
    <m/>
    <s v="submitted_via_web"/>
    <m/>
    <s v="v5uNQoYdGp6CCoWUMSjVDf"/>
    <m/>
    <n v="423"/>
  </r>
  <r>
    <d v="2025-04-05T17:56:31"/>
    <d v="2025-04-05T18:00:45"/>
    <s v="JP"/>
    <n v="275"/>
    <d v="2025-03-14T00:00:00"/>
    <n v="5"/>
    <s v="GB-EG"/>
    <s v="AMA"/>
    <n v="35"/>
    <x v="0"/>
    <s v="1. Diariamente"/>
    <n v="0"/>
    <n v="0"/>
    <n v="0"/>
    <n v="0"/>
    <n v="0"/>
    <x v="1"/>
    <s v="1. Sí"/>
    <m/>
    <s v="1. Indígena"/>
    <m/>
    <x v="1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1"/>
    <x v="1"/>
    <x v="0"/>
    <s v="PORQUE HAY GUARDIAS QUE CUIDAN EL PARQUE"/>
    <m/>
    <m/>
    <m/>
    <x v="1"/>
    <x v="1"/>
    <x v="1"/>
    <x v="2"/>
    <x v="0"/>
    <x v="2"/>
    <x v="2"/>
    <x v="1"/>
    <s v="E"/>
    <n v="0"/>
    <n v="0"/>
    <n v="0"/>
    <n v="0"/>
    <n v="1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0"/>
    <x v="1"/>
    <x v="2"/>
    <x v="0"/>
    <x v="0"/>
    <x v="0"/>
    <x v="2"/>
    <x v="1"/>
    <x v="1"/>
    <x v="1"/>
    <x v="3"/>
    <x v="1"/>
    <x v="2"/>
    <x v="1"/>
    <x v="1"/>
    <x v="1"/>
    <x v="1"/>
    <x v="0"/>
    <x v="1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2"/>
    <x v="1"/>
    <x v="0"/>
    <x v="2"/>
    <x v="1"/>
    <x v="1"/>
    <x v="1"/>
    <x v="2"/>
    <x v="0"/>
    <x v="1"/>
    <x v="3"/>
    <x v="1"/>
    <x v="1"/>
    <x v="0"/>
    <x v="0"/>
    <x v="1"/>
    <x v="1"/>
    <x v="1"/>
    <x v="1"/>
    <x v="2"/>
    <x v="1"/>
    <x v="1"/>
    <x v="1"/>
    <x v="0"/>
    <x v="0"/>
    <x v="0"/>
    <x v="0"/>
    <x v="0"/>
    <x v="0"/>
    <m/>
    <s v="SEGURA CUANDO HAY PRESENCIA POLICIAL"/>
    <m/>
    <m/>
    <n v="82919055"/>
    <s v="5ed52995-1353-42fb-b1d2-f8a9128460f0"/>
    <d v="2025-04-05T23:00:45"/>
    <m/>
    <m/>
    <s v="submitted_via_web"/>
    <m/>
    <s v="vhGz9QPwmdkBybuGFUbzwe"/>
    <m/>
    <n v="186"/>
  </r>
  <r>
    <d v="2025-04-10T10:39:36"/>
    <d v="2025-04-10T11:38:54"/>
    <s v="GH"/>
    <n v="276"/>
    <d v="2025-03-14T00:00:00"/>
    <n v="1"/>
    <s v="DA"/>
    <s v="AE"/>
    <n v="42"/>
    <x v="2"/>
    <s v="2. Semanalmente"/>
    <n v="0"/>
    <n v="0"/>
    <n v="0"/>
    <n v="0"/>
    <n v="0"/>
    <x v="1"/>
    <s v="1. Sí"/>
    <m/>
    <s v="6. Mestiza(o)"/>
    <m/>
    <x v="3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PERSONAL"/>
    <s v="BIEN CUIDADO"/>
    <m/>
    <m/>
    <x v="0"/>
    <x v="1"/>
    <x v="2"/>
    <x v="1"/>
    <x v="1"/>
    <x v="3"/>
    <x v="2"/>
    <x v="1"/>
    <s v="A"/>
    <n v="1"/>
    <n v="0"/>
    <n v="0"/>
    <n v="0"/>
    <n v="0"/>
    <n v="0"/>
    <n v="0"/>
    <n v="0"/>
    <n v="0"/>
    <n v="0"/>
    <n v="0"/>
    <n v="0"/>
    <n v="0"/>
    <x v="0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1"/>
    <x v="1"/>
    <x v="1"/>
    <x v="2"/>
    <x v="0"/>
    <x v="0"/>
    <x v="1"/>
    <x v="2"/>
    <x v="0"/>
    <x v="0"/>
    <x v="0"/>
    <x v="0"/>
    <x v="1"/>
    <x v="2"/>
    <x v="1"/>
    <x v="1"/>
    <x v="0"/>
    <x v="0"/>
    <x v="0"/>
    <x v="0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FELICIDAD"/>
    <s v="TRANQUILIDAD"/>
    <m/>
    <n v="83422496"/>
    <s v="0aecea6a-f040-4cbe-9e6b-710fd355b911"/>
    <d v="2025-04-10T16:38:54"/>
    <m/>
    <m/>
    <s v="submitted_via_web"/>
    <m/>
    <s v="v5uNQoYdGp6CCoWUMSjVDf"/>
    <m/>
    <n v="437"/>
  </r>
  <r>
    <d v="2025-04-05T18:00:45"/>
    <d v="2025-04-05T18:04:11"/>
    <s v="JP"/>
    <n v="277"/>
    <d v="2025-03-14T00:00:00"/>
    <n v="1"/>
    <s v="DA"/>
    <s v="AE"/>
    <n v="32"/>
    <x v="0"/>
    <s v="3. al menos 2 veces al mes"/>
    <n v="0"/>
    <n v="0"/>
    <n v="0"/>
    <n v="0"/>
    <n v="0"/>
    <x v="1"/>
    <s v="1. Sí"/>
    <m/>
    <s v="6. Mestiza(o)"/>
    <m/>
    <x v="1"/>
    <s v="1. Completa"/>
    <s v="5. Quehaceres domésticos"/>
    <m/>
    <s v="2. de $471 a $919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PRESENCIA POLICIAL"/>
    <s v="AFLUENCIA DE GENTE"/>
    <m/>
    <m/>
    <x v="1"/>
    <x v="1"/>
    <x v="2"/>
    <x v="1"/>
    <x v="1"/>
    <x v="3"/>
    <x v="4"/>
    <x v="0"/>
    <s v="L"/>
    <n v="0"/>
    <n v="0"/>
    <n v="0"/>
    <n v="0"/>
    <n v="0"/>
    <n v="0"/>
    <n v="0"/>
    <n v="0"/>
    <n v="0"/>
    <n v="0"/>
    <n v="0"/>
    <n v="1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0"/>
    <x v="0"/>
    <x v="0"/>
    <x v="0"/>
    <x v="0"/>
    <x v="0"/>
    <x v="1"/>
    <x v="1"/>
    <x v="1"/>
    <x v="1"/>
    <x v="2"/>
    <x v="0"/>
    <x v="0"/>
    <x v="0"/>
    <x v="0"/>
    <x v="0"/>
    <x v="0"/>
    <x v="0"/>
    <m/>
    <s v="TRANQUILIDAD"/>
    <s v="DISTRACCION"/>
    <s v="POCO DE SEGURIDAD"/>
    <n v="82919092"/>
    <s v="14a7ab64-2328-496a-888a-818bbf1ac9cb"/>
    <d v="2025-04-05T23:04:11"/>
    <m/>
    <m/>
    <s v="submitted_via_web"/>
    <m/>
    <s v="vhGz9QPwmdkBybuGFUbzwe"/>
    <m/>
    <n v="187"/>
  </r>
  <r>
    <d v="2025-04-10T09:38:19"/>
    <d v="2025-04-10T09:49:12"/>
    <s v="GH"/>
    <n v="278"/>
    <d v="2025-03-14T00:00:00"/>
    <n v="1"/>
    <s v="DA"/>
    <s v="AE"/>
    <n v="36"/>
    <x v="0"/>
    <s v="1. Diariamente"/>
    <n v="0"/>
    <n v="0"/>
    <n v="0"/>
    <n v="0"/>
    <n v="0"/>
    <x v="0"/>
    <s v="1. Sí"/>
    <m/>
    <s v="6. Mestiza(o)"/>
    <m/>
    <x v="1"/>
    <s v="1. Completa"/>
    <s v="7. Dueña/o de su propio negocio"/>
    <m/>
    <s v="2. de $471 a $919"/>
    <s v="6. Otra"/>
    <x v="1"/>
    <x v="0"/>
    <x v="0"/>
    <x v="0"/>
    <x v="0"/>
    <x v="1"/>
    <s v="TRABAJO"/>
    <s v="2. Mañana  (06:00 a 11:59) 3. Tarde (12:00 a 17:59)"/>
    <x v="0"/>
    <x v="0"/>
    <x v="1"/>
    <x v="0"/>
    <x v="2"/>
    <s v="6. Área para perros 7. Áreas verdes"/>
    <x v="0"/>
    <x v="0"/>
    <x v="0"/>
    <x v="1"/>
    <x v="1"/>
    <x v="1"/>
    <x v="0"/>
    <m/>
    <x v="0"/>
    <x v="0"/>
    <x v="1"/>
    <s v="HURTO"/>
    <s v="DROGAS"/>
    <s v="DELINCUENCIA"/>
    <m/>
    <x v="2"/>
    <x v="2"/>
    <x v="3"/>
    <x v="1"/>
    <x v="0"/>
    <x v="2"/>
    <x v="2"/>
    <x v="2"/>
    <s v="L"/>
    <n v="0"/>
    <n v="0"/>
    <n v="0"/>
    <n v="0"/>
    <n v="0"/>
    <n v="0"/>
    <n v="0"/>
    <n v="0"/>
    <n v="0"/>
    <n v="0"/>
    <n v="0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3"/>
    <x v="1"/>
    <x v="3"/>
    <x v="0"/>
    <x v="3"/>
    <x v="0"/>
    <x v="0"/>
    <x v="1"/>
    <x v="1"/>
    <x v="0"/>
    <x v="3"/>
    <x v="1"/>
    <x v="3"/>
    <x v="0"/>
    <x v="0"/>
    <x v="1"/>
    <x v="3"/>
    <x v="2"/>
    <x v="0"/>
    <x v="1"/>
    <x v="1"/>
    <x v="0"/>
    <x v="3"/>
    <x v="0"/>
    <x v="3"/>
    <x v="1"/>
    <x v="2"/>
    <x v="0"/>
    <x v="0"/>
    <x v="0"/>
    <m/>
    <x v="0"/>
    <x v="0"/>
    <x v="0"/>
    <x v="1"/>
    <x v="1"/>
    <s v="2. Blanca"/>
    <x v="1"/>
    <x v="1"/>
    <x v="1"/>
    <x v="1"/>
    <x v="1"/>
    <m/>
    <x v="1"/>
    <m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1"/>
    <x v="1"/>
    <x v="1"/>
    <x v="1"/>
    <x v="2"/>
    <x v="0"/>
    <x v="1"/>
    <x v="1"/>
    <x v="0"/>
    <x v="0"/>
    <x v="0"/>
    <x v="0"/>
    <m/>
    <s v="FELIZ"/>
    <s v="FALTA DE TRABAJO"/>
    <s v="DEPORTE"/>
    <n v="83410365"/>
    <s v="51bcca1c-f35d-4965-a9b6-42a8a64419b7"/>
    <d v="2025-04-10T14:49:12"/>
    <m/>
    <m/>
    <s v="submitted_via_web"/>
    <m/>
    <s v="v5uNQoYdGp6CCoWUMSjVDf"/>
    <m/>
    <n v="409"/>
  </r>
  <r>
    <d v="2025-04-05T18:04:12"/>
    <d v="2025-04-05T18:09:47"/>
    <s v="JP"/>
    <n v="279"/>
    <d v="2025-03-14T00:00:00"/>
    <n v="1"/>
    <s v="DA"/>
    <s v="AE"/>
    <n v="70"/>
    <x v="1"/>
    <s v="3. al menos 2 veces al mes"/>
    <n v="0"/>
    <n v="0"/>
    <n v="0"/>
    <n v="0"/>
    <n v="0"/>
    <x v="1"/>
    <s v="1. Sí"/>
    <m/>
    <s v="6. Mestiza(o)"/>
    <m/>
    <x v="3"/>
    <s v="1. Completa"/>
    <s v="3. Es jubilada/o o pensionista/o"/>
    <m/>
    <s v="2. de $471 a $919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GENTE"/>
    <s v="PRESENCIA POLICIA NACIONAL"/>
    <m/>
    <m/>
    <x v="3"/>
    <x v="5"/>
    <x v="2"/>
    <x v="1"/>
    <x v="0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1"/>
    <x v="1"/>
    <x v="0"/>
    <x v="0"/>
    <x v="0"/>
    <x v="0"/>
    <x v="1"/>
    <x v="1"/>
    <x v="0"/>
    <x v="0"/>
    <x v="0"/>
    <x v="0"/>
    <x v="1"/>
    <x v="2"/>
    <x v="0"/>
    <x v="0"/>
    <x v="1"/>
    <x v="2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BIEN"/>
    <s v="SEGURA"/>
    <s v="TRANQUILIDAD"/>
    <n v="82919134"/>
    <s v="ed84b0e6-e921-4f74-a416-765cabb02d18"/>
    <d v="2025-04-05T23:09:47"/>
    <m/>
    <m/>
    <s v="submitted_via_web"/>
    <m/>
    <s v="vhGz9QPwmdkBybuGFUbzwe"/>
    <m/>
    <n v="188"/>
  </r>
  <r>
    <d v="2025-04-10T12:02:45"/>
    <d v="2025-04-10T12:14:47"/>
    <s v="GH"/>
    <n v="281"/>
    <d v="2025-03-14T00:00:00"/>
    <n v="1"/>
    <s v="DA"/>
    <s v="AE"/>
    <n v="39"/>
    <x v="0"/>
    <s v="3. al menos 2 veces al mes"/>
    <n v="0"/>
    <n v="0"/>
    <n v="0"/>
    <n v="0"/>
    <n v="0"/>
    <x v="0"/>
    <s v="1. Sí"/>
    <m/>
    <s v="6. Mestiza(o)"/>
    <m/>
    <x v="0"/>
    <s v="1. Completa"/>
    <s v="7. Dueña/o de su propio negocio"/>
    <m/>
    <s v="2. de $471 a $919"/>
    <s v="1. Deporte / ejercicio 2. Culturales y sociales 3. Compras 4. De paso 5. Recreación/Ocio 6. Otra"/>
    <x v="0"/>
    <x v="1"/>
    <x v="1"/>
    <x v="1"/>
    <x v="1"/>
    <x v="1"/>
    <m/>
    <s v="2. Mañana  (06:00 a 11:59)"/>
    <x v="0"/>
    <x v="0"/>
    <x v="0"/>
    <x v="0"/>
    <x v="2"/>
    <s v="1. Canchas de fútbol y basquet 3. Caminos de ciclismo 4. Pistas para correr"/>
    <x v="1"/>
    <x v="0"/>
    <x v="1"/>
    <x v="0"/>
    <x v="0"/>
    <x v="0"/>
    <x v="0"/>
    <m/>
    <x v="1"/>
    <x v="1"/>
    <x v="0"/>
    <s v="POR LA GENTE"/>
    <s v="GUARDIAS DE SEGURIDAD"/>
    <m/>
    <m/>
    <x v="1"/>
    <x v="1"/>
    <x v="1"/>
    <x v="3"/>
    <x v="0"/>
    <x v="3"/>
    <x v="2"/>
    <x v="2"/>
    <s v="F"/>
    <n v="0"/>
    <n v="0"/>
    <n v="0"/>
    <n v="0"/>
    <n v="0"/>
    <n v="1"/>
    <n v="0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1"/>
    <x v="2"/>
    <x v="0"/>
    <x v="0"/>
    <x v="0"/>
    <x v="2"/>
    <x v="1"/>
    <x v="3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INTRANQUILIDAD"/>
    <s v="INSEGURIDAD"/>
    <m/>
    <n v="83425352"/>
    <s v="ab29c204-e4c8-4444-a6b6-f80d5e3af713"/>
    <d v="2025-04-10T17:14:47"/>
    <m/>
    <m/>
    <s v="submitted_via_web"/>
    <m/>
    <s v="v5uNQoYdGp6CCoWUMSjVDf"/>
    <m/>
    <n v="442"/>
  </r>
  <r>
    <d v="2025-04-06T09:32:11"/>
    <d v="2025-04-06T09:40:32"/>
    <s v="GR"/>
    <n v="283"/>
    <d v="2025-03-14T00:00:00"/>
    <n v="1"/>
    <s v="GB-SCH"/>
    <s v="AE"/>
    <n v="25"/>
    <x v="3"/>
    <s v="1. Diariamente"/>
    <n v="0"/>
    <n v="0"/>
    <n v="0"/>
    <n v="0"/>
    <n v="0"/>
    <x v="0"/>
    <s v="2. No"/>
    <s v="VENEZOLANA"/>
    <s v="6. Mestiza(o)"/>
    <m/>
    <x v="0"/>
    <s v="2. Incompleta"/>
    <s v="1. Trabajar"/>
    <m/>
    <s v="2. de $471 a $919"/>
    <s v="5. Recreación/Ocio"/>
    <x v="1"/>
    <x v="0"/>
    <x v="0"/>
    <x v="0"/>
    <x v="1"/>
    <x v="0"/>
    <m/>
    <s v="2. Mañana  (06:00 a 11:59) 3. Tarde (12:00 a 17:59)"/>
    <x v="0"/>
    <x v="0"/>
    <x v="1"/>
    <x v="0"/>
    <x v="3"/>
    <s v="3. Caminos de ciclismo 6. Área para perros"/>
    <x v="0"/>
    <x v="0"/>
    <x v="1"/>
    <x v="1"/>
    <x v="1"/>
    <x v="0"/>
    <x v="0"/>
    <m/>
    <x v="1"/>
    <x v="1"/>
    <x v="0"/>
    <s v="EN EL HORARIO QUE VIENE HAY MAS GENTE"/>
    <m/>
    <m/>
    <m/>
    <x v="1"/>
    <x v="2"/>
    <x v="1"/>
    <x v="2"/>
    <x v="2"/>
    <x v="3"/>
    <x v="1"/>
    <x v="1"/>
    <s v="F"/>
    <n v="0"/>
    <n v="0"/>
    <n v="0"/>
    <n v="0"/>
    <n v="0"/>
    <n v="1"/>
    <n v="0"/>
    <n v="0"/>
    <n v="0"/>
    <n v="0"/>
    <n v="0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3"/>
    <x v="1"/>
    <x v="2"/>
    <x v="0"/>
    <x v="2"/>
    <x v="1"/>
    <x v="3"/>
    <x v="1"/>
    <x v="2"/>
    <x v="0"/>
    <x v="0"/>
    <x v="1"/>
    <x v="2"/>
    <x v="0"/>
    <x v="0"/>
    <x v="1"/>
    <x v="2"/>
    <x v="0"/>
    <x v="0"/>
    <x v="1"/>
    <x v="2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IDAD"/>
    <m/>
    <m/>
    <n v="82969632"/>
    <s v="b30463b1-3439-4e9f-a55d-75112197ceaf"/>
    <d v="2025-04-06T14:40:25"/>
    <m/>
    <m/>
    <s v="submitted_via_web"/>
    <m/>
    <s v="vhGz9QPwmdkBybuGFUbzwe"/>
    <m/>
    <n v="225"/>
  </r>
  <r>
    <d v="2025-04-06T09:40:32"/>
    <d v="2025-04-06T09:49:49"/>
    <s v="GR"/>
    <n v="283"/>
    <d v="2025-03-14T00:00:00"/>
    <n v="1"/>
    <s v="DA"/>
    <s v="AE"/>
    <n v="50"/>
    <x v="2"/>
    <s v="2. Semanalmente"/>
    <n v="0"/>
    <n v="0"/>
    <n v="0"/>
    <n v="0"/>
    <n v="0"/>
    <x v="1"/>
    <s v="1. Sí"/>
    <m/>
    <s v="6. Mestiza(o)"/>
    <m/>
    <x v="0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6. Área para perros"/>
    <x v="0"/>
    <x v="0"/>
    <x v="0"/>
    <x v="1"/>
    <x v="1"/>
    <x v="0"/>
    <x v="0"/>
    <m/>
    <x v="0"/>
    <x v="0"/>
    <x v="0"/>
    <s v="PRESENCIA POLICIAL"/>
    <s v="GUARDIAS DE SEGURIDAD"/>
    <m/>
    <m/>
    <x v="0"/>
    <x v="2"/>
    <x v="1"/>
    <x v="2"/>
    <x v="1"/>
    <x v="3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1"/>
    <x v="1"/>
    <x v="1"/>
    <x v="2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INTRANQUILIDAD"/>
    <s v="INSEGURA"/>
    <m/>
    <n v="82970236"/>
    <s v="de230f8c-8cb2-4e33-984e-07fa4fabd92a"/>
    <d v="2025-04-06T14:49:41"/>
    <m/>
    <m/>
    <s v="submitted_via_web"/>
    <m/>
    <s v="vhGz9QPwmdkBybuGFUbzwe"/>
    <m/>
    <n v="228"/>
  </r>
  <r>
    <d v="2025-04-10T12:14:47"/>
    <d v="2025-04-10T12:25:46"/>
    <s v="GH"/>
    <n v="284"/>
    <d v="2025-03-14T00:00:00"/>
    <n v="1"/>
    <s v="DA"/>
    <s v="AE"/>
    <n v="23"/>
    <x v="3"/>
    <s v="3. al menos 2 veces al mes"/>
    <n v="0"/>
    <n v="0"/>
    <n v="0"/>
    <n v="0"/>
    <n v="0"/>
    <x v="0"/>
    <s v="1. Sí"/>
    <m/>
    <s v="6. Mestiza(o)"/>
    <m/>
    <x v="1"/>
    <s v="1. Completa"/>
    <s v="6. No trabaja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PRESENCIA POLICIAL"/>
    <s v="AFLUENCIA DE GENTE"/>
    <m/>
    <m/>
    <x v="0"/>
    <x v="2"/>
    <x v="2"/>
    <x v="2"/>
    <x v="0"/>
    <x v="2"/>
    <x v="2"/>
    <x v="1"/>
    <s v="C"/>
    <n v="0"/>
    <n v="0"/>
    <n v="1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s v="LUGARES DE COMIDA"/>
    <s v="AFLUENCIA DE GENTE"/>
    <n v="83425978"/>
    <s v="4efe9245-4dcc-41ba-85e7-ea22ec6be026"/>
    <d v="2025-04-10T17:25:46"/>
    <m/>
    <m/>
    <s v="submitted_via_web"/>
    <m/>
    <s v="v5uNQoYdGp6CCoWUMSjVDf"/>
    <m/>
    <n v="444"/>
  </r>
  <r>
    <d v="2025-04-06T09:26:31"/>
    <d v="2025-04-06T09:32:11"/>
    <s v="GR"/>
    <n v="286"/>
    <d v="2025-03-14T00:00:00"/>
    <n v="1"/>
    <s v="GB-SCH"/>
    <s v="AE"/>
    <n v="67"/>
    <x v="1"/>
    <s v="2. Semanalmente"/>
    <n v="2"/>
    <n v="0"/>
    <n v="0"/>
    <n v="0"/>
    <n v="1"/>
    <x v="1"/>
    <s v="1. Sí"/>
    <m/>
    <s v="7. Blanca(o)"/>
    <m/>
    <x v="0"/>
    <s v="2. Incompleta"/>
    <s v="3. Es jubilada/o o pensionista/o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3. Caminos de ciclismo 6. Área para perros 7. Áreas verdes"/>
    <x v="0"/>
    <x v="0"/>
    <x v="1"/>
    <x v="1"/>
    <x v="1"/>
    <x v="1"/>
    <x v="0"/>
    <m/>
    <x v="0"/>
    <x v="0"/>
    <x v="0"/>
    <s v="POR LA COMPAÑIA DE SUS MASCOTAS"/>
    <m/>
    <m/>
    <m/>
    <x v="0"/>
    <x v="2"/>
    <x v="1"/>
    <x v="0"/>
    <x v="2"/>
    <x v="3"/>
    <x v="0"/>
    <x v="2"/>
    <s v="B"/>
    <n v="0"/>
    <n v="1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ESTA EN UN SITIO NO CONTAMINADO"/>
    <m/>
    <m/>
    <n v="82969338"/>
    <s v="6792f6be-35c1-45b9-9dfa-2e748948006e"/>
    <d v="2025-04-06T14:32:02"/>
    <m/>
    <m/>
    <s v="submitted_via_web"/>
    <m/>
    <s v="vhGz9QPwmdkBybuGFUbzwe"/>
    <m/>
    <n v="224"/>
  </r>
  <r>
    <d v="2025-04-06T09:18:04"/>
    <d v="2025-04-06T09:26:31"/>
    <s v="GR"/>
    <n v="287"/>
    <d v="2025-03-14T00:00:00"/>
    <n v="1"/>
    <s v="GB.SCH"/>
    <s v="AE"/>
    <n v="39"/>
    <x v="0"/>
    <s v="2. Semanalmente"/>
    <n v="1"/>
    <n v="0"/>
    <n v="0"/>
    <n v="0"/>
    <n v="0"/>
    <x v="0"/>
    <s v="1. Sí"/>
    <m/>
    <s v="6. Mestiza(o)"/>
    <m/>
    <x v="1"/>
    <s v="2. In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2"/>
    <s v="8. Otro."/>
    <x v="0"/>
    <x v="0"/>
    <x v="0"/>
    <x v="1"/>
    <x v="0"/>
    <x v="0"/>
    <x v="1"/>
    <s v="UDY"/>
    <x v="1"/>
    <x v="1"/>
    <x v="0"/>
    <s v="PRESENCIA POLICIA"/>
    <s v="PRESENCIA PERSONAL DEL PARQUE"/>
    <m/>
    <m/>
    <x v="1"/>
    <x v="1"/>
    <x v="2"/>
    <x v="5"/>
    <x v="2"/>
    <x v="3"/>
    <x v="1"/>
    <x v="2"/>
    <s v="F"/>
    <n v="0"/>
    <n v="0"/>
    <n v="0"/>
    <n v="0"/>
    <n v="0"/>
    <n v="1"/>
    <n v="0"/>
    <n v="0"/>
    <n v="0"/>
    <n v="0"/>
    <n v="0"/>
    <n v="0"/>
    <n v="0"/>
    <x v="0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3"/>
    <x v="0"/>
    <x v="0"/>
    <x v="1"/>
    <x v="2"/>
    <x v="1"/>
    <x v="2"/>
    <x v="0"/>
    <x v="2"/>
    <x v="1"/>
    <x v="1"/>
    <x v="0"/>
    <x v="0"/>
    <x v="1"/>
    <x v="1"/>
    <x v="0"/>
    <x v="0"/>
    <x v="1"/>
    <x v="1"/>
    <x v="0"/>
    <x v="1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2"/>
    <x v="1"/>
    <x v="1"/>
    <x v="0"/>
    <x v="1"/>
    <x v="2"/>
    <x v="0"/>
    <x v="0"/>
    <x v="0"/>
    <x v="0"/>
    <x v="1"/>
    <x v="1"/>
    <x v="0"/>
    <x v="0"/>
    <x v="1"/>
    <x v="1"/>
    <x v="1"/>
    <x v="1"/>
    <x v="1"/>
    <x v="1"/>
    <x v="2"/>
    <x v="0"/>
    <x v="0"/>
    <x v="0"/>
    <x v="0"/>
    <x v="0"/>
    <x v="0"/>
    <x v="0"/>
    <m/>
    <s v="RELAJADO"/>
    <s v="ESTABILIDAD"/>
    <s v="TRANQUILIDAD"/>
    <n v="82969209"/>
    <s v="1fbab38d-a87c-4141-bb35-0859491e854f"/>
    <d v="2025-04-06T14:26:23"/>
    <m/>
    <m/>
    <s v="submitted_via_web"/>
    <m/>
    <s v="vhGz9QPwmdkBybuGFUbzwe"/>
    <m/>
    <n v="223"/>
  </r>
  <r>
    <d v="2025-04-06T08:37:28"/>
    <d v="2025-04-06T09:18:04"/>
    <s v="GR"/>
    <n v="288"/>
    <d v="2025-03-14T00:00:00"/>
    <n v="1"/>
    <s v="GB-SCH"/>
    <s v="AE"/>
    <n v="36"/>
    <x v="0"/>
    <s v="1. Diariamente"/>
    <n v="0"/>
    <n v="0"/>
    <n v="0"/>
    <n v="0"/>
    <n v="0"/>
    <x v="0"/>
    <s v="1. Sí"/>
    <m/>
    <s v="6. Mestiza(o)"/>
    <m/>
    <x v="1"/>
    <s v="2. Incompleta"/>
    <s v="1. Trabajar"/>
    <m/>
    <s v="2. de $471 a $919"/>
    <s v="5. Recreación/Ocio"/>
    <x v="1"/>
    <x v="0"/>
    <x v="0"/>
    <x v="0"/>
    <x v="1"/>
    <x v="0"/>
    <m/>
    <s v="2. Mañana  (06:00 a 11:59) 3. Tarde (12:00 a 17:59)"/>
    <x v="0"/>
    <x v="0"/>
    <x v="1"/>
    <x v="0"/>
    <x v="2"/>
    <s v="6. Área para perros 7. Áreas verdes"/>
    <x v="0"/>
    <x v="0"/>
    <x v="0"/>
    <x v="1"/>
    <x v="1"/>
    <x v="1"/>
    <x v="0"/>
    <m/>
    <x v="1"/>
    <x v="2"/>
    <x v="1"/>
    <s v="POR MUCHA DELINCUANCIA"/>
    <s v="POR GENTE QUE SE DROGA"/>
    <m/>
    <m/>
    <x v="2"/>
    <x v="1"/>
    <x v="1"/>
    <x v="1"/>
    <x v="2"/>
    <x v="2"/>
    <x v="1"/>
    <x v="2"/>
    <s v="F L"/>
    <n v="0"/>
    <n v="0"/>
    <n v="0"/>
    <n v="0"/>
    <n v="0"/>
    <n v="1"/>
    <n v="0"/>
    <n v="0"/>
    <n v="0"/>
    <n v="0"/>
    <n v="0"/>
    <n v="1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3"/>
    <x v="0"/>
    <x v="3"/>
    <x v="1"/>
    <x v="2"/>
    <x v="1"/>
    <x v="1"/>
    <x v="0"/>
    <x v="3"/>
    <x v="1"/>
    <x v="1"/>
    <x v="0"/>
    <x v="0"/>
    <x v="1"/>
    <x v="3"/>
    <x v="1"/>
    <x v="3"/>
    <x v="1"/>
    <x v="2"/>
    <x v="0"/>
    <x v="0"/>
    <x v="0"/>
    <x v="2"/>
    <x v="0"/>
    <x v="0"/>
    <x v="1"/>
    <x v="1"/>
    <x v="0"/>
    <m/>
    <x v="0"/>
    <x v="0"/>
    <x v="3"/>
    <x v="1"/>
    <x v="1"/>
    <s v="1. De fuego"/>
    <x v="2"/>
    <x v="2"/>
    <x v="1"/>
    <x v="1"/>
    <x v="1"/>
    <m/>
    <x v="1"/>
    <m/>
    <x v="0"/>
    <x v="0"/>
    <x v="0"/>
    <x v="1"/>
    <x v="1"/>
    <x v="0"/>
    <x v="0"/>
    <x v="0"/>
    <x v="0"/>
    <x v="0"/>
    <x v="0"/>
    <x v="0"/>
    <x v="1"/>
    <x v="1"/>
    <x v="0"/>
    <x v="0"/>
    <x v="1"/>
    <x v="1"/>
    <x v="1"/>
    <x v="1"/>
    <x v="1"/>
    <x v="1"/>
    <x v="2"/>
    <x v="0"/>
    <x v="1"/>
    <x v="1"/>
    <x v="0"/>
    <x v="0"/>
    <x v="0"/>
    <x v="0"/>
    <m/>
    <s v="TRANQUILIDAD"/>
    <s v="ALEGRE"/>
    <m/>
    <n v="82968804"/>
    <s v="e538772e-5e1b-4457-a531-0d7e626e0bef"/>
    <d v="2025-04-06T14:17:56"/>
    <m/>
    <m/>
    <s v="submitted_via_web"/>
    <m/>
    <s v="vhGz9QPwmdkBybuGFUbzwe"/>
    <m/>
    <n v="222"/>
  </r>
  <r>
    <d v="2025-04-06T08:27:28"/>
    <d v="2025-04-06T08:37:28"/>
    <s v="GR"/>
    <n v="289"/>
    <d v="2025-03-14T00:00:00"/>
    <n v="1"/>
    <s v="GB-SCH"/>
    <s v="AE"/>
    <n v="65"/>
    <x v="1"/>
    <s v="1. Diariamente"/>
    <n v="0"/>
    <n v="0"/>
    <n v="0"/>
    <n v="0"/>
    <n v="0"/>
    <x v="1"/>
    <s v="1. Sí"/>
    <m/>
    <s v="7. Blanca(o)"/>
    <m/>
    <x v="4"/>
    <s v="1. Completa"/>
    <s v="3. Es jubilada/o o pensionista/o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4. Pistas para correr 7. Áreas verdes 8. Otro."/>
    <x v="0"/>
    <x v="0"/>
    <x v="0"/>
    <x v="0"/>
    <x v="0"/>
    <x v="1"/>
    <x v="1"/>
    <s v="CROSFIT"/>
    <x v="1"/>
    <x v="1"/>
    <x v="2"/>
    <s v="AREA TRANQUILA"/>
    <s v="GENTE DEPORTISTA"/>
    <s v="POLICIA NACIONAL Y METROPOLITANA"/>
    <m/>
    <x v="2"/>
    <x v="3"/>
    <x v="1"/>
    <x v="3"/>
    <x v="1"/>
    <x v="2"/>
    <x v="0"/>
    <x v="0"/>
    <s v="B"/>
    <n v="0"/>
    <n v="1"/>
    <n v="0"/>
    <n v="0"/>
    <n v="0"/>
    <n v="0"/>
    <n v="0"/>
    <n v="0"/>
    <n v="0"/>
    <n v="0"/>
    <n v="0"/>
    <n v="0"/>
    <n v="0"/>
    <x v="0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x v="2"/>
    <x v="0"/>
    <m/>
    <x v="0"/>
    <x v="0"/>
    <x v="3"/>
    <x v="0"/>
    <x v="0"/>
    <m/>
    <x v="0"/>
    <x v="0"/>
    <x v="0"/>
    <x v="0"/>
    <x v="0"/>
    <m/>
    <x v="0"/>
    <m/>
    <x v="0"/>
    <x v="2"/>
    <x v="1"/>
    <x v="0"/>
    <x v="0"/>
    <x v="0"/>
    <x v="0"/>
    <x v="0"/>
    <x v="0"/>
    <x v="0"/>
    <x v="1"/>
    <x v="1"/>
    <x v="0"/>
    <x v="2"/>
    <x v="2"/>
    <x v="0"/>
    <x v="1"/>
    <x v="1"/>
    <x v="1"/>
    <x v="1"/>
    <x v="1"/>
    <x v="1"/>
    <x v="1"/>
    <x v="1"/>
    <x v="1"/>
    <x v="2"/>
    <x v="1"/>
    <x v="1"/>
    <x v="2"/>
    <x v="2"/>
    <m/>
    <s v="SARISFECHA POR MANTENER CONTROL DE SEGURIDAD Y LIMPIEZA"/>
    <m/>
    <m/>
    <n v="82966990"/>
    <s v="5bac022e-583d-425c-b28c-b7c1b769d66d"/>
    <d v="2025-04-06T13:37:20"/>
    <m/>
    <m/>
    <s v="submitted_via_web"/>
    <m/>
    <s v="vhGz9QPwmdkBybuGFUbzwe"/>
    <m/>
    <n v="218"/>
  </r>
  <r>
    <d v="2025-04-06T08:21:34"/>
    <d v="2025-04-06T08:27:28"/>
    <s v="GR"/>
    <n v="290"/>
    <d v="2025-03-14T00:00:00"/>
    <n v="1"/>
    <s v="GB-SCH"/>
    <s v="AE"/>
    <n v="19"/>
    <x v="3"/>
    <s v="3. al menos 2 veces al mes"/>
    <n v="0"/>
    <n v="0"/>
    <n v="0"/>
    <n v="0"/>
    <n v="0"/>
    <x v="1"/>
    <s v="1. Sí"/>
    <m/>
    <s v="6. Mestiza(o)"/>
    <m/>
    <x v="1"/>
    <s v="1. Completa"/>
    <s v="4. Es estudiante"/>
    <m/>
    <s v="99. NS/NC"/>
    <s v="4. De paso"/>
    <x v="1"/>
    <x v="0"/>
    <x v="0"/>
    <x v="1"/>
    <x v="0"/>
    <x v="0"/>
    <m/>
    <s v="2. Mañana  (06:00 a 11:59) 3. Tarde (12:00 a 17:59)"/>
    <x v="0"/>
    <x v="0"/>
    <x v="1"/>
    <x v="0"/>
    <x v="1"/>
    <s v="7. Áreas verdes"/>
    <x v="0"/>
    <x v="0"/>
    <x v="0"/>
    <x v="1"/>
    <x v="0"/>
    <x v="1"/>
    <x v="0"/>
    <m/>
    <x v="1"/>
    <x v="1"/>
    <x v="0"/>
    <s v="PARQUE MUY CIRCULADO"/>
    <s v="PRESENCIA DE POLICIA NACIONAL"/>
    <m/>
    <m/>
    <x v="1"/>
    <x v="2"/>
    <x v="3"/>
    <x v="2"/>
    <x v="0"/>
    <x v="1"/>
    <x v="1"/>
    <x v="1"/>
    <s v="F"/>
    <n v="0"/>
    <n v="0"/>
    <n v="0"/>
    <n v="0"/>
    <n v="0"/>
    <n v="1"/>
    <n v="0"/>
    <n v="0"/>
    <n v="0"/>
    <n v="0"/>
    <n v="0"/>
    <n v="0"/>
    <n v="0"/>
    <x v="1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TRANQUILIDAD"/>
    <s v="ENTRETENIDO"/>
    <m/>
    <n v="82966603"/>
    <s v="617ffcef-3a20-44a0-ae1b-09d73f967761"/>
    <d v="2025-04-06T13:27:20"/>
    <m/>
    <m/>
    <s v="submitted_via_web"/>
    <m/>
    <s v="vhGz9QPwmdkBybuGFUbzwe"/>
    <m/>
    <n v="215"/>
  </r>
  <r>
    <d v="2025-04-06T08:16:38"/>
    <d v="2025-04-06T08:21:33"/>
    <s v="GR"/>
    <n v="291"/>
    <d v="2025-03-14T00:00:00"/>
    <n v="1"/>
    <s v="GB-SCH"/>
    <s v="AE"/>
    <n v="26"/>
    <x v="0"/>
    <s v="3. al menos 2 veces al mes"/>
    <n v="0"/>
    <n v="0"/>
    <n v="0"/>
    <n v="0"/>
    <n v="0"/>
    <x v="1"/>
    <s v="1. Sí"/>
    <m/>
    <s v="6. Mestiza(o)"/>
    <m/>
    <x v="1"/>
    <s v="1. Completa"/>
    <s v="5. Quehaceres domésticos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3"/>
    <s v="3. Caminos de ciclismo 8. Otro."/>
    <x v="0"/>
    <x v="0"/>
    <x v="1"/>
    <x v="1"/>
    <x v="0"/>
    <x v="0"/>
    <x v="1"/>
    <s v="JUEGOS"/>
    <x v="1"/>
    <x v="1"/>
    <x v="0"/>
    <s v="PRECENSIA POLICIAL"/>
    <m/>
    <m/>
    <m/>
    <x v="1"/>
    <x v="1"/>
    <x v="1"/>
    <x v="1"/>
    <x v="0"/>
    <x v="2"/>
    <x v="2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1"/>
    <x v="1"/>
    <x v="0"/>
    <x v="0"/>
    <x v="0"/>
    <x v="0"/>
    <x v="1"/>
    <x v="2"/>
    <x v="1"/>
    <x v="2"/>
    <x v="1"/>
    <x v="1"/>
    <x v="0"/>
    <x v="0"/>
    <x v="0"/>
    <x v="0"/>
    <x v="0"/>
    <x v="0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INSEGURIDAD"/>
    <m/>
    <m/>
    <n v="82966490"/>
    <s v="ed039bc2-5294-4ed3-84ce-8bc25abe3a87"/>
    <d v="2025-04-06T13:21:25"/>
    <m/>
    <m/>
    <s v="submitted_via_web"/>
    <m/>
    <s v="vhGz9QPwmdkBybuGFUbzwe"/>
    <m/>
    <n v="212"/>
  </r>
  <r>
    <d v="2025-04-06T08:10:55"/>
    <d v="2025-04-06T08:16:38"/>
    <s v="GR"/>
    <n v="292"/>
    <d v="2025-03-14T00:00:00"/>
    <n v="1"/>
    <s v="GB-SCH"/>
    <s v="AE"/>
    <n v="27"/>
    <x v="0"/>
    <s v="1. Diariamente"/>
    <n v="1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 5. Recreación/Ocio"/>
    <x v="0"/>
    <x v="0"/>
    <x v="0"/>
    <x v="0"/>
    <x v="1"/>
    <x v="0"/>
    <m/>
    <s v="2. Mañana  (06:00 a 11:59) 3. Tarde (12:00 a 17:59)"/>
    <x v="0"/>
    <x v="0"/>
    <x v="1"/>
    <x v="0"/>
    <x v="3"/>
    <s v="6. Área para perros 7. Áreas verdes"/>
    <x v="0"/>
    <x v="0"/>
    <x v="0"/>
    <x v="1"/>
    <x v="1"/>
    <x v="1"/>
    <x v="0"/>
    <m/>
    <x v="0"/>
    <x v="0"/>
    <x v="0"/>
    <s v="DEPENDE EL HORARIO EN LA MAÑANA"/>
    <m/>
    <m/>
    <m/>
    <x v="1"/>
    <x v="1"/>
    <x v="1"/>
    <x v="1"/>
    <x v="0"/>
    <x v="3"/>
    <x v="1"/>
    <x v="2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3"/>
    <x v="1"/>
    <x v="2"/>
    <x v="0"/>
    <x v="0"/>
    <x v="0"/>
    <x v="3"/>
    <x v="1"/>
    <x v="1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TRANQUILIDAD"/>
    <m/>
    <m/>
    <n v="82966328"/>
    <s v="34cf3001-9610-48f9-b521-ea1f545bd8e8"/>
    <d v="2025-04-06T13:16:31"/>
    <m/>
    <m/>
    <s v="submitted_via_web"/>
    <m/>
    <s v="vhGz9QPwmdkBybuGFUbzwe"/>
    <m/>
    <n v="210"/>
  </r>
  <r>
    <d v="2025-04-06T08:03:31"/>
    <d v="2025-04-06T08:10:55"/>
    <s v="GR"/>
    <n v="293"/>
    <d v="2025-03-14T00:00:00"/>
    <n v="1"/>
    <s v="GB-SCH"/>
    <s v="AE"/>
    <n v="22"/>
    <x v="3"/>
    <s v="3. al menos 2 veces al mes"/>
    <n v="0"/>
    <n v="0"/>
    <n v="0"/>
    <n v="0"/>
    <n v="0"/>
    <x v="1"/>
    <s v="1. Sí"/>
    <m/>
    <s v="6. Mestiza(o)"/>
    <m/>
    <x v="0"/>
    <s v="1. Completa"/>
    <s v="4. Es estudiante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0"/>
    <s v="1. Canchas de fútbol y basquet 7. Áreas verdes"/>
    <x v="1"/>
    <x v="0"/>
    <x v="0"/>
    <x v="1"/>
    <x v="0"/>
    <x v="1"/>
    <x v="0"/>
    <m/>
    <x v="1"/>
    <x v="1"/>
    <x v="0"/>
    <s v="VENIT ACOMPAÑADA"/>
    <m/>
    <m/>
    <m/>
    <x v="1"/>
    <x v="2"/>
    <x v="1"/>
    <x v="1"/>
    <x v="0"/>
    <x v="3"/>
    <x v="1"/>
    <x v="2"/>
    <s v="F"/>
    <n v="0"/>
    <n v="0"/>
    <n v="0"/>
    <n v="0"/>
    <n v="0"/>
    <n v="1"/>
    <n v="0"/>
    <n v="0"/>
    <n v="0"/>
    <n v="0"/>
    <n v="0"/>
    <n v="0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2"/>
    <x v="1"/>
    <x v="2"/>
    <x v="0"/>
    <x v="0"/>
    <x v="1"/>
    <x v="1"/>
    <x v="1"/>
    <x v="1"/>
    <x v="0"/>
    <x v="0"/>
    <x v="0"/>
    <x v="0"/>
    <x v="0"/>
    <x v="0"/>
    <x v="1"/>
    <x v="1"/>
    <x v="0"/>
    <x v="0"/>
    <x v="1"/>
    <x v="1"/>
    <x v="2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2"/>
    <x v="1"/>
    <x v="1"/>
    <x v="2"/>
    <x v="0"/>
    <x v="0"/>
    <x v="1"/>
    <x v="1"/>
    <x v="0"/>
    <x v="0"/>
    <x v="0"/>
    <x v="0"/>
    <x v="1"/>
    <x v="1"/>
    <x v="1"/>
    <x v="1"/>
    <x v="1"/>
    <x v="1"/>
    <x v="2"/>
    <x v="0"/>
    <x v="1"/>
    <x v="1"/>
    <x v="0"/>
    <x v="0"/>
    <x v="0"/>
    <x v="0"/>
    <m/>
    <s v="TRANQUILIDAD"/>
    <m/>
    <m/>
    <n v="82966078"/>
    <s v="01bc9e19-cbe9-4f44-b8f6-8780ea1d60d9"/>
    <d v="2025-04-06T13:10:47"/>
    <m/>
    <m/>
    <s v="submitted_via_web"/>
    <m/>
    <s v="vhGz9QPwmdkBybuGFUbzwe"/>
    <m/>
    <n v="208"/>
  </r>
  <r>
    <d v="2025-04-06T07:49:35"/>
    <d v="2025-04-06T07:56:10"/>
    <s v="GR"/>
    <n v="295"/>
    <d v="2025-03-14T00:00:00"/>
    <n v="1"/>
    <s v="GB-SGH"/>
    <s v="AE"/>
    <n v="22"/>
    <x v="3"/>
    <s v="3. al menos 2 veces al mes"/>
    <n v="1"/>
    <n v="0"/>
    <n v="0"/>
    <n v="0"/>
    <n v="0"/>
    <x v="0"/>
    <s v="1. Sí"/>
    <m/>
    <s v="6. Mestiza(o)"/>
    <m/>
    <x v="3"/>
    <s v="1. Completa"/>
    <s v="8. Otro"/>
    <s v="TRABAJA Y ESTUDIA"/>
    <s v="4. de $1340 a $1839"/>
    <s v="1. Deporte / ejercicio"/>
    <x v="0"/>
    <x v="0"/>
    <x v="0"/>
    <x v="0"/>
    <x v="0"/>
    <x v="0"/>
    <m/>
    <s v="3. Tarde (12:00 a 17:59)"/>
    <x v="0"/>
    <x v="1"/>
    <x v="1"/>
    <x v="0"/>
    <x v="0"/>
    <s v="4. Pistas para correr"/>
    <x v="0"/>
    <x v="0"/>
    <x v="0"/>
    <x v="0"/>
    <x v="0"/>
    <x v="0"/>
    <x v="0"/>
    <m/>
    <x v="0"/>
    <x v="0"/>
    <x v="3"/>
    <s v="FALTA DE ILUMINACION"/>
    <s v="NO HAY PRESENCIA POLICIAL"/>
    <m/>
    <m/>
    <x v="1"/>
    <x v="1"/>
    <x v="1"/>
    <x v="2"/>
    <x v="0"/>
    <x v="2"/>
    <x v="1"/>
    <x v="2"/>
    <s v="F"/>
    <n v="0"/>
    <n v="0"/>
    <n v="0"/>
    <n v="0"/>
    <n v="0"/>
    <n v="1"/>
    <n v="0"/>
    <n v="0"/>
    <n v="0"/>
    <n v="0"/>
    <n v="0"/>
    <n v="0"/>
    <n v="0"/>
    <x v="0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1"/>
    <x v="1"/>
    <x v="0"/>
    <x v="0"/>
    <x v="0"/>
    <x v="0"/>
    <x v="1"/>
    <x v="2"/>
    <x v="0"/>
    <x v="0"/>
    <x v="1"/>
    <x v="1"/>
    <x v="0"/>
    <x v="0"/>
    <x v="0"/>
    <x v="0"/>
    <x v="0"/>
    <x v="0"/>
    <x v="0"/>
    <x v="2"/>
    <x v="0"/>
    <x v="0"/>
    <x v="1"/>
    <x v="1"/>
    <x v="0"/>
    <m/>
    <x v="0"/>
    <x v="0"/>
    <x v="3"/>
    <x v="0"/>
    <x v="1"/>
    <s v="1. De fuego"/>
    <x v="2"/>
    <x v="2"/>
    <x v="1"/>
    <x v="1"/>
    <x v="1"/>
    <m/>
    <x v="2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INSEGURO"/>
    <m/>
    <m/>
    <n v="82965463"/>
    <s v="cca8f230-808c-4793-8a43-53251ed882c8"/>
    <d v="2025-04-06T12:56:02"/>
    <m/>
    <m/>
    <s v="submitted_via_web"/>
    <m/>
    <s v="vhGz9QPwmdkBybuGFUbzwe"/>
    <m/>
    <n v="203"/>
  </r>
  <r>
    <d v="2025-04-05T20:26:19"/>
    <d v="2025-04-05T23:06:23"/>
    <s v="GR"/>
    <n v="296"/>
    <d v="2025-03-14T00:00:00"/>
    <n v="1"/>
    <s v="GB-SCH"/>
    <s v="AE"/>
    <n v="38"/>
    <x v="0"/>
    <s v="2. Semanalmente"/>
    <n v="0"/>
    <n v="0"/>
    <n v="0"/>
    <n v="0"/>
    <n v="0"/>
    <x v="0"/>
    <s v="2. No"/>
    <s v="VENEZOLANA"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0"/>
    <s v="3. Caminos de ciclismo 7. Áreas verdes 8. Otro."/>
    <x v="0"/>
    <x v="0"/>
    <x v="1"/>
    <x v="1"/>
    <x v="0"/>
    <x v="1"/>
    <x v="1"/>
    <s v="JUEGOS"/>
    <x v="1"/>
    <x v="1"/>
    <x v="0"/>
    <s v="EN EL HORARIO QUE VIENE HAY GENTE"/>
    <m/>
    <m/>
    <m/>
    <x v="1"/>
    <x v="1"/>
    <x v="1"/>
    <x v="1"/>
    <x v="0"/>
    <x v="3"/>
    <x v="1"/>
    <x v="1"/>
    <s v="F"/>
    <n v="0"/>
    <n v="0"/>
    <n v="0"/>
    <n v="0"/>
    <n v="0"/>
    <n v="1"/>
    <n v="0"/>
    <n v="0"/>
    <n v="0"/>
    <n v="0"/>
    <n v="0"/>
    <n v="0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3"/>
    <x v="0"/>
    <x v="2"/>
    <x v="0"/>
    <x v="0"/>
    <x v="0"/>
    <x v="0"/>
    <x v="0"/>
    <x v="2"/>
    <x v="1"/>
    <x v="1"/>
    <x v="1"/>
    <x v="3"/>
    <x v="1"/>
    <x v="2"/>
    <x v="1"/>
    <x v="1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2"/>
    <x v="1"/>
    <x v="0"/>
    <x v="0"/>
    <x v="0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CALMA"/>
    <s v="RELAJACIÒN"/>
    <s v="DISTRACCION"/>
    <n v="82929822"/>
    <s v="ec95a53f-fdca-4b09-9f96-034cdd0cd3e9"/>
    <d v="2025-04-06T04:06:17"/>
    <m/>
    <m/>
    <s v="submitted_via_web"/>
    <m/>
    <s v="vhGz9QPwmdkBybuGFUbzwe"/>
    <m/>
    <n v="201"/>
  </r>
  <r>
    <d v="2025-04-05T20:17:22"/>
    <d v="2025-04-05T20:26:18"/>
    <s v="GR"/>
    <n v="297"/>
    <d v="2025-03-14T00:00:00"/>
    <n v="1"/>
    <s v="GB-MA"/>
    <s v="AE"/>
    <n v="53"/>
    <x v="2"/>
    <s v="1. Diariamente"/>
    <n v="1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 6. Otra"/>
    <x v="0"/>
    <x v="0"/>
    <x v="0"/>
    <x v="0"/>
    <x v="0"/>
    <x v="1"/>
    <s v="PASEO CACHORRO"/>
    <s v="2. Mañana  (06:00 a 11:59) 3. Tarde (12:00 a 17:59)"/>
    <x v="0"/>
    <x v="0"/>
    <x v="1"/>
    <x v="0"/>
    <x v="3"/>
    <s v="1. Canchas de fútbol y basquet 6. Área para perros"/>
    <x v="1"/>
    <x v="0"/>
    <x v="0"/>
    <x v="1"/>
    <x v="1"/>
    <x v="0"/>
    <x v="0"/>
    <m/>
    <x v="1"/>
    <x v="1"/>
    <x v="0"/>
    <s v="GENTE CAMINANDO"/>
    <s v="NO HAY SITUACION DE CALLE(MUCHO)"/>
    <s v="EL COMERCIO E ILUMINACION"/>
    <m/>
    <x v="1"/>
    <x v="2"/>
    <x v="3"/>
    <x v="1"/>
    <x v="0"/>
    <x v="3"/>
    <x v="2"/>
    <x v="0"/>
    <s v="L"/>
    <n v="0"/>
    <n v="0"/>
    <n v="0"/>
    <n v="0"/>
    <n v="0"/>
    <n v="0"/>
    <n v="0"/>
    <n v="0"/>
    <n v="0"/>
    <n v="0"/>
    <n v="0"/>
    <n v="1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0"/>
    <x v="1"/>
    <x v="3"/>
    <x v="1"/>
    <x v="2"/>
    <x v="0"/>
    <x v="0"/>
    <x v="1"/>
    <x v="2"/>
    <x v="1"/>
    <x v="2"/>
    <x v="1"/>
    <x v="2"/>
    <x v="1"/>
    <x v="1"/>
    <x v="1"/>
    <x v="1"/>
    <x v="0"/>
    <x v="0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RELAJANTE"/>
    <s v="NATURALEZA"/>
    <s v="NOSTALGIA"/>
    <n v="82921415"/>
    <s v="c4db05d6-85b4-4fe7-8a2b-10527168a2aa"/>
    <d v="2025-04-06T01:26:13"/>
    <m/>
    <m/>
    <s v="submitted_via_web"/>
    <m/>
    <s v="vhGz9QPwmdkBybuGFUbzwe"/>
    <m/>
    <n v="200"/>
  </r>
  <r>
    <d v="2025-04-05T20:10:50"/>
    <d v="2025-04-05T20:17:22"/>
    <s v="GR"/>
    <n v="298"/>
    <d v="2025-03-14T00:00:00"/>
    <n v="1"/>
    <s v="GB-JA"/>
    <s v="AE"/>
    <n v="68"/>
    <x v="1"/>
    <s v="1. Diariamente"/>
    <n v="0"/>
    <n v="0"/>
    <n v="0"/>
    <n v="0"/>
    <n v="0"/>
    <x v="0"/>
    <s v="1. Sí"/>
    <m/>
    <s v="1. Indígena"/>
    <m/>
    <x v="0"/>
    <s v="1. Completa"/>
    <s v="3. Es jubilada/o o pensionista/o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BULEVARES"/>
    <x v="0"/>
    <x v="0"/>
    <x v="1"/>
    <s v="FALTA DE PERSONAS EN LA NOCHE"/>
    <m/>
    <m/>
    <m/>
    <x v="1"/>
    <x v="2"/>
    <x v="2"/>
    <x v="2"/>
    <x v="0"/>
    <x v="1"/>
    <x v="1"/>
    <x v="0"/>
    <s v="B"/>
    <n v="0"/>
    <n v="1"/>
    <n v="0"/>
    <n v="0"/>
    <n v="0"/>
    <n v="0"/>
    <n v="0"/>
    <n v="0"/>
    <n v="0"/>
    <n v="0"/>
    <n v="0"/>
    <n v="0"/>
    <n v="0"/>
    <x v="2"/>
    <x v="0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FELIZ POR LA NATURALEZA"/>
    <s v="PAZ"/>
    <m/>
    <n v="82921280"/>
    <s v="e0f54b19-d757-4a0f-9713-03e87dfe34a1"/>
    <d v="2025-04-06T01:17:16"/>
    <m/>
    <m/>
    <s v="submitted_via_web"/>
    <m/>
    <s v="vhGz9QPwmdkBybuGFUbzwe"/>
    <m/>
    <n v="199"/>
  </r>
  <r>
    <d v="2025-04-05T20:04:13"/>
    <d v="2025-04-05T20:10:49"/>
    <s v="GR"/>
    <n v="299"/>
    <d v="2025-03-14T00:00:00"/>
    <n v="1"/>
    <s v="PB-MA"/>
    <s v="AE"/>
    <n v="23"/>
    <x v="3"/>
    <s v="2. Semanalmente"/>
    <n v="0"/>
    <n v="0"/>
    <n v="0"/>
    <n v="0"/>
    <n v="0"/>
    <x v="0"/>
    <s v="1. Sí"/>
    <m/>
    <s v="1. Indígena"/>
    <m/>
    <x v="1"/>
    <s v="1. Completa"/>
    <s v="4. Es estudiante"/>
    <m/>
    <s v="1. Menos de $470"/>
    <s v="1. Deporte / ejercicio"/>
    <x v="0"/>
    <x v="0"/>
    <x v="0"/>
    <x v="0"/>
    <x v="0"/>
    <x v="0"/>
    <m/>
    <s v="3. Tarde (12:00 a 17:59)"/>
    <x v="0"/>
    <x v="1"/>
    <x v="1"/>
    <x v="0"/>
    <x v="0"/>
    <s v="1. Canchas de fútbol y basquet 4. Pistas para correr"/>
    <x v="1"/>
    <x v="0"/>
    <x v="0"/>
    <x v="0"/>
    <x v="0"/>
    <x v="0"/>
    <x v="0"/>
    <m/>
    <x v="1"/>
    <x v="1"/>
    <x v="0"/>
    <s v="CAMINA TRANQUILO"/>
    <s v="NO ROBOS"/>
    <s v="SEGURIDAD"/>
    <m/>
    <x v="0"/>
    <x v="2"/>
    <x v="1"/>
    <x v="1"/>
    <x v="0"/>
    <x v="3"/>
    <x v="4"/>
    <x v="0"/>
    <s v="L"/>
    <n v="0"/>
    <n v="0"/>
    <n v="0"/>
    <n v="0"/>
    <n v="0"/>
    <n v="0"/>
    <n v="0"/>
    <n v="0"/>
    <n v="0"/>
    <n v="0"/>
    <n v="0"/>
    <n v="1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1"/>
    <x v="2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2"/>
    <x v="2"/>
    <x v="0"/>
    <x v="0"/>
    <x v="0"/>
    <x v="1"/>
    <x v="2"/>
    <x v="0"/>
    <x v="1"/>
    <x v="1"/>
    <x v="0"/>
    <x v="0"/>
    <x v="0"/>
    <x v="0"/>
    <x v="1"/>
    <x v="1"/>
    <x v="1"/>
    <x v="1"/>
    <x v="1"/>
    <x v="2"/>
    <x v="0"/>
    <x v="0"/>
    <x v="0"/>
    <x v="0"/>
    <x v="0"/>
    <x v="0"/>
    <m/>
    <s v="TRANQUILIDAD"/>
    <s v="SEGURIDAD"/>
    <m/>
    <n v="82920967"/>
    <s v="6788aa88-5eec-468c-9569-a1777ee24168"/>
    <d v="2025-04-06T01:10:43"/>
    <m/>
    <m/>
    <s v="submitted_via_web"/>
    <m/>
    <s v="vhGz9QPwmdkBybuGFUbzwe"/>
    <m/>
    <n v="198"/>
  </r>
  <r>
    <d v="2025-04-05T19:57:05"/>
    <d v="2025-04-05T20:04:13"/>
    <s v="GR"/>
    <n v="300"/>
    <d v="2025-03-14T00:00:00"/>
    <n v="1"/>
    <s v="GB-JA"/>
    <s v="AE"/>
    <n v="84"/>
    <x v="1"/>
    <s v="1. Diariamente"/>
    <n v="0"/>
    <n v="0"/>
    <n v="0"/>
    <n v="0"/>
    <n v="0"/>
    <x v="0"/>
    <s v="2. No"/>
    <s v="CHILENA"/>
    <s v="6. Mestiza(o)"/>
    <m/>
    <x v="0"/>
    <s v="1. Completa"/>
    <s v="3. Es jubilada/o o pensionista/o"/>
    <m/>
    <s v="3. de $920 a $1339"/>
    <s v="6. Otra"/>
    <x v="1"/>
    <x v="0"/>
    <x v="0"/>
    <x v="0"/>
    <x v="0"/>
    <x v="1"/>
    <s v="CAMINAR"/>
    <s v="2. Mañana  (06:00 a 11:59)"/>
    <x v="0"/>
    <x v="0"/>
    <x v="0"/>
    <x v="0"/>
    <x v="3"/>
    <s v="8. Otro."/>
    <x v="0"/>
    <x v="0"/>
    <x v="0"/>
    <x v="1"/>
    <x v="0"/>
    <x v="0"/>
    <x v="1"/>
    <s v="BULEVAR"/>
    <x v="0"/>
    <x v="0"/>
    <x v="0"/>
    <s v="NO HA PRECENSIADO VIOLENCIA"/>
    <m/>
    <m/>
    <m/>
    <x v="0"/>
    <x v="2"/>
    <x v="2"/>
    <x v="1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2"/>
    <x v="0"/>
    <x v="0"/>
    <x v="0"/>
    <x v="0"/>
    <x v="0"/>
    <x v="0"/>
    <x v="0"/>
    <x v="0"/>
    <x v="1"/>
    <x v="1"/>
    <x v="1"/>
    <x v="2"/>
    <x v="0"/>
    <x v="0"/>
    <x v="0"/>
    <x v="0"/>
    <x v="0"/>
    <x v="0"/>
    <x v="0"/>
    <m/>
    <x v="0"/>
    <x v="0"/>
    <x v="2"/>
    <x v="1"/>
    <x v="0"/>
    <m/>
    <x v="0"/>
    <x v="0"/>
    <x v="0"/>
    <x v="0"/>
    <x v="0"/>
    <m/>
    <x v="0"/>
    <m/>
    <x v="0"/>
    <x v="2"/>
    <x v="1"/>
    <x v="0"/>
    <x v="0"/>
    <x v="0"/>
    <x v="0"/>
    <x v="0"/>
    <x v="0"/>
    <x v="0"/>
    <x v="1"/>
    <x v="1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TRANQUILIDAD"/>
    <m/>
    <m/>
    <n v="82920835"/>
    <s v="3147c053-fd50-43a1-b5b1-43ad5de11f48"/>
    <d v="2025-04-06T01:04:06"/>
    <m/>
    <m/>
    <s v="submitted_via_web"/>
    <m/>
    <s v="vhGz9QPwmdkBybuGFUbzwe"/>
    <m/>
    <n v="197"/>
  </r>
  <r>
    <d v="2025-04-05T19:46:06"/>
    <d v="2025-04-05T19:57:05"/>
    <s v="GR"/>
    <n v="301"/>
    <d v="2025-03-14T00:00:00"/>
    <n v="1"/>
    <s v="GB-JA"/>
    <s v="AE"/>
    <n v="68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4. de $1340 a $1839"/>
    <s v="1. Deporte / ejercicio 6. Otra"/>
    <x v="0"/>
    <x v="0"/>
    <x v="0"/>
    <x v="0"/>
    <x v="0"/>
    <x v="1"/>
    <s v="CAMINATA"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1"/>
    <x v="0"/>
    <s v="HAY SEGURIDAD PERSONAS CAMINANDO"/>
    <m/>
    <m/>
    <m/>
    <x v="0"/>
    <x v="2"/>
    <x v="2"/>
    <x v="0"/>
    <x v="2"/>
    <x v="3"/>
    <x v="0"/>
    <x v="0"/>
    <s v="F"/>
    <n v="0"/>
    <n v="0"/>
    <n v="0"/>
    <n v="0"/>
    <n v="0"/>
    <n v="1"/>
    <n v="0"/>
    <n v="0"/>
    <n v="0"/>
    <n v="0"/>
    <n v="0"/>
    <n v="0"/>
    <n v="0"/>
    <x v="1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1"/>
    <x v="2"/>
    <x v="0"/>
    <x v="1"/>
    <x v="1"/>
    <x v="0"/>
    <x v="0"/>
    <x v="0"/>
    <x v="0"/>
    <x v="1"/>
    <x v="1"/>
    <x v="1"/>
    <x v="1"/>
    <x v="2"/>
    <x v="0"/>
    <x v="0"/>
    <x v="0"/>
    <x v="0"/>
    <x v="0"/>
    <x v="0"/>
    <x v="0"/>
    <m/>
    <s v="SE SIENTE LIBRE"/>
    <s v="MUY FELIZ"/>
    <m/>
    <n v="82920759"/>
    <s v="388adf08-acdd-45c8-b177-337eaed1080c"/>
    <d v="2025-04-06T00:56:59"/>
    <m/>
    <m/>
    <s v="submitted_via_web"/>
    <m/>
    <s v="vhGz9QPwmdkBybuGFUbzwe"/>
    <m/>
    <n v="196"/>
  </r>
  <r>
    <d v="2025-04-10T12:25:46"/>
    <d v="2025-04-10T12:32:11"/>
    <s v="GH"/>
    <n v="302"/>
    <d v="2025-03-14T00:00:00"/>
    <n v="1"/>
    <s v="GB-JA"/>
    <s v="AE"/>
    <n v="25"/>
    <x v="3"/>
    <s v="1. Diariamente"/>
    <n v="0"/>
    <n v="0"/>
    <n v="0"/>
    <n v="0"/>
    <n v="0"/>
    <x v="0"/>
    <s v="1. Sí"/>
    <m/>
    <s v="6. Mestiza(o)"/>
    <m/>
    <x v="0"/>
    <s v="1. Completa"/>
    <s v="4. Es estudiante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1. Canchas de fútbol y basquet 6. Área para perros"/>
    <x v="1"/>
    <x v="0"/>
    <x v="0"/>
    <x v="1"/>
    <x v="1"/>
    <x v="0"/>
    <x v="0"/>
    <m/>
    <x v="1"/>
    <x v="1"/>
    <x v="0"/>
    <s v="NO ME HA PASADO NADA Y SALE EN EL DIA"/>
    <m/>
    <m/>
    <m/>
    <x v="1"/>
    <x v="1"/>
    <x v="1"/>
    <x v="2"/>
    <x v="0"/>
    <x v="2"/>
    <x v="2"/>
    <x v="1"/>
    <s v="K"/>
    <n v="0"/>
    <n v="0"/>
    <n v="0"/>
    <n v="0"/>
    <n v="0"/>
    <n v="0"/>
    <n v="0"/>
    <n v="0"/>
    <n v="0"/>
    <n v="0"/>
    <n v="1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3"/>
    <x v="0"/>
    <x v="0"/>
    <x v="1"/>
    <x v="2"/>
    <x v="0"/>
    <x v="0"/>
    <x v="0"/>
    <x v="2"/>
    <x v="0"/>
    <x v="0"/>
    <x v="0"/>
    <x v="0"/>
    <x v="0"/>
    <x v="0"/>
    <x v="0"/>
    <x v="0"/>
    <x v="0"/>
    <x v="0"/>
    <x v="0"/>
    <x v="1"/>
    <x v="0"/>
    <x v="0"/>
    <x v="2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EN EL DIA TRANQUILIDAD"/>
    <s v="FELICIDAD"/>
    <m/>
    <n v="83426479"/>
    <s v="5376e84d-d74c-4de7-83ef-642c3eea8868"/>
    <d v="2025-04-10T17:32:10"/>
    <m/>
    <m/>
    <s v="submitted_via_web"/>
    <m/>
    <s v="v5uNQoYdGp6CCoWUMSjVDf"/>
    <m/>
    <n v="445"/>
  </r>
  <r>
    <d v="2025-04-05T19:36:58"/>
    <d v="2025-04-05T19:46:06"/>
    <s v="GR"/>
    <n v="303"/>
    <d v="2025-03-14T00:00:00"/>
    <n v="1"/>
    <s v="AE"/>
    <s v="GB-JA"/>
    <n v="67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99. NS/NC"/>
    <s v="6. Otra"/>
    <x v="1"/>
    <x v="0"/>
    <x v="0"/>
    <x v="0"/>
    <x v="0"/>
    <x v="1"/>
    <s v="CAMINAR"/>
    <s v="2. Mañana  (06:00 a 11:59)"/>
    <x v="0"/>
    <x v="0"/>
    <x v="0"/>
    <x v="0"/>
    <x v="1"/>
    <s v="8. Otro."/>
    <x v="0"/>
    <x v="0"/>
    <x v="0"/>
    <x v="1"/>
    <x v="0"/>
    <x v="0"/>
    <x v="1"/>
    <s v="BULEVARES"/>
    <x v="1"/>
    <x v="1"/>
    <x v="1"/>
    <s v="POR PERSONAS QUE CONSUMEN DROGRA"/>
    <m/>
    <m/>
    <m/>
    <x v="0"/>
    <x v="2"/>
    <x v="1"/>
    <x v="3"/>
    <x v="3"/>
    <x v="3"/>
    <x v="2"/>
    <x v="2"/>
    <s v="L"/>
    <n v="0"/>
    <n v="0"/>
    <n v="0"/>
    <n v="0"/>
    <n v="0"/>
    <n v="0"/>
    <n v="0"/>
    <n v="0"/>
    <n v="0"/>
    <n v="0"/>
    <n v="0"/>
    <n v="1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0"/>
    <x v="0"/>
    <x v="1"/>
    <x v="1"/>
    <x v="0"/>
    <x v="0"/>
    <x v="1"/>
    <x v="1"/>
    <x v="1"/>
    <x v="1"/>
    <x v="1"/>
    <x v="2"/>
    <x v="0"/>
    <x v="0"/>
    <x v="0"/>
    <x v="0"/>
    <x v="0"/>
    <x v="0"/>
    <x v="1"/>
    <x v="2"/>
    <x v="0"/>
    <x v="1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2"/>
    <x v="0"/>
    <x v="0"/>
    <x v="0"/>
    <x v="0"/>
    <x v="0"/>
    <x v="0"/>
    <x v="0"/>
    <x v="1"/>
    <x v="1"/>
    <x v="1"/>
    <x v="1"/>
    <x v="0"/>
    <x v="0"/>
    <x v="0"/>
    <x v="0"/>
    <x v="1"/>
    <x v="1"/>
    <x v="1"/>
    <x v="1"/>
    <x v="1"/>
    <x v="2"/>
    <x v="0"/>
    <x v="0"/>
    <x v="0"/>
    <x v="0"/>
    <x v="0"/>
    <x v="0"/>
    <m/>
    <s v="SE SIENTE LIBRE"/>
    <s v="SE DESESTREZA"/>
    <s v="APROVECHA"/>
    <n v="82920554"/>
    <s v="144f9741-28d6-43c1-8cff-e10b845c580e"/>
    <d v="2025-04-06T00:46:00"/>
    <m/>
    <m/>
    <s v="submitted_via_web"/>
    <m/>
    <s v="vhGz9QPwmdkBybuGFUbzwe"/>
    <m/>
    <n v="195"/>
  </r>
  <r>
    <d v="2025-04-05T18:56:09"/>
    <d v="2025-04-05T19:36:58"/>
    <s v="GR"/>
    <n v="304"/>
    <d v="2025-03-14T00:00:00"/>
    <n v="1"/>
    <s v="GB-JA"/>
    <s v="AE"/>
    <n v="28"/>
    <x v="0"/>
    <s v="2. Semanalmente"/>
    <n v="0"/>
    <n v="0"/>
    <n v="0"/>
    <n v="0"/>
    <n v="0"/>
    <x v="0"/>
    <s v="1. Sí"/>
    <m/>
    <s v="6. Mestiza(o)"/>
    <m/>
    <x v="0"/>
    <s v="2. Incompleta"/>
    <s v="4. Es estudiante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3"/>
    <s v="3. Caminos de ciclismo"/>
    <x v="0"/>
    <x v="0"/>
    <x v="1"/>
    <x v="1"/>
    <x v="0"/>
    <x v="0"/>
    <x v="0"/>
    <m/>
    <x v="1"/>
    <x v="2"/>
    <x v="0"/>
    <s v="HAY MUCHA SEGURIDAD"/>
    <m/>
    <m/>
    <m/>
    <x v="0"/>
    <x v="2"/>
    <x v="2"/>
    <x v="1"/>
    <x v="1"/>
    <x v="3"/>
    <x v="2"/>
    <x v="0"/>
    <s v="F"/>
    <n v="0"/>
    <n v="0"/>
    <n v="0"/>
    <n v="0"/>
    <n v="0"/>
    <n v="1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1"/>
    <x v="1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IDAD"/>
    <s v="SEGURIDAD"/>
    <m/>
    <n v="82920467"/>
    <s v="0eee9b72-e918-43e0-b70b-ea9873135b46"/>
    <d v="2025-04-06T00:36:52"/>
    <m/>
    <m/>
    <s v="submitted_via_web"/>
    <m/>
    <s v="vhGz9QPwmdkBybuGFUbzwe"/>
    <m/>
    <n v="194"/>
  </r>
  <r>
    <d v="2025-04-10T12:32:11"/>
    <d v="2025-04-10T12:42:39"/>
    <s v="GH"/>
    <n v="305"/>
    <d v="2025-03-14T00:00:00"/>
    <n v="1"/>
    <s v="LB"/>
    <s v="AE"/>
    <n v="59"/>
    <x v="1"/>
    <s v="2. Semanalmente"/>
    <n v="0"/>
    <n v="0"/>
    <n v="0"/>
    <n v="0"/>
    <n v="0"/>
    <x v="0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NÚMERO DE GENTE"/>
    <s v="LA LUZ"/>
    <m/>
    <m/>
    <x v="0"/>
    <x v="2"/>
    <x v="2"/>
    <x v="2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3"/>
    <x v="0"/>
    <x v="3"/>
    <x v="1"/>
    <x v="2"/>
    <x v="0"/>
    <x v="0"/>
    <x v="0"/>
    <x v="3"/>
    <x v="0"/>
    <x v="0"/>
    <x v="0"/>
    <x v="0"/>
    <x v="1"/>
    <x v="2"/>
    <x v="0"/>
    <x v="0"/>
    <x v="0"/>
    <x v="0"/>
    <x v="1"/>
    <x v="2"/>
    <x v="1"/>
    <x v="1"/>
    <x v="0"/>
    <x v="0"/>
    <x v="0"/>
    <x v="3"/>
    <x v="1"/>
    <s v="MOTOS ELÉCTRICAS"/>
    <x v="3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0"/>
    <x v="0"/>
    <x v="0"/>
    <x v="1"/>
    <x v="1"/>
    <x v="1"/>
    <x v="1"/>
    <x v="1"/>
    <x v="2"/>
    <x v="0"/>
    <x v="0"/>
    <x v="0"/>
    <x v="0"/>
    <x v="0"/>
    <x v="0"/>
    <m/>
    <s v="INSEGURIDAD"/>
    <s v="PAISAJE"/>
    <m/>
    <n v="83427319"/>
    <s v="26550644-1180-472b-9b26-007593e94f92"/>
    <d v="2025-04-10T17:42:39"/>
    <m/>
    <m/>
    <s v="submitted_via_web"/>
    <m/>
    <s v="v5uNQoYdGp6CCoWUMSjVDf"/>
    <m/>
    <n v="447"/>
  </r>
  <r>
    <d v="2025-04-05T18:47:22"/>
    <d v="2025-04-05T18:56:09"/>
    <s v="GR"/>
    <n v="306"/>
    <d v="2025-03-14T00:00:00"/>
    <n v="1"/>
    <s v="LB"/>
    <s v="AE"/>
    <n v="57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1"/>
    <x v="1"/>
    <x v="0"/>
    <s v="POR ESTAR ACOMPAÑADA"/>
    <s v="LA SEGURIDAD DE UNO MISMO"/>
    <m/>
    <m/>
    <x v="0"/>
    <x v="1"/>
    <x v="2"/>
    <x v="1"/>
    <x v="0"/>
    <x v="2"/>
    <x v="2"/>
    <x v="1"/>
    <s v="E"/>
    <n v="0"/>
    <n v="0"/>
    <n v="0"/>
    <n v="0"/>
    <n v="1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0"/>
    <x v="3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3"/>
    <x v="0"/>
    <x v="0"/>
    <x v="0"/>
    <x v="3"/>
    <x v="1"/>
    <s v="QUITAR LOS PUESTOS DE COMIDA POR LA SUCIEDAD"/>
    <x v="1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BIEM"/>
    <s v="CONFORT"/>
    <s v="CONTROLAR LOS TRABAJOS DEL PARQUE"/>
    <n v="82920042"/>
    <s v="04533a7e-a3c5-4ff7-b529-980eb3b72567"/>
    <d v="2025-04-05T23:56:04"/>
    <m/>
    <m/>
    <s v="submitted_via_web"/>
    <m/>
    <s v="vhGz9QPwmdkBybuGFUbzwe"/>
    <m/>
    <n v="193"/>
  </r>
  <r>
    <d v="2025-04-05T18:33:07"/>
    <d v="2025-04-05T18:47:22"/>
    <s v="GR"/>
    <n v="307"/>
    <d v="2025-03-14T00:00:00"/>
    <n v="1"/>
    <s v="LB"/>
    <s v="AE"/>
    <n v="45"/>
    <x v="2"/>
    <s v="2. Semanal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1"/>
    <s v="3. Caminos de ciclismo 7. Áreas verdes"/>
    <x v="0"/>
    <x v="0"/>
    <x v="1"/>
    <x v="1"/>
    <x v="0"/>
    <x v="1"/>
    <x v="0"/>
    <m/>
    <x v="0"/>
    <x v="0"/>
    <x v="0"/>
    <s v="ILUMINACION A MEJORADO"/>
    <s v="PRESENCIA DE SEGURIDAD"/>
    <m/>
    <m/>
    <x v="0"/>
    <x v="2"/>
    <x v="2"/>
    <x v="1"/>
    <x v="4"/>
    <x v="3"/>
    <x v="4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1"/>
    <x v="1"/>
    <x v="0"/>
    <x v="0"/>
    <x v="0"/>
    <x v="0"/>
    <m/>
    <s v="DISFRUTA LA NATURALEZA"/>
    <s v="HACER DEPORTE"/>
    <m/>
    <n v="82919879"/>
    <s v="f6b1d478-648d-44f6-8df4-d8b09b8a363d"/>
    <d v="2025-04-05T23:47:17"/>
    <m/>
    <m/>
    <s v="submitted_via_web"/>
    <m/>
    <s v="vhGz9QPwmdkBybuGFUbzwe"/>
    <m/>
    <n v="192"/>
  </r>
  <r>
    <d v="2025-04-10T12:42:39"/>
    <d v="2025-04-10T14:07:00"/>
    <s v="GH"/>
    <n v="308"/>
    <d v="2025-03-14T00:00:00"/>
    <n v="1"/>
    <s v="LB"/>
    <m/>
    <n v="65"/>
    <x v="1"/>
    <s v="1. Diariamente"/>
    <n v="0"/>
    <n v="0"/>
    <n v="0"/>
    <n v="0"/>
    <n v="0"/>
    <x v="1"/>
    <s v="1. Sí"/>
    <m/>
    <s v="6. Mestiza(o)"/>
    <m/>
    <x v="3"/>
    <s v="1. Completa"/>
    <s v="3. Es jubilada/o o pensionista/o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1"/>
    <s v="MUCHOS VENEZOLANOS TRAE INSEGURIDAD"/>
    <s v="MUY POCA PRESENCIA DE POLICIAS"/>
    <m/>
    <m/>
    <x v="1"/>
    <x v="1"/>
    <x v="1"/>
    <x v="2"/>
    <x v="1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0"/>
    <x v="0"/>
    <x v="0"/>
    <x v="1"/>
    <x v="2"/>
    <x v="1"/>
    <x v="1"/>
    <x v="0"/>
    <x v="0"/>
    <x v="0"/>
    <x v="0"/>
    <x v="1"/>
    <s v="MUCHOS ALUMNOS DE COLEGIO SE QUEDAN EN EL PARQUE"/>
    <x v="2"/>
    <x v="0"/>
    <x v="2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0"/>
    <x v="0"/>
    <x v="0"/>
    <x v="1"/>
    <x v="2"/>
    <x v="0"/>
    <x v="1"/>
    <x v="2"/>
    <x v="0"/>
    <x v="0"/>
    <x v="0"/>
    <x v="0"/>
    <x v="0"/>
    <x v="0"/>
    <x v="0"/>
    <x v="0"/>
    <x v="0"/>
    <x v="0"/>
    <m/>
    <s v="ALEGRIA"/>
    <s v="PAZ"/>
    <m/>
    <n v="83434175"/>
    <s v="6d4a4e74-4289-4a8d-b6c7-4f863cd67deb"/>
    <d v="2025-04-10T19:07:00"/>
    <m/>
    <m/>
    <s v="submitted_via_web"/>
    <m/>
    <s v="v5uNQoYdGp6CCoWUMSjVDf"/>
    <m/>
    <n v="450"/>
  </r>
  <r>
    <d v="2025-04-10T14:07:00"/>
    <d v="2025-04-10T14:11:32"/>
    <s v="GH"/>
    <n v="309"/>
    <d v="2025-03-14T00:00:00"/>
    <n v="1"/>
    <s v="LB"/>
    <s v="AE"/>
    <n v="59"/>
    <x v="1"/>
    <s v="1. Diaria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SIEMPRE VISUALIZA A POLICIAS"/>
    <s v="TAMBIEN CUENTA CON GUARDIANIA"/>
    <m/>
    <m/>
    <x v="0"/>
    <x v="2"/>
    <x v="1"/>
    <x v="2"/>
    <x v="0"/>
    <x v="2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0"/>
    <x v="1"/>
    <x v="2"/>
    <x v="0"/>
    <x v="0"/>
    <x v="0"/>
    <x v="3"/>
    <x v="1"/>
    <x v="2"/>
    <x v="0"/>
    <x v="0"/>
    <x v="1"/>
    <x v="2"/>
    <x v="0"/>
    <x v="0"/>
    <x v="0"/>
    <x v="0"/>
    <x v="1"/>
    <x v="2"/>
    <x v="0"/>
    <x v="0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TRANQUILIDAD"/>
    <s v="RELAJACIÓN"/>
    <m/>
    <n v="83434391"/>
    <s v="2a7c1917-5e12-46f8-b9ab-f87c0d834d13"/>
    <d v="2025-04-10T19:11:31"/>
    <m/>
    <m/>
    <s v="submitted_via_web"/>
    <m/>
    <s v="v5uNQoYdGp6CCoWUMSjVDf"/>
    <m/>
    <n v="451"/>
  </r>
  <r>
    <d v="2025-04-05T18:27:27"/>
    <d v="2025-04-05T18:33:07"/>
    <s v="GR"/>
    <n v="310"/>
    <d v="2025-03-14T00:00:00"/>
    <n v="1"/>
    <s v="LB"/>
    <s v="AE"/>
    <n v="40"/>
    <x v="0"/>
    <s v="1. Diariamente"/>
    <n v="0"/>
    <n v="0"/>
    <n v="0"/>
    <n v="0"/>
    <n v="0"/>
    <x v="1"/>
    <s v="1. Sí"/>
    <m/>
    <s v="6. Mestiza(o)"/>
    <m/>
    <x v="0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2"/>
    <x v="1"/>
    <s v="INTENTO DE ROBO"/>
    <s v="MUCHAS MOTOCICLETAS EN EL SECTOR"/>
    <m/>
    <m/>
    <x v="1"/>
    <x v="1"/>
    <x v="1"/>
    <x v="2"/>
    <x v="0"/>
    <x v="3"/>
    <x v="4"/>
    <x v="0"/>
    <s v="D"/>
    <n v="0"/>
    <n v="0"/>
    <n v="0"/>
    <n v="1"/>
    <n v="0"/>
    <n v="0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0"/>
    <x v="2"/>
    <x v="1"/>
    <x v="1"/>
    <x v="1"/>
    <x v="3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FALTA PRESENCIA POLICIAL"/>
    <s v="FALTA BASUREROS"/>
    <m/>
    <n v="82919566"/>
    <s v="6196f5ea-31ee-4783-ab91-46c699875f3f"/>
    <d v="2025-04-05T23:33:01"/>
    <m/>
    <m/>
    <s v="submitted_via_web"/>
    <m/>
    <s v="vhGz9QPwmdkBybuGFUbzwe"/>
    <m/>
    <n v="191"/>
  </r>
  <r>
    <d v="2025-04-05T13:19:06"/>
    <d v="2025-04-05T18:27:27"/>
    <s v="GR"/>
    <n v="311"/>
    <d v="2025-03-14T00:00:00"/>
    <n v="1"/>
    <s v="LB"/>
    <s v="AE"/>
    <n v="55"/>
    <x v="2"/>
    <s v="2. Semanalmente"/>
    <n v="0"/>
    <n v="0"/>
    <n v="0"/>
    <n v="0"/>
    <n v="0"/>
    <x v="1"/>
    <s v="1. Sí"/>
    <m/>
    <s v="6. Mestiza(o)"/>
    <m/>
    <x v="1"/>
    <s v="1. 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1"/>
    <s v="2. Rampas para patineta"/>
    <x v="0"/>
    <x v="1"/>
    <x v="0"/>
    <x v="1"/>
    <x v="0"/>
    <x v="0"/>
    <x v="0"/>
    <m/>
    <x v="1"/>
    <x v="2"/>
    <x v="0"/>
    <s v="PRESENCIA DE POLICIA NACIONAL EN CABALLOS"/>
    <s v="EXISTE GUARDIAS EN EL PARQUE"/>
    <m/>
    <m/>
    <x v="1"/>
    <x v="1"/>
    <x v="1"/>
    <x v="2"/>
    <x v="0"/>
    <x v="2"/>
    <x v="2"/>
    <x v="1"/>
    <s v="D"/>
    <n v="0"/>
    <n v="0"/>
    <n v="0"/>
    <n v="1"/>
    <n v="0"/>
    <n v="0"/>
    <n v="0"/>
    <n v="0"/>
    <n v="0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2"/>
    <x v="0"/>
    <x v="0"/>
    <x v="0"/>
    <x v="0"/>
    <x v="0"/>
    <x v="0"/>
    <x v="0"/>
    <m/>
    <s v="FELICIDAD"/>
    <s v="TRANQUILIDADs"/>
    <s v="SIN PREOCUPACIONES"/>
    <n v="82919453"/>
    <s v="22fad28a-864f-44e8-920d-674b84d7fe78"/>
    <d v="2025-04-05T23:27:21"/>
    <m/>
    <m/>
    <s v="submitted_via_web"/>
    <m/>
    <s v="vhGz9QPwmdkBybuGFUbzwe"/>
    <m/>
    <n v="190"/>
  </r>
  <r>
    <d v="2025-04-05T13:12:44"/>
    <d v="2025-04-05T13:19:06"/>
    <s v="GR"/>
    <n v="312"/>
    <d v="2025-03-14T00:00:00"/>
    <n v="1"/>
    <s v="LB"/>
    <s v="AE"/>
    <n v="36"/>
    <x v="0"/>
    <s v="1. Diariamente"/>
    <n v="0"/>
    <n v="0"/>
    <n v="0"/>
    <n v="0"/>
    <n v="0"/>
    <x v="1"/>
    <s v="1. Sí"/>
    <m/>
    <s v="6. Mestiza(o)"/>
    <m/>
    <x v="2"/>
    <s v="1. Completa"/>
    <s v="1. Trabajar"/>
    <m/>
    <s v="3. de $920 a $1339"/>
    <s v="1. Deporte / ejercicio"/>
    <x v="0"/>
    <x v="0"/>
    <x v="0"/>
    <x v="0"/>
    <x v="0"/>
    <x v="0"/>
    <m/>
    <s v="3. Tarde (12:00 a 17:59)"/>
    <x v="0"/>
    <x v="1"/>
    <x v="1"/>
    <x v="0"/>
    <x v="1"/>
    <s v="4. Pistas para correr"/>
    <x v="0"/>
    <x v="0"/>
    <x v="0"/>
    <x v="0"/>
    <x v="0"/>
    <x v="0"/>
    <x v="0"/>
    <m/>
    <x v="0"/>
    <x v="0"/>
    <x v="0"/>
    <s v="AFLUENCIA DE GENTE"/>
    <s v="CONTROL POLICIA NACIONAL"/>
    <m/>
    <m/>
    <x v="1"/>
    <x v="1"/>
    <x v="1"/>
    <x v="1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1"/>
    <x v="3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HA MEJORADO EL ASPECTO DEL PARQUE"/>
    <s v="ILUMINADO TODO EL PARQUE"/>
    <m/>
    <n v="82910743"/>
    <s v="a7baf49f-1277-4156-af88-12c323689fe4"/>
    <d v="2025-04-05T18:19:01"/>
    <m/>
    <m/>
    <s v="submitted_via_web"/>
    <m/>
    <s v="vhGz9QPwmdkBybuGFUbzwe"/>
    <m/>
    <n v="161"/>
  </r>
  <r>
    <d v="2025-04-05T13:06:29"/>
    <d v="2025-04-05T13:12:44"/>
    <s v="GR"/>
    <n v="313"/>
    <d v="2025-03-14T00:00:00"/>
    <n v="1"/>
    <s v="LB"/>
    <s v="AE"/>
    <n v="21"/>
    <x v="3"/>
    <s v="2. Semanalmente"/>
    <n v="0"/>
    <n v="0"/>
    <n v="0"/>
    <n v="0"/>
    <n v="0"/>
    <x v="1"/>
    <s v="1. Sí"/>
    <m/>
    <s v="6. Mestiza(o)"/>
    <m/>
    <x v="3"/>
    <s v="1. Completa"/>
    <s v="4. Es estudiante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2. Rampas para patineta"/>
    <x v="0"/>
    <x v="1"/>
    <x v="0"/>
    <x v="1"/>
    <x v="0"/>
    <x v="0"/>
    <x v="0"/>
    <m/>
    <x v="1"/>
    <x v="2"/>
    <x v="1"/>
    <s v="NO ES MUY SEGUIDO LOS PATRULLAJES DE POLICIA"/>
    <s v="MUCHA MENDICIDAD"/>
    <m/>
    <m/>
    <x v="1"/>
    <x v="1"/>
    <x v="1"/>
    <x v="2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2"/>
    <x v="0"/>
    <x v="0"/>
    <x v="1"/>
    <x v="1"/>
    <x v="0"/>
    <x v="0"/>
    <x v="0"/>
    <x v="0"/>
    <x v="0"/>
    <x v="0"/>
    <x v="0"/>
    <x v="0"/>
    <x v="0"/>
    <x v="0"/>
    <x v="1"/>
    <x v="2"/>
    <x v="0"/>
    <x v="3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INSEGURIDAD"/>
    <s v="INCOMODIDAD POR LOS VENEZOLANOS"/>
    <m/>
    <n v="82910712"/>
    <s v="c3ded6a1-5032-4fdb-bc1b-9b5b46f096b7"/>
    <d v="2025-04-05T18:12:39"/>
    <m/>
    <m/>
    <s v="submitted_via_web"/>
    <m/>
    <s v="vhGz9QPwmdkBybuGFUbzwe"/>
    <m/>
    <n v="158"/>
  </r>
  <r>
    <d v="2025-04-05T12:58:04"/>
    <d v="2025-04-05T13:06:29"/>
    <s v="GR"/>
    <n v="314"/>
    <d v="2025-03-14T00:00:00"/>
    <n v="2"/>
    <s v="GP-CP"/>
    <s v="AMC"/>
    <n v="37"/>
    <x v="0"/>
    <s v="1. Diariamente"/>
    <n v="0"/>
    <n v="0"/>
    <n v="0"/>
    <n v="0"/>
    <n v="0"/>
    <x v="1"/>
    <s v="1. Sí"/>
    <m/>
    <s v="6. Mestiza(o)"/>
    <m/>
    <x v="5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2"/>
    <s v="3. Caminos de ciclismo 8. Otro."/>
    <x v="0"/>
    <x v="0"/>
    <x v="1"/>
    <x v="1"/>
    <x v="0"/>
    <x v="0"/>
    <x v="1"/>
    <s v="JUEGOS INFANTILES"/>
    <x v="1"/>
    <x v="1"/>
    <x v="1"/>
    <s v="LA DELINCUENCIA"/>
    <m/>
    <m/>
    <m/>
    <x v="1"/>
    <x v="2"/>
    <x v="2"/>
    <x v="2"/>
    <x v="0"/>
    <x v="2"/>
    <x v="1"/>
    <x v="2"/>
    <s v="D"/>
    <n v="0"/>
    <n v="0"/>
    <n v="0"/>
    <n v="1"/>
    <n v="0"/>
    <n v="0"/>
    <n v="0"/>
    <n v="0"/>
    <n v="0"/>
    <n v="0"/>
    <n v="0"/>
    <n v="0"/>
    <n v="0"/>
    <x v="2"/>
    <x v="1"/>
    <x v="2"/>
    <x v="0"/>
    <x v="1"/>
    <x v="7"/>
    <n v="1"/>
    <n v="0"/>
    <n v="0"/>
    <n v="0"/>
    <n v="0"/>
    <n v="0"/>
    <n v="0"/>
    <n v="0"/>
    <n v="0"/>
    <n v="0"/>
    <n v="1"/>
    <s v="LE DROGARON"/>
    <s v="2. No"/>
    <m/>
    <m/>
    <m/>
    <m/>
    <m/>
    <m/>
    <m/>
    <m/>
    <m/>
    <s v="2. No"/>
    <s v="7. Otra"/>
    <s v="ARRANCHAMIENTO"/>
    <m/>
    <m/>
    <m/>
    <m/>
    <m/>
    <m/>
    <m/>
    <m/>
    <m/>
    <m/>
    <m/>
    <m/>
    <m/>
    <m/>
    <m/>
    <m/>
    <m/>
    <m/>
    <s v="4. Sustancias"/>
    <m/>
    <m/>
    <x v="1"/>
    <x v="1"/>
    <x v="0"/>
    <x v="0"/>
    <x v="1"/>
    <x v="1"/>
    <x v="1"/>
    <x v="1"/>
    <x v="1"/>
    <x v="1"/>
    <x v="0"/>
    <x v="0"/>
    <x v="0"/>
    <x v="0"/>
    <x v="0"/>
    <x v="0"/>
    <x v="0"/>
    <x v="0"/>
    <x v="1"/>
    <x v="3"/>
    <x v="1"/>
    <x v="1"/>
    <x v="1"/>
    <x v="3"/>
    <x v="0"/>
    <x v="3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2"/>
    <x v="0"/>
    <x v="0"/>
    <x v="0"/>
    <x v="0"/>
    <x v="0"/>
    <x v="0"/>
    <m/>
    <s v="TRANQUILIDAD PORQUE SALE DE LO COTIDIANO"/>
    <s v="ALIVIO Y TRANQUILIDAD"/>
    <m/>
    <n v="82910653"/>
    <s v="3d6f1828-67ad-4179-9f32-24d37d095b13"/>
    <d v="2025-04-05T18:06:24"/>
    <m/>
    <m/>
    <s v="submitted_via_web"/>
    <m/>
    <s v="vhGz9QPwmdkBybuGFUbzwe"/>
    <m/>
    <n v="156"/>
  </r>
  <r>
    <d v="2025-04-05T12:51:37"/>
    <d v="2025-04-05T12:58:04"/>
    <s v="GR"/>
    <n v="315"/>
    <d v="2025-03-14T00:00:00"/>
    <n v="2"/>
    <s v="BP"/>
    <s v="AMC"/>
    <n v="31"/>
    <x v="0"/>
    <s v="3. al menos 2 veces al mes"/>
    <n v="3"/>
    <n v="0"/>
    <n v="0"/>
    <n v="0"/>
    <n v="0"/>
    <x v="1"/>
    <s v="1. Sí"/>
    <m/>
    <s v="6. Mestiza(o)"/>
    <m/>
    <x v="5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"/>
    <x v="1"/>
    <x v="0"/>
    <x v="0"/>
    <x v="1"/>
    <x v="0"/>
    <x v="0"/>
    <x v="0"/>
    <m/>
    <x v="1"/>
    <x v="1"/>
    <x v="1"/>
    <s v="HA VISTO DELINCUENTES EN EL PARQUE"/>
    <m/>
    <m/>
    <m/>
    <x v="1"/>
    <x v="2"/>
    <x v="1"/>
    <x v="0"/>
    <x v="4"/>
    <x v="4"/>
    <x v="2"/>
    <x v="1"/>
    <s v="I"/>
    <n v="0"/>
    <n v="0"/>
    <n v="0"/>
    <n v="0"/>
    <n v="0"/>
    <n v="0"/>
    <n v="0"/>
    <n v="0"/>
    <n v="1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0"/>
    <x v="0"/>
    <x v="0"/>
    <x v="1"/>
    <x v="2"/>
    <x v="0"/>
    <x v="1"/>
    <x v="2"/>
    <x v="0"/>
    <x v="1"/>
    <x v="2"/>
    <x v="0"/>
    <x v="0"/>
    <x v="0"/>
    <x v="0"/>
    <x v="0"/>
    <x v="0"/>
    <x v="0"/>
    <m/>
    <s v="EN LA ACTUALIDAD MAS SEGURA PORQUE HAY MAS POLICIAS"/>
    <m/>
    <m/>
    <n v="82910563"/>
    <s v="78c7581b-8e38-45df-9dd6-c5998a832c7d"/>
    <d v="2025-04-05T17:57:59"/>
    <m/>
    <m/>
    <s v="submitted_via_web"/>
    <m/>
    <s v="vhGz9QPwmdkBybuGFUbzwe"/>
    <m/>
    <n v="154"/>
  </r>
  <r>
    <d v="2025-04-05T12:35:40"/>
    <d v="2025-04-05T12:43:11"/>
    <s v="317"/>
    <n v="317"/>
    <d v="2025-03-15T00:00:00"/>
    <n v="2"/>
    <s v="JC"/>
    <s v="AMC"/>
    <n v="38"/>
    <x v="0"/>
    <s v="1. Diariamente"/>
    <n v="0"/>
    <n v="0"/>
    <n v="0"/>
    <n v="0"/>
    <n v="0"/>
    <x v="0"/>
    <s v="1. Sí"/>
    <m/>
    <s v="1. Indígena"/>
    <m/>
    <x v="3"/>
    <s v="1. Completa"/>
    <s v="7. Dueña/o de su propio negocio"/>
    <m/>
    <s v="5. más de $1840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1"/>
    <x v="2"/>
    <x v="0"/>
    <s v="PRESENCIA POLICIA NACIONAL"/>
    <s v="PRESENCIA POLICIA METROPOLITANA"/>
    <s v="AMC"/>
    <m/>
    <x v="1"/>
    <x v="1"/>
    <x v="1"/>
    <x v="2"/>
    <x v="1"/>
    <x v="2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FELIZ"/>
    <s v="TRANQUILIDAD"/>
    <m/>
    <n v="82910183"/>
    <s v="7a79290b-30ae-4260-b240-620ebb3ba8f6"/>
    <d v="2025-04-05T17:43:07"/>
    <m/>
    <m/>
    <s v="submitted_via_web"/>
    <m/>
    <s v="vhGz9QPwmdkBybuGFUbzwe"/>
    <m/>
    <n v="152"/>
  </r>
  <r>
    <d v="2025-04-05T12:28:15"/>
    <d v="2025-04-05T12:35:40"/>
    <s v="GR"/>
    <n v="318"/>
    <d v="2025-03-14T00:00:00"/>
    <n v="2"/>
    <s v="GP-CP"/>
    <s v="AMC"/>
    <n v="30"/>
    <x v="0"/>
    <s v="3. al menos 2 veces al mes"/>
    <n v="0"/>
    <n v="0"/>
    <n v="0"/>
    <n v="0"/>
    <n v="0"/>
    <x v="0"/>
    <s v="1. Sí"/>
    <m/>
    <s v="6. Mestiza(o)"/>
    <m/>
    <x v="0"/>
    <s v="2. Incompleta"/>
    <s v="1. Trabajar"/>
    <m/>
    <s v="1. Menos de $470"/>
    <s v="4. De paso"/>
    <x v="1"/>
    <x v="0"/>
    <x v="0"/>
    <x v="1"/>
    <x v="0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0"/>
    <x v="0"/>
    <x v="0"/>
    <s v="HAY PRECENCIA DE POLICIA"/>
    <s v="PASAN PATRULLAS EN MOTO DE GUARDIAS Y POLICIAS"/>
    <m/>
    <m/>
    <x v="4"/>
    <x v="1"/>
    <x v="2"/>
    <x v="1"/>
    <x v="0"/>
    <x v="3"/>
    <x v="1"/>
    <x v="0"/>
    <s v="L"/>
    <n v="0"/>
    <n v="0"/>
    <n v="0"/>
    <n v="0"/>
    <n v="0"/>
    <n v="0"/>
    <n v="0"/>
    <n v="0"/>
    <n v="0"/>
    <n v="0"/>
    <n v="0"/>
    <n v="1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2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0"/>
    <x v="0"/>
    <x v="0"/>
    <x v="0"/>
    <x v="2"/>
    <x v="2"/>
    <x v="0"/>
    <x v="0"/>
    <x v="0"/>
    <x v="0"/>
    <x v="0"/>
    <x v="0"/>
    <x v="1"/>
    <x v="1"/>
    <x v="0"/>
    <x v="1"/>
    <x v="2"/>
    <x v="0"/>
    <x v="1"/>
    <x v="2"/>
    <x v="0"/>
    <x v="1"/>
    <x v="1"/>
    <x v="2"/>
    <x v="1"/>
    <x v="1"/>
    <x v="0"/>
    <x v="0"/>
    <x v="0"/>
    <x v="0"/>
    <m/>
    <s v="TRANQUILIDAD"/>
    <m/>
    <m/>
    <n v="82910089"/>
    <s v="2bf03303-11cc-45ba-878f-4e52fc8c34f1"/>
    <d v="2025-04-05T17:35:35"/>
    <m/>
    <m/>
    <s v="submitted_via_web"/>
    <m/>
    <s v="vhGz9QPwmdkBybuGFUbzwe"/>
    <m/>
    <n v="151"/>
  </r>
  <r>
    <d v="2025-04-04T15:49:58"/>
    <d v="2025-04-04T15:56:22"/>
    <s v="GR"/>
    <n v="320"/>
    <d v="2025-03-14T00:00:00"/>
    <n v="2"/>
    <s v="GP-CP"/>
    <s v="AE"/>
    <n v="30"/>
    <x v="0"/>
    <s v="2. Semanalmente"/>
    <n v="2"/>
    <n v="0"/>
    <n v="0"/>
    <n v="0"/>
    <n v="0"/>
    <x v="0"/>
    <s v="1. Sí"/>
    <m/>
    <s v="6. Mestiza(o)"/>
    <m/>
    <x v="1"/>
    <s v="1. Completa"/>
    <s v="1. Trabajar"/>
    <m/>
    <s v="1. Menos de $470"/>
    <s v="4. De paso 5. Recreación/Ocio"/>
    <x v="1"/>
    <x v="0"/>
    <x v="0"/>
    <x v="1"/>
    <x v="1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0"/>
    <s v="NO LE HA PASADO NADA"/>
    <m/>
    <m/>
    <m/>
    <x v="1"/>
    <x v="1"/>
    <x v="1"/>
    <x v="1"/>
    <x v="0"/>
    <x v="3"/>
    <x v="1"/>
    <x v="2"/>
    <s v="E"/>
    <n v="0"/>
    <n v="0"/>
    <n v="0"/>
    <n v="0"/>
    <n v="1"/>
    <n v="0"/>
    <n v="0"/>
    <n v="0"/>
    <n v="0"/>
    <n v="0"/>
    <n v="0"/>
    <n v="0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1"/>
    <x v="1"/>
    <x v="0"/>
    <x v="0"/>
    <x v="0"/>
    <x v="0"/>
    <x v="0"/>
    <x v="2"/>
    <x v="1"/>
    <x v="1"/>
    <x v="0"/>
    <x v="0"/>
    <x v="1"/>
    <x v="3"/>
    <x v="0"/>
    <x v="0"/>
    <x v="1"/>
    <x v="2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1"/>
    <x v="2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IDAD"/>
    <m/>
    <m/>
    <n v="82871101"/>
    <s v="f3926202-3e58-4144-a28c-fc8c741f4b06"/>
    <d v="2025-04-04T20:56:14"/>
    <m/>
    <m/>
    <s v="submitted_via_web"/>
    <m/>
    <s v="vhGz9QPwmdkBybuGFUbzwe"/>
    <m/>
    <n v="149"/>
  </r>
  <r>
    <d v="2025-04-07T00:25:17"/>
    <d v="2025-04-07T00:30:59"/>
    <s v="AE"/>
    <n v="321"/>
    <d v="2025-03-15T00:00:00"/>
    <n v="2"/>
    <s v="GB-CE"/>
    <s v="AMC"/>
    <n v="29"/>
    <x v="0"/>
    <s v="2. Semanalmente"/>
    <n v="1"/>
    <n v="0"/>
    <n v="0"/>
    <n v="0"/>
    <n v="0"/>
    <x v="0"/>
    <s v="1. Sí"/>
    <m/>
    <s v="6. Mestiza(o)"/>
    <m/>
    <x v="1"/>
    <s v="1. Completa"/>
    <s v="4. Es estudiante"/>
    <m/>
    <s v="2. de $471 a $919"/>
    <s v="4. De paso"/>
    <x v="1"/>
    <x v="0"/>
    <x v="0"/>
    <x v="1"/>
    <x v="0"/>
    <x v="0"/>
    <m/>
    <s v="3. Tarde (12:00 a 17:59)"/>
    <x v="0"/>
    <x v="1"/>
    <x v="1"/>
    <x v="0"/>
    <x v="1"/>
    <s v="1. Canchas de fútbol y basquet"/>
    <x v="1"/>
    <x v="0"/>
    <x v="0"/>
    <x v="1"/>
    <x v="0"/>
    <x v="0"/>
    <x v="0"/>
    <m/>
    <x v="0"/>
    <x v="0"/>
    <x v="0"/>
    <s v="POLICIA NACIONAL"/>
    <s v="AMIGOS COMPAÑIA"/>
    <m/>
    <m/>
    <x v="1"/>
    <x v="2"/>
    <x v="1"/>
    <x v="2"/>
    <x v="1"/>
    <x v="2"/>
    <x v="2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O"/>
    <s v="RELAJADO"/>
    <m/>
    <n v="83004201"/>
    <s v="fa813da5-fdeb-4bff-ade2-9d58f5a5ac81"/>
    <d v="2025-04-07T05:31:00"/>
    <m/>
    <m/>
    <s v="submitted_via_web"/>
    <m/>
    <s v="vhGz9QPwmdkBybuGFUbzwe"/>
    <m/>
    <n v="319"/>
  </r>
  <r>
    <d v="2025-04-10T16:23:27"/>
    <d v="2025-04-10T16:27:32"/>
    <s v="OM"/>
    <n v="322"/>
    <d v="2025-03-14T00:00:00"/>
    <n v="2"/>
    <s v="CE"/>
    <s v="AMC"/>
    <n v="77"/>
    <x v="1"/>
    <s v="2. Semanalmente"/>
    <n v="3"/>
    <n v="0"/>
    <n v="0"/>
    <n v="0"/>
    <n v="0"/>
    <x v="0"/>
    <s v="1. Sí"/>
    <m/>
    <s v="7. Blanca(o)"/>
    <m/>
    <x v="0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0"/>
    <x v="0"/>
    <x v="2"/>
    <s v="SI HA VISTO POLICÍA NACIONAL"/>
    <m/>
    <m/>
    <m/>
    <x v="4"/>
    <x v="0"/>
    <x v="0"/>
    <x v="0"/>
    <x v="2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1"/>
    <x v="1"/>
    <x v="0"/>
    <x v="0"/>
    <x v="0"/>
    <x v="0"/>
    <x v="1"/>
    <x v="1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SE SIENTE FELIZ PORQUE HAY UN LUGAR SEGURO PARA CAMINAR"/>
    <m/>
    <m/>
    <n v="83443662"/>
    <s v="3611e2ac-cb5d-44b5-b078-85e67e4bd967"/>
    <d v="2025-04-10T21:27:25"/>
    <m/>
    <m/>
    <s v="submitted_via_web"/>
    <m/>
    <s v="v5uNQoYdGp6CCoWUMSjVDf"/>
    <m/>
    <n v="464"/>
  </r>
  <r>
    <d v="2025-04-11T08:05:52"/>
    <d v="2025-04-11T08:10:14"/>
    <s v="OM"/>
    <n v="323"/>
    <d v="2025-03-14T00:00:00"/>
    <n v="2"/>
    <s v="BP"/>
    <s v="AMC"/>
    <n v="69"/>
    <x v="1"/>
    <s v="3. al menos 2 veces al mes"/>
    <n v="1"/>
    <n v="0"/>
    <n v="0"/>
    <n v="0"/>
    <n v="0"/>
    <x v="1"/>
    <s v="1. Sí"/>
    <m/>
    <s v="6. Mestiza(o)"/>
    <m/>
    <x v="1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 7. Áreas verdes"/>
    <x v="0"/>
    <x v="0"/>
    <x v="0"/>
    <x v="0"/>
    <x v="0"/>
    <x v="1"/>
    <x v="0"/>
    <m/>
    <x v="1"/>
    <x v="1"/>
    <x v="0"/>
    <s v="HA VISTO A POLOCÍA NACIONAL"/>
    <m/>
    <m/>
    <m/>
    <x v="4"/>
    <x v="0"/>
    <x v="0"/>
    <x v="5"/>
    <x v="0"/>
    <x v="4"/>
    <x v="1"/>
    <x v="1"/>
    <s v="C"/>
    <n v="0"/>
    <n v="0"/>
    <n v="1"/>
    <n v="0"/>
    <n v="0"/>
    <n v="0"/>
    <n v="0"/>
    <n v="0"/>
    <n v="0"/>
    <n v="0"/>
    <n v="0"/>
    <n v="0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0"/>
    <x v="0"/>
    <x v="0"/>
    <x v="0"/>
    <x v="0"/>
    <x v="0"/>
    <x v="0"/>
    <x v="0"/>
    <x v="1"/>
    <x v="2"/>
    <x v="1"/>
    <x v="2"/>
    <x v="0"/>
    <x v="0"/>
    <x v="0"/>
    <x v="0"/>
    <x v="0"/>
    <x v="0"/>
    <x v="0"/>
    <x v="1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UN POCO INSEGURA PERO LE GUSTA CAMINAR EN EL PARQUE"/>
    <m/>
    <m/>
    <n v="83510056"/>
    <s v="e1ffa8e3-fe42-4ba6-82cd-e48818ac7495"/>
    <d v="2025-04-11T13:10:15"/>
    <m/>
    <m/>
    <s v="submitted_via_web"/>
    <m/>
    <s v="v5uNQoYdGp6CCoWUMSjVDf"/>
    <m/>
    <n v="469"/>
  </r>
  <r>
    <d v="2025-04-11T08:10:14"/>
    <d v="2025-04-11T08:25:08"/>
    <s v="OM"/>
    <n v="324"/>
    <d v="2025-03-14T00:00:00"/>
    <n v="2"/>
    <s v="GB-CP"/>
    <s v="AMC"/>
    <n v="39"/>
    <x v="0"/>
    <s v="1. Diariamente"/>
    <n v="2"/>
    <n v="0"/>
    <n v="0"/>
    <n v="0"/>
    <n v="0"/>
    <x v="0"/>
    <s v="2. No"/>
    <s v="VENEZOLANA"/>
    <s v="7. Blanca(o)"/>
    <m/>
    <x v="2"/>
    <s v="1. Completa"/>
    <s v="1. Trabajar"/>
    <m/>
    <s v="2. de $471 a $919"/>
    <s v="1. Deporte / ejercicio"/>
    <x v="0"/>
    <x v="0"/>
    <x v="0"/>
    <x v="0"/>
    <x v="0"/>
    <x v="0"/>
    <m/>
    <s v="1. Madrugada (00:00 a 05:59) 2. Mañana  (06:00 a 11:59) 3. Tarde (12:00 a 17:59) 4. Noche  (18:00 a 23:59)"/>
    <x v="1"/>
    <x v="0"/>
    <x v="1"/>
    <x v="1"/>
    <x v="3"/>
    <s v="3. Caminos de ciclismo 4. Pistas para correr"/>
    <x v="0"/>
    <x v="0"/>
    <x v="1"/>
    <x v="0"/>
    <x v="0"/>
    <x v="0"/>
    <x v="0"/>
    <m/>
    <x v="1"/>
    <x v="1"/>
    <x v="3"/>
    <s v="POCA PRESENCIA POLICIAL PARA NIÑOS ADULTOS Y MUJERES"/>
    <s v="FALTAN MILITARES"/>
    <m/>
    <m/>
    <x v="2"/>
    <x v="1"/>
    <x v="1"/>
    <x v="0"/>
    <x v="2"/>
    <x v="2"/>
    <x v="2"/>
    <x v="1"/>
    <s v="B F L"/>
    <n v="0"/>
    <n v="1"/>
    <n v="0"/>
    <n v="0"/>
    <n v="0"/>
    <n v="1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2"/>
    <x v="1"/>
    <x v="3"/>
    <x v="0"/>
    <x v="2"/>
    <x v="1"/>
    <x v="3"/>
    <x v="1"/>
    <x v="2"/>
    <x v="0"/>
    <x v="3"/>
    <x v="1"/>
    <x v="2"/>
    <x v="1"/>
    <x v="2"/>
    <x v="1"/>
    <x v="3"/>
    <x v="1"/>
    <x v="3"/>
    <x v="1"/>
    <x v="2"/>
    <x v="0"/>
    <x v="1"/>
    <x v="0"/>
    <x v="3"/>
    <x v="0"/>
    <x v="0"/>
    <x v="0"/>
    <x v="2"/>
    <x v="0"/>
    <m/>
    <x v="0"/>
    <x v="0"/>
    <x v="3"/>
    <x v="1"/>
    <x v="1"/>
    <s v="1. De fuego"/>
    <x v="2"/>
    <x v="2"/>
    <x v="1"/>
    <x v="1"/>
    <x v="1"/>
    <m/>
    <x v="2"/>
    <m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2"/>
    <x v="0"/>
    <x v="1"/>
    <x v="1"/>
    <x v="0"/>
    <x v="0"/>
    <x v="0"/>
    <x v="0"/>
    <m/>
    <s v="NO SE SIENTE TAN INSEGURO, PERO PUEDE MEJORAR LA SEGURIDAD"/>
    <s v="EN LOS PUNTOS SIN ILUMINACIÓN SE SIENTE INSEGURO"/>
    <s v="SIENTE DESCONFIANZA"/>
    <n v="83511052"/>
    <s v="ad48e8ca-2410-4fe1-8d94-d1810b1eb389"/>
    <d v="2025-04-11T13:25:09"/>
    <m/>
    <m/>
    <s v="submitted_via_web"/>
    <m/>
    <s v="v5uNQoYdGp6CCoWUMSjVDf"/>
    <m/>
    <n v="470"/>
  </r>
  <r>
    <d v="2025-04-07T00:20:51"/>
    <d v="2025-04-07T00:25:17"/>
    <s v="AE"/>
    <n v="325"/>
    <d v="2025-03-14T00:00:00"/>
    <n v="2"/>
    <s v="GP-CE"/>
    <s v="AMC"/>
    <n v="61"/>
    <x v="1"/>
    <s v="3. al menos 2 veces al mes"/>
    <n v="0"/>
    <n v="0"/>
    <n v="0"/>
    <n v="0"/>
    <n v="0"/>
    <x v="0"/>
    <s v="1. Sí"/>
    <m/>
    <s v="6. Mestiza(o)"/>
    <m/>
    <x v="1"/>
    <s v="1. Completa"/>
    <s v="8. Otro"/>
    <s v="INDEPENDIENTE"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1"/>
    <x v="1"/>
    <x v="0"/>
    <s v="HAY GENTE"/>
    <s v="POLICIA NACIONAL"/>
    <s v="NO IR POR SITIOS DESOLADOS"/>
    <m/>
    <x v="1"/>
    <x v="1"/>
    <x v="1"/>
    <x v="2"/>
    <x v="0"/>
    <x v="2"/>
    <x v="1"/>
    <x v="2"/>
    <s v="K"/>
    <n v="0"/>
    <n v="0"/>
    <n v="0"/>
    <n v="0"/>
    <n v="0"/>
    <n v="0"/>
    <n v="0"/>
    <n v="0"/>
    <n v="0"/>
    <n v="0"/>
    <n v="1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1"/>
    <x v="2"/>
    <x v="0"/>
    <x v="0"/>
    <x v="0"/>
    <x v="3"/>
    <x v="1"/>
    <x v="3"/>
    <x v="0"/>
    <x v="0"/>
    <x v="0"/>
    <x v="0"/>
    <x v="0"/>
    <x v="0"/>
    <x v="0"/>
    <x v="0"/>
    <x v="1"/>
    <x v="2"/>
    <x v="0"/>
    <x v="2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0"/>
    <x v="0"/>
    <x v="0"/>
    <x v="0"/>
    <x v="0"/>
    <x v="0"/>
    <x v="1"/>
    <x v="2"/>
    <x v="0"/>
    <x v="1"/>
    <x v="2"/>
    <x v="0"/>
    <x v="0"/>
    <x v="0"/>
    <x v="0"/>
    <x v="1"/>
    <x v="1"/>
    <x v="0"/>
    <m/>
    <s v="SEGURO"/>
    <s v="FELIZ"/>
    <m/>
    <n v="83003701"/>
    <s v="8deae680-5e25-444a-aec7-a6447c0a95ac"/>
    <d v="2025-04-07T05:25:18"/>
    <m/>
    <m/>
    <s v="submitted_via_web"/>
    <m/>
    <s v="vhGz9QPwmdkBybuGFUbzwe"/>
    <m/>
    <n v="318"/>
  </r>
  <r>
    <d v="2025-04-07T00:17:12"/>
    <d v="2025-04-07T00:20:51"/>
    <s v="AE"/>
    <n v="326"/>
    <d v="2025-03-14T00:00:00"/>
    <n v="2"/>
    <s v="BP"/>
    <s v="AMC"/>
    <n v="72"/>
    <x v="1"/>
    <s v="3. al menos 2 veces al mes"/>
    <n v="0"/>
    <n v="0"/>
    <n v="0"/>
    <n v="0"/>
    <n v="0"/>
    <x v="0"/>
    <s v="1. Sí"/>
    <m/>
    <s v="6. Mestiza(o)"/>
    <m/>
    <x v="0"/>
    <s v="2. Incompleta"/>
    <s v="3. Es jubilada/o o pensionista/o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2"/>
    <s v="HABIDO RONDAS DE POLICIAS A CABALLO"/>
    <m/>
    <m/>
    <m/>
    <x v="4"/>
    <x v="2"/>
    <x v="1"/>
    <x v="0"/>
    <x v="2"/>
    <x v="0"/>
    <x v="0"/>
    <x v="1"/>
    <s v="C"/>
    <n v="0"/>
    <n v="0"/>
    <n v="1"/>
    <n v="0"/>
    <n v="0"/>
    <n v="0"/>
    <n v="0"/>
    <n v="0"/>
    <n v="0"/>
    <n v="0"/>
    <n v="0"/>
    <n v="0"/>
    <n v="0"/>
    <x v="3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MUY BIEN SIN NOVEDADES"/>
    <s v="ESPERA NUNCA TENER PROBLEMAS"/>
    <m/>
    <n v="83003316"/>
    <s v="e65e5352-d2a4-4620-8c2a-4e87ea6e6d48"/>
    <d v="2025-04-07T05:20:51"/>
    <m/>
    <m/>
    <s v="submitted_via_web"/>
    <m/>
    <s v="vhGz9QPwmdkBybuGFUbzwe"/>
    <m/>
    <n v="317"/>
  </r>
  <r>
    <d v="2025-04-07T00:07:53"/>
    <d v="2025-04-07T00:12:55"/>
    <s v="AE"/>
    <n v="328"/>
    <d v="2025-03-14T00:00:00"/>
    <n v="2"/>
    <s v="GP-CE"/>
    <s v="AMC"/>
    <n v="25"/>
    <x v="3"/>
    <s v="1. Diariamente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3. Tarde (12:00 a 17:59) 4. Noche  (18:00 a 23:59)"/>
    <x v="0"/>
    <x v="1"/>
    <x v="1"/>
    <x v="1"/>
    <x v="2"/>
    <s v="8. Otro."/>
    <x v="0"/>
    <x v="0"/>
    <x v="0"/>
    <x v="1"/>
    <x v="0"/>
    <x v="0"/>
    <x v="1"/>
    <s v="VOLEY"/>
    <x v="1"/>
    <x v="1"/>
    <x v="0"/>
    <s v="POLICIA NACIONAL"/>
    <s v="GUARDABOSQUES"/>
    <m/>
    <m/>
    <x v="0"/>
    <x v="3"/>
    <x v="1"/>
    <x v="1"/>
    <x v="0"/>
    <x v="3"/>
    <x v="2"/>
    <x v="0"/>
    <s v="L"/>
    <n v="0"/>
    <n v="0"/>
    <n v="0"/>
    <n v="0"/>
    <n v="0"/>
    <n v="0"/>
    <n v="0"/>
    <n v="0"/>
    <n v="0"/>
    <n v="0"/>
    <n v="0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1"/>
    <x v="2"/>
    <x v="1"/>
    <x v="1"/>
    <x v="0"/>
    <x v="0"/>
    <x v="1"/>
    <x v="3"/>
    <x v="0"/>
    <x v="0"/>
    <x v="0"/>
    <x v="0"/>
    <x v="0"/>
    <x v="0"/>
    <x v="1"/>
    <x v="3"/>
    <x v="1"/>
    <x v="2"/>
    <x v="1"/>
    <x v="1"/>
    <x v="0"/>
    <x v="0"/>
    <x v="0"/>
    <x v="0"/>
    <x v="0"/>
    <m/>
    <x v="0"/>
    <x v="0"/>
    <x v="3"/>
    <x v="0"/>
    <x v="1"/>
    <s v="2. Blanca"/>
    <x v="1"/>
    <x v="1"/>
    <x v="1"/>
    <x v="1"/>
    <x v="1"/>
    <m/>
    <x v="1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1"/>
    <x v="1"/>
    <x v="2"/>
    <x v="1"/>
    <x v="1"/>
    <x v="1"/>
    <x v="1"/>
    <x v="2"/>
    <x v="1"/>
    <x v="1"/>
    <x v="2"/>
    <x v="2"/>
    <m/>
    <s v="TRANQUILO"/>
    <s v="SEGURO"/>
    <s v="PAZ"/>
    <n v="83002415"/>
    <s v="a4fe56a3-20ce-40e1-aadf-d2810c3a9081"/>
    <d v="2025-04-07T05:12:56"/>
    <m/>
    <m/>
    <s v="submitted_via_web"/>
    <m/>
    <s v="vhGz9QPwmdkBybuGFUbzwe"/>
    <m/>
    <n v="315"/>
  </r>
  <r>
    <d v="2025-04-06T23:58:29"/>
    <d v="2025-04-07T00:02:51"/>
    <s v="AE"/>
    <n v="330"/>
    <d v="2025-03-14T00:00:00"/>
    <n v="2"/>
    <s v="BP"/>
    <s v="AMC"/>
    <n v="40"/>
    <x v="0"/>
    <s v="2. Semanalmente"/>
    <n v="1"/>
    <n v="0"/>
    <n v="0"/>
    <n v="0"/>
    <n v="0"/>
    <x v="1"/>
    <s v="1. Sí"/>
    <m/>
    <s v="6. Mestiza(o)"/>
    <m/>
    <x v="1"/>
    <s v="1. Completa"/>
    <s v="7. Dueña/o de su propio negoci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1"/>
    <x v="1"/>
    <x v="1"/>
    <s v="PORQUE HA VISTO QUE ASALTAN"/>
    <m/>
    <m/>
    <m/>
    <x v="2"/>
    <x v="2"/>
    <x v="5"/>
    <x v="1"/>
    <x v="0"/>
    <x v="3"/>
    <x v="1"/>
    <x v="2"/>
    <s v="F"/>
    <n v="0"/>
    <n v="0"/>
    <n v="0"/>
    <n v="0"/>
    <n v="0"/>
    <n v="1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0"/>
    <x v="1"/>
    <x v="1"/>
    <x v="1"/>
    <x v="1"/>
    <x v="1"/>
    <x v="0"/>
    <x v="0"/>
    <x v="0"/>
    <x v="0"/>
    <x v="0"/>
    <x v="0"/>
    <x v="0"/>
    <x v="0"/>
    <x v="0"/>
    <m/>
    <s v="EN LA MAÑANA SE SIENTE SEGURO"/>
    <s v="EN LA NOCHE YA NO"/>
    <m/>
    <n v="83001633"/>
    <s v="c7a9a200-bbc8-4e65-bf7c-b4fea94823b3"/>
    <d v="2025-04-07T05:02:51"/>
    <m/>
    <m/>
    <s v="submitted_via_web"/>
    <m/>
    <s v="vhGz9QPwmdkBybuGFUbzwe"/>
    <m/>
    <n v="313"/>
  </r>
  <r>
    <d v="2025-04-06T23:53:36"/>
    <d v="2025-04-06T23:58:29"/>
    <s v="AE"/>
    <n v="331"/>
    <d v="2025-03-14T00:00:00"/>
    <n v="2"/>
    <s v="GP-CP"/>
    <s v="AMC"/>
    <n v="48"/>
    <x v="2"/>
    <s v="1. Diariamente"/>
    <n v="4"/>
    <n v="0"/>
    <n v="0"/>
    <n v="0"/>
    <n v="0"/>
    <x v="0"/>
    <s v="1. Sí"/>
    <m/>
    <s v="6. Mestiza(o)"/>
    <m/>
    <x v="0"/>
    <s v="1. Completa"/>
    <s v="8. Otro"/>
    <s v="MISIONERO"/>
    <s v="1. Menos de $470"/>
    <s v="4. De paso"/>
    <x v="1"/>
    <x v="0"/>
    <x v="0"/>
    <x v="1"/>
    <x v="0"/>
    <x v="0"/>
    <m/>
    <s v="2. Mañana  (06:00 a 11:59) 3. Tarde (12:00 a 17:59)"/>
    <x v="0"/>
    <x v="0"/>
    <x v="1"/>
    <x v="0"/>
    <x v="1"/>
    <s v="3. Caminos de ciclismo"/>
    <x v="0"/>
    <x v="0"/>
    <x v="1"/>
    <x v="1"/>
    <x v="0"/>
    <x v="0"/>
    <x v="0"/>
    <m/>
    <x v="1"/>
    <x v="1"/>
    <x v="1"/>
    <s v="INSEGURO POR EXPENDIO DE DROGAS"/>
    <m/>
    <m/>
    <m/>
    <x v="1"/>
    <x v="2"/>
    <x v="2"/>
    <x v="3"/>
    <x v="3"/>
    <x v="2"/>
    <x v="0"/>
    <x v="0"/>
    <s v="F"/>
    <n v="0"/>
    <n v="0"/>
    <n v="0"/>
    <n v="0"/>
    <n v="0"/>
    <n v="1"/>
    <n v="0"/>
    <n v="0"/>
    <n v="0"/>
    <n v="0"/>
    <n v="0"/>
    <n v="0"/>
    <n v="0"/>
    <x v="2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0"/>
    <x v="0"/>
    <x v="1"/>
    <x v="1"/>
    <x v="0"/>
    <x v="0"/>
    <x v="0"/>
    <x v="0"/>
    <x v="0"/>
    <x v="2"/>
    <x v="1"/>
    <x v="1"/>
    <x v="0"/>
    <x v="0"/>
    <x v="1"/>
    <x v="2"/>
    <x v="1"/>
    <x v="3"/>
    <x v="0"/>
    <x v="0"/>
    <x v="1"/>
    <x v="2"/>
    <x v="1"/>
    <x v="1"/>
    <x v="0"/>
    <x v="0"/>
    <x v="0"/>
    <x v="0"/>
    <x v="0"/>
    <m/>
    <x v="0"/>
    <x v="0"/>
    <x v="0"/>
    <x v="0"/>
    <x v="1"/>
    <s v="1. De fuego 2. Blanca"/>
    <x v="2"/>
    <x v="1"/>
    <x v="1"/>
    <x v="1"/>
    <x v="1"/>
    <m/>
    <x v="2"/>
    <m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1"/>
    <x v="1"/>
    <x v="2"/>
    <x v="1"/>
    <x v="1"/>
    <x v="1"/>
    <x v="1"/>
    <x v="1"/>
    <x v="0"/>
    <x v="0"/>
    <x v="0"/>
    <x v="0"/>
    <m/>
    <s v="SIENTE PAZ EN CIERTOS HORARIOS"/>
    <s v="INSEGURIDAD CON LA SITUACIÓN DEL PAIS"/>
    <m/>
    <n v="83001428"/>
    <s v="c0f277a5-ada5-45f1-ab05-2b378397cbf5"/>
    <d v="2025-04-07T04:58:30"/>
    <m/>
    <m/>
    <s v="submitted_via_web"/>
    <m/>
    <s v="vhGz9QPwmdkBybuGFUbzwe"/>
    <m/>
    <n v="312"/>
  </r>
  <r>
    <d v="2025-04-06T23:49:13"/>
    <d v="2025-04-06T23:53:36"/>
    <s v="AE"/>
    <n v="332"/>
    <d v="2025-03-15T00:00:00"/>
    <n v="2"/>
    <s v="JC"/>
    <s v="AMC"/>
    <n v="56"/>
    <x v="1"/>
    <s v="1. Diariamente"/>
    <n v="0"/>
    <n v="0"/>
    <n v="0"/>
    <n v="0"/>
    <n v="0"/>
    <x v="1"/>
    <s v="1. Sí"/>
    <m/>
    <s v="6. Mestiza(o)"/>
    <m/>
    <x v="1"/>
    <s v="2. Incompleta"/>
    <s v="5. Quehaceres domésticos"/>
    <m/>
    <s v="1. Menos de $470"/>
    <s v="4. De paso"/>
    <x v="1"/>
    <x v="0"/>
    <x v="0"/>
    <x v="1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1"/>
    <x v="1"/>
    <x v="0"/>
    <s v="POLICIAS"/>
    <s v="GENTE"/>
    <m/>
    <m/>
    <x v="1"/>
    <x v="1"/>
    <x v="1"/>
    <x v="2"/>
    <x v="1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m/>
    <s v="ALEGRIA"/>
    <s v="DIVERSIÓN"/>
    <m/>
    <n v="83000994"/>
    <s v="34d4de49-a949-4b88-a45f-c700402bc165"/>
    <d v="2025-04-07T04:53:37"/>
    <m/>
    <m/>
    <s v="submitted_via_web"/>
    <m/>
    <s v="vhGz9QPwmdkBybuGFUbzwe"/>
    <m/>
    <n v="311"/>
  </r>
  <r>
    <d v="2025-04-06T23:45:02"/>
    <d v="2025-04-06T23:49:13"/>
    <s v="AE"/>
    <n v="333"/>
    <d v="2025-03-14T00:00:00"/>
    <n v="2"/>
    <s v="GP-CE"/>
    <s v="AMC"/>
    <n v="29"/>
    <x v="0"/>
    <s v="3. al menos 2 veces al mes"/>
    <n v="0"/>
    <n v="0"/>
    <n v="0"/>
    <n v="0"/>
    <n v="0"/>
    <x v="0"/>
    <s v="1. Sí"/>
    <m/>
    <s v="6. Mestiza(o)"/>
    <m/>
    <x v="3"/>
    <s v="1. Completa"/>
    <s v="7. Dueña/o de su propio negocio"/>
    <m/>
    <s v="5. más de $1840"/>
    <s v="4. De paso"/>
    <x v="1"/>
    <x v="0"/>
    <x v="0"/>
    <x v="1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MOVILIDAD DE LA GENTE"/>
    <s v="POLICIA NACIONAL"/>
    <s v="GUARDIAS"/>
    <m/>
    <x v="1"/>
    <x v="3"/>
    <x v="3"/>
    <x v="5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0"/>
    <x v="0"/>
    <x v="0"/>
    <x v="1"/>
    <x v="1"/>
    <x v="0"/>
    <x v="3"/>
    <x v="1"/>
    <x v="1"/>
    <x v="0"/>
    <x v="0"/>
    <x v="1"/>
    <x v="3"/>
    <x v="1"/>
    <x v="3"/>
    <x v="0"/>
    <x v="0"/>
    <x v="0"/>
    <x v="1"/>
    <x v="1"/>
    <x v="1"/>
    <x v="0"/>
    <x v="0"/>
    <x v="0"/>
    <x v="3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0"/>
    <x v="1"/>
    <x v="1"/>
    <x v="1"/>
    <x v="1"/>
    <x v="3"/>
    <x v="1"/>
    <x v="1"/>
    <x v="2"/>
    <x v="0"/>
    <x v="0"/>
    <x v="0"/>
    <x v="0"/>
    <x v="0"/>
    <x v="0"/>
    <m/>
    <s v="SEGURO"/>
    <s v="TRANQUILO"/>
    <m/>
    <n v="83000819"/>
    <s v="c3694da8-03a3-4f72-a350-72782b7bb077"/>
    <d v="2025-04-07T04:49:13"/>
    <m/>
    <m/>
    <s v="submitted_via_web"/>
    <m/>
    <s v="vhGz9QPwmdkBybuGFUbzwe"/>
    <m/>
    <n v="310"/>
  </r>
  <r>
    <d v="2025-04-06T23:41:28"/>
    <d v="2025-04-06T23:45:02"/>
    <s v="AE"/>
    <n v="334"/>
    <d v="2025-03-15T00:00:00"/>
    <n v="2"/>
    <s v="JC"/>
    <s v="AMC"/>
    <n v="68"/>
    <x v="1"/>
    <s v="2. Semanalmente"/>
    <n v="0"/>
    <n v="0"/>
    <n v="0"/>
    <n v="0"/>
    <n v="0"/>
    <x v="0"/>
    <s v="1. Sí"/>
    <m/>
    <s v="6. Mestiza(o)"/>
    <m/>
    <x v="5"/>
    <s v="2. Incompleta"/>
    <s v="1. Trabajar"/>
    <m/>
    <s v="1. Menos de $470"/>
    <s v="4. De paso"/>
    <x v="1"/>
    <x v="0"/>
    <x v="0"/>
    <x v="1"/>
    <x v="0"/>
    <x v="0"/>
    <m/>
    <s v="1. Madrugada (00:00 a 05:59)"/>
    <x v="1"/>
    <x v="1"/>
    <x v="0"/>
    <x v="0"/>
    <x v="1"/>
    <s v="7. Áreas verdes"/>
    <x v="0"/>
    <x v="0"/>
    <x v="0"/>
    <x v="1"/>
    <x v="0"/>
    <x v="1"/>
    <x v="0"/>
    <m/>
    <x v="0"/>
    <x v="0"/>
    <x v="0"/>
    <s v="POLICIA NACIONAL"/>
    <s v="AGLOMERACION DE GENTE"/>
    <m/>
    <m/>
    <x v="1"/>
    <x v="1"/>
    <x v="1"/>
    <x v="2"/>
    <x v="1"/>
    <x v="2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0"/>
    <x v="0"/>
    <x v="0"/>
    <x v="0"/>
    <x v="0"/>
    <x v="0"/>
    <x v="1"/>
    <x v="2"/>
    <x v="0"/>
    <x v="1"/>
    <x v="2"/>
    <x v="0"/>
    <x v="0"/>
    <x v="0"/>
    <x v="0"/>
    <x v="0"/>
    <x v="0"/>
    <x v="0"/>
    <m/>
    <s v="TRANQUILIDAD"/>
    <s v="PAZ"/>
    <s v="ALEGRIA"/>
    <n v="83000501"/>
    <s v="ed65020b-d870-4b1a-9b79-f7ce65ffa772"/>
    <d v="2025-04-07T04:45:02"/>
    <m/>
    <m/>
    <s v="submitted_via_web"/>
    <m/>
    <s v="vhGz9QPwmdkBybuGFUbzwe"/>
    <m/>
    <n v="309"/>
  </r>
  <r>
    <d v="2025-04-06T23:27:56"/>
    <d v="2025-04-06T23:34:27"/>
    <s v="AE"/>
    <n v="336"/>
    <d v="2025-03-14T00:00:00"/>
    <n v="2"/>
    <s v="BP"/>
    <s v="AMC"/>
    <n v="48"/>
    <x v="2"/>
    <s v="3. al menos 2 veces al mes"/>
    <n v="0"/>
    <n v="0"/>
    <n v="0"/>
    <n v="0"/>
    <n v="0"/>
    <x v="1"/>
    <s v="1. Sí"/>
    <m/>
    <s v="6. Mestiza(o)"/>
    <m/>
    <x v="5"/>
    <s v="1. Completa"/>
    <s v="1. Trabajar"/>
    <m/>
    <s v="1. Menos de $470"/>
    <s v="1. Deporte / ejercicio"/>
    <x v="0"/>
    <x v="0"/>
    <x v="0"/>
    <x v="0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1"/>
    <s v="HA VISTO QUE LES ARRANCHAN LAS COSAS"/>
    <m/>
    <m/>
    <m/>
    <x v="2"/>
    <x v="2"/>
    <x v="1"/>
    <x v="0"/>
    <x v="0"/>
    <x v="3"/>
    <x v="5"/>
    <x v="2"/>
    <s v="E"/>
    <n v="0"/>
    <n v="0"/>
    <n v="0"/>
    <n v="0"/>
    <n v="1"/>
    <n v="0"/>
    <n v="0"/>
    <n v="0"/>
    <n v="0"/>
    <n v="0"/>
    <n v="0"/>
    <n v="0"/>
    <n v="0"/>
    <x v="3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1"/>
    <x v="2"/>
    <x v="1"/>
    <x v="2"/>
    <x v="1"/>
    <x v="1"/>
    <x v="1"/>
    <x v="2"/>
    <x v="0"/>
    <x v="0"/>
    <x v="0"/>
    <x v="0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1"/>
    <x v="2"/>
    <x v="0"/>
    <x v="0"/>
    <x v="0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SE SIENTE FELIZ PORQUE VIENE CON EL ÑIETO"/>
    <m/>
    <m/>
    <n v="82999691"/>
    <s v="4d29457c-52b7-42b2-8348-ea281a0f8761"/>
    <d v="2025-04-07T04:34:27"/>
    <m/>
    <m/>
    <s v="submitted_via_web"/>
    <m/>
    <s v="vhGz9QPwmdkBybuGFUbzwe"/>
    <m/>
    <n v="307"/>
  </r>
  <r>
    <d v="2025-04-06T23:23:13"/>
    <d v="2025-04-06T23:27:56"/>
    <s v="AE"/>
    <n v="337"/>
    <d v="2025-03-14T00:00:00"/>
    <n v="2"/>
    <s v="GP-CE"/>
    <s v="AMC"/>
    <n v="65"/>
    <x v="1"/>
    <s v="3. al menos 2 veces al mes"/>
    <n v="0"/>
    <n v="0"/>
    <n v="0"/>
    <n v="0"/>
    <n v="0"/>
    <x v="0"/>
    <s v="1. Sí"/>
    <m/>
    <s v="6. Mestiza(o)"/>
    <m/>
    <x v="3"/>
    <s v="1. Completa"/>
    <s v="3. Es jubilada/o o pensionista/o"/>
    <m/>
    <s v="2. de $471 a $919"/>
    <s v="6. Otra"/>
    <x v="1"/>
    <x v="0"/>
    <x v="0"/>
    <x v="0"/>
    <x v="0"/>
    <x v="1"/>
    <s v="LEER"/>
    <s v="2. Mañana  (06:00 a 11:59)"/>
    <x v="0"/>
    <x v="0"/>
    <x v="0"/>
    <x v="0"/>
    <x v="0"/>
    <s v="7. Áreas verdes"/>
    <x v="0"/>
    <x v="0"/>
    <x v="0"/>
    <x v="1"/>
    <x v="0"/>
    <x v="1"/>
    <x v="0"/>
    <m/>
    <x v="0"/>
    <x v="0"/>
    <x v="1"/>
    <s v="SIN SEGURIDAD"/>
    <s v="SIN POLICIA"/>
    <s v="SOSPECHOSOS"/>
    <m/>
    <x v="1"/>
    <x v="3"/>
    <x v="1"/>
    <x v="2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2"/>
    <x v="0"/>
    <x v="0"/>
    <x v="1"/>
    <x v="3"/>
    <x v="1"/>
    <x v="1"/>
    <x v="0"/>
    <x v="3"/>
    <x v="0"/>
    <x v="0"/>
    <x v="0"/>
    <x v="0"/>
    <x v="0"/>
    <x v="0"/>
    <x v="0"/>
    <x v="0"/>
    <x v="0"/>
    <x v="0"/>
    <x v="0"/>
    <x v="0"/>
    <x v="1"/>
    <x v="1"/>
    <x v="0"/>
    <x v="0"/>
    <x v="0"/>
    <x v="2"/>
    <x v="0"/>
    <m/>
    <x v="0"/>
    <x v="0"/>
    <x v="3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0"/>
    <x v="0"/>
    <x v="1"/>
    <x v="1"/>
    <x v="0"/>
    <x v="0"/>
    <x v="1"/>
    <x v="1"/>
    <x v="1"/>
    <x v="1"/>
    <x v="2"/>
    <x v="1"/>
    <x v="1"/>
    <x v="1"/>
    <x v="0"/>
    <x v="0"/>
    <x v="0"/>
    <x v="0"/>
    <x v="0"/>
    <x v="0"/>
    <m/>
    <s v="TRANQUILO"/>
    <s v="EL SILENCIO"/>
    <m/>
    <n v="82999009"/>
    <s v="fb371de0-82f5-460e-8825-4d5715c2f892"/>
    <d v="2025-04-07T04:27:56"/>
    <m/>
    <m/>
    <s v="submitted_via_web"/>
    <m/>
    <s v="vhGz9QPwmdkBybuGFUbzwe"/>
    <m/>
    <n v="306"/>
  </r>
  <r>
    <d v="2025-04-06T23:19:31"/>
    <d v="2025-04-06T23:23:12"/>
    <s v="AE"/>
    <n v="338"/>
    <d v="2025-03-14T00:00:00"/>
    <n v="2"/>
    <s v="BP"/>
    <s v="AMC"/>
    <n v="26"/>
    <x v="0"/>
    <s v="1. Diariamente"/>
    <n v="2"/>
    <n v="0"/>
    <n v="0"/>
    <n v="0"/>
    <n v="0"/>
    <x v="0"/>
    <s v="1. Sí"/>
    <m/>
    <s v="6. Mestiza(o)"/>
    <m/>
    <x v="1"/>
    <s v="1. Completa"/>
    <s v="1. Trabajar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0"/>
    <x v="0"/>
    <x v="0"/>
    <s v="VE A POLICIA NACIONAL CON LOS CUADRONES Y LOS CABALLOS"/>
    <m/>
    <m/>
    <m/>
    <x v="1"/>
    <x v="1"/>
    <x v="1"/>
    <x v="2"/>
    <x v="0"/>
    <x v="3"/>
    <x v="5"/>
    <x v="0"/>
    <s v="L"/>
    <n v="0"/>
    <n v="0"/>
    <n v="0"/>
    <n v="0"/>
    <n v="0"/>
    <n v="0"/>
    <n v="0"/>
    <n v="0"/>
    <n v="0"/>
    <n v="0"/>
    <n v="0"/>
    <n v="1"/>
    <n v="0"/>
    <x v="1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1"/>
    <x v="1"/>
    <x v="0"/>
    <x v="0"/>
    <x v="0"/>
    <x v="0"/>
    <m/>
    <s v="SE SIENTE SEGURO AL CAMINAR POR EL PARQUE"/>
    <m/>
    <m/>
    <n v="82998741"/>
    <s v="4c23bb35-1274-48d2-9f59-7bdd27cff239"/>
    <d v="2025-04-07T04:23:13"/>
    <m/>
    <m/>
    <s v="submitted_via_web"/>
    <m/>
    <s v="vhGz9QPwmdkBybuGFUbzwe"/>
    <m/>
    <n v="305"/>
  </r>
  <r>
    <d v="2025-04-06T23:14:49"/>
    <d v="2025-04-06T23:19:31"/>
    <s v="AE"/>
    <n v="339"/>
    <d v="2025-03-14T00:00:00"/>
    <n v="2"/>
    <s v="GP-CE"/>
    <s v="AMC"/>
    <n v="18"/>
    <x v="3"/>
    <s v="2. Semanalmente"/>
    <n v="0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 5. Recreación/Ocio"/>
    <x v="0"/>
    <x v="0"/>
    <x v="0"/>
    <x v="0"/>
    <x v="1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1"/>
    <x v="1"/>
    <x v="1"/>
    <s v="SITRUACIÓN DE CALLE"/>
    <s v="LADRONES"/>
    <m/>
    <m/>
    <x v="1"/>
    <x v="1"/>
    <x v="1"/>
    <x v="2"/>
    <x v="0"/>
    <x v="2"/>
    <x v="1"/>
    <x v="2"/>
    <s v="F"/>
    <n v="0"/>
    <n v="0"/>
    <n v="0"/>
    <n v="0"/>
    <n v="0"/>
    <n v="1"/>
    <n v="0"/>
    <n v="0"/>
    <n v="0"/>
    <n v="0"/>
    <n v="0"/>
    <n v="0"/>
    <n v="0"/>
    <x v="1"/>
    <x v="1"/>
    <x v="0"/>
    <x v="0"/>
    <x v="1"/>
    <x v="8"/>
    <n v="0"/>
    <n v="0"/>
    <n v="0"/>
    <n v="0"/>
    <n v="1"/>
    <n v="0"/>
    <n v="0"/>
    <n v="0"/>
    <n v="0"/>
    <n v="0"/>
    <n v="0"/>
    <m/>
    <m/>
    <m/>
    <m/>
    <m/>
    <s v="2. No"/>
    <m/>
    <m/>
    <m/>
    <m/>
    <m/>
    <m/>
    <m/>
    <m/>
    <m/>
    <m/>
    <m/>
    <m/>
    <m/>
    <m/>
    <s v="1. Arma blanca"/>
    <m/>
    <m/>
    <m/>
    <m/>
    <m/>
    <m/>
    <m/>
    <m/>
    <m/>
    <m/>
    <m/>
    <m/>
    <m/>
    <m/>
    <x v="1"/>
    <x v="1"/>
    <x v="0"/>
    <x v="0"/>
    <x v="1"/>
    <x v="3"/>
    <x v="1"/>
    <x v="1"/>
    <x v="0"/>
    <x v="0"/>
    <x v="0"/>
    <x v="0"/>
    <x v="0"/>
    <x v="3"/>
    <x v="0"/>
    <x v="0"/>
    <x v="0"/>
    <x v="0"/>
    <x v="0"/>
    <x v="0"/>
    <x v="0"/>
    <x v="0"/>
    <x v="1"/>
    <x v="2"/>
    <x v="1"/>
    <x v="2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BIEN"/>
    <s v="CENTRICO"/>
    <s v="SEGURO"/>
    <n v="82998493"/>
    <s v="6caadb05-94a4-4389-9fd6-78ea13aa6d4b"/>
    <d v="2025-04-07T04:19:31"/>
    <m/>
    <m/>
    <s v="submitted_via_web"/>
    <m/>
    <s v="vhGz9QPwmdkBybuGFUbzwe"/>
    <m/>
    <n v="304"/>
  </r>
  <r>
    <d v="2025-04-06T23:05:24"/>
    <d v="2025-04-06T23:10:42"/>
    <s v="AE"/>
    <n v="341"/>
    <d v="2025-03-14T00:00:00"/>
    <n v="2"/>
    <s v="GP-CP"/>
    <s v="AMC"/>
    <n v="56"/>
    <x v="1"/>
    <s v="1. Diariamente"/>
    <n v="3"/>
    <n v="0"/>
    <n v="0"/>
    <n v="0"/>
    <n v="1"/>
    <x v="1"/>
    <s v="1. Sí"/>
    <m/>
    <s v="6. Mestiza(o)"/>
    <m/>
    <x v="0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1"/>
    <s v="MUCHA GENTE EXTRANJERA EN MENDICIDAD Y DELINCUENCIA"/>
    <m/>
    <m/>
    <m/>
    <x v="1"/>
    <x v="1"/>
    <x v="1"/>
    <x v="1"/>
    <x v="0"/>
    <x v="2"/>
    <x v="1"/>
    <x v="2"/>
    <s v="L"/>
    <n v="0"/>
    <n v="0"/>
    <n v="0"/>
    <n v="0"/>
    <n v="0"/>
    <n v="0"/>
    <n v="0"/>
    <n v="0"/>
    <n v="0"/>
    <n v="0"/>
    <n v="0"/>
    <n v="1"/>
    <n v="0"/>
    <x v="2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1"/>
    <x v="3"/>
    <x v="0"/>
    <x v="0"/>
    <x v="1"/>
    <x v="2"/>
    <x v="1"/>
    <x v="2"/>
    <x v="0"/>
    <x v="2"/>
    <x v="1"/>
    <x v="3"/>
    <x v="1"/>
    <x v="1"/>
    <x v="1"/>
    <x v="2"/>
    <x v="1"/>
    <x v="1"/>
    <x v="0"/>
    <x v="0"/>
    <x v="0"/>
    <x v="1"/>
    <x v="0"/>
    <x v="0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3"/>
    <x v="1"/>
    <x v="2"/>
    <x v="0"/>
    <x v="0"/>
    <x v="0"/>
    <x v="0"/>
    <x v="0"/>
    <x v="0"/>
    <x v="0"/>
    <m/>
    <s v="INSEGURIDAD"/>
    <s v="ANSIEDAD"/>
    <m/>
    <n v="82997774"/>
    <s v="e26a0d19-d702-4e22-8cd6-c2e4792c912a"/>
    <d v="2025-04-07T04:10:43"/>
    <m/>
    <m/>
    <s v="submitted_via_web"/>
    <m/>
    <s v="vhGz9QPwmdkBybuGFUbzwe"/>
    <m/>
    <n v="302"/>
  </r>
  <r>
    <d v="2025-04-06T22:37:10"/>
    <d v="2025-04-06T23:05:24"/>
    <s v="AE"/>
    <n v="342"/>
    <d v="2025-03-14T00:00:00"/>
    <n v="2"/>
    <s v="GP-CP"/>
    <s v="AMC"/>
    <n v="20"/>
    <x v="3"/>
    <s v="3. al menos 2 veces al mes"/>
    <n v="0"/>
    <n v="0"/>
    <n v="0"/>
    <n v="0"/>
    <n v="0"/>
    <x v="1"/>
    <s v="1. Sí"/>
    <m/>
    <s v="1. Indígena"/>
    <m/>
    <x v="1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3"/>
    <s v="1. Canchas de fútbol y basquet"/>
    <x v="1"/>
    <x v="0"/>
    <x v="0"/>
    <x v="1"/>
    <x v="0"/>
    <x v="0"/>
    <x v="0"/>
    <m/>
    <x v="1"/>
    <x v="1"/>
    <x v="2"/>
    <s v="POLICIA NACIONAL"/>
    <s v="GUARDIAS"/>
    <s v="GENTE RESPETUOSA"/>
    <m/>
    <x v="1"/>
    <x v="2"/>
    <x v="1"/>
    <x v="5"/>
    <x v="0"/>
    <x v="3"/>
    <x v="2"/>
    <x v="0"/>
    <s v="D"/>
    <n v="0"/>
    <n v="0"/>
    <n v="0"/>
    <n v="1"/>
    <n v="0"/>
    <n v="0"/>
    <n v="0"/>
    <n v="0"/>
    <n v="0"/>
    <n v="0"/>
    <n v="0"/>
    <n v="0"/>
    <n v="0"/>
    <x v="2"/>
    <x v="2"/>
    <x v="1"/>
    <x v="0"/>
    <x v="1"/>
    <x v="4"/>
    <n v="0"/>
    <n v="0"/>
    <n v="0"/>
    <n v="0"/>
    <n v="0"/>
    <n v="0"/>
    <n v="0"/>
    <n v="0"/>
    <n v="0"/>
    <n v="0"/>
    <n v="1"/>
    <s v="ACOSO"/>
    <m/>
    <m/>
    <m/>
    <m/>
    <m/>
    <m/>
    <m/>
    <m/>
    <m/>
    <m/>
    <s v="2. No"/>
    <m/>
    <m/>
    <m/>
    <m/>
    <m/>
    <m/>
    <m/>
    <m/>
    <m/>
    <m/>
    <m/>
    <m/>
    <m/>
    <m/>
    <m/>
    <m/>
    <m/>
    <m/>
    <m/>
    <m/>
    <s v="6. Ninguna"/>
    <m/>
    <m/>
    <x v="1"/>
    <x v="1"/>
    <x v="0"/>
    <x v="0"/>
    <x v="1"/>
    <x v="1"/>
    <x v="0"/>
    <x v="0"/>
    <x v="1"/>
    <x v="1"/>
    <x v="0"/>
    <x v="0"/>
    <x v="0"/>
    <x v="2"/>
    <x v="1"/>
    <x v="2"/>
    <x v="0"/>
    <x v="0"/>
    <x v="0"/>
    <x v="0"/>
    <x v="0"/>
    <x v="0"/>
    <x v="0"/>
    <x v="0"/>
    <x v="0"/>
    <x v="1"/>
    <x v="1"/>
    <x v="1"/>
    <x v="0"/>
    <x v="0"/>
    <x v="0"/>
    <x v="0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0"/>
    <x v="2"/>
    <x v="1"/>
    <x v="0"/>
    <x v="1"/>
    <x v="1"/>
    <x v="1"/>
    <x v="1"/>
    <x v="1"/>
    <x v="1"/>
    <x v="1"/>
    <x v="2"/>
    <x v="0"/>
    <x v="0"/>
    <x v="0"/>
    <x v="0"/>
    <x v="0"/>
    <x v="0"/>
    <m/>
    <s v="SEGURA"/>
    <s v="ASEO"/>
    <s v="NO RUIDO"/>
    <n v="82997369"/>
    <s v="60101bf6-cbb9-42d7-ae78-3fc877a0c464"/>
    <d v="2025-04-07T04:05:25"/>
    <m/>
    <m/>
    <s v="submitted_via_web"/>
    <m/>
    <s v="vhGz9QPwmdkBybuGFUbzwe"/>
    <m/>
    <n v="301"/>
  </r>
  <r>
    <d v="2025-04-06T22:32:05"/>
    <d v="2025-04-06T22:37:10"/>
    <s v="AE"/>
    <n v="343"/>
    <d v="2025-03-15T00:00:00"/>
    <n v="2"/>
    <s v="JC"/>
    <s v="AMC"/>
    <n v="19"/>
    <x v="3"/>
    <s v="3. al menos 2 veces al mes"/>
    <n v="0"/>
    <n v="0"/>
    <n v="0"/>
    <n v="0"/>
    <n v="0"/>
    <x v="1"/>
    <s v="1. Sí"/>
    <m/>
    <s v="6. Mestiza(o)"/>
    <m/>
    <x v="1"/>
    <s v="1. Completa"/>
    <s v="4. Es estudiante"/>
    <m/>
    <s v="2. de $471 a $919"/>
    <s v="4. De paso"/>
    <x v="1"/>
    <x v="0"/>
    <x v="0"/>
    <x v="1"/>
    <x v="0"/>
    <x v="0"/>
    <m/>
    <s v="3. Tarde (12:00 a 17:59)"/>
    <x v="0"/>
    <x v="1"/>
    <x v="1"/>
    <x v="0"/>
    <x v="0"/>
    <s v="4. Pistas para correr"/>
    <x v="0"/>
    <x v="0"/>
    <x v="0"/>
    <x v="0"/>
    <x v="0"/>
    <x v="0"/>
    <x v="0"/>
    <m/>
    <x v="1"/>
    <x v="1"/>
    <x v="0"/>
    <s v="NO HAY DELINCUANCIA"/>
    <s v="POLICIA NACIONAL"/>
    <m/>
    <m/>
    <x v="1"/>
    <x v="1"/>
    <x v="1"/>
    <x v="1"/>
    <x v="0"/>
    <x v="3"/>
    <x v="4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TRANQUILIDAD"/>
    <s v="RELAJACIÓN"/>
    <m/>
    <n v="82996217"/>
    <s v="f438e83f-3f4b-44f1-b65f-fea6285404c5"/>
    <d v="2025-04-07T03:37:11"/>
    <m/>
    <m/>
    <s v="submitted_via_web"/>
    <m/>
    <s v="vhGz9QPwmdkBybuGFUbzwe"/>
    <m/>
    <n v="300"/>
  </r>
  <r>
    <d v="2025-04-06T22:27:58"/>
    <d v="2025-04-06T22:32:05"/>
    <s v="AE"/>
    <n v="344"/>
    <d v="2025-03-14T00:00:00"/>
    <n v="2"/>
    <s v="BP"/>
    <s v="AMC"/>
    <n v="33"/>
    <x v="0"/>
    <s v="3. al menos 2 veces al mes"/>
    <n v="2"/>
    <n v="0"/>
    <n v="0"/>
    <n v="0"/>
    <n v="0"/>
    <x v="1"/>
    <s v="1. Sí"/>
    <m/>
    <s v="6. Mestiza(o)"/>
    <m/>
    <x v="3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1"/>
    <x v="1"/>
    <s v="LE DA DESCONFIANZA LOS EXTRANJEROS"/>
    <m/>
    <m/>
    <m/>
    <x v="5"/>
    <x v="2"/>
    <x v="5"/>
    <x v="0"/>
    <x v="4"/>
    <x v="4"/>
    <x v="1"/>
    <x v="1"/>
    <s v="C"/>
    <n v="0"/>
    <n v="0"/>
    <n v="1"/>
    <n v="0"/>
    <n v="0"/>
    <n v="0"/>
    <n v="0"/>
    <n v="0"/>
    <n v="0"/>
    <n v="0"/>
    <n v="0"/>
    <n v="0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2"/>
    <x v="0"/>
    <x v="0"/>
    <x v="0"/>
    <x v="0"/>
    <x v="0"/>
    <x v="2"/>
    <x v="1"/>
    <x v="2"/>
    <x v="0"/>
    <x v="0"/>
    <x v="0"/>
    <x v="0"/>
    <x v="0"/>
    <x v="0"/>
    <x v="0"/>
    <x v="0"/>
    <x v="1"/>
    <x v="2"/>
    <x v="0"/>
    <x v="0"/>
    <x v="2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2"/>
    <x v="0"/>
    <x v="0"/>
    <x v="0"/>
    <x v="0"/>
    <x v="0"/>
    <x v="0"/>
    <m/>
    <s v="SE SIENTE INSEGURA PERO LE GUSTA VENIR AL PARQUE"/>
    <m/>
    <m/>
    <n v="82996018"/>
    <s v="6a7a4d9e-e776-4d7e-9d8e-e82aa94220a1"/>
    <d v="2025-04-07T03:32:05"/>
    <m/>
    <m/>
    <s v="submitted_via_web"/>
    <m/>
    <s v="vhGz9QPwmdkBybuGFUbzwe"/>
    <m/>
    <n v="299"/>
  </r>
  <r>
    <d v="2025-04-06T22:23:52"/>
    <d v="2025-04-06T22:27:58"/>
    <s v="AE"/>
    <n v="345"/>
    <d v="2025-03-14T00:00:00"/>
    <n v="2"/>
    <s v="GP-CP"/>
    <s v="AMC"/>
    <n v="51"/>
    <x v="2"/>
    <s v="1. Diariamente"/>
    <n v="0"/>
    <n v="0"/>
    <n v="0"/>
    <n v="0"/>
    <n v="0"/>
    <x v="1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0"/>
    <s v="MAS PERSONAS QUE CUIDEN SU  SEGURIDAD"/>
    <m/>
    <m/>
    <m/>
    <x v="0"/>
    <x v="2"/>
    <x v="0"/>
    <x v="0"/>
    <x v="0"/>
    <x v="3"/>
    <x v="0"/>
    <x v="0"/>
    <s v="Ninguno"/>
    <n v="0"/>
    <n v="0"/>
    <n v="0"/>
    <n v="0"/>
    <n v="0"/>
    <n v="0"/>
    <n v="0"/>
    <n v="0"/>
    <n v="0"/>
    <n v="0"/>
    <n v="0"/>
    <n v="0"/>
    <n v="1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0"/>
    <x v="1"/>
    <x v="1"/>
    <x v="0"/>
    <x v="0"/>
    <x v="1"/>
    <x v="2"/>
    <x v="0"/>
    <x v="0"/>
    <x v="0"/>
    <x v="0"/>
    <x v="0"/>
    <x v="0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1"/>
    <x v="2"/>
    <x v="0"/>
    <x v="1"/>
    <x v="1"/>
    <x v="0"/>
    <x v="0"/>
    <x v="0"/>
    <x v="0"/>
    <x v="1"/>
    <x v="1"/>
    <x v="1"/>
    <x v="1"/>
    <x v="1"/>
    <x v="1"/>
    <x v="1"/>
    <x v="1"/>
    <x v="0"/>
    <x v="0"/>
    <x v="0"/>
    <x v="0"/>
    <m/>
    <s v="TRANQUILIDAD YA QUE CONCE EL LUGAR Y TRABAJA CERCA"/>
    <m/>
    <m/>
    <n v="82995852"/>
    <s v="be4cb084-74b0-49cb-a29a-8a7a23052e2b"/>
    <d v="2025-04-07T03:27:59"/>
    <m/>
    <m/>
    <s v="submitted_via_web"/>
    <m/>
    <s v="vhGz9QPwmdkBybuGFUbzwe"/>
    <m/>
    <n v="298"/>
  </r>
  <r>
    <d v="2025-04-06T22:20:49"/>
    <d v="2025-04-06T22:23:52"/>
    <s v="AE"/>
    <n v="346"/>
    <d v="2025-03-14T00:00:00"/>
    <n v="2"/>
    <s v="GP-CE"/>
    <s v="AMC"/>
    <n v="66"/>
    <x v="1"/>
    <s v="3. al menos 2 veces al mes"/>
    <n v="0"/>
    <n v="0"/>
    <n v="0"/>
    <n v="0"/>
    <n v="0"/>
    <x v="1"/>
    <s v="1. Sí"/>
    <m/>
    <s v="4. Mulata(o)"/>
    <m/>
    <x v="1"/>
    <s v="1. Completa"/>
    <s v="3. Es jubilada/o o pensionista/o"/>
    <m/>
    <s v="1. Menos de $470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ACOMPAÑADO"/>
    <s v="VISITA LUGARES DONDE HAY MÁS GENTE"/>
    <m/>
    <m/>
    <x v="1"/>
    <x v="1"/>
    <x v="1"/>
    <x v="2"/>
    <x v="0"/>
    <x v="3"/>
    <x v="2"/>
    <x v="2"/>
    <s v="A"/>
    <n v="1"/>
    <n v="0"/>
    <n v="0"/>
    <n v="0"/>
    <n v="0"/>
    <n v="0"/>
    <n v="0"/>
    <n v="0"/>
    <n v="0"/>
    <n v="0"/>
    <n v="0"/>
    <n v="0"/>
    <n v="0"/>
    <x v="0"/>
    <x v="1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1"/>
    <x v="1"/>
    <x v="0"/>
    <x v="0"/>
    <x v="1"/>
    <x v="2"/>
    <x v="0"/>
    <x v="0"/>
    <x v="0"/>
    <x v="0"/>
    <x v="1"/>
    <x v="2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BIEN"/>
    <s v="FELIZ"/>
    <m/>
    <n v="82995657"/>
    <s v="8a8902eb-b23a-4c2f-9318-2a8f4e6dab01"/>
    <d v="2025-04-07T03:23:53"/>
    <m/>
    <m/>
    <s v="submitted_via_web"/>
    <m/>
    <s v="vhGz9QPwmdkBybuGFUbzwe"/>
    <m/>
    <n v="297"/>
  </r>
  <r>
    <d v="2025-04-06T22:17:18"/>
    <d v="2025-04-06T22:20:49"/>
    <s v="AE"/>
    <n v="347"/>
    <d v="2025-03-14T00:00:00"/>
    <n v="2"/>
    <s v="BP"/>
    <s v="AMC"/>
    <n v="25"/>
    <x v="3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1"/>
    <s v="PERSONAS EXTRAÑAS"/>
    <m/>
    <m/>
    <m/>
    <x v="2"/>
    <x v="3"/>
    <x v="0"/>
    <x v="0"/>
    <x v="0"/>
    <x v="3"/>
    <x v="2"/>
    <x v="2"/>
    <s v="E"/>
    <n v="0"/>
    <n v="0"/>
    <n v="0"/>
    <n v="0"/>
    <n v="1"/>
    <n v="0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1"/>
    <x v="1"/>
    <x v="2"/>
    <x v="0"/>
    <x v="0"/>
    <x v="0"/>
    <x v="0"/>
    <x v="0"/>
    <x v="0"/>
    <m/>
    <s v="SE SIENTEN SEGUROS"/>
    <m/>
    <m/>
    <n v="82995447"/>
    <s v="bcc0a18e-38a1-49ee-a64d-ef953a0cbe7e"/>
    <d v="2025-04-07T03:20:49"/>
    <m/>
    <m/>
    <s v="submitted_via_web"/>
    <m/>
    <s v="vhGz9QPwmdkBybuGFUbzwe"/>
    <m/>
    <n v="296"/>
  </r>
  <r>
    <d v="2025-04-06T22:12:19"/>
    <d v="2025-04-06T22:17:18"/>
    <s v="AE"/>
    <n v="348"/>
    <d v="2025-03-14T00:00:00"/>
    <n v="2"/>
    <s v="GP-CP"/>
    <s v="AMC"/>
    <n v="22"/>
    <x v="3"/>
    <s v="3. al menos 2 veces al mes"/>
    <n v="1"/>
    <n v="0"/>
    <n v="0"/>
    <n v="0"/>
    <n v="0"/>
    <x v="1"/>
    <s v="1. Sí"/>
    <m/>
    <s v="6. Mestiza(o)"/>
    <m/>
    <x v="0"/>
    <s v="2. Incompleta"/>
    <s v="4. Es estudiante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3. Caminos de ciclismo 4. Pistas para correr 7. Áreas verdes"/>
    <x v="0"/>
    <x v="0"/>
    <x v="1"/>
    <x v="0"/>
    <x v="0"/>
    <x v="1"/>
    <x v="0"/>
    <m/>
    <x v="0"/>
    <x v="0"/>
    <x v="1"/>
    <s v="FALTA DE POLICIA"/>
    <s v="ALUMBRADO PÚBLICO"/>
    <s v="VENTAS AMBULANTES E INDIGENTES"/>
    <m/>
    <x v="1"/>
    <x v="1"/>
    <x v="2"/>
    <x v="1"/>
    <x v="0"/>
    <x v="3"/>
    <x v="1"/>
    <x v="2"/>
    <s v="E"/>
    <n v="0"/>
    <n v="0"/>
    <n v="0"/>
    <n v="0"/>
    <n v="1"/>
    <n v="0"/>
    <n v="0"/>
    <n v="0"/>
    <n v="0"/>
    <n v="0"/>
    <n v="0"/>
    <n v="0"/>
    <n v="0"/>
    <x v="1"/>
    <x v="0"/>
    <x v="1"/>
    <x v="1"/>
    <x v="1"/>
    <x v="9"/>
    <n v="0"/>
    <n v="1"/>
    <n v="0"/>
    <n v="0"/>
    <n v="0"/>
    <n v="0"/>
    <n v="0"/>
    <n v="0"/>
    <n v="1"/>
    <n v="0"/>
    <n v="0"/>
    <m/>
    <m/>
    <s v="2. No"/>
    <m/>
    <m/>
    <m/>
    <m/>
    <m/>
    <m/>
    <s v="2. No"/>
    <m/>
    <m/>
    <m/>
    <m/>
    <s v="3. Arma de fuego"/>
    <m/>
    <m/>
    <m/>
    <m/>
    <m/>
    <m/>
    <m/>
    <m/>
    <m/>
    <m/>
    <m/>
    <m/>
    <m/>
    <s v="6. Ninguna"/>
    <m/>
    <m/>
    <m/>
    <m/>
    <m/>
    <m/>
    <x v="0"/>
    <x v="2"/>
    <x v="0"/>
    <x v="0"/>
    <x v="0"/>
    <x v="0"/>
    <x v="0"/>
    <x v="3"/>
    <x v="1"/>
    <x v="1"/>
    <x v="0"/>
    <x v="0"/>
    <x v="0"/>
    <x v="3"/>
    <x v="0"/>
    <x v="0"/>
    <x v="0"/>
    <x v="0"/>
    <x v="0"/>
    <x v="0"/>
    <x v="0"/>
    <x v="0"/>
    <x v="0"/>
    <x v="0"/>
    <x v="0"/>
    <x v="3"/>
    <x v="0"/>
    <x v="3"/>
    <x v="0"/>
    <x v="0"/>
    <x v="1"/>
    <x v="1"/>
    <x v="0"/>
    <m/>
    <x v="0"/>
    <x v="0"/>
    <x v="3"/>
    <x v="0"/>
    <x v="1"/>
    <s v="1. De fuego"/>
    <x v="2"/>
    <x v="2"/>
    <x v="1"/>
    <x v="1"/>
    <x v="1"/>
    <m/>
    <x v="2"/>
    <m/>
    <x v="0"/>
    <x v="0"/>
    <x v="0"/>
    <x v="0"/>
    <x v="0"/>
    <x v="0"/>
    <x v="0"/>
    <x v="0"/>
    <x v="0"/>
    <x v="0"/>
    <x v="0"/>
    <x v="0"/>
    <x v="1"/>
    <x v="1"/>
    <x v="0"/>
    <x v="0"/>
    <x v="0"/>
    <x v="0"/>
    <x v="1"/>
    <x v="2"/>
    <x v="0"/>
    <x v="1"/>
    <x v="1"/>
    <x v="1"/>
    <x v="0"/>
    <x v="0"/>
    <x v="0"/>
    <x v="0"/>
    <x v="0"/>
    <x v="0"/>
    <m/>
    <s v="INSEGURA EN TARDES Y NOCHES"/>
    <s v="MEDIANAMENTE SEGURO EN LA MAÑANA Y TARDE"/>
    <m/>
    <n v="82995335"/>
    <s v="7996ffc2-2128-488b-8085-805ab11f9c75"/>
    <d v="2025-04-07T03:17:18"/>
    <m/>
    <m/>
    <s v="submitted_via_web"/>
    <m/>
    <s v="vhGz9QPwmdkBybuGFUbzwe"/>
    <m/>
    <n v="295"/>
  </r>
  <r>
    <d v="2025-04-06T22:08:08"/>
    <d v="2025-04-06T22:12:19"/>
    <s v="AE"/>
    <n v="349"/>
    <d v="2025-03-14T00:00:00"/>
    <n v="2"/>
    <s v="GP-CP"/>
    <s v="AMC"/>
    <n v="30"/>
    <x v="0"/>
    <s v="3. al menos 2 veces al mes"/>
    <n v="0"/>
    <n v="0"/>
    <n v="0"/>
    <n v="0"/>
    <n v="0"/>
    <x v="1"/>
    <s v="1. Sí"/>
    <m/>
    <s v="6. Mestiza(o)"/>
    <m/>
    <x v="0"/>
    <s v="2. Incompleta"/>
    <s v="4. Es estudiante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3"/>
    <s v="8. Otro."/>
    <x v="0"/>
    <x v="0"/>
    <x v="0"/>
    <x v="1"/>
    <x v="0"/>
    <x v="0"/>
    <x v="1"/>
    <s v="JUEGOS INFANTILES"/>
    <x v="1"/>
    <x v="1"/>
    <x v="0"/>
    <s v="SON ZONAS TRANQUILAS"/>
    <m/>
    <m/>
    <m/>
    <x v="1"/>
    <x v="2"/>
    <x v="1"/>
    <x v="1"/>
    <x v="0"/>
    <x v="2"/>
    <x v="1"/>
    <x v="2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DISTRACCION DE LO COTIDIANO"/>
    <m/>
    <m/>
    <n v="82995204"/>
    <s v="7695338d-1713-4270-8e9f-a8193fbe600b"/>
    <d v="2025-04-07T03:12:19"/>
    <m/>
    <m/>
    <s v="submitted_via_web"/>
    <m/>
    <s v="vhGz9QPwmdkBybuGFUbzwe"/>
    <m/>
    <n v="294"/>
  </r>
  <r>
    <d v="2025-04-06T22:03:20"/>
    <d v="2025-04-06T22:08:08"/>
    <s v="AE"/>
    <n v="350"/>
    <d v="2025-03-15T00:00:00"/>
    <n v="2"/>
    <s v="JC"/>
    <s v="AMC"/>
    <n v="18"/>
    <x v="3"/>
    <s v="2. Semanalmente"/>
    <n v="0"/>
    <n v="0"/>
    <n v="0"/>
    <n v="0"/>
    <n v="0"/>
    <x v="1"/>
    <s v="1. Sí"/>
    <m/>
    <s v="6. Mestiza(o)"/>
    <m/>
    <x v="1"/>
    <s v="1. Completa"/>
    <s v="4. Es estudiante"/>
    <m/>
    <s v="1. Menos de $470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"/>
    <x v="1"/>
    <x v="0"/>
    <x v="0"/>
    <x v="1"/>
    <x v="0"/>
    <x v="0"/>
    <x v="0"/>
    <m/>
    <x v="1"/>
    <x v="1"/>
    <x v="0"/>
    <s v="VIENGO ACOMPAÑADA"/>
    <s v="PRESENCIA DE POLICIA NACIONAL"/>
    <m/>
    <m/>
    <x v="1"/>
    <x v="1"/>
    <x v="1"/>
    <x v="1"/>
    <x v="0"/>
    <x v="3"/>
    <x v="2"/>
    <x v="1"/>
    <s v="K"/>
    <n v="0"/>
    <n v="0"/>
    <n v="0"/>
    <n v="0"/>
    <n v="0"/>
    <n v="0"/>
    <n v="0"/>
    <n v="0"/>
    <n v="0"/>
    <n v="0"/>
    <n v="1"/>
    <n v="0"/>
    <n v="0"/>
    <x v="0"/>
    <x v="1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1"/>
    <x v="1"/>
    <x v="1"/>
    <x v="1"/>
    <x v="2"/>
    <x v="1"/>
    <x v="1"/>
    <x v="3"/>
    <x v="1"/>
    <x v="2"/>
    <x v="1"/>
    <x v="1"/>
    <x v="0"/>
    <x v="0"/>
    <x v="0"/>
    <x v="0"/>
    <x v="0"/>
    <x v="0"/>
    <x v="0"/>
    <x v="0"/>
    <x v="2"/>
    <x v="0"/>
    <x v="0"/>
    <x v="0"/>
    <x v="0"/>
    <m/>
    <x v="0"/>
    <x v="0"/>
    <x v="0"/>
    <x v="1"/>
    <x v="1"/>
    <s v="2. Blanca"/>
    <x v="1"/>
    <x v="1"/>
    <x v="1"/>
    <x v="1"/>
    <x v="1"/>
    <m/>
    <x v="2"/>
    <m/>
    <x v="0"/>
    <x v="2"/>
    <x v="1"/>
    <x v="0"/>
    <x v="2"/>
    <x v="1"/>
    <x v="0"/>
    <x v="0"/>
    <x v="0"/>
    <x v="0"/>
    <x v="1"/>
    <x v="1"/>
    <x v="0"/>
    <x v="0"/>
    <x v="0"/>
    <x v="0"/>
    <x v="0"/>
    <x v="0"/>
    <x v="1"/>
    <x v="2"/>
    <x v="0"/>
    <x v="1"/>
    <x v="2"/>
    <x v="0"/>
    <x v="1"/>
    <x v="1"/>
    <x v="0"/>
    <x v="0"/>
    <x v="0"/>
    <x v="0"/>
    <m/>
    <s v="SEGURO"/>
    <s v="FELIZ"/>
    <m/>
    <n v="82994954"/>
    <s v="63dd958b-4ccf-4d9a-81a5-d22f0193f1ed"/>
    <d v="2025-04-07T03:08:08"/>
    <m/>
    <m/>
    <s v="submitted_via_web"/>
    <m/>
    <s v="vhGz9QPwmdkBybuGFUbzwe"/>
    <m/>
    <n v="293"/>
  </r>
  <r>
    <d v="2025-04-06T21:59:16"/>
    <d v="2025-04-06T22:03:20"/>
    <s v="AE"/>
    <n v="351"/>
    <d v="2025-03-14T00:00:00"/>
    <n v="2"/>
    <s v="GP-CP"/>
    <s v="AMC"/>
    <n v="24"/>
    <x v="3"/>
    <s v="3. al menos 2 veces al mes"/>
    <n v="0"/>
    <n v="0"/>
    <n v="0"/>
    <n v="0"/>
    <n v="0"/>
    <x v="1"/>
    <s v="1. Sí"/>
    <m/>
    <s v="7. Blanca(o)"/>
    <m/>
    <x v="0"/>
    <s v="1. Completa"/>
    <s v="4. Es estudiante"/>
    <m/>
    <s v="3. de $920 a $1339"/>
    <s v="5. Recreación/Ocio"/>
    <x v="1"/>
    <x v="0"/>
    <x v="0"/>
    <x v="0"/>
    <x v="1"/>
    <x v="0"/>
    <m/>
    <s v="3. Tarde (12:00 a 17:59)"/>
    <x v="0"/>
    <x v="1"/>
    <x v="1"/>
    <x v="0"/>
    <x v="3"/>
    <s v="4. Pistas para correr"/>
    <x v="0"/>
    <x v="0"/>
    <x v="0"/>
    <x v="0"/>
    <x v="0"/>
    <x v="0"/>
    <x v="0"/>
    <m/>
    <x v="0"/>
    <x v="0"/>
    <x v="0"/>
    <s v="VISITA HORARIOS EN EL DÍA CON TRANSITO DE PERSONAS"/>
    <m/>
    <m/>
    <m/>
    <x v="1"/>
    <x v="2"/>
    <x v="2"/>
    <x v="1"/>
    <x v="0"/>
    <x v="3"/>
    <x v="0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0"/>
    <x v="0"/>
    <x v="0"/>
    <x v="0"/>
    <x v="0"/>
    <x v="0"/>
    <x v="1"/>
    <x v="2"/>
    <x v="0"/>
    <x v="0"/>
    <x v="0"/>
    <x v="0"/>
    <x v="0"/>
    <x v="0"/>
    <x v="0"/>
    <x v="0"/>
    <x v="1"/>
    <x v="2"/>
    <x v="0"/>
    <x v="3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1"/>
    <x v="1"/>
    <x v="0"/>
    <x v="0"/>
    <x v="0"/>
    <x v="0"/>
    <x v="0"/>
    <x v="0"/>
    <m/>
    <s v="CONFORME"/>
    <m/>
    <m/>
    <n v="82994745"/>
    <s v="4dce290a-61c8-42ee-b877-47e687b6ab0f"/>
    <d v="2025-04-07T03:03:21"/>
    <m/>
    <m/>
    <s v="submitted_via_web"/>
    <m/>
    <s v="vhGz9QPwmdkBybuGFUbzwe"/>
    <m/>
    <n v="292"/>
  </r>
  <r>
    <d v="2025-04-06T21:53:00"/>
    <d v="2025-04-06T21:59:16"/>
    <s v="AE"/>
    <n v="352"/>
    <d v="2025-03-14T00:00:00"/>
    <n v="2"/>
    <s v="GP-CP"/>
    <s v="AMC"/>
    <n v="19"/>
    <x v="3"/>
    <s v="2. Semanalmente"/>
    <n v="0"/>
    <n v="0"/>
    <n v="0"/>
    <n v="0"/>
    <n v="0"/>
    <x v="0"/>
    <s v="1. Sí"/>
    <m/>
    <s v="6. Mestiza(o)"/>
    <m/>
    <x v="0"/>
    <s v="2. Incompleta"/>
    <s v="4. Es estudiante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3. Caminos de ciclismo 7. Áreas verdes"/>
    <x v="0"/>
    <x v="0"/>
    <x v="1"/>
    <x v="1"/>
    <x v="0"/>
    <x v="1"/>
    <x v="0"/>
    <m/>
    <x v="1"/>
    <x v="1"/>
    <x v="1"/>
    <s v="PORQUE ES MUJER Y ES PROPENSA"/>
    <s v="ANTECEDENTES DE ROBO A FAMILIARES"/>
    <m/>
    <m/>
    <x v="1"/>
    <x v="1"/>
    <x v="2"/>
    <x v="1"/>
    <x v="0"/>
    <x v="2"/>
    <x v="1"/>
    <x v="1"/>
    <s v="E F L"/>
    <n v="0"/>
    <n v="0"/>
    <n v="0"/>
    <n v="0"/>
    <n v="1"/>
    <n v="1"/>
    <n v="0"/>
    <n v="0"/>
    <n v="0"/>
    <n v="0"/>
    <n v="0"/>
    <n v="1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3"/>
    <x v="0"/>
    <x v="0"/>
    <x v="0"/>
    <x v="0"/>
    <x v="0"/>
    <x v="0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EN EL DIA ES SEGURO"/>
    <s v="EN LA NOCHE ES INSEGURO"/>
    <m/>
    <n v="82994625"/>
    <s v="57569e6f-0624-4200-b94c-e762e5e1d376"/>
    <d v="2025-04-07T02:59:17"/>
    <m/>
    <m/>
    <s v="submitted_via_web"/>
    <m/>
    <s v="vhGz9QPwmdkBybuGFUbzwe"/>
    <m/>
    <n v="291"/>
  </r>
  <r>
    <d v="2025-04-06T21:47:20"/>
    <d v="2025-04-06T21:53:00"/>
    <s v="AE"/>
    <n v="353"/>
    <d v="2025-03-14T00:00:00"/>
    <n v="2"/>
    <s v="BP"/>
    <s v="AMC"/>
    <n v="70"/>
    <x v="1"/>
    <s v="2. Semanalmente"/>
    <n v="3"/>
    <n v="0"/>
    <n v="0"/>
    <n v="0"/>
    <n v="0"/>
    <x v="0"/>
    <s v="1. Sí"/>
    <m/>
    <s v="6. Mestiza(o)"/>
    <m/>
    <x v="1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1"/>
    <s v="A VISTO PERSONAS DE CALLE"/>
    <m/>
    <m/>
    <m/>
    <x v="1"/>
    <x v="2"/>
    <x v="1"/>
    <x v="1"/>
    <x v="0"/>
    <x v="3"/>
    <x v="2"/>
    <x v="2"/>
    <s v="E"/>
    <n v="0"/>
    <n v="0"/>
    <n v="0"/>
    <n v="0"/>
    <n v="1"/>
    <n v="0"/>
    <n v="0"/>
    <n v="0"/>
    <n v="0"/>
    <n v="0"/>
    <n v="0"/>
    <n v="0"/>
    <n v="0"/>
    <x v="2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1"/>
    <x v="2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FELIZ PORQUE TIENE DONDE CORRER"/>
    <m/>
    <m/>
    <n v="82994424"/>
    <s v="6b833722-8118-48a8-8e92-4057769d01e7"/>
    <d v="2025-04-07T02:53:00"/>
    <m/>
    <m/>
    <s v="submitted_via_web"/>
    <m/>
    <s v="vhGz9QPwmdkBybuGFUbzwe"/>
    <m/>
    <n v="290"/>
  </r>
  <r>
    <d v="2025-04-06T21:42:34"/>
    <d v="2025-04-06T21:47:20"/>
    <s v="AE"/>
    <n v="354"/>
    <d v="2025-03-14T00:00:00"/>
    <n v="2"/>
    <s v="GP-CP"/>
    <s v="AMC"/>
    <n v="47"/>
    <x v="2"/>
    <s v="2. Semanalmente"/>
    <n v="1"/>
    <n v="0"/>
    <n v="0"/>
    <n v="0"/>
    <n v="0"/>
    <x v="0"/>
    <s v="1. Sí"/>
    <m/>
    <s v="6. Mestiza(o)"/>
    <m/>
    <x v="0"/>
    <s v="2. Incompleta"/>
    <s v="1. Trabajar"/>
    <m/>
    <s v="2. de $471 a $919"/>
    <s v="4. De paso"/>
    <x v="1"/>
    <x v="0"/>
    <x v="0"/>
    <x v="1"/>
    <x v="0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0"/>
    <s v="EN LOS BULEVARES HAY CONTROL"/>
    <m/>
    <m/>
    <m/>
    <x v="1"/>
    <x v="1"/>
    <x v="2"/>
    <x v="1"/>
    <x v="0"/>
    <x v="3"/>
    <x v="1"/>
    <x v="2"/>
    <s v="L"/>
    <n v="0"/>
    <n v="0"/>
    <n v="0"/>
    <n v="0"/>
    <n v="0"/>
    <n v="0"/>
    <n v="0"/>
    <n v="0"/>
    <n v="0"/>
    <n v="0"/>
    <n v="0"/>
    <n v="1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1"/>
    <x v="0"/>
    <x v="2"/>
    <x v="1"/>
    <x v="1"/>
    <x v="0"/>
    <x v="0"/>
    <x v="0"/>
    <x v="0"/>
    <x v="1"/>
    <x v="2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2"/>
    <x v="0"/>
    <x v="1"/>
    <x v="1"/>
    <x v="1"/>
    <x v="1"/>
    <x v="1"/>
    <x v="0"/>
    <x v="0"/>
    <x v="0"/>
    <x v="0"/>
    <m/>
    <s v="TRANQUILIDAD EN LOS BULEVARES POR PRESENCIA DE INSTITUCIONES"/>
    <m/>
    <m/>
    <n v="82994268"/>
    <s v="b808bc82-c712-44a1-b6a6-c6a0fbdfafe1"/>
    <d v="2025-04-07T02:47:21"/>
    <m/>
    <m/>
    <s v="submitted_via_web"/>
    <m/>
    <s v="vhGz9QPwmdkBybuGFUbzwe"/>
    <m/>
    <n v="289"/>
  </r>
  <r>
    <d v="2025-04-06T21:39:02"/>
    <d v="2025-04-06T21:42:34"/>
    <s v="AE"/>
    <n v="355"/>
    <d v="2025-03-15T00:00:00"/>
    <n v="2"/>
    <s v="JC"/>
    <s v="AMC"/>
    <n v="40"/>
    <x v="0"/>
    <s v="2. Semanalmente"/>
    <n v="3"/>
    <n v="0"/>
    <n v="0"/>
    <n v="0"/>
    <n v="0"/>
    <x v="0"/>
    <s v="1. Sí"/>
    <m/>
    <s v="6. Mestiza(o)"/>
    <m/>
    <x v="3"/>
    <s v="1. Completa"/>
    <s v="4. Es estudiante"/>
    <m/>
    <s v="2. de $471 a $919"/>
    <s v="4. De paso"/>
    <x v="1"/>
    <x v="0"/>
    <x v="0"/>
    <x v="1"/>
    <x v="0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0"/>
    <x v="0"/>
    <x v="0"/>
    <s v="POLICIA NACIONAL"/>
    <s v="AMIGOS"/>
    <m/>
    <m/>
    <x v="0"/>
    <x v="2"/>
    <x v="2"/>
    <x v="2"/>
    <x v="1"/>
    <x v="2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FELICIDAD"/>
    <s v="TRANQUILIDAD"/>
    <m/>
    <n v="82994133"/>
    <s v="6f107db7-1323-4ef9-bb98-53cd8e5f2235"/>
    <d v="2025-04-07T02:42:35"/>
    <m/>
    <m/>
    <s v="submitted_via_web"/>
    <m/>
    <s v="vhGz9QPwmdkBybuGFUbzwe"/>
    <m/>
    <n v="288"/>
  </r>
  <r>
    <d v="2025-04-06T21:36:03"/>
    <d v="2025-04-06T21:39:02"/>
    <s v="AE"/>
    <n v="356"/>
    <d v="2025-03-15T00:00:00"/>
    <n v="4"/>
    <s v="GB-NC"/>
    <s v="GH"/>
    <n v="37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1. Madrugada (00:00 a 05:59)"/>
    <x v="1"/>
    <x v="1"/>
    <x v="0"/>
    <x v="0"/>
    <x v="3"/>
    <s v="4. Pistas para correr"/>
    <x v="0"/>
    <x v="0"/>
    <x v="0"/>
    <x v="0"/>
    <x v="0"/>
    <x v="0"/>
    <x v="0"/>
    <m/>
    <x v="1"/>
    <x v="1"/>
    <x v="2"/>
    <s v="SIEMPRE HAY MAS DEPORTISTAS"/>
    <m/>
    <m/>
    <m/>
    <x v="0"/>
    <x v="1"/>
    <x v="2"/>
    <x v="2"/>
    <x v="0"/>
    <x v="3"/>
    <x v="4"/>
    <x v="0"/>
    <s v="F"/>
    <n v="0"/>
    <n v="0"/>
    <n v="0"/>
    <n v="0"/>
    <n v="0"/>
    <n v="1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1"/>
    <x v="1"/>
    <x v="0"/>
    <x v="0"/>
    <x v="0"/>
    <x v="0"/>
    <x v="0"/>
    <x v="0"/>
    <x v="0"/>
    <x v="0"/>
    <x v="1"/>
    <x v="1"/>
    <x v="0"/>
    <x v="1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0"/>
    <x v="0"/>
    <x v="0"/>
    <x v="1"/>
    <x v="2"/>
    <x v="0"/>
    <x v="1"/>
    <x v="1"/>
    <x v="3"/>
    <x v="1"/>
    <x v="2"/>
    <x v="0"/>
    <x v="0"/>
    <x v="0"/>
    <x v="0"/>
    <x v="0"/>
    <x v="0"/>
    <x v="0"/>
    <m/>
    <s v="SEGURO"/>
    <s v="RELAJADO"/>
    <s v="FELIZ"/>
    <n v="82994039"/>
    <s v="5753a00e-6b9f-4fac-9fe1-b198a924f6e7"/>
    <d v="2025-04-07T02:39:02"/>
    <m/>
    <m/>
    <s v="submitted_via_web"/>
    <m/>
    <s v="vhGz9QPwmdkBybuGFUbzwe"/>
    <m/>
    <n v="287"/>
  </r>
  <r>
    <d v="2025-04-06T21:27:39"/>
    <d v="2025-04-06T21:31:58"/>
    <s v="AE"/>
    <n v="358"/>
    <d v="2025-03-15T00:00:00"/>
    <n v="4"/>
    <s v="GB-NC"/>
    <s v="GH"/>
    <n v="40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0"/>
    <s v="EL HORARIO EN EL QUE VISITO AL PARQUE"/>
    <m/>
    <m/>
    <m/>
    <x v="1"/>
    <x v="2"/>
    <x v="1"/>
    <x v="0"/>
    <x v="0"/>
    <x v="2"/>
    <x v="2"/>
    <x v="2"/>
    <s v="Ninguno"/>
    <n v="0"/>
    <n v="0"/>
    <n v="0"/>
    <n v="0"/>
    <n v="0"/>
    <n v="0"/>
    <n v="0"/>
    <n v="0"/>
    <n v="0"/>
    <n v="0"/>
    <n v="0"/>
    <n v="0"/>
    <n v="1"/>
    <x v="0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SENSACIÓN BUENA RESPIRANDO AIRE PURO"/>
    <s v="SE MANTIENE BIEN EL PARUQE"/>
    <m/>
    <n v="82993807"/>
    <s v="779a61ee-5d61-4acb-a915-3c12cb62d800"/>
    <d v="2025-04-07T02:31:58"/>
    <m/>
    <m/>
    <s v="submitted_via_web"/>
    <m/>
    <s v="vhGz9QPwmdkBybuGFUbzwe"/>
    <m/>
    <n v="285"/>
  </r>
  <r>
    <d v="2025-04-06T21:21:40"/>
    <d v="2025-04-06T21:27:39"/>
    <s v="AE"/>
    <n v="359"/>
    <d v="2025-03-15T00:00:00"/>
    <n v="4"/>
    <s v="MQ"/>
    <s v="GH"/>
    <n v="53"/>
    <x v="2"/>
    <s v="2. Semanalmente"/>
    <n v="1"/>
    <n v="0"/>
    <n v="0"/>
    <n v="0"/>
    <n v="0"/>
    <x v="1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 8. Otro."/>
    <x v="1"/>
    <x v="0"/>
    <x v="0"/>
    <x v="1"/>
    <x v="0"/>
    <x v="0"/>
    <x v="1"/>
    <s v="BASQUET"/>
    <x v="1"/>
    <x v="1"/>
    <x v="0"/>
    <s v="ACOMPAÑAMIENTO"/>
    <s v="POLICIA NACIONAL"/>
    <s v="CAMCQ"/>
    <m/>
    <x v="0"/>
    <x v="1"/>
    <x v="1"/>
    <x v="0"/>
    <x v="0"/>
    <x v="3"/>
    <x v="0"/>
    <x v="1"/>
    <s v="B"/>
    <n v="0"/>
    <n v="1"/>
    <n v="0"/>
    <n v="0"/>
    <n v="0"/>
    <n v="0"/>
    <n v="0"/>
    <n v="0"/>
    <n v="0"/>
    <n v="0"/>
    <n v="0"/>
    <n v="0"/>
    <n v="0"/>
    <x v="2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0"/>
    <x v="0"/>
    <x v="0"/>
    <x v="0"/>
    <x v="1"/>
    <x v="1"/>
    <x v="1"/>
    <x v="1"/>
    <x v="1"/>
    <x v="2"/>
    <x v="0"/>
    <x v="0"/>
    <x v="0"/>
    <x v="0"/>
    <x v="1"/>
    <x v="1"/>
    <x v="0"/>
    <x v="0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1"/>
    <x v="1"/>
    <x v="2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TRANQUILIDAD"/>
    <s v="SE PUEDE RESPIRAR AIRE FRESCO"/>
    <m/>
    <n v="82993638"/>
    <s v="a8013e52-02a8-49f5-a668-a1431b927379"/>
    <d v="2025-04-07T02:27:40"/>
    <m/>
    <m/>
    <s v="submitted_via_web"/>
    <m/>
    <s v="vhGz9QPwmdkBybuGFUbzwe"/>
    <m/>
    <n v="284"/>
  </r>
  <r>
    <d v="2025-04-06T21:11:39"/>
    <d v="2025-04-06T21:21:40"/>
    <s v="AE"/>
    <n v="360"/>
    <d v="2025-03-15T00:00:00"/>
    <n v="4"/>
    <s v="GB-MA"/>
    <s v="GH"/>
    <n v="70"/>
    <x v="1"/>
    <s v="1. Diariamente"/>
    <n v="1"/>
    <n v="0"/>
    <n v="0"/>
    <n v="0"/>
    <n v="0"/>
    <x v="1"/>
    <s v="1. Sí"/>
    <m/>
    <s v="5. Montubia(o)"/>
    <m/>
    <x v="0"/>
    <s v="1. Completa"/>
    <s v="6. No trabaja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1"/>
    <s v="3. Caminos de ciclismo 4. Pistas para correr"/>
    <x v="0"/>
    <x v="0"/>
    <x v="1"/>
    <x v="0"/>
    <x v="0"/>
    <x v="0"/>
    <x v="0"/>
    <m/>
    <x v="1"/>
    <x v="1"/>
    <x v="1"/>
    <s v="FALTA LUZ"/>
    <s v="VIGILANCIA"/>
    <m/>
    <m/>
    <x v="0"/>
    <x v="2"/>
    <x v="2"/>
    <x v="0"/>
    <x v="2"/>
    <x v="0"/>
    <x v="0"/>
    <x v="1"/>
    <s v="F"/>
    <n v="0"/>
    <n v="0"/>
    <n v="0"/>
    <n v="0"/>
    <n v="0"/>
    <n v="1"/>
    <n v="0"/>
    <n v="0"/>
    <n v="0"/>
    <n v="0"/>
    <n v="0"/>
    <n v="0"/>
    <n v="0"/>
    <x v="3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3"/>
    <x v="1"/>
    <x v="2"/>
    <x v="0"/>
    <x v="0"/>
    <x v="0"/>
    <x v="0"/>
    <x v="0"/>
    <x v="0"/>
    <x v="0"/>
    <x v="0"/>
    <x v="1"/>
    <x v="2"/>
    <x v="0"/>
    <x v="0"/>
    <x v="1"/>
    <x v="1"/>
    <x v="1"/>
    <x v="2"/>
    <x v="0"/>
    <x v="2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0"/>
    <x v="0"/>
    <x v="0"/>
    <x v="0"/>
    <x v="0"/>
    <x v="1"/>
    <x v="2"/>
    <x v="0"/>
    <x v="1"/>
    <x v="1"/>
    <x v="0"/>
    <x v="0"/>
    <x v="0"/>
    <x v="0"/>
    <x v="1"/>
    <x v="1"/>
    <x v="2"/>
    <x v="1"/>
    <x v="1"/>
    <x v="1"/>
    <x v="0"/>
    <x v="0"/>
    <x v="0"/>
    <x v="0"/>
    <x v="0"/>
    <x v="0"/>
    <m/>
    <s v="INSEGURIDAD"/>
    <m/>
    <m/>
    <n v="82993389"/>
    <s v="1d31ff48-9fac-4f50-af8d-6aa3138159b7"/>
    <d v="2025-04-07T02:21:41"/>
    <m/>
    <m/>
    <s v="submitted_via_web"/>
    <m/>
    <s v="vhGz9QPwmdkBybuGFUbzwe"/>
    <m/>
    <n v="283"/>
  </r>
  <r>
    <d v="2025-04-06T17:23:19"/>
    <d v="2025-04-06T17:38:47"/>
    <s v="AMC"/>
    <n v="361"/>
    <d v="2025-03-15T00:00:00"/>
    <n v="4"/>
    <s v="MQ"/>
    <s v="GH"/>
    <n v="50"/>
    <x v="2"/>
    <s v="2. Semanalmente"/>
    <n v="0"/>
    <n v="0"/>
    <n v="0"/>
    <n v="0"/>
    <n v="0"/>
    <x v="1"/>
    <s v="1. Sí"/>
    <m/>
    <s v="6. Mestiza(o)"/>
    <m/>
    <x v="0"/>
    <s v="1. Completa"/>
    <s v="6. No trabaja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8. Otro."/>
    <x v="0"/>
    <x v="0"/>
    <x v="0"/>
    <x v="1"/>
    <x v="0"/>
    <x v="0"/>
    <x v="1"/>
    <s v="SENDEROS"/>
    <x v="1"/>
    <x v="1"/>
    <x v="1"/>
    <s v="POLICIA NACIONAL"/>
    <m/>
    <m/>
    <m/>
    <x v="1"/>
    <x v="2"/>
    <x v="1"/>
    <x v="1"/>
    <x v="0"/>
    <x v="2"/>
    <x v="0"/>
    <x v="1"/>
    <s v="F L"/>
    <n v="0"/>
    <n v="0"/>
    <n v="0"/>
    <n v="0"/>
    <n v="0"/>
    <n v="1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POQUITO INSEGURO"/>
    <m/>
    <m/>
    <n v="82985525"/>
    <s v="47424b6b-7afb-4fbe-9c18-5a772b58e3d2"/>
    <d v="2025-04-06T22:38:47"/>
    <m/>
    <m/>
    <s v="submitted_via_web"/>
    <m/>
    <s v="vhGz9QPwmdkBybuGFUbzwe"/>
    <m/>
    <n v="282"/>
  </r>
  <r>
    <d v="2025-04-06T17:18:51"/>
    <d v="2025-04-06T17:23:19"/>
    <s v="AMC"/>
    <n v="362"/>
    <d v="2025-03-15T00:00:00"/>
    <n v="4"/>
    <s v="GB-MA"/>
    <s v="GH"/>
    <n v="40"/>
    <x v="0"/>
    <s v="1. Diariamente"/>
    <n v="0"/>
    <n v="0"/>
    <n v="0"/>
    <n v="0"/>
    <n v="0"/>
    <x v="1"/>
    <s v="1. Sí"/>
    <m/>
    <s v="7. Blanca(o)"/>
    <m/>
    <x v="1"/>
    <s v="1. Completa"/>
    <s v="7. Dueña/o de su propio negoci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"/>
    <x v="1"/>
    <x v="0"/>
    <x v="0"/>
    <x v="1"/>
    <x v="0"/>
    <x v="0"/>
    <x v="0"/>
    <m/>
    <x v="1"/>
    <x v="1"/>
    <x v="3"/>
    <s v="SEGURIDAD QUE HAY"/>
    <m/>
    <m/>
    <m/>
    <x v="1"/>
    <x v="2"/>
    <x v="1"/>
    <x v="1"/>
    <x v="0"/>
    <x v="0"/>
    <x v="0"/>
    <x v="1"/>
    <s v="Ninguno"/>
    <n v="0"/>
    <n v="0"/>
    <n v="0"/>
    <n v="0"/>
    <n v="0"/>
    <n v="0"/>
    <n v="0"/>
    <n v="0"/>
    <n v="0"/>
    <n v="0"/>
    <n v="0"/>
    <n v="0"/>
    <n v="1"/>
    <x v="3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BIENESTAR"/>
    <s v="TRANQUILIDAD"/>
    <s v="SEGURIDAD"/>
    <n v="82984877"/>
    <s v="a8cd0dbd-09c8-4ea1-8753-25512ed7b418"/>
    <d v="2025-04-06T22:23:19"/>
    <m/>
    <m/>
    <s v="submitted_via_web"/>
    <m/>
    <s v="vhGz9QPwmdkBybuGFUbzwe"/>
    <m/>
    <n v="281"/>
  </r>
  <r>
    <d v="2025-04-06T17:13:45"/>
    <d v="2025-04-06T17:18:51"/>
    <s v="AMC"/>
    <n v="363"/>
    <d v="2025-03-15T00:00:00"/>
    <n v="4"/>
    <s v="MQ"/>
    <s v="GH"/>
    <n v="32"/>
    <x v="0"/>
    <s v="2. Semanalmente"/>
    <n v="1"/>
    <n v="0"/>
    <n v="0"/>
    <n v="0"/>
    <n v="0"/>
    <x v="0"/>
    <s v="1. Sí"/>
    <m/>
    <s v="6. Mestiza(o)"/>
    <m/>
    <x v="0"/>
    <s v="1. Completa"/>
    <s v="1. Trabajar"/>
    <m/>
    <s v="99. NS/NC"/>
    <s v="5. Recreación/Ocio"/>
    <x v="1"/>
    <x v="0"/>
    <x v="0"/>
    <x v="0"/>
    <x v="1"/>
    <x v="0"/>
    <m/>
    <s v="3. Tarde (12:00 a 17:59)"/>
    <x v="0"/>
    <x v="1"/>
    <x v="1"/>
    <x v="0"/>
    <x v="3"/>
    <s v="8. Otro."/>
    <x v="0"/>
    <x v="0"/>
    <x v="0"/>
    <x v="1"/>
    <x v="0"/>
    <x v="0"/>
    <x v="1"/>
    <s v="SENDEROS"/>
    <x v="0"/>
    <x v="0"/>
    <x v="0"/>
    <s v="PORQUE HAY GENTE"/>
    <m/>
    <m/>
    <m/>
    <x v="0"/>
    <x v="1"/>
    <x v="1"/>
    <x v="1"/>
    <x v="2"/>
    <x v="3"/>
    <x v="0"/>
    <x v="1"/>
    <s v="F"/>
    <n v="0"/>
    <n v="0"/>
    <n v="0"/>
    <n v="0"/>
    <n v="0"/>
    <n v="1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0"/>
    <x v="0"/>
    <x v="0"/>
    <x v="0"/>
    <x v="1"/>
    <x v="2"/>
    <x v="1"/>
    <x v="2"/>
    <x v="0"/>
    <x v="0"/>
    <x v="0"/>
    <x v="0"/>
    <x v="0"/>
    <x v="0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2"/>
    <x v="1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IDAD"/>
    <s v="RELAJACION"/>
    <m/>
    <n v="82984797"/>
    <s v="58659f53-d1f4-4145-8428-b6e434c47d2a"/>
    <d v="2025-04-06T22:18:52"/>
    <m/>
    <m/>
    <s v="submitted_via_web"/>
    <m/>
    <s v="vhGz9QPwmdkBybuGFUbzwe"/>
    <m/>
    <n v="280"/>
  </r>
  <r>
    <d v="2025-04-06T17:07:34"/>
    <d v="2025-04-06T17:13:45"/>
    <s v="AMC"/>
    <n v="364"/>
    <d v="2025-03-15T00:00:00"/>
    <n v="4"/>
    <s v="MQ"/>
    <s v="GH"/>
    <n v="78"/>
    <x v="1"/>
    <s v="2. Semanalmente"/>
    <n v="0"/>
    <n v="0"/>
    <n v="0"/>
    <n v="0"/>
    <n v="0"/>
    <x v="1"/>
    <s v="1. Sí"/>
    <m/>
    <s v="6. Mestiza(o)"/>
    <m/>
    <x v="0"/>
    <s v="1. Completa"/>
    <s v="4. Es estudiante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1"/>
    <x v="1"/>
    <x v="0"/>
    <s v="HAY GENTE"/>
    <s v="NEGOCIOS ABIERTOS"/>
    <s v="ILUMINACION"/>
    <m/>
    <x v="1"/>
    <x v="2"/>
    <x v="1"/>
    <x v="1"/>
    <x v="0"/>
    <x v="3"/>
    <x v="0"/>
    <x v="1"/>
    <s v="F I"/>
    <n v="0"/>
    <n v="0"/>
    <n v="0"/>
    <n v="0"/>
    <n v="0"/>
    <n v="1"/>
    <n v="0"/>
    <n v="0"/>
    <n v="1"/>
    <n v="0"/>
    <n v="0"/>
    <n v="0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1"/>
    <x v="1"/>
    <x v="1"/>
    <x v="2"/>
    <x v="1"/>
    <x v="1"/>
    <x v="1"/>
    <x v="0"/>
    <x v="0"/>
    <x v="0"/>
    <x v="0"/>
    <x v="0"/>
    <x v="0"/>
    <m/>
    <s v="TRANQUILO"/>
    <s v="RELAJADO"/>
    <m/>
    <n v="82984345"/>
    <s v="20eac2b8-d181-4a76-8a46-bae98c1c658a"/>
    <d v="2025-04-06T22:13:45"/>
    <m/>
    <m/>
    <s v="submitted_via_web"/>
    <m/>
    <s v="vhGz9QPwmdkBybuGFUbzwe"/>
    <m/>
    <n v="278"/>
  </r>
  <r>
    <d v="2025-04-06T16:59:48"/>
    <d v="2025-04-06T17:07:34"/>
    <s v="AMC"/>
    <n v="365"/>
    <d v="2025-03-15T00:00:00"/>
    <n v="4"/>
    <s v="GB-MA"/>
    <s v="GH"/>
    <n v="61"/>
    <x v="1"/>
    <s v="2. Semanalmente"/>
    <n v="0"/>
    <n v="0"/>
    <n v="0"/>
    <n v="0"/>
    <n v="0"/>
    <x v="0"/>
    <s v="1. Sí"/>
    <m/>
    <s v="6. Mestiza(o)"/>
    <m/>
    <x v="0"/>
    <s v="1. Completa"/>
    <s v="3. Es jubilada/o o pensionista/o"/>
    <m/>
    <s v="2. de $471 a $919"/>
    <s v="1. Deporte / ejercicio 3. Compras"/>
    <x v="0"/>
    <x v="0"/>
    <x v="1"/>
    <x v="0"/>
    <x v="0"/>
    <x v="0"/>
    <m/>
    <s v="2. Mañana  (06:00 a 11:59)"/>
    <x v="0"/>
    <x v="0"/>
    <x v="0"/>
    <x v="0"/>
    <x v="0"/>
    <s v="3. Caminos de ciclismo 4. Pistas para correr"/>
    <x v="0"/>
    <x v="0"/>
    <x v="1"/>
    <x v="0"/>
    <x v="0"/>
    <x v="0"/>
    <x v="0"/>
    <m/>
    <x v="1"/>
    <x v="1"/>
    <x v="0"/>
    <s v="HAY MUCHOS USUARIOS"/>
    <m/>
    <m/>
    <m/>
    <x v="0"/>
    <x v="1"/>
    <x v="1"/>
    <x v="1"/>
    <x v="0"/>
    <x v="3"/>
    <x v="0"/>
    <x v="1"/>
    <s v="G"/>
    <n v="0"/>
    <n v="0"/>
    <n v="0"/>
    <n v="0"/>
    <n v="0"/>
    <n v="0"/>
    <n v="1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0"/>
    <x v="3"/>
    <x v="0"/>
    <x v="0"/>
    <x v="0"/>
    <x v="0"/>
    <x v="0"/>
    <x v="2"/>
    <x v="0"/>
    <x v="0"/>
    <x v="0"/>
    <x v="0"/>
    <x v="0"/>
    <x v="0"/>
    <x v="0"/>
    <x v="0"/>
    <x v="1"/>
    <x v="1"/>
    <x v="0"/>
    <x v="1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SATISFACCION"/>
    <s v="AMBIENTE NATURAL"/>
    <m/>
    <n v="82983879"/>
    <s v="48690da2-0191-4164-b2e7-4c2296a2a0c8"/>
    <d v="2025-04-06T22:07:35"/>
    <m/>
    <m/>
    <s v="submitted_via_web"/>
    <m/>
    <s v="vhGz9QPwmdkBybuGFUbzwe"/>
    <m/>
    <n v="276"/>
  </r>
  <r>
    <d v="2025-04-06T16:42:23"/>
    <d v="2025-04-06T16:59:48"/>
    <s v="AMC"/>
    <n v="366"/>
    <d v="2025-03-15T00:00:00"/>
    <n v="4"/>
    <s v="MQ"/>
    <s v="GH"/>
    <n v="37"/>
    <x v="0"/>
    <s v="1. Diariamente"/>
    <n v="1"/>
    <n v="0"/>
    <n v="0"/>
    <n v="0"/>
    <n v="0"/>
    <x v="0"/>
    <s v="1. Sí"/>
    <m/>
    <s v="1. Indígena"/>
    <m/>
    <x v="2"/>
    <s v="1. Completa"/>
    <s v="1. Trabajar"/>
    <m/>
    <s v="2. de $471 a $919"/>
    <s v="1. Deporte / ejercicio"/>
    <x v="0"/>
    <x v="0"/>
    <x v="0"/>
    <x v="0"/>
    <x v="0"/>
    <x v="0"/>
    <m/>
    <s v="4. Noche  (18:00 a 23:59)"/>
    <x v="0"/>
    <x v="1"/>
    <x v="0"/>
    <x v="1"/>
    <x v="3"/>
    <s v="1. Canchas de fútbol y basquet"/>
    <x v="1"/>
    <x v="0"/>
    <x v="0"/>
    <x v="1"/>
    <x v="0"/>
    <x v="0"/>
    <x v="0"/>
    <m/>
    <x v="1"/>
    <x v="1"/>
    <x v="1"/>
    <s v="PARTES SIN ILUMINACION"/>
    <s v="NO HAY PERSONAL DE SEGURIDAD"/>
    <s v="FALTA POLICIA NACIONAL"/>
    <m/>
    <x v="0"/>
    <x v="1"/>
    <x v="1"/>
    <x v="1"/>
    <x v="0"/>
    <x v="3"/>
    <x v="2"/>
    <x v="2"/>
    <s v="F I J"/>
    <n v="0"/>
    <n v="0"/>
    <n v="0"/>
    <n v="0"/>
    <n v="0"/>
    <n v="1"/>
    <n v="0"/>
    <n v="0"/>
    <n v="1"/>
    <n v="1"/>
    <n v="0"/>
    <n v="0"/>
    <n v="0"/>
    <x v="1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2"/>
    <x v="0"/>
    <x v="0"/>
    <x v="1"/>
    <x v="3"/>
    <x v="0"/>
    <x v="0"/>
    <x v="0"/>
    <x v="2"/>
    <x v="1"/>
    <x v="2"/>
    <x v="1"/>
    <x v="3"/>
    <x v="1"/>
    <x v="3"/>
    <x v="0"/>
    <x v="0"/>
    <x v="0"/>
    <x v="0"/>
    <x v="0"/>
    <x v="0"/>
    <x v="0"/>
    <x v="2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0"/>
    <x v="2"/>
    <x v="1"/>
    <x v="0"/>
    <x v="0"/>
    <x v="0"/>
    <x v="1"/>
    <x v="2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RECELO"/>
    <s v="MIEDO"/>
    <m/>
    <n v="82983516"/>
    <s v="04ab8b5b-6866-4c72-bfc5-2930e4c4170c"/>
    <d v="2025-04-06T21:59:49"/>
    <m/>
    <m/>
    <s v="submitted_via_web"/>
    <m/>
    <s v="vhGz9QPwmdkBybuGFUbzwe"/>
    <m/>
    <n v="275"/>
  </r>
  <r>
    <d v="2025-04-10T11:38:55"/>
    <d v="2025-04-10T11:43:05"/>
    <s v="GH"/>
    <n v="367"/>
    <d v="2025-03-15T00:00:00"/>
    <n v="4"/>
    <s v="GB-MA"/>
    <s v="GH"/>
    <n v="23"/>
    <x v="3"/>
    <s v="2. Semanalmente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0"/>
    <x v="0"/>
    <x v="0"/>
    <s v="HAY MAS GENTE"/>
    <m/>
    <m/>
    <m/>
    <x v="2"/>
    <x v="1"/>
    <x v="1"/>
    <x v="1"/>
    <x v="0"/>
    <x v="2"/>
    <x v="1"/>
    <x v="1"/>
    <s v="K"/>
    <n v="0"/>
    <n v="0"/>
    <n v="0"/>
    <n v="0"/>
    <n v="0"/>
    <n v="0"/>
    <n v="0"/>
    <n v="0"/>
    <n v="0"/>
    <n v="0"/>
    <n v="1"/>
    <n v="0"/>
    <n v="0"/>
    <x v="1"/>
    <x v="2"/>
    <x v="1"/>
    <x v="1"/>
    <x v="1"/>
    <x v="10"/>
    <n v="1"/>
    <n v="0"/>
    <n v="0"/>
    <n v="0"/>
    <n v="0"/>
    <n v="0"/>
    <n v="0"/>
    <n v="0"/>
    <n v="0"/>
    <n v="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2"/>
    <x v="1"/>
    <x v="1"/>
    <x v="1"/>
    <x v="2"/>
    <x v="0"/>
    <x v="0"/>
    <x v="0"/>
    <x v="2"/>
    <x v="0"/>
    <x v="0"/>
    <x v="0"/>
    <x v="0"/>
    <x v="0"/>
    <x v="0"/>
    <x v="0"/>
    <x v="0"/>
    <x v="1"/>
    <x v="1"/>
    <x v="1"/>
    <x v="2"/>
    <x v="0"/>
    <x v="3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INSEGURA"/>
    <m/>
    <m/>
    <n v="83423057"/>
    <s v="ac2ec09b-2def-4beb-ae43-5565b0097b55"/>
    <d v="2025-04-10T16:43:04"/>
    <m/>
    <m/>
    <s v="submitted_via_web"/>
    <m/>
    <s v="v5uNQoYdGp6CCoWUMSjVDf"/>
    <m/>
    <n v="438"/>
  </r>
  <r>
    <d v="2025-04-10T11:43:05"/>
    <d v="2025-04-10T11:48:36"/>
    <s v="GH"/>
    <n v="368"/>
    <d v="2025-03-15T00:00:00"/>
    <n v="4"/>
    <s v="GB-NC"/>
    <s v="GH"/>
    <n v="49"/>
    <x v="2"/>
    <s v="2. Semanalmente"/>
    <n v="0"/>
    <n v="0"/>
    <n v="0"/>
    <n v="0"/>
    <n v="0"/>
    <x v="0"/>
    <s v="1. Sí"/>
    <m/>
    <s v="1. Indígena"/>
    <m/>
    <x v="1"/>
    <s v="1. Completa"/>
    <s v="1. Trabajar"/>
    <m/>
    <s v="2. de $471 a $919"/>
    <s v="2. Culturales y sociales 5. Recreación/Ocio 6. Otra"/>
    <x v="1"/>
    <x v="1"/>
    <x v="0"/>
    <x v="0"/>
    <x v="1"/>
    <x v="1"/>
    <s v="TRABAJAR"/>
    <s v="2. Mañana  (06:00 a 11:59) 3. Tarde (12:00 a 17:59)"/>
    <x v="0"/>
    <x v="0"/>
    <x v="1"/>
    <x v="0"/>
    <x v="2"/>
    <s v="3. Caminos de ciclismo"/>
    <x v="0"/>
    <x v="0"/>
    <x v="1"/>
    <x v="1"/>
    <x v="0"/>
    <x v="0"/>
    <x v="0"/>
    <m/>
    <x v="0"/>
    <x v="0"/>
    <x v="0"/>
    <s v="PRESENCIA POLICÍA NACIONAL"/>
    <s v="LUGAR SEGURO"/>
    <m/>
    <m/>
    <x v="1"/>
    <x v="1"/>
    <x v="1"/>
    <x v="0"/>
    <x v="0"/>
    <x v="3"/>
    <x v="4"/>
    <x v="1"/>
    <s v="L"/>
    <n v="0"/>
    <n v="0"/>
    <n v="0"/>
    <n v="0"/>
    <n v="0"/>
    <n v="0"/>
    <n v="0"/>
    <n v="0"/>
    <n v="0"/>
    <n v="0"/>
    <n v="0"/>
    <n v="1"/>
    <n v="0"/>
    <x v="2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1"/>
    <x v="1"/>
    <x v="0"/>
    <x v="0"/>
    <x v="1"/>
    <x v="1"/>
    <x v="0"/>
    <x v="3"/>
    <x v="0"/>
    <x v="0"/>
    <x v="0"/>
    <x v="0"/>
    <x v="0"/>
    <x v="0"/>
    <x v="0"/>
    <x v="0"/>
    <x v="1"/>
    <x v="1"/>
    <x v="0"/>
    <x v="1"/>
    <x v="1"/>
    <x v="1"/>
    <x v="0"/>
    <x v="0"/>
    <x v="0"/>
    <x v="3"/>
    <x v="0"/>
    <m/>
    <x v="0"/>
    <x v="0"/>
    <x v="3"/>
    <x v="0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INSEGURO"/>
    <s v="PANICO"/>
    <s v="SE SIENTE VIGILADO"/>
    <n v="83423639"/>
    <s v="51970d39-6c6b-43f9-8e84-7cd21e6809e5"/>
    <d v="2025-04-10T16:48:35"/>
    <m/>
    <m/>
    <s v="submitted_via_web"/>
    <m/>
    <s v="v5uNQoYdGp6CCoWUMSjVDf"/>
    <m/>
    <n v="439"/>
  </r>
  <r>
    <d v="2025-04-06T16:37:10"/>
    <d v="2025-04-06T16:42:23"/>
    <s v="AMC"/>
    <n v="369"/>
    <d v="2025-03-15T00:00:00"/>
    <n v="4"/>
    <s v="MQ"/>
    <s v="GH"/>
    <n v="38"/>
    <x v="0"/>
    <s v="2. Semanalmente"/>
    <n v="0"/>
    <n v="0"/>
    <n v="0"/>
    <n v="0"/>
    <n v="0"/>
    <x v="1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1"/>
    <x v="1"/>
    <x v="1"/>
    <s v="FALTA CONTROL POLICIAL O MILITAR"/>
    <s v="INCOMODIDAD POR LAS VENTAS AMBULANTES"/>
    <m/>
    <m/>
    <x v="1"/>
    <x v="1"/>
    <x v="1"/>
    <x v="0"/>
    <x v="2"/>
    <x v="2"/>
    <x v="0"/>
    <x v="2"/>
    <s v="E"/>
    <n v="0"/>
    <n v="0"/>
    <n v="0"/>
    <n v="0"/>
    <n v="1"/>
    <n v="0"/>
    <n v="0"/>
    <n v="0"/>
    <n v="0"/>
    <n v="0"/>
    <n v="0"/>
    <n v="0"/>
    <n v="0"/>
    <x v="1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2"/>
    <x v="1"/>
    <x v="2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3"/>
    <x v="1"/>
    <x v="1"/>
    <x v="3"/>
    <x v="0"/>
    <x v="0"/>
    <x v="0"/>
    <x v="0"/>
    <x v="0"/>
    <x v="0"/>
    <m/>
    <s v="INSEGURIDAD"/>
    <s v="TRISTEZA DEBEN REALIZAR MAS CONTROL"/>
    <s v="DEPORTACION EXTRANJERA, COMERCIANTES"/>
    <n v="82982922"/>
    <s v="7b5bb12c-f684-4c81-a15e-6ed44b07cea9"/>
    <d v="2025-04-06T21:42:25"/>
    <m/>
    <m/>
    <s v="submitted_via_web"/>
    <m/>
    <s v="vhGz9QPwmdkBybuGFUbzwe"/>
    <m/>
    <n v="270"/>
  </r>
  <r>
    <d v="2025-04-06T16:31:28"/>
    <d v="2025-04-06T16:37:10"/>
    <s v="AMC"/>
    <n v="370"/>
    <d v="2025-03-15T00:00:00"/>
    <n v="4"/>
    <s v="MQ"/>
    <s v="GH"/>
    <n v="44"/>
    <x v="2"/>
    <s v="2. Semanalmente"/>
    <n v="0"/>
    <n v="0"/>
    <n v="0"/>
    <n v="0"/>
    <n v="0"/>
    <x v="1"/>
    <s v="1. Sí"/>
    <m/>
    <s v="6. Mestiza(o)"/>
    <m/>
    <x v="1"/>
    <s v="1. Completa"/>
    <s v="1. Trabajar"/>
    <m/>
    <s v="99. NS/NC"/>
    <s v="4. De paso"/>
    <x v="1"/>
    <x v="0"/>
    <x v="0"/>
    <x v="1"/>
    <x v="0"/>
    <x v="0"/>
    <m/>
    <s v="3. Tarde (12:00 a 17:59)"/>
    <x v="0"/>
    <x v="1"/>
    <x v="1"/>
    <x v="0"/>
    <x v="3"/>
    <s v="8. Otro."/>
    <x v="0"/>
    <x v="0"/>
    <x v="0"/>
    <x v="1"/>
    <x v="0"/>
    <x v="0"/>
    <x v="1"/>
    <s v="SENDEROS"/>
    <x v="1"/>
    <x v="1"/>
    <x v="1"/>
    <s v="NO HAY PRESENCIA SEGURIDAD"/>
    <m/>
    <m/>
    <m/>
    <x v="1"/>
    <x v="1"/>
    <x v="2"/>
    <x v="0"/>
    <x v="2"/>
    <x v="2"/>
    <x v="0"/>
    <x v="1"/>
    <s v="A E L"/>
    <n v="1"/>
    <n v="0"/>
    <n v="0"/>
    <n v="0"/>
    <n v="1"/>
    <n v="0"/>
    <n v="0"/>
    <n v="0"/>
    <n v="0"/>
    <n v="0"/>
    <n v="0"/>
    <n v="1"/>
    <n v="0"/>
    <x v="1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0"/>
    <x v="2"/>
    <x v="0"/>
    <x v="1"/>
    <x v="2"/>
    <x v="0"/>
    <x v="2"/>
    <x v="1"/>
    <x v="1"/>
    <x v="0"/>
    <x v="0"/>
    <x v="1"/>
    <x v="2"/>
    <x v="0"/>
    <x v="0"/>
    <x v="0"/>
    <x v="0"/>
    <x v="0"/>
    <x v="1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2"/>
    <x v="3"/>
    <x v="0"/>
    <x v="0"/>
    <x v="0"/>
    <x v="0"/>
    <x v="1"/>
    <x v="1"/>
    <x v="1"/>
    <x v="1"/>
    <x v="0"/>
    <x v="0"/>
    <x v="1"/>
    <x v="1"/>
    <x v="0"/>
    <x v="0"/>
    <x v="0"/>
    <x v="1"/>
    <x v="1"/>
    <x v="1"/>
    <x v="0"/>
    <x v="0"/>
    <x v="0"/>
    <x v="0"/>
    <x v="0"/>
    <x v="0"/>
    <m/>
    <s v="TRANQUILA MIENTRAS NO HAYA NADA MALO"/>
    <s v="SE DISTRAE"/>
    <m/>
    <n v="82982840"/>
    <s v="3b2d2faf-381f-4df6-8f02-98bd7cbce73d"/>
    <d v="2025-04-06T21:37:12"/>
    <m/>
    <m/>
    <s v="submitted_via_web"/>
    <m/>
    <s v="vhGz9QPwmdkBybuGFUbzwe"/>
    <m/>
    <n v="269"/>
  </r>
  <r>
    <d v="2025-04-10T11:48:36"/>
    <d v="2025-04-10T11:57:06"/>
    <s v="GH"/>
    <n v="371"/>
    <d v="2025-03-15T00:00:00"/>
    <n v="4"/>
    <s v="GB-NC"/>
    <s v="GH"/>
    <n v="48"/>
    <x v="2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1"/>
    <x v="1"/>
    <s v="NO HAY PRESENCIA DE POLICÍA"/>
    <s v="POCA SEGURIDAD"/>
    <m/>
    <m/>
    <x v="1"/>
    <x v="1"/>
    <x v="1"/>
    <x v="1"/>
    <x v="1"/>
    <x v="2"/>
    <x v="2"/>
    <x v="1"/>
    <s v="B"/>
    <n v="0"/>
    <n v="1"/>
    <n v="0"/>
    <n v="0"/>
    <n v="0"/>
    <n v="0"/>
    <n v="0"/>
    <n v="0"/>
    <n v="0"/>
    <n v="0"/>
    <n v="0"/>
    <n v="0"/>
    <n v="0"/>
    <x v="1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0"/>
    <x v="0"/>
    <x v="0"/>
    <x v="2"/>
    <x v="1"/>
    <x v="1"/>
    <x v="0"/>
    <x v="0"/>
    <x v="0"/>
    <x v="0"/>
    <x v="0"/>
    <x v="0"/>
    <x v="1"/>
    <x v="1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0"/>
    <x v="0"/>
    <x v="0"/>
    <x v="2"/>
    <x v="2"/>
    <x v="1"/>
    <x v="2"/>
    <x v="0"/>
    <x v="1"/>
    <x v="1"/>
    <x v="2"/>
    <x v="0"/>
    <x v="0"/>
    <x v="0"/>
    <x v="0"/>
    <x v="0"/>
    <x v="0"/>
    <x v="0"/>
    <x v="0"/>
    <x v="0"/>
    <m/>
    <s v="RESPIRAR TRANQUILO"/>
    <s v="DISTRAER LA MENTE"/>
    <s v="LOS NIÑOS SE DISTRAEN CON LOS PAYASOS TITERES"/>
    <n v="83424424"/>
    <s v="ea904b2d-ea16-4977-ab1a-21d43f8b651f"/>
    <d v="2025-04-10T16:57:06"/>
    <m/>
    <m/>
    <s v="submitted_via_web"/>
    <m/>
    <s v="v5uNQoYdGp6CCoWUMSjVDf"/>
    <m/>
    <n v="440"/>
  </r>
  <r>
    <d v="2025-04-06T16:27:25"/>
    <d v="2025-04-06T16:31:28"/>
    <s v="AMC"/>
    <n v="372"/>
    <d v="2025-03-15T00:00:00"/>
    <n v="4"/>
    <s v="GB-MA"/>
    <s v="GH"/>
    <n v="54"/>
    <x v="2"/>
    <s v="3. al menos 2 veces al mes"/>
    <n v="0"/>
    <n v="0"/>
    <n v="0"/>
    <n v="0"/>
    <n v="0"/>
    <x v="0"/>
    <s v="1. Sí"/>
    <m/>
    <s v="6. Mestiza(o)"/>
    <m/>
    <x v="5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2"/>
    <x v="3"/>
    <s v="SEGURIDAD"/>
    <s v="VIGILANCIA"/>
    <m/>
    <m/>
    <x v="0"/>
    <x v="2"/>
    <x v="1"/>
    <x v="1"/>
    <x v="0"/>
    <x v="3"/>
    <x v="0"/>
    <x v="0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1"/>
    <x v="1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1"/>
    <x v="2"/>
    <x v="0"/>
    <x v="1"/>
    <x v="1"/>
    <x v="0"/>
    <x v="1"/>
    <x v="1"/>
    <x v="0"/>
    <m/>
    <s v="AGRADABLE"/>
    <s v="LIMPIO"/>
    <s v="TRANQUILO"/>
    <n v="82982701"/>
    <s v="3788785e-e2f4-49b7-89b4-e1b9b57222d1"/>
    <d v="2025-04-06T21:31:30"/>
    <m/>
    <m/>
    <s v="submitted_via_web"/>
    <m/>
    <s v="vhGz9QPwmdkBybuGFUbzwe"/>
    <m/>
    <n v="268"/>
  </r>
  <r>
    <d v="2025-04-06T16:15:18"/>
    <d v="2025-04-06T16:27:25"/>
    <s v="AMC"/>
    <n v="373"/>
    <d v="2025-03-15T00:00:00"/>
    <n v="4"/>
    <s v="MQ"/>
    <s v="GH"/>
    <n v="33"/>
    <x v="0"/>
    <s v="3. al menos 2 veces al mes"/>
    <n v="1"/>
    <n v="0"/>
    <n v="0"/>
    <n v="0"/>
    <n v="0"/>
    <x v="0"/>
    <s v="2. No"/>
    <s v="VENEZOLANA"/>
    <s v="6. Mestiza(o)"/>
    <m/>
    <x v="2"/>
    <s v="1. Completa"/>
    <s v="3. Es jubilada/o o pensionista/o"/>
    <m/>
    <s v="5. más de $1840"/>
    <s v="2. Culturales y sociales"/>
    <x v="1"/>
    <x v="1"/>
    <x v="0"/>
    <x v="0"/>
    <x v="0"/>
    <x v="0"/>
    <m/>
    <s v="2. Mañana  (06:00 a 11:59)"/>
    <x v="0"/>
    <x v="0"/>
    <x v="0"/>
    <x v="0"/>
    <x v="3"/>
    <s v="7. Áreas verdes 8. Otro."/>
    <x v="0"/>
    <x v="0"/>
    <x v="0"/>
    <x v="1"/>
    <x v="0"/>
    <x v="1"/>
    <x v="1"/>
    <s v="JUEGOS INFLABLES"/>
    <x v="1"/>
    <x v="1"/>
    <x v="0"/>
    <s v="PRESENCIA SEGURIDAD"/>
    <s v="POLICIA NACIONAL"/>
    <s v="MANTENIMIENTO PARQUE"/>
    <m/>
    <x v="0"/>
    <x v="2"/>
    <x v="1"/>
    <x v="0"/>
    <x v="0"/>
    <x v="4"/>
    <x v="0"/>
    <x v="1"/>
    <s v="B F"/>
    <n v="0"/>
    <n v="1"/>
    <n v="0"/>
    <n v="0"/>
    <n v="0"/>
    <n v="1"/>
    <n v="0"/>
    <n v="0"/>
    <n v="0"/>
    <n v="0"/>
    <n v="0"/>
    <n v="0"/>
    <n v="0"/>
    <x v="2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2"/>
    <x v="0"/>
    <x v="0"/>
    <x v="0"/>
    <x v="1"/>
    <x v="1"/>
    <x v="1"/>
    <x v="2"/>
    <x v="0"/>
    <x v="0"/>
    <x v="1"/>
    <x v="1"/>
    <x v="0"/>
    <x v="0"/>
    <x v="0"/>
    <x v="0"/>
    <x v="0"/>
    <x v="0"/>
    <x v="0"/>
    <x v="2"/>
    <x v="0"/>
    <x v="0"/>
    <x v="0"/>
    <x v="2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1"/>
    <x v="1"/>
    <x v="2"/>
    <x v="0"/>
    <x v="1"/>
    <x v="2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MEDIA TRANQUILA"/>
    <s v="MEDIA SEGURIDAD"/>
    <s v="LA ORGANIZACION Y EL ORDEN ME SIENTA BIEN"/>
    <n v="82982509"/>
    <s v="76cf901c-b040-4984-8638-d4d721f6cbcc"/>
    <d v="2025-04-06T21:27:27"/>
    <m/>
    <m/>
    <s v="submitted_via_web"/>
    <m/>
    <s v="vhGz9QPwmdkBybuGFUbzwe"/>
    <m/>
    <n v="266"/>
  </r>
  <r>
    <d v="2025-04-06T16:10:26"/>
    <d v="2025-04-06T16:15:18"/>
    <s v="AMC"/>
    <n v="375"/>
    <d v="2025-03-15T00:00:00"/>
    <n v="4"/>
    <s v="GB-MA"/>
    <s v="GH"/>
    <n v="61"/>
    <x v="1"/>
    <s v="2. Semanalmente"/>
    <n v="1"/>
    <n v="0"/>
    <n v="0"/>
    <n v="0"/>
    <n v="0"/>
    <x v="0"/>
    <s v="1. Sí"/>
    <m/>
    <s v="6. Mestiza(o)"/>
    <m/>
    <x v="2"/>
    <s v="1. Completa"/>
    <s v="3. Es jubilada/o o pensionista/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 3. Caminos de ciclismo"/>
    <x v="1"/>
    <x v="0"/>
    <x v="1"/>
    <x v="1"/>
    <x v="0"/>
    <x v="0"/>
    <x v="0"/>
    <m/>
    <x v="1"/>
    <x v="1"/>
    <x v="1"/>
    <s v="GENTE DE DUDOSA PROCEDENCIA"/>
    <m/>
    <m/>
    <m/>
    <x v="1"/>
    <x v="2"/>
    <x v="1"/>
    <x v="1"/>
    <x v="1"/>
    <x v="3"/>
    <x v="1"/>
    <x v="2"/>
    <s v="K L"/>
    <n v="0"/>
    <n v="0"/>
    <n v="0"/>
    <n v="0"/>
    <n v="0"/>
    <n v="0"/>
    <n v="0"/>
    <n v="0"/>
    <n v="0"/>
    <n v="0"/>
    <n v="1"/>
    <n v="1"/>
    <n v="0"/>
    <x v="2"/>
    <x v="1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3"/>
    <x v="1"/>
    <x v="3"/>
    <x v="0"/>
    <x v="3"/>
    <x v="2"/>
    <x v="0"/>
    <x v="0"/>
    <x v="0"/>
    <x v="1"/>
    <x v="1"/>
    <x v="0"/>
    <x v="0"/>
    <x v="0"/>
    <x v="0"/>
    <x v="1"/>
    <x v="2"/>
    <x v="1"/>
    <x v="1"/>
    <x v="0"/>
    <x v="0"/>
    <x v="0"/>
    <x v="1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2"/>
    <x v="1"/>
    <x v="0"/>
    <x v="0"/>
    <x v="0"/>
    <x v="1"/>
    <x v="2"/>
    <x v="0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TRANQUILIDAD"/>
    <s v="ESPARCIMIENTO"/>
    <s v="AYUDA"/>
    <n v="82981751"/>
    <s v="e321f3a7-9929-4b5b-96d7-e9a090c72e60"/>
    <d v="2025-04-06T21:15:20"/>
    <m/>
    <m/>
    <s v="submitted_via_web"/>
    <m/>
    <s v="vhGz9QPwmdkBybuGFUbzwe"/>
    <m/>
    <n v="264"/>
  </r>
  <r>
    <d v="2025-04-06T16:05:26"/>
    <d v="2025-04-06T16:10:26"/>
    <s v="AMC"/>
    <n v="376"/>
    <d v="2025-03-15T00:00:00"/>
    <n v="4"/>
    <s v="MQ"/>
    <s v="GH"/>
    <n v="36"/>
    <x v="0"/>
    <s v="2. Semanalmente"/>
    <n v="0"/>
    <n v="0"/>
    <n v="0"/>
    <n v="0"/>
    <n v="0"/>
    <x v="0"/>
    <s v="1. Sí"/>
    <m/>
    <s v="6. Mestiza(o)"/>
    <m/>
    <x v="0"/>
    <s v="1. Completa"/>
    <s v="8. Otro"/>
    <s v="EMPRENDEDOR"/>
    <s v="2. de $471 a $91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3. Caminos de ciclismo 7. Áreas verdes"/>
    <x v="0"/>
    <x v="0"/>
    <x v="1"/>
    <x v="1"/>
    <x v="0"/>
    <x v="1"/>
    <x v="0"/>
    <m/>
    <x v="1"/>
    <x v="1"/>
    <x v="0"/>
    <s v="HAY GENTE"/>
    <s v="ES DE DIA"/>
    <s v="PRESENCIA POLICIA NACIOAL Y METROPOLITANA"/>
    <m/>
    <x v="1"/>
    <x v="2"/>
    <x v="1"/>
    <x v="1"/>
    <x v="0"/>
    <x v="3"/>
    <x v="1"/>
    <x v="1"/>
    <s v="F"/>
    <n v="0"/>
    <n v="0"/>
    <n v="0"/>
    <n v="0"/>
    <n v="0"/>
    <n v="1"/>
    <n v="0"/>
    <n v="0"/>
    <n v="0"/>
    <n v="0"/>
    <n v="0"/>
    <n v="0"/>
    <n v="0"/>
    <x v="2"/>
    <x v="1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2"/>
    <x v="0"/>
    <x v="0"/>
    <x v="1"/>
    <x v="2"/>
    <x v="0"/>
    <x v="0"/>
    <x v="1"/>
    <x v="1"/>
    <x v="1"/>
    <x v="2"/>
    <x v="0"/>
    <x v="0"/>
    <x v="1"/>
    <x v="1"/>
    <x v="0"/>
    <x v="0"/>
    <x v="1"/>
    <x v="2"/>
    <x v="0"/>
    <x v="0"/>
    <x v="0"/>
    <x v="0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RELAJADO"/>
    <s v="PREOCUPADO"/>
    <s v="PENDIENTE"/>
    <n v="82981417"/>
    <s v="81f8136a-57a2-498f-8e68-3614d451f51b"/>
    <d v="2025-04-06T21:10:27"/>
    <m/>
    <m/>
    <s v="submitted_via_web"/>
    <m/>
    <s v="vhGz9QPwmdkBybuGFUbzwe"/>
    <m/>
    <n v="263"/>
  </r>
  <r>
    <d v="2025-04-06T16:00:26"/>
    <d v="2025-04-06T16:05:26"/>
    <s v="AMC"/>
    <n v="377"/>
    <d v="2025-03-15T00:00:00"/>
    <n v="4"/>
    <s v="GB-NC"/>
    <s v="GH"/>
    <n v="55"/>
    <x v="2"/>
    <s v="3. al menos 2 veces al mes"/>
    <n v="2"/>
    <n v="0"/>
    <n v="0"/>
    <n v="0"/>
    <n v="0"/>
    <x v="0"/>
    <s v="1. Sí"/>
    <m/>
    <s v="7. Blanca(o)"/>
    <m/>
    <x v="3"/>
    <s v="1. Completa"/>
    <s v="8. Otro"/>
    <s v="PREDICA LA PALABRA"/>
    <s v="2. de $471 a $919"/>
    <s v="6. Otra"/>
    <x v="1"/>
    <x v="0"/>
    <x v="0"/>
    <x v="0"/>
    <x v="0"/>
    <x v="1"/>
    <s v="PREDICAR LA PALABRA"/>
    <s v="2. Mañana  (06:00 a 11:59)"/>
    <x v="0"/>
    <x v="0"/>
    <x v="0"/>
    <x v="0"/>
    <x v="2"/>
    <s v="8. Otro."/>
    <x v="0"/>
    <x v="0"/>
    <x v="0"/>
    <x v="1"/>
    <x v="0"/>
    <x v="0"/>
    <x v="1"/>
    <s v="PEATONALES"/>
    <x v="1"/>
    <x v="1"/>
    <x v="0"/>
    <s v="MUCHA GENTE"/>
    <s v="POLICIA"/>
    <s v="GUARDIAS"/>
    <m/>
    <x v="1"/>
    <x v="2"/>
    <x v="2"/>
    <x v="1"/>
    <x v="0"/>
    <x v="3"/>
    <x v="4"/>
    <x v="1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2"/>
    <x v="1"/>
    <x v="1"/>
    <x v="0"/>
    <x v="0"/>
    <x v="0"/>
    <x v="0"/>
    <x v="1"/>
    <x v="2"/>
    <x v="0"/>
    <x v="1"/>
    <x v="1"/>
    <x v="0"/>
    <x v="0"/>
    <x v="1"/>
    <x v="2"/>
    <x v="1"/>
    <x v="1"/>
    <x v="1"/>
    <x v="0"/>
    <x v="0"/>
    <x v="0"/>
    <x v="0"/>
    <x v="0"/>
    <x v="0"/>
    <x v="0"/>
    <x v="0"/>
    <x v="0"/>
    <m/>
    <s v="ALEGRE"/>
    <s v="DISTRACCION"/>
    <s v="DISFRUTA"/>
    <n v="82980872"/>
    <s v="f49e9154-acb0-4d0e-bac6-183428b608ab"/>
    <d v="2025-04-06T21:05:28"/>
    <m/>
    <m/>
    <s v="submitted_via_web"/>
    <m/>
    <s v="vhGz9QPwmdkBybuGFUbzwe"/>
    <m/>
    <n v="262"/>
  </r>
  <r>
    <d v="2025-04-06T15:55:35"/>
    <d v="2025-04-06T16:00:26"/>
    <s v="AMC"/>
    <n v="378"/>
    <d v="2025-03-15T00:00:00"/>
    <n v="4"/>
    <s v="MQ"/>
    <s v="GH"/>
    <n v="42"/>
    <x v="2"/>
    <s v="2. Semanalmente"/>
    <n v="0"/>
    <n v="0"/>
    <n v="0"/>
    <n v="0"/>
    <n v="0"/>
    <x v="0"/>
    <s v="1. Sí"/>
    <m/>
    <s v="6. Mestiza(o)"/>
    <m/>
    <x v="2"/>
    <s v="1. Completa"/>
    <s v="8. Otro"/>
    <s v="INDEPENDIENTE"/>
    <s v="99. NS/NC"/>
    <s v="5. Recreación/Ocio"/>
    <x v="1"/>
    <x v="0"/>
    <x v="0"/>
    <x v="0"/>
    <x v="1"/>
    <x v="0"/>
    <m/>
    <s v="3. Tarde (12:00 a 17:59) 4. Noche  (18:00 a 23:59)"/>
    <x v="0"/>
    <x v="1"/>
    <x v="1"/>
    <x v="1"/>
    <x v="1"/>
    <s v="8. Otro."/>
    <x v="0"/>
    <x v="0"/>
    <x v="0"/>
    <x v="1"/>
    <x v="0"/>
    <x v="0"/>
    <x v="1"/>
    <s v="SENDEROS"/>
    <x v="0"/>
    <x v="0"/>
    <x v="0"/>
    <s v="BUENA ILUMINACION"/>
    <s v="HAY SEGURIDAD-GUARDIAS"/>
    <m/>
    <m/>
    <x v="1"/>
    <x v="2"/>
    <x v="1"/>
    <x v="1"/>
    <x v="0"/>
    <x v="3"/>
    <x v="4"/>
    <x v="2"/>
    <s v="A C D E H I"/>
    <n v="1"/>
    <n v="0"/>
    <n v="1"/>
    <n v="1"/>
    <n v="1"/>
    <n v="0"/>
    <n v="0"/>
    <n v="1"/>
    <n v="1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CULTURALMENTE ASEO"/>
    <m/>
    <m/>
    <n v="82980495"/>
    <s v="a51a5f8a-96ee-41f8-a405-1f68f46d4176"/>
    <d v="2025-04-06T21:00:28"/>
    <m/>
    <m/>
    <s v="submitted_via_web"/>
    <m/>
    <s v="vhGz9QPwmdkBybuGFUbzwe"/>
    <m/>
    <n v="260"/>
  </r>
  <r>
    <d v="2025-04-06T15:51:42"/>
    <d v="2025-04-06T15:55:35"/>
    <s v="AMC"/>
    <n v="379"/>
    <d v="2025-03-15T00:00:00"/>
    <n v="4"/>
    <s v="GB-MA"/>
    <s v="GH"/>
    <n v="62"/>
    <x v="1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 4. De paso"/>
    <x v="0"/>
    <x v="0"/>
    <x v="0"/>
    <x v="1"/>
    <x v="0"/>
    <x v="0"/>
    <m/>
    <s v="3. Tarde (12:00 a 17:59)"/>
    <x v="0"/>
    <x v="1"/>
    <x v="1"/>
    <x v="0"/>
    <x v="3"/>
    <s v="1. Canchas de fútbol y basquet 4. Pistas para correr"/>
    <x v="1"/>
    <x v="0"/>
    <x v="0"/>
    <x v="0"/>
    <x v="0"/>
    <x v="0"/>
    <x v="0"/>
    <m/>
    <x v="1"/>
    <x v="1"/>
    <x v="1"/>
    <s v="DELINCUENCIA"/>
    <m/>
    <m/>
    <m/>
    <x v="2"/>
    <x v="3"/>
    <x v="1"/>
    <x v="2"/>
    <x v="1"/>
    <x v="2"/>
    <x v="0"/>
    <x v="2"/>
    <s v="L"/>
    <n v="0"/>
    <n v="0"/>
    <n v="0"/>
    <n v="0"/>
    <n v="0"/>
    <n v="0"/>
    <n v="0"/>
    <n v="0"/>
    <n v="0"/>
    <n v="0"/>
    <n v="0"/>
    <n v="1"/>
    <n v="0"/>
    <x v="0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0"/>
    <x v="0"/>
    <x v="1"/>
    <s v="PARQUEADEROS INSEGUROS"/>
    <x v="3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TRISTEZA"/>
    <m/>
    <m/>
    <n v="82980261"/>
    <s v="f4b2faca-41c7-4d32-aa40-7a885194c611"/>
    <d v="2025-04-06T20:55:37"/>
    <m/>
    <m/>
    <s v="submitted_via_web"/>
    <m/>
    <s v="vhGz9QPwmdkBybuGFUbzwe"/>
    <m/>
    <n v="259"/>
  </r>
  <r>
    <d v="2025-04-06T15:48:27"/>
    <d v="2025-04-06T15:51:42"/>
    <s v="AMC"/>
    <n v="380"/>
    <d v="2025-03-15T00:00:00"/>
    <n v="4"/>
    <s v="MQ"/>
    <s v="GH"/>
    <n v="60"/>
    <x v="1"/>
    <s v="2. Semanalmente"/>
    <n v="0"/>
    <n v="0"/>
    <n v="0"/>
    <n v="0"/>
    <n v="0"/>
    <x v="1"/>
    <s v="1. Sí"/>
    <m/>
    <s v="6. Mestiza(o)"/>
    <m/>
    <x v="5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HAY GENTE"/>
    <s v="EN LA MAÑANA ES MAS TRANQUILO"/>
    <m/>
    <m/>
    <x v="1"/>
    <x v="2"/>
    <x v="1"/>
    <x v="0"/>
    <x v="2"/>
    <x v="1"/>
    <x v="0"/>
    <x v="1"/>
    <s v="K"/>
    <n v="0"/>
    <n v="0"/>
    <n v="0"/>
    <n v="0"/>
    <n v="0"/>
    <n v="0"/>
    <n v="0"/>
    <n v="0"/>
    <n v="0"/>
    <n v="0"/>
    <n v="1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TRANQUILA POR LA RECREACION"/>
    <m/>
    <m/>
    <n v="82979930"/>
    <s v="a63d9285-2792-43cb-bbef-0b884c476abf"/>
    <d v="2025-04-06T20:51:43"/>
    <m/>
    <m/>
    <s v="submitted_via_web"/>
    <m/>
    <s v="vhGz9QPwmdkBybuGFUbzwe"/>
    <m/>
    <n v="257"/>
  </r>
  <r>
    <d v="2025-04-06T15:38:06"/>
    <d v="2025-04-06T15:43:58"/>
    <s v="AMC"/>
    <n v="382"/>
    <d v="2025-03-15T00:00:00"/>
    <n v="4"/>
    <s v="MQ"/>
    <s v="GH"/>
    <n v="28"/>
    <x v="0"/>
    <s v="2. Semanalmente"/>
    <n v="2"/>
    <n v="0"/>
    <n v="0"/>
    <n v="0"/>
    <n v="0"/>
    <x v="1"/>
    <s v="1. Sí"/>
    <m/>
    <s v="6. Mestiza(o)"/>
    <m/>
    <x v="3"/>
    <s v="2. Incompleta"/>
    <s v="1. Trabajar"/>
    <m/>
    <s v="99. NS/NC"/>
    <s v="5. Recreación/Ocio"/>
    <x v="1"/>
    <x v="0"/>
    <x v="0"/>
    <x v="0"/>
    <x v="1"/>
    <x v="0"/>
    <m/>
    <s v="3. Tarde (12:00 a 17:59)"/>
    <x v="0"/>
    <x v="1"/>
    <x v="1"/>
    <x v="0"/>
    <x v="1"/>
    <s v="8. Otro."/>
    <x v="0"/>
    <x v="0"/>
    <x v="0"/>
    <x v="1"/>
    <x v="0"/>
    <x v="0"/>
    <x v="1"/>
    <s v="SENDEROS"/>
    <x v="1"/>
    <x v="1"/>
    <x v="1"/>
    <s v="PORQUE HAY ZONAS DESOLADAS"/>
    <s v="PORQUE LOS VENDEDORES AMBULANTES RODEAN PARA VENDER"/>
    <s v="FALTA CONTROL POLICIAL"/>
    <m/>
    <x v="4"/>
    <x v="1"/>
    <x v="1"/>
    <x v="1"/>
    <x v="2"/>
    <x v="2"/>
    <x v="2"/>
    <x v="1"/>
    <s v="B E F"/>
    <n v="0"/>
    <n v="1"/>
    <n v="0"/>
    <n v="0"/>
    <n v="1"/>
    <n v="1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2"/>
    <x v="0"/>
    <x v="0"/>
    <x v="0"/>
    <x v="1"/>
    <x v="1"/>
    <x v="1"/>
    <x v="1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SE DESESTREZA"/>
    <m/>
    <m/>
    <n v="82979815"/>
    <s v="4405b934-6638-4af3-a862-2630d71df956"/>
    <d v="2025-04-06T20:44:00"/>
    <m/>
    <m/>
    <s v="submitted_via_web"/>
    <m/>
    <s v="vhGz9QPwmdkBybuGFUbzwe"/>
    <m/>
    <n v="255"/>
  </r>
  <r>
    <d v="2025-04-06T15:33:15"/>
    <d v="2025-04-06T15:38:06"/>
    <s v="AMC"/>
    <n v="383"/>
    <d v="2025-03-15T00:00:00"/>
    <n v="4"/>
    <s v="GB-CCH"/>
    <s v="GH"/>
    <n v="38"/>
    <x v="0"/>
    <s v="3. al menos 2 veces al mes"/>
    <n v="0"/>
    <n v="0"/>
    <n v="0"/>
    <n v="0"/>
    <n v="0"/>
    <x v="1"/>
    <s v="1. Sí"/>
    <m/>
    <s v="6. Mestiza(o)"/>
    <m/>
    <x v="5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HAY BASTANTE GENTE"/>
    <m/>
    <m/>
    <m/>
    <x v="4"/>
    <x v="2"/>
    <x v="2"/>
    <x v="1"/>
    <x v="0"/>
    <x v="3"/>
    <x v="4"/>
    <x v="1"/>
    <s v="E"/>
    <n v="0"/>
    <n v="0"/>
    <n v="0"/>
    <n v="0"/>
    <n v="1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CONTENTA POR DESPEJAR LA MENTE"/>
    <s v="BUEN AIRE POR LOS ARBOLES"/>
    <m/>
    <n v="82979760"/>
    <s v="b484e57b-3386-4088-ba5c-2a45fd885dbb"/>
    <d v="2025-04-06T20:38:08"/>
    <m/>
    <m/>
    <s v="submitted_via_web"/>
    <m/>
    <s v="vhGz9QPwmdkBybuGFUbzwe"/>
    <m/>
    <n v="253"/>
  </r>
  <r>
    <d v="2025-04-06T15:22:08"/>
    <d v="2025-04-06T15:27:58"/>
    <s v="AMC"/>
    <n v="385"/>
    <d v="2025-03-15T00:00:00"/>
    <n v="4"/>
    <s v="GB-CCH"/>
    <s v="GH"/>
    <n v="42"/>
    <x v="2"/>
    <s v="1. Diariamente"/>
    <n v="0"/>
    <n v="0"/>
    <n v="0"/>
    <n v="0"/>
    <n v="0"/>
    <x v="1"/>
    <s v="1. Sí"/>
    <m/>
    <s v="6. Mestiza(o)"/>
    <m/>
    <x v="1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2"/>
    <s v="4. Pistas para correr"/>
    <x v="0"/>
    <x v="0"/>
    <x v="0"/>
    <x v="0"/>
    <x v="0"/>
    <x v="0"/>
    <x v="0"/>
    <m/>
    <x v="1"/>
    <x v="1"/>
    <x v="0"/>
    <s v="BASTANTE SEGURIDAD"/>
    <s v="HAY BASTANTE GENTE"/>
    <m/>
    <m/>
    <x v="1"/>
    <x v="1"/>
    <x v="4"/>
    <x v="3"/>
    <x v="3"/>
    <x v="3"/>
    <x v="4"/>
    <x v="2"/>
    <s v="G L"/>
    <n v="0"/>
    <n v="0"/>
    <n v="0"/>
    <n v="0"/>
    <n v="0"/>
    <n v="0"/>
    <n v="1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2"/>
    <x v="1"/>
    <x v="1"/>
    <x v="0"/>
    <x v="0"/>
    <x v="0"/>
    <x v="0"/>
    <x v="0"/>
    <x v="0"/>
    <x v="0"/>
    <x v="2"/>
    <x v="1"/>
    <x v="1"/>
    <x v="1"/>
    <x v="3"/>
    <x v="0"/>
    <x v="0"/>
    <x v="0"/>
    <x v="0"/>
    <x v="0"/>
    <x v="0"/>
    <x v="0"/>
    <x v="0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TODO BIEN"/>
    <m/>
    <m/>
    <n v="82979310"/>
    <s v="08efa614-9083-446c-bd86-b963c9753a82"/>
    <d v="2025-04-06T20:28:01"/>
    <m/>
    <m/>
    <s v="submitted_via_web"/>
    <m/>
    <s v="vhGz9QPwmdkBybuGFUbzwe"/>
    <m/>
    <n v="251"/>
  </r>
  <r>
    <d v="2025-04-06T15:16:41"/>
    <d v="2025-04-06T15:22:08"/>
    <s v="AMC"/>
    <n v="386"/>
    <d v="2025-03-15T00:00:00"/>
    <n v="4"/>
    <s v="MQ"/>
    <s v="GH"/>
    <n v="36"/>
    <x v="0"/>
    <s v="1. Diariamente"/>
    <n v="0"/>
    <n v="0"/>
    <n v="0"/>
    <n v="0"/>
    <n v="0"/>
    <x v="1"/>
    <s v="1. Sí"/>
    <m/>
    <s v="6. Mestiza(o)"/>
    <m/>
    <x v="2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 3. Caminos de ciclismo 7. Áreas verdes 8. Otro."/>
    <x v="1"/>
    <x v="0"/>
    <x v="1"/>
    <x v="1"/>
    <x v="0"/>
    <x v="1"/>
    <x v="1"/>
    <s v="BASQUET"/>
    <x v="1"/>
    <x v="1"/>
    <x v="0"/>
    <s v="HAY GENTE"/>
    <s v="HAY MAS SEGURIDAD"/>
    <m/>
    <m/>
    <x v="1"/>
    <x v="2"/>
    <x v="2"/>
    <x v="1"/>
    <x v="0"/>
    <x v="3"/>
    <x v="1"/>
    <x v="2"/>
    <s v="F I J"/>
    <n v="0"/>
    <n v="0"/>
    <n v="0"/>
    <n v="0"/>
    <n v="0"/>
    <n v="1"/>
    <n v="0"/>
    <n v="0"/>
    <n v="1"/>
    <n v="1"/>
    <n v="0"/>
    <n v="0"/>
    <n v="0"/>
    <x v="2"/>
    <x v="0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1"/>
    <x v="2"/>
    <x v="0"/>
    <x v="0"/>
    <x v="0"/>
    <x v="2"/>
    <x v="1"/>
    <x v="1"/>
    <x v="0"/>
    <x v="0"/>
    <x v="0"/>
    <x v="0"/>
    <x v="0"/>
    <x v="0"/>
    <x v="0"/>
    <x v="0"/>
    <x v="0"/>
    <x v="0"/>
    <x v="0"/>
    <x v="2"/>
    <x v="1"/>
    <x v="1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0"/>
    <x v="1"/>
    <x v="2"/>
    <x v="0"/>
    <x v="0"/>
    <x v="0"/>
    <x v="0"/>
    <x v="0"/>
    <x v="0"/>
    <x v="0"/>
    <x v="0"/>
    <x v="0"/>
    <x v="0"/>
    <x v="0"/>
    <x v="0"/>
    <m/>
    <s v="CONFIANZA DE VENIR"/>
    <s v="CUIDADOR DE PARQUE MOTIVA HACER DEPORTE"/>
    <m/>
    <n v="82978964"/>
    <s v="5204ff97-5231-4a07-b055-ade0237869b5"/>
    <d v="2025-04-06T20:22:10"/>
    <m/>
    <m/>
    <s v="submitted_via_web"/>
    <m/>
    <s v="vhGz9QPwmdkBybuGFUbzwe"/>
    <m/>
    <n v="250"/>
  </r>
  <r>
    <d v="2025-04-06T15:11:05"/>
    <d v="2025-04-06T15:16:41"/>
    <s v="AMC"/>
    <n v="387"/>
    <d v="2025-03-15T00:00:00"/>
    <n v="3"/>
    <s v="GP-RQ"/>
    <s v="MJM"/>
    <n v="25"/>
    <x v="3"/>
    <s v="3. al menos 2 veces al mes"/>
    <n v="0"/>
    <n v="0"/>
    <n v="0"/>
    <n v="0"/>
    <n v="0"/>
    <x v="1"/>
    <s v="1. Sí"/>
    <m/>
    <s v="6. Mestiza(o)"/>
    <m/>
    <x v="0"/>
    <s v="1. Completa"/>
    <s v="6. No trabaja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1"/>
    <s v="POR LA DELINCUENCIA"/>
    <s v="LUGARES DESOLADOS"/>
    <s v="FALTA DE PERSONAL DE SEGURIDAD"/>
    <m/>
    <x v="2"/>
    <x v="1"/>
    <x v="1"/>
    <x v="2"/>
    <x v="1"/>
    <x v="1"/>
    <x v="1"/>
    <x v="1"/>
    <s v="C L"/>
    <n v="0"/>
    <n v="0"/>
    <n v="1"/>
    <n v="0"/>
    <n v="0"/>
    <n v="0"/>
    <n v="0"/>
    <n v="0"/>
    <n v="0"/>
    <n v="0"/>
    <n v="0"/>
    <n v="1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1"/>
    <x v="3"/>
    <x v="1"/>
    <x v="2"/>
    <x v="0"/>
    <x v="0"/>
    <x v="0"/>
    <x v="0"/>
    <x v="0"/>
    <x v="0"/>
    <x v="1"/>
    <x v="1"/>
    <x v="0"/>
    <x v="0"/>
    <x v="1"/>
    <x v="1"/>
    <x v="0"/>
    <x v="1"/>
    <x v="0"/>
    <x v="2"/>
    <x v="0"/>
    <x v="0"/>
    <x v="0"/>
    <x v="3"/>
    <x v="1"/>
    <s v="OBLIGACION A COMPRAR POR INFORMALES"/>
    <x v="2"/>
    <x v="0"/>
    <x v="3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CUANDO HAY GENTE MUY SEGURA"/>
    <s v="TRANQUILIDAD"/>
    <s v="SE DESESTREZA"/>
    <n v="82978847"/>
    <s v="8dce0ed0-441e-4ffd-97ff-ddafbab8ccf9"/>
    <d v="2025-04-06T20:16:43"/>
    <m/>
    <m/>
    <s v="submitted_via_web"/>
    <m/>
    <s v="vhGz9QPwmdkBybuGFUbzwe"/>
    <m/>
    <n v="249"/>
  </r>
  <r>
    <d v="2025-04-11T07:45:01"/>
    <d v="2025-04-11T07:48:19"/>
    <s v="GH"/>
    <n v="387"/>
    <d v="2025-03-15T00:00:00"/>
    <n v="4"/>
    <s v="GB-CCH"/>
    <s v="GH"/>
    <n v="35"/>
    <x v="0"/>
    <s v="3. al menos 2 veces al mes"/>
    <n v="2"/>
    <n v="0"/>
    <n v="0"/>
    <n v="0"/>
    <n v="0"/>
    <x v="1"/>
    <s v="1. Sí"/>
    <m/>
    <s v="6. Mestiza(o)"/>
    <m/>
    <x v="0"/>
    <s v="1. Completa"/>
    <s v="1. Trabajar"/>
    <m/>
    <s v="99. NS/NC"/>
    <s v="5. Recreación/Ocio"/>
    <x v="1"/>
    <x v="0"/>
    <x v="0"/>
    <x v="0"/>
    <x v="1"/>
    <x v="0"/>
    <m/>
    <s v="2. Mañana  (06:00 a 11:59) 3. Tarde (12:00 a 17:59)"/>
    <x v="0"/>
    <x v="0"/>
    <x v="1"/>
    <x v="0"/>
    <x v="0"/>
    <s v="7. Áreas verdes"/>
    <x v="0"/>
    <x v="0"/>
    <x v="0"/>
    <x v="1"/>
    <x v="0"/>
    <x v="1"/>
    <x v="0"/>
    <m/>
    <x v="1"/>
    <x v="1"/>
    <x v="0"/>
    <s v="HAY MÁS POLICIA"/>
    <m/>
    <m/>
    <m/>
    <x v="0"/>
    <x v="2"/>
    <x v="4"/>
    <x v="3"/>
    <x v="0"/>
    <x v="3"/>
    <x v="4"/>
    <x v="1"/>
    <s v="L"/>
    <n v="0"/>
    <n v="0"/>
    <n v="0"/>
    <n v="0"/>
    <n v="0"/>
    <n v="0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2"/>
    <x v="0"/>
    <x v="1"/>
    <x v="1"/>
    <x v="0"/>
    <x v="0"/>
    <x v="0"/>
    <x v="0"/>
    <m/>
    <s v="TRANQUILA Y SEGURA"/>
    <m/>
    <m/>
    <n v="83508759"/>
    <s v="cfd5e948-19d1-4908-bc7f-ce3bb06a10ed"/>
    <d v="2025-04-11T12:48:19"/>
    <m/>
    <m/>
    <s v="submitted_via_web"/>
    <m/>
    <s v="v5uNQoYdGp6CCoWUMSjVDf"/>
    <m/>
    <n v="467"/>
  </r>
  <r>
    <d v="2025-04-06T15:06:39"/>
    <d v="2025-04-06T15:11:05"/>
    <s v="AMC"/>
    <n v="388"/>
    <d v="2025-03-15T00:00:00"/>
    <n v="3"/>
    <s v="GP-RQ"/>
    <s v="MJM"/>
    <n v="23"/>
    <x v="3"/>
    <s v="2. Semanalmente"/>
    <n v="0"/>
    <n v="0"/>
    <n v="0"/>
    <n v="0"/>
    <n v="0"/>
    <x v="1"/>
    <s v="1. Sí"/>
    <m/>
    <s v="6. Mestiza(o)"/>
    <m/>
    <x v="3"/>
    <s v="2. In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1"/>
    <x v="1"/>
    <x v="0"/>
    <s v="HAY CONTROL DE SEGURIDAD"/>
    <s v="MUCHA GENTE"/>
    <s v="MUCHAS AREAS DE RECREACION"/>
    <m/>
    <x v="1"/>
    <x v="2"/>
    <x v="1"/>
    <x v="1"/>
    <x v="0"/>
    <x v="2"/>
    <x v="1"/>
    <x v="1"/>
    <s v="C E"/>
    <n v="0"/>
    <n v="0"/>
    <n v="1"/>
    <n v="0"/>
    <n v="1"/>
    <n v="0"/>
    <n v="0"/>
    <n v="0"/>
    <n v="0"/>
    <n v="0"/>
    <n v="0"/>
    <n v="0"/>
    <n v="0"/>
    <x v="1"/>
    <x v="2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1"/>
    <x v="1"/>
    <x v="0"/>
    <x v="0"/>
    <x v="0"/>
    <x v="0"/>
    <m/>
    <s v="TRANQUILIDAD"/>
    <s v="ALEGRIA"/>
    <s v="SEGURA POR PRESENCIA DE GENTE"/>
    <n v="82978346"/>
    <s v="fd66b88a-67ef-4d3d-866b-0739989ab490"/>
    <d v="2025-04-06T20:11:07"/>
    <m/>
    <m/>
    <s v="submitted_via_web"/>
    <m/>
    <s v="vhGz9QPwmdkBybuGFUbzwe"/>
    <m/>
    <n v="248"/>
  </r>
  <r>
    <d v="2025-04-06T15:01:35"/>
    <d v="2025-04-06T15:06:39"/>
    <s v="AMC"/>
    <n v="389"/>
    <d v="2025-03-15T00:00:00"/>
    <n v="3"/>
    <s v="GP-RQ"/>
    <s v="MJM"/>
    <n v="65"/>
    <x v="1"/>
    <s v="1. Diariamente"/>
    <n v="0"/>
    <n v="0"/>
    <n v="0"/>
    <n v="0"/>
    <n v="0"/>
    <x v="0"/>
    <s v="2. No"/>
    <s v="EEUU"/>
    <s v="7. Blanca(o)"/>
    <m/>
    <x v="2"/>
    <s v="1. Completa"/>
    <s v="3. Es jubilada/o o pensionista/o"/>
    <m/>
    <s v="2. de $471 a $919"/>
    <s v="5. Recreación/Ocio"/>
    <x v="1"/>
    <x v="0"/>
    <x v="0"/>
    <x v="0"/>
    <x v="1"/>
    <x v="0"/>
    <m/>
    <s v="1. Madrugada (00:00 a 05:59) 3. Tarde (12:00 a 17:59) 4. Noche  (18:00 a 23:59)"/>
    <x v="1"/>
    <x v="1"/>
    <x v="1"/>
    <x v="1"/>
    <x v="2"/>
    <s v="3. Caminos de ciclismo 7. Áreas verdes"/>
    <x v="0"/>
    <x v="0"/>
    <x v="1"/>
    <x v="1"/>
    <x v="0"/>
    <x v="1"/>
    <x v="0"/>
    <m/>
    <x v="1"/>
    <x v="2"/>
    <x v="3"/>
    <s v="PRESENCIA DE VENEZOLANOS"/>
    <s v="PRESENCIA DE INDIGENTES"/>
    <s v="POR DELINCUENCIA"/>
    <m/>
    <x v="2"/>
    <x v="4"/>
    <x v="3"/>
    <x v="5"/>
    <x v="0"/>
    <x v="1"/>
    <x v="1"/>
    <x v="1"/>
    <s v="A C F G"/>
    <n v="1"/>
    <n v="0"/>
    <n v="1"/>
    <n v="0"/>
    <n v="0"/>
    <n v="1"/>
    <n v="1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3"/>
    <x v="1"/>
    <x v="3"/>
    <x v="0"/>
    <x v="3"/>
    <x v="1"/>
    <x v="2"/>
    <x v="0"/>
    <x v="0"/>
    <x v="0"/>
    <x v="3"/>
    <x v="1"/>
    <x v="2"/>
    <x v="0"/>
    <x v="0"/>
    <x v="1"/>
    <x v="3"/>
    <x v="0"/>
    <x v="0"/>
    <x v="0"/>
    <x v="0"/>
    <x v="0"/>
    <x v="3"/>
    <x v="0"/>
    <x v="2"/>
    <x v="0"/>
    <x v="0"/>
    <x v="0"/>
    <x v="2"/>
    <x v="0"/>
    <m/>
    <x v="0"/>
    <x v="0"/>
    <x v="3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INSEGURIDAD"/>
    <s v="ASUSTADA"/>
    <s v="NERVIOSA"/>
    <n v="82977923"/>
    <s v="58a179c4-e76e-49d5-b27f-2bf547b906e7"/>
    <d v="2025-04-06T20:06:41"/>
    <m/>
    <m/>
    <s v="submitted_via_web"/>
    <m/>
    <s v="vhGz9QPwmdkBybuGFUbzwe"/>
    <m/>
    <n v="247"/>
  </r>
  <r>
    <d v="2025-04-06T14:57:07"/>
    <d v="2025-04-06T15:01:35"/>
    <s v="AMC"/>
    <n v="390"/>
    <d v="2025-03-15T00:00:00"/>
    <n v="3"/>
    <s v="GP-RQ"/>
    <s v="MJM"/>
    <n v="77"/>
    <x v="1"/>
    <s v="2. Semanalmente"/>
    <n v="0"/>
    <n v="0"/>
    <n v="0"/>
    <n v="0"/>
    <n v="0"/>
    <x v="0"/>
    <s v="1. Sí"/>
    <m/>
    <s v="6. Mestiza(o)"/>
    <m/>
    <x v="5"/>
    <s v="1. Completa"/>
    <s v="1. Trabajar"/>
    <m/>
    <s v="1. Menos de $470"/>
    <s v="5. Recreación/Ocio"/>
    <x v="1"/>
    <x v="0"/>
    <x v="0"/>
    <x v="0"/>
    <x v="1"/>
    <x v="0"/>
    <m/>
    <s v="3. Tarde (12:00 a 17:59)"/>
    <x v="0"/>
    <x v="1"/>
    <x v="1"/>
    <x v="0"/>
    <x v="0"/>
    <s v="8. Otro."/>
    <x v="0"/>
    <x v="0"/>
    <x v="0"/>
    <x v="1"/>
    <x v="0"/>
    <x v="0"/>
    <x v="1"/>
    <s v="LAGUNA"/>
    <x v="1"/>
    <x v="1"/>
    <x v="0"/>
    <s v="HAY GENTE"/>
    <s v="POLICIA"/>
    <s v="TRANQUILIDAD"/>
    <m/>
    <x v="0"/>
    <x v="1"/>
    <x v="2"/>
    <x v="1"/>
    <x v="0"/>
    <x v="3"/>
    <x v="1"/>
    <x v="1"/>
    <s v="A"/>
    <n v="1"/>
    <n v="0"/>
    <n v="0"/>
    <n v="0"/>
    <n v="0"/>
    <n v="0"/>
    <n v="0"/>
    <n v="0"/>
    <n v="0"/>
    <n v="0"/>
    <n v="0"/>
    <n v="0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0"/>
    <x v="1"/>
    <x v="3"/>
    <x v="0"/>
    <x v="0"/>
    <x v="1"/>
    <x v="1"/>
    <x v="0"/>
    <x v="0"/>
    <x v="0"/>
    <x v="0"/>
    <x v="0"/>
    <x v="0"/>
    <x v="0"/>
    <x v="0"/>
    <x v="1"/>
    <x v="2"/>
    <x v="0"/>
    <x v="1"/>
    <x v="1"/>
    <x v="1"/>
    <x v="0"/>
    <x v="0"/>
    <x v="1"/>
    <x v="1"/>
    <x v="0"/>
    <m/>
    <x v="0"/>
    <x v="0"/>
    <x v="2"/>
    <x v="0"/>
    <x v="0"/>
    <m/>
    <x v="0"/>
    <x v="0"/>
    <x v="0"/>
    <x v="0"/>
    <x v="0"/>
    <m/>
    <x v="0"/>
    <m/>
    <x v="0"/>
    <x v="0"/>
    <x v="0"/>
    <x v="0"/>
    <x v="0"/>
    <x v="0"/>
    <x v="1"/>
    <x v="2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A GUSTO"/>
    <s v="DISFRUTA"/>
    <s v="SE SIENTE BIEN"/>
    <n v="82977697"/>
    <s v="13d4b9af-979d-4fc5-81e7-9a7ffcbef5aa"/>
    <d v="2025-04-06T20:01:37"/>
    <m/>
    <m/>
    <s v="submitted_via_web"/>
    <m/>
    <s v="vhGz9QPwmdkBybuGFUbzwe"/>
    <m/>
    <n v="246"/>
  </r>
  <r>
    <d v="2025-04-06T14:51:28"/>
    <d v="2025-04-06T14:57:07"/>
    <s v="AMC"/>
    <n v="391"/>
    <d v="2025-03-15T00:00:00"/>
    <n v="3"/>
    <s v="GP-RP"/>
    <s v="MJM"/>
    <n v="32"/>
    <x v="0"/>
    <s v="2. Semanalmente"/>
    <n v="0"/>
    <n v="0"/>
    <n v="0"/>
    <n v="0"/>
    <n v="0"/>
    <x v="0"/>
    <s v="1. Sí"/>
    <m/>
    <s v="6. Mestiza(o)"/>
    <m/>
    <x v="3"/>
    <s v="1. Completa"/>
    <s v="1. Trabajar"/>
    <m/>
    <s v="3. de $920 a $1339"/>
    <s v="1. Deporte / ejercicio 4. De paso 5. Recreación/Ocio"/>
    <x v="0"/>
    <x v="0"/>
    <x v="0"/>
    <x v="1"/>
    <x v="1"/>
    <x v="0"/>
    <m/>
    <s v="2. Mañana  (06:00 a 11:59) 3. Tarde (12:00 a 17:59)"/>
    <x v="0"/>
    <x v="0"/>
    <x v="1"/>
    <x v="0"/>
    <x v="3"/>
    <s v="4. Pistas para correr 6. Área para perros"/>
    <x v="0"/>
    <x v="0"/>
    <x v="0"/>
    <x v="0"/>
    <x v="1"/>
    <x v="0"/>
    <x v="0"/>
    <m/>
    <x v="1"/>
    <x v="1"/>
    <x v="0"/>
    <s v="VIENE ACOMPAÑADO"/>
    <s v="PRESENCIA DE AGENTES DE CONTROL"/>
    <s v="EVITA CAMINAR SOBRE LUGARES DESOLADOS"/>
    <m/>
    <x v="1"/>
    <x v="1"/>
    <x v="1"/>
    <x v="2"/>
    <x v="4"/>
    <x v="3"/>
    <x v="1"/>
    <x v="1"/>
    <s v="A E"/>
    <n v="1"/>
    <n v="0"/>
    <n v="0"/>
    <n v="0"/>
    <n v="1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0"/>
    <x v="2"/>
    <x v="1"/>
    <x v="1"/>
    <x v="0"/>
    <x v="0"/>
    <x v="0"/>
    <x v="2"/>
    <x v="0"/>
    <x v="0"/>
    <x v="0"/>
    <x v="0"/>
    <x v="0"/>
    <x v="0"/>
    <x v="0"/>
    <x v="0"/>
    <x v="1"/>
    <x v="2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2"/>
    <x v="0"/>
    <x v="0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EMOCION"/>
    <s v="TRANQUILIDAD"/>
    <s v="FELIZ"/>
    <n v="82977644"/>
    <s v="8d2b6a8f-12cc-402d-b793-4546996029cc"/>
    <d v="2025-04-06T19:57:09"/>
    <m/>
    <m/>
    <s v="submitted_via_web"/>
    <m/>
    <s v="vhGz9QPwmdkBybuGFUbzwe"/>
    <m/>
    <n v="245"/>
  </r>
  <r>
    <d v="2025-04-06T14:47:21"/>
    <d v="2025-04-06T14:51:28"/>
    <s v="AMC"/>
    <n v="392"/>
    <d v="2025-03-15T00:00:00"/>
    <n v="3"/>
    <s v="GP-CP"/>
    <s v="MJM"/>
    <n v="22"/>
    <x v="3"/>
    <s v="2. Semanalmente"/>
    <n v="0"/>
    <n v="0"/>
    <n v="0"/>
    <n v="0"/>
    <n v="1"/>
    <x v="1"/>
    <s v="1. Sí"/>
    <m/>
    <s v="6. Mestiza(o)"/>
    <m/>
    <x v="1"/>
    <s v="1. Completa"/>
    <s v="4. Es estudiante"/>
    <m/>
    <s v="1. Menos de $470"/>
    <s v="5. Recreación/Ocio"/>
    <x v="1"/>
    <x v="0"/>
    <x v="0"/>
    <x v="0"/>
    <x v="1"/>
    <x v="0"/>
    <m/>
    <s v="3. Tarde (12:00 a 17:59)"/>
    <x v="0"/>
    <x v="1"/>
    <x v="1"/>
    <x v="0"/>
    <x v="3"/>
    <s v="7. Áreas verdes"/>
    <x v="0"/>
    <x v="0"/>
    <x v="0"/>
    <x v="1"/>
    <x v="0"/>
    <x v="1"/>
    <x v="0"/>
    <m/>
    <x v="1"/>
    <x v="2"/>
    <x v="0"/>
    <s v="NO HA PRESENTADO UN ATRACO"/>
    <m/>
    <m/>
    <m/>
    <x v="4"/>
    <x v="2"/>
    <x v="2"/>
    <x v="0"/>
    <x v="0"/>
    <x v="3"/>
    <x v="4"/>
    <x v="2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1"/>
    <x v="1"/>
    <x v="0"/>
    <x v="0"/>
    <x v="1"/>
    <x v="1"/>
    <x v="1"/>
    <x v="2"/>
    <x v="0"/>
    <x v="0"/>
    <x v="1"/>
    <x v="3"/>
    <x v="0"/>
    <x v="0"/>
    <x v="0"/>
    <x v="0"/>
    <x v="0"/>
    <x v="0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0"/>
    <x v="0"/>
    <x v="0"/>
    <x v="1"/>
    <x v="1"/>
    <x v="1"/>
    <x v="1"/>
    <x v="1"/>
    <x v="1"/>
    <x v="0"/>
    <x v="0"/>
    <x v="0"/>
    <x v="0"/>
    <x v="0"/>
    <x v="0"/>
    <m/>
    <s v="TRANQUILIDAD Y ARMONIA"/>
    <s v="DISTRACCION"/>
    <m/>
    <n v="82977519"/>
    <s v="89707696-1471-488d-92e1-41f99f815495"/>
    <d v="2025-04-06T19:51:29"/>
    <m/>
    <m/>
    <s v="submitted_via_web"/>
    <m/>
    <s v="vhGz9QPwmdkBybuGFUbzwe"/>
    <m/>
    <n v="244"/>
  </r>
  <r>
    <d v="2025-04-06T14:38:54"/>
    <d v="2025-04-06T14:43:10"/>
    <s v="AMC"/>
    <n v="394"/>
    <d v="2025-03-15T00:00:00"/>
    <n v="3"/>
    <s v="GP-CP"/>
    <s v="MJM"/>
    <n v="53"/>
    <x v="2"/>
    <s v="2. Semanalmente"/>
    <n v="0"/>
    <n v="0"/>
    <n v="0"/>
    <n v="0"/>
    <n v="0"/>
    <x v="0"/>
    <s v="2. No"/>
    <s v="VENEZOLANA"/>
    <s v="6. Mestiza(o)"/>
    <m/>
    <x v="0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0"/>
    <x v="0"/>
    <x v="0"/>
    <s v="NO HA TENIDO ATRACOS"/>
    <m/>
    <m/>
    <m/>
    <x v="0"/>
    <x v="2"/>
    <x v="0"/>
    <x v="1"/>
    <x v="0"/>
    <x v="3"/>
    <x v="0"/>
    <x v="0"/>
    <s v="L"/>
    <n v="0"/>
    <n v="0"/>
    <n v="0"/>
    <n v="0"/>
    <n v="0"/>
    <n v="0"/>
    <n v="0"/>
    <n v="0"/>
    <n v="0"/>
    <n v="0"/>
    <n v="0"/>
    <n v="1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1"/>
    <x v="1"/>
    <x v="1"/>
    <x v="0"/>
    <x v="1"/>
    <x v="2"/>
    <x v="1"/>
    <x v="1"/>
    <x v="0"/>
    <x v="1"/>
    <x v="2"/>
    <x v="0"/>
    <x v="1"/>
    <x v="1"/>
    <x v="1"/>
    <x v="1"/>
    <x v="2"/>
    <x v="0"/>
    <x v="1"/>
    <x v="1"/>
    <x v="0"/>
    <x v="1"/>
    <x v="1"/>
    <x v="0"/>
    <m/>
    <s v="SE SIENTE RELAJADO"/>
    <s v="DISFRUTA DE LAS AREAS VERDES"/>
    <m/>
    <n v="82977088"/>
    <s v="286f4fbe-0341-44ee-9520-1e3d376848d2"/>
    <d v="2025-04-06T19:43:11"/>
    <m/>
    <m/>
    <s v="submitted_via_web"/>
    <m/>
    <s v="vhGz9QPwmdkBybuGFUbzwe"/>
    <m/>
    <n v="242"/>
  </r>
  <r>
    <d v="2025-04-06T14:33:50"/>
    <d v="2025-04-06T14:38:54"/>
    <s v="AMC"/>
    <n v="395"/>
    <d v="2025-03-15T00:00:00"/>
    <n v="3"/>
    <s v="GD-GP"/>
    <s v="MJM"/>
    <n v="43"/>
    <x v="2"/>
    <s v="2. Semanalmente"/>
    <n v="1"/>
    <n v="0"/>
    <n v="0"/>
    <n v="0"/>
    <n v="0"/>
    <x v="0"/>
    <s v="2. No"/>
    <s v="PERUANA"/>
    <s v="1. Indígena"/>
    <m/>
    <x v="2"/>
    <s v="2. Incompleta"/>
    <s v="4. Es estudiante"/>
    <m/>
    <s v="1. Menos de $470"/>
    <s v="1. Deporte / ejercicio 5. Recreación/Ocio"/>
    <x v="0"/>
    <x v="0"/>
    <x v="0"/>
    <x v="0"/>
    <x v="1"/>
    <x v="0"/>
    <m/>
    <s v="2. Mañana  (06:00 a 11:59)"/>
    <x v="0"/>
    <x v="0"/>
    <x v="0"/>
    <x v="0"/>
    <x v="1"/>
    <s v="4. Pistas para correr 7. Áreas verdes"/>
    <x v="0"/>
    <x v="0"/>
    <x v="0"/>
    <x v="0"/>
    <x v="0"/>
    <x v="1"/>
    <x v="0"/>
    <m/>
    <x v="0"/>
    <x v="0"/>
    <x v="0"/>
    <s v="NO HA TENIDO ATRACOS NI FALTAS DE RESPETO"/>
    <m/>
    <m/>
    <m/>
    <x v="4"/>
    <x v="2"/>
    <x v="2"/>
    <x v="1"/>
    <x v="0"/>
    <x v="3"/>
    <x v="0"/>
    <x v="1"/>
    <s v="Ninguno"/>
    <n v="0"/>
    <n v="0"/>
    <n v="0"/>
    <n v="0"/>
    <n v="0"/>
    <n v="0"/>
    <n v="0"/>
    <n v="0"/>
    <n v="0"/>
    <n v="0"/>
    <n v="0"/>
    <n v="0"/>
    <n v="1"/>
    <x v="3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1"/>
    <x v="1"/>
    <x v="0"/>
    <x v="0"/>
    <x v="0"/>
    <x v="0"/>
    <m/>
    <s v="SE SIENTE SEGURO"/>
    <m/>
    <m/>
    <n v="82976824"/>
    <s v="8a0c6368-5273-40e7-a06f-94ad8fe529e8"/>
    <d v="2025-04-06T19:38:56"/>
    <m/>
    <m/>
    <s v="submitted_via_web"/>
    <m/>
    <s v="vhGz9QPwmdkBybuGFUbzwe"/>
    <m/>
    <n v="240"/>
  </r>
  <r>
    <d v="2025-04-06T14:29:14"/>
    <d v="2025-04-06T14:33:50"/>
    <s v="AMC"/>
    <n v="396"/>
    <d v="2025-03-15T00:00:00"/>
    <n v="3"/>
    <s v="GP-GP"/>
    <s v="MJM"/>
    <n v="24"/>
    <x v="3"/>
    <s v="2. Semanalmente"/>
    <n v="0"/>
    <n v="0"/>
    <n v="0"/>
    <n v="0"/>
    <n v="0"/>
    <x v="0"/>
    <s v="1. Sí"/>
    <m/>
    <s v="3. Negra(o)"/>
    <m/>
    <x v="1"/>
    <s v="1. Completa"/>
    <s v="1. Trabajar"/>
    <m/>
    <s v="2. de $471 a $919"/>
    <s v="1. Deporte / ejercicio"/>
    <x v="0"/>
    <x v="0"/>
    <x v="0"/>
    <x v="0"/>
    <x v="0"/>
    <x v="0"/>
    <m/>
    <s v="3. Tarde (12:00 a 17:59)"/>
    <x v="0"/>
    <x v="1"/>
    <x v="1"/>
    <x v="0"/>
    <x v="0"/>
    <s v="7. Áreas verdes"/>
    <x v="0"/>
    <x v="0"/>
    <x v="0"/>
    <x v="1"/>
    <x v="0"/>
    <x v="1"/>
    <x v="0"/>
    <m/>
    <x v="0"/>
    <x v="0"/>
    <x v="2"/>
    <s v="NO VE NINGUN PELIGRO"/>
    <m/>
    <m/>
    <m/>
    <x v="0"/>
    <x v="2"/>
    <x v="1"/>
    <x v="1"/>
    <x v="0"/>
    <x v="3"/>
    <x v="4"/>
    <x v="1"/>
    <s v="C"/>
    <n v="0"/>
    <n v="0"/>
    <n v="1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0"/>
    <x v="0"/>
    <x v="0"/>
    <x v="0"/>
    <x v="0"/>
    <x v="0"/>
    <x v="0"/>
    <x v="0"/>
    <x v="0"/>
    <m/>
    <s v="INSEGURIDAD"/>
    <s v="DISTRACCION"/>
    <m/>
    <n v="82976483"/>
    <s v="00e8b1c8-752c-4c53-b4af-5b66700051f3"/>
    <d v="2025-04-06T19:33:52"/>
    <m/>
    <m/>
    <s v="submitted_via_web"/>
    <m/>
    <s v="vhGz9QPwmdkBybuGFUbzwe"/>
    <m/>
    <n v="239"/>
  </r>
  <r>
    <d v="2025-04-06T14:23:16"/>
    <d v="2025-04-06T14:29:14"/>
    <s v="AMC"/>
    <n v="397"/>
    <d v="2025-03-15T00:00:00"/>
    <n v="3"/>
    <s v="AS"/>
    <s v="MJM"/>
    <n v="56"/>
    <x v="1"/>
    <s v="1. Diariamente"/>
    <n v="0"/>
    <n v="1"/>
    <n v="0"/>
    <n v="0"/>
    <n v="0"/>
    <x v="1"/>
    <s v="1. Sí"/>
    <m/>
    <s v="5. Montubia(o)"/>
    <m/>
    <x v="0"/>
    <s v="1. Completa"/>
    <s v="1. Trabajar"/>
    <m/>
    <s v="4. de $1340 a $1839"/>
    <s v="4. De paso"/>
    <x v="1"/>
    <x v="0"/>
    <x v="0"/>
    <x v="1"/>
    <x v="0"/>
    <x v="0"/>
    <m/>
    <s v="3. Tarde (12:00 a 17:59)"/>
    <x v="0"/>
    <x v="1"/>
    <x v="1"/>
    <x v="0"/>
    <x v="3"/>
    <s v="6. Área para perros 7. Áreas verdes"/>
    <x v="0"/>
    <x v="0"/>
    <x v="0"/>
    <x v="1"/>
    <x v="1"/>
    <x v="1"/>
    <x v="0"/>
    <m/>
    <x v="1"/>
    <x v="1"/>
    <x v="1"/>
    <s v="MUCHA GENTE MALA"/>
    <m/>
    <m/>
    <m/>
    <x v="1"/>
    <x v="1"/>
    <x v="1"/>
    <x v="0"/>
    <x v="2"/>
    <x v="2"/>
    <x v="0"/>
    <x v="0"/>
    <s v="J"/>
    <n v="0"/>
    <n v="0"/>
    <n v="0"/>
    <n v="0"/>
    <n v="0"/>
    <n v="0"/>
    <n v="0"/>
    <n v="0"/>
    <n v="0"/>
    <n v="1"/>
    <n v="0"/>
    <n v="0"/>
    <n v="0"/>
    <x v="2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1"/>
    <x v="2"/>
    <x v="0"/>
    <x v="0"/>
    <x v="0"/>
    <x v="2"/>
    <x v="0"/>
    <x v="0"/>
    <x v="0"/>
    <x v="0"/>
    <x v="1"/>
    <x v="2"/>
    <x v="0"/>
    <x v="0"/>
    <x v="0"/>
    <x v="0"/>
    <x v="0"/>
    <x v="0"/>
    <x v="0"/>
    <x v="0"/>
    <x v="0"/>
    <x v="0"/>
    <x v="0"/>
    <x v="3"/>
    <x v="0"/>
    <m/>
    <x v="0"/>
    <x v="0"/>
    <x v="0"/>
    <x v="0"/>
    <x v="0"/>
    <m/>
    <x v="0"/>
    <x v="0"/>
    <x v="0"/>
    <x v="0"/>
    <x v="0"/>
    <m/>
    <x v="0"/>
    <m/>
    <x v="0"/>
    <x v="2"/>
    <x v="2"/>
    <x v="0"/>
    <x v="2"/>
    <x v="2"/>
    <x v="0"/>
    <x v="0"/>
    <x v="0"/>
    <x v="0"/>
    <x v="1"/>
    <x v="2"/>
    <x v="1"/>
    <x v="1"/>
    <x v="0"/>
    <x v="0"/>
    <x v="1"/>
    <x v="2"/>
    <x v="1"/>
    <x v="1"/>
    <x v="1"/>
    <x v="1"/>
    <x v="1"/>
    <x v="2"/>
    <x v="1"/>
    <x v="2"/>
    <x v="2"/>
    <x v="0"/>
    <x v="0"/>
    <x v="0"/>
    <m/>
    <s v="NERVIOS"/>
    <s v="DESESPERA"/>
    <s v="ANSIEDAD Y TEMOR EN LAS NOCHES"/>
    <n v="82976414"/>
    <s v="e37136f4-9de1-4c66-9165-a4672a808f89"/>
    <d v="2025-04-06T19:29:15"/>
    <m/>
    <m/>
    <s v="submitted_via_web"/>
    <m/>
    <s v="vhGz9QPwmdkBybuGFUbzwe"/>
    <m/>
    <n v="238"/>
  </r>
  <r>
    <d v="2025-04-06T14:18:30"/>
    <d v="2025-04-06T14:23:16"/>
    <s v="AMC"/>
    <n v="398"/>
    <d v="2025-03-15T00:00:00"/>
    <n v="3"/>
    <s v="AS"/>
    <s v="MJM"/>
    <n v="75"/>
    <x v="1"/>
    <s v="2. Semanalmente"/>
    <n v="1"/>
    <n v="0"/>
    <n v="0"/>
    <n v="0"/>
    <n v="0"/>
    <x v="1"/>
    <s v="1. Sí"/>
    <m/>
    <s v="6. Mestiza(o)"/>
    <m/>
    <x v="2"/>
    <s v="1. Completa"/>
    <s v="1. Trabajar"/>
    <m/>
    <s v="4. de $1340 a $1839"/>
    <s v="6. Otra"/>
    <x v="1"/>
    <x v="0"/>
    <x v="0"/>
    <x v="0"/>
    <x v="0"/>
    <x v="1"/>
    <s v="CAMINAR"/>
    <s v="2. Mañana  (06:00 a 11:59)"/>
    <x v="0"/>
    <x v="0"/>
    <x v="0"/>
    <x v="0"/>
    <x v="2"/>
    <s v="4. Pistas para correr 7. Áreas verdes"/>
    <x v="0"/>
    <x v="0"/>
    <x v="0"/>
    <x v="0"/>
    <x v="0"/>
    <x v="1"/>
    <x v="0"/>
    <m/>
    <x v="1"/>
    <x v="1"/>
    <x v="1"/>
    <s v="PERSONAS MALAS"/>
    <s v="FALTA DE PATRULLAJE POLICIAL"/>
    <m/>
    <m/>
    <x v="1"/>
    <x v="0"/>
    <x v="1"/>
    <x v="0"/>
    <x v="0"/>
    <x v="3"/>
    <x v="2"/>
    <x v="0"/>
    <s v="Ninguno"/>
    <n v="0"/>
    <n v="0"/>
    <n v="0"/>
    <n v="0"/>
    <n v="0"/>
    <n v="0"/>
    <n v="0"/>
    <n v="0"/>
    <n v="0"/>
    <n v="0"/>
    <n v="0"/>
    <n v="0"/>
    <n v="1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2"/>
    <x v="1"/>
    <x v="2"/>
    <x v="1"/>
    <x v="1"/>
    <x v="0"/>
    <x v="0"/>
    <x v="0"/>
    <x v="0"/>
    <x v="0"/>
    <x v="0"/>
    <x v="0"/>
    <x v="0"/>
    <x v="1"/>
    <x v="2"/>
    <x v="0"/>
    <x v="0"/>
    <x v="0"/>
    <x v="2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BUEN AMBIENTE"/>
    <s v="DIVERSION"/>
    <s v="SEGURIDAD"/>
    <n v="82976335"/>
    <s v="bfb85e30-7466-45e6-ae2e-be8eb68af5e8"/>
    <d v="2025-04-06T19:23:18"/>
    <m/>
    <m/>
    <s v="submitted_via_web"/>
    <m/>
    <s v="vhGz9QPwmdkBybuGFUbzwe"/>
    <m/>
    <n v="237"/>
  </r>
  <r>
    <d v="2025-04-06T14:14:29"/>
    <d v="2025-04-06T14:18:30"/>
    <s v="AMC"/>
    <n v="399"/>
    <d v="2025-03-15T00:00:00"/>
    <n v="3"/>
    <s v="AS"/>
    <s v="MJM"/>
    <n v="42"/>
    <x v="2"/>
    <s v="1. Diariamente"/>
    <n v="0"/>
    <n v="0"/>
    <n v="0"/>
    <n v="0"/>
    <n v="0"/>
    <x v="1"/>
    <s v="1. Sí"/>
    <m/>
    <s v="6. Mestiza(o)"/>
    <m/>
    <x v="2"/>
    <s v="1. Completa"/>
    <s v="1. Trabajar"/>
    <m/>
    <s v="5. más de $1840"/>
    <s v="1. Deporte / ejercicio"/>
    <x v="0"/>
    <x v="0"/>
    <x v="0"/>
    <x v="0"/>
    <x v="0"/>
    <x v="0"/>
    <m/>
    <s v="2. Mañana  (06:00 a 11:59) 3. Tarde (12:00 a 17:59)"/>
    <x v="0"/>
    <x v="0"/>
    <x v="1"/>
    <x v="0"/>
    <x v="0"/>
    <s v="4. Pistas para correr 7. Áreas verdes"/>
    <x v="0"/>
    <x v="0"/>
    <x v="0"/>
    <x v="0"/>
    <x v="0"/>
    <x v="1"/>
    <x v="0"/>
    <m/>
    <x v="0"/>
    <x v="0"/>
    <x v="0"/>
    <s v="MUCHA GENTE"/>
    <m/>
    <m/>
    <m/>
    <x v="0"/>
    <x v="2"/>
    <x v="1"/>
    <x v="1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1"/>
    <x v="2"/>
    <x v="0"/>
    <x v="0"/>
    <x v="0"/>
    <x v="2"/>
    <x v="1"/>
    <x v="1"/>
    <x v="0"/>
    <x v="0"/>
    <x v="1"/>
    <x v="3"/>
    <x v="1"/>
    <x v="1"/>
    <x v="1"/>
    <x v="1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2"/>
    <x v="0"/>
    <x v="1"/>
    <x v="2"/>
    <x v="1"/>
    <x v="0"/>
    <x v="0"/>
    <x v="0"/>
    <m/>
    <s v="INSEGURIDAD POR VENTAS"/>
    <s v="ALEGRIA"/>
    <m/>
    <n v="82976245"/>
    <s v="8df2c1ec-c334-42fe-89bc-de9b8f4ed2d6"/>
    <d v="2025-04-06T19:18:32"/>
    <m/>
    <m/>
    <s v="submitted_via_web"/>
    <m/>
    <s v="vhGz9QPwmdkBybuGFUbzwe"/>
    <m/>
    <n v="236"/>
  </r>
  <r>
    <d v="2025-04-06T14:08:57"/>
    <d v="2025-04-06T14:14:29"/>
    <s v="AMC"/>
    <n v="400"/>
    <d v="2025-03-15T00:00:00"/>
    <n v="3"/>
    <s v="AS"/>
    <s v="MJM"/>
    <n v="47"/>
    <x v="2"/>
    <s v="1. Diariamente"/>
    <n v="0"/>
    <n v="0"/>
    <n v="0"/>
    <n v="0"/>
    <n v="0"/>
    <x v="1"/>
    <s v="1. Sí"/>
    <m/>
    <s v="6. Mestiza(o)"/>
    <m/>
    <x v="2"/>
    <s v="1. Completa"/>
    <s v="4. Es estudiante"/>
    <m/>
    <s v="3. de $920 a $1339"/>
    <s v="4. De paso"/>
    <x v="1"/>
    <x v="0"/>
    <x v="0"/>
    <x v="1"/>
    <x v="0"/>
    <x v="0"/>
    <m/>
    <s v="2. Mañana  (06:00 a 11:59)"/>
    <x v="0"/>
    <x v="0"/>
    <x v="0"/>
    <x v="0"/>
    <x v="3"/>
    <s v="2. Rampas para patineta"/>
    <x v="0"/>
    <x v="1"/>
    <x v="0"/>
    <x v="1"/>
    <x v="0"/>
    <x v="0"/>
    <x v="0"/>
    <m/>
    <x v="1"/>
    <x v="1"/>
    <x v="0"/>
    <s v="MAS SEGURIDAD POLICIAL"/>
    <m/>
    <m/>
    <m/>
    <x v="1"/>
    <x v="2"/>
    <x v="1"/>
    <x v="1"/>
    <x v="0"/>
    <x v="2"/>
    <x v="0"/>
    <x v="1"/>
    <s v="L"/>
    <n v="0"/>
    <n v="0"/>
    <n v="0"/>
    <n v="0"/>
    <n v="0"/>
    <n v="0"/>
    <n v="0"/>
    <n v="0"/>
    <n v="0"/>
    <n v="0"/>
    <n v="0"/>
    <n v="1"/>
    <n v="0"/>
    <x v="2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1"/>
    <x v="2"/>
    <x v="1"/>
    <x v="1"/>
    <x v="0"/>
    <x v="0"/>
    <x v="0"/>
    <x v="0"/>
    <x v="1"/>
    <x v="1"/>
    <x v="0"/>
    <x v="0"/>
    <x v="0"/>
    <x v="0"/>
    <x v="1"/>
    <x v="2"/>
    <x v="1"/>
    <x v="1"/>
    <x v="0"/>
    <x v="0"/>
    <x v="0"/>
    <x v="2"/>
    <x v="1"/>
    <s v="NO HAY PERSONAL FIJO EN LA PISTA DE PATINAJE"/>
    <x v="2"/>
    <x v="1"/>
    <x v="1"/>
    <x v="2"/>
    <x v="0"/>
    <m/>
    <x v="0"/>
    <x v="0"/>
    <x v="0"/>
    <x v="0"/>
    <x v="0"/>
    <m/>
    <x v="0"/>
    <m/>
    <x v="0"/>
    <x v="0"/>
    <x v="0"/>
    <x v="0"/>
    <x v="0"/>
    <x v="0"/>
    <x v="1"/>
    <x v="2"/>
    <x v="0"/>
    <x v="0"/>
    <x v="0"/>
    <x v="0"/>
    <x v="0"/>
    <x v="0"/>
    <x v="0"/>
    <x v="0"/>
    <x v="0"/>
    <x v="0"/>
    <x v="1"/>
    <x v="2"/>
    <x v="0"/>
    <x v="1"/>
    <x v="2"/>
    <x v="0"/>
    <x v="1"/>
    <x v="1"/>
    <x v="0"/>
    <x v="0"/>
    <x v="0"/>
    <x v="0"/>
    <m/>
    <s v="MI PROPIEDAD"/>
    <s v="ENCANTADOR Y MAGICO"/>
    <m/>
    <n v="82976170"/>
    <s v="b8e26257-9358-4537-9658-f09ebe3c6d8d"/>
    <d v="2025-04-06T19:14:31"/>
    <m/>
    <m/>
    <s v="submitted_via_web"/>
    <m/>
    <s v="vhGz9QPwmdkBybuGFUbzwe"/>
    <m/>
    <n v="235"/>
  </r>
  <r>
    <d v="2025-04-06T07:40:42"/>
    <d v="2025-04-06T07:49:43"/>
    <s v="OM"/>
    <n v="401"/>
    <d v="2025-03-15T00:00:00"/>
    <n v="4"/>
    <s v="GB-MA"/>
    <s v="GH"/>
    <n v="65"/>
    <x v="1"/>
    <s v="2. Semanalmente"/>
    <n v="2"/>
    <n v="0"/>
    <n v="0"/>
    <n v="0"/>
    <n v="0"/>
    <x v="1"/>
    <s v="1. Sí"/>
    <m/>
    <s v="6. Mestiza(o)"/>
    <m/>
    <x v="1"/>
    <s v="1. Completa"/>
    <s v="3. Es jubilada/o o pensionista/o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2"/>
    <s v="3. Caminos de ciclismo"/>
    <x v="0"/>
    <x v="0"/>
    <x v="1"/>
    <x v="1"/>
    <x v="0"/>
    <x v="0"/>
    <x v="0"/>
    <m/>
    <x v="1"/>
    <x v="1"/>
    <x v="1"/>
    <s v="ROBOS"/>
    <s v="MÁS SEGURIDAD"/>
    <m/>
    <m/>
    <x v="2"/>
    <x v="1"/>
    <x v="1"/>
    <x v="3"/>
    <x v="2"/>
    <x v="0"/>
    <x v="0"/>
    <x v="1"/>
    <s v="L"/>
    <n v="0"/>
    <n v="0"/>
    <n v="0"/>
    <n v="0"/>
    <n v="0"/>
    <n v="0"/>
    <n v="0"/>
    <n v="0"/>
    <n v="0"/>
    <n v="0"/>
    <n v="0"/>
    <n v="1"/>
    <n v="0"/>
    <x v="3"/>
    <x v="1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0"/>
    <x v="0"/>
    <x v="1"/>
    <x v="2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TRANQUILIDAD"/>
    <s v="DESPEJAR LA MENTE"/>
    <m/>
    <n v="82965251"/>
    <s v="ca3b6c9a-6524-4d24-b39c-d3efbba3afac"/>
    <d v="2025-04-06T12:49:43"/>
    <m/>
    <m/>
    <s v="submitted_via_web"/>
    <m/>
    <s v="vhGz9QPwmdkBybuGFUbzwe"/>
    <m/>
    <n v="202"/>
  </r>
  <r>
    <d v="2025-04-10T08:45:14"/>
    <d v="2025-04-10T08:50:08"/>
    <s v="GH"/>
    <n v="404"/>
    <d v="2025-03-15T00:00:00"/>
    <n v="3"/>
    <s v="AS"/>
    <s v="MJM"/>
    <n v="58"/>
    <x v="1"/>
    <s v="3. al menos 2 veces al mes"/>
    <n v="1"/>
    <n v="0"/>
    <n v="0"/>
    <n v="0"/>
    <n v="0"/>
    <x v="0"/>
    <s v="1. Sí"/>
    <m/>
    <s v="6. Mestiza(o)"/>
    <m/>
    <x v="2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0"/>
    <s v="2. Rampas para patineta"/>
    <x v="0"/>
    <x v="1"/>
    <x v="0"/>
    <x v="1"/>
    <x v="0"/>
    <x v="0"/>
    <x v="0"/>
    <m/>
    <x v="1"/>
    <x v="1"/>
    <x v="0"/>
    <s v="PATRULLAS"/>
    <m/>
    <m/>
    <m/>
    <x v="1"/>
    <x v="1"/>
    <x v="1"/>
    <x v="1"/>
    <x v="0"/>
    <x v="3"/>
    <x v="0"/>
    <x v="2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2"/>
    <x v="0"/>
    <x v="1"/>
    <x v="2"/>
    <x v="0"/>
    <x v="3"/>
    <x v="1"/>
    <x v="2"/>
    <x v="0"/>
    <x v="0"/>
    <x v="1"/>
    <x v="1"/>
    <x v="0"/>
    <x v="0"/>
    <x v="1"/>
    <x v="2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0"/>
    <x v="2"/>
    <x v="1"/>
    <x v="0"/>
    <x v="0"/>
    <x v="0"/>
    <x v="0"/>
    <x v="1"/>
    <x v="1"/>
    <x v="0"/>
    <x v="0"/>
    <x v="0"/>
    <x v="1"/>
    <x v="2"/>
    <x v="0"/>
    <x v="1"/>
    <x v="2"/>
    <x v="0"/>
    <x v="1"/>
    <x v="2"/>
    <x v="0"/>
    <x v="1"/>
    <x v="1"/>
    <x v="0"/>
    <x v="0"/>
    <x v="0"/>
    <x v="0"/>
    <m/>
    <s v="TRANQUILIDAD"/>
    <m/>
    <m/>
    <n v="83406689"/>
    <s v="ffa16b7b-e3b1-4762-b69f-54554118f1ba"/>
    <d v="2025-04-10T13:50:07"/>
    <m/>
    <m/>
    <s v="submitted_via_web"/>
    <m/>
    <s v="v5uNQoYdGp6CCoWUMSjVDf"/>
    <m/>
    <n v="401"/>
  </r>
  <r>
    <d v="2025-04-06T08:01:14"/>
    <d v="2025-04-06T08:05:06"/>
    <s v="OM"/>
    <n v="405"/>
    <d v="2025-03-15T00:00:00"/>
    <n v="3"/>
    <s v="AS"/>
    <s v="MJM"/>
    <n v="53"/>
    <x v="2"/>
    <s v="3. al menos 2 veces al mes"/>
    <n v="0"/>
    <n v="0"/>
    <n v="0"/>
    <n v="0"/>
    <n v="0"/>
    <x v="0"/>
    <s v="1. Sí"/>
    <m/>
    <s v="6. Mestiza(o)"/>
    <m/>
    <x v="5"/>
    <s v="1. Completa"/>
    <s v="1. Trabajar"/>
    <m/>
    <s v="99. NS/NC"/>
    <s v="4. De paso"/>
    <x v="1"/>
    <x v="0"/>
    <x v="0"/>
    <x v="1"/>
    <x v="0"/>
    <x v="0"/>
    <m/>
    <s v="2. Mañana  (06:00 a 11:59)"/>
    <x v="0"/>
    <x v="0"/>
    <x v="0"/>
    <x v="0"/>
    <x v="1"/>
    <s v="6. Área para perros"/>
    <x v="0"/>
    <x v="0"/>
    <x v="0"/>
    <x v="1"/>
    <x v="1"/>
    <x v="0"/>
    <x v="0"/>
    <m/>
    <x v="0"/>
    <x v="0"/>
    <x v="0"/>
    <s v="POLICÍA"/>
    <m/>
    <m/>
    <m/>
    <x v="1"/>
    <x v="1"/>
    <x v="1"/>
    <x v="1"/>
    <x v="0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0"/>
    <x v="0"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FELIZ"/>
    <s v="CONFORME"/>
    <m/>
    <n v="82965863"/>
    <s v="0ea723c8-65e9-4fff-a0a4-01d44ce34b0c"/>
    <d v="2025-04-06T13:05:06"/>
    <m/>
    <m/>
    <s v="submitted_via_web"/>
    <m/>
    <s v="vhGz9QPwmdkBybuGFUbzwe"/>
    <m/>
    <n v="207"/>
  </r>
  <r>
    <d v="2025-04-10T16:05:39"/>
    <d v="2025-04-10T16:09:16"/>
    <s v="GH"/>
    <n v="406"/>
    <d v="2025-03-15T00:00:00"/>
    <n v="3"/>
    <s v="DS"/>
    <s v="MJM"/>
    <n v="63"/>
    <x v="1"/>
    <s v="2. Semanalmente"/>
    <n v="0"/>
    <n v="0"/>
    <n v="0"/>
    <n v="0"/>
    <n v="0"/>
    <x v="0"/>
    <s v="1. Sí"/>
    <m/>
    <s v="6. Mestiza(o)"/>
    <m/>
    <x v="2"/>
    <s v="1. Completa"/>
    <s v="3. Es jubilada/o o pensionista/o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0"/>
    <s v="3. Caminos de ciclismo"/>
    <x v="0"/>
    <x v="0"/>
    <x v="1"/>
    <x v="1"/>
    <x v="0"/>
    <x v="0"/>
    <x v="0"/>
    <m/>
    <x v="0"/>
    <x v="0"/>
    <x v="0"/>
    <s v="POR PRECENCIA POLICIAL"/>
    <m/>
    <m/>
    <m/>
    <x v="0"/>
    <x v="1"/>
    <x v="0"/>
    <x v="0"/>
    <x v="0"/>
    <x v="3"/>
    <x v="0"/>
    <x v="1"/>
    <s v="A"/>
    <n v="1"/>
    <n v="0"/>
    <n v="0"/>
    <n v="0"/>
    <n v="0"/>
    <n v="0"/>
    <n v="0"/>
    <n v="0"/>
    <n v="0"/>
    <n v="0"/>
    <n v="0"/>
    <n v="0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0"/>
    <x v="1"/>
    <x v="1"/>
    <x v="1"/>
    <x v="1"/>
    <x v="2"/>
    <x v="1"/>
    <x v="1"/>
    <x v="1"/>
    <x v="0"/>
    <x v="0"/>
    <x v="0"/>
    <x v="0"/>
    <x v="0"/>
    <x v="0"/>
    <m/>
    <s v="TRANQUILIDAD"/>
    <s v="RELAJACIÓN"/>
    <m/>
    <n v="83442136"/>
    <s v="a942ee3c-10ef-496b-8686-c58b504d5b62"/>
    <d v="2025-04-10T21:09:08"/>
    <m/>
    <m/>
    <s v="submitted_via_web"/>
    <m/>
    <s v="v5uNQoYdGp6CCoWUMSjVDf"/>
    <m/>
    <n v="455"/>
  </r>
  <r>
    <d v="2025-04-06T08:05:06"/>
    <d v="2025-04-06T08:11:36"/>
    <s v="OM"/>
    <n v="407"/>
    <d v="2025-03-15T00:00:00"/>
    <n v="3"/>
    <s v="AS"/>
    <s v="MJM"/>
    <n v="44"/>
    <x v="2"/>
    <s v="2. Semanalmente"/>
    <n v="0"/>
    <n v="0"/>
    <n v="0"/>
    <n v="0"/>
    <n v="1"/>
    <x v="0"/>
    <s v="1. Sí"/>
    <m/>
    <s v="6. Mestiza(o)"/>
    <m/>
    <x v="2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1"/>
    <x v="0"/>
    <s v="GENTE CAMINANDO"/>
    <m/>
    <m/>
    <m/>
    <x v="1"/>
    <x v="1"/>
    <x v="1"/>
    <x v="1"/>
    <x v="0"/>
    <x v="3"/>
    <x v="1"/>
    <x v="1"/>
    <s v="B D"/>
    <n v="0"/>
    <n v="1"/>
    <n v="0"/>
    <n v="1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3"/>
    <x v="0"/>
    <x v="0"/>
    <x v="1"/>
    <x v="1"/>
    <x v="0"/>
    <x v="0"/>
    <x v="0"/>
    <x v="0"/>
    <x v="0"/>
    <x v="0"/>
    <x v="0"/>
    <x v="0"/>
    <x v="0"/>
    <x v="0"/>
    <x v="0"/>
    <x v="0"/>
    <x v="1"/>
    <x v="2"/>
    <x v="1"/>
    <x v="2"/>
    <x v="0"/>
    <x v="0"/>
    <x v="0"/>
    <x v="0"/>
    <x v="0"/>
    <x v="2"/>
    <x v="0"/>
    <m/>
    <x v="0"/>
    <x v="0"/>
    <x v="3"/>
    <x v="0"/>
    <x v="0"/>
    <m/>
    <x v="0"/>
    <x v="0"/>
    <x v="0"/>
    <x v="0"/>
    <x v="0"/>
    <m/>
    <x v="0"/>
    <m/>
    <x v="0"/>
    <x v="2"/>
    <x v="2"/>
    <x v="1"/>
    <x v="1"/>
    <x v="0"/>
    <x v="0"/>
    <x v="0"/>
    <x v="0"/>
    <x v="0"/>
    <x v="1"/>
    <x v="1"/>
    <x v="0"/>
    <x v="2"/>
    <x v="1"/>
    <x v="0"/>
    <x v="0"/>
    <x v="0"/>
    <x v="1"/>
    <x v="1"/>
    <x v="2"/>
    <x v="1"/>
    <x v="2"/>
    <x v="0"/>
    <x v="1"/>
    <x v="1"/>
    <x v="0"/>
    <x v="1"/>
    <x v="2"/>
    <x v="2"/>
    <m/>
    <s v="TRANQUILIDAD"/>
    <s v="SENSACIÓN DE QUE NO ESTÁ CUIDADO EL PARQUE"/>
    <m/>
    <n v="82966099"/>
    <s v="bcac2866-af38-4050-b08f-a4586de0a8ad"/>
    <d v="2025-04-06T13:11:36"/>
    <m/>
    <m/>
    <s v="submitted_via_web"/>
    <m/>
    <s v="vhGz9QPwmdkBybuGFUbzwe"/>
    <m/>
    <n v="209"/>
  </r>
  <r>
    <d v="2025-04-06T08:11:36"/>
    <d v="2025-04-06T08:17:58"/>
    <s v="OM"/>
    <n v="408"/>
    <d v="2025-03-15T00:00:00"/>
    <n v="3"/>
    <s v="AS"/>
    <s v="MJM"/>
    <n v="34"/>
    <x v="0"/>
    <s v="3. al menos 2 veces al mes"/>
    <n v="0"/>
    <n v="0"/>
    <n v="0"/>
    <n v="0"/>
    <n v="0"/>
    <x v="0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MUCHA GENTE"/>
    <s v="POR MUCHOS LADRONES"/>
    <m/>
    <m/>
    <x v="1"/>
    <x v="2"/>
    <x v="2"/>
    <x v="2"/>
    <x v="0"/>
    <x v="2"/>
    <x v="1"/>
    <x v="1"/>
    <s v="E"/>
    <n v="0"/>
    <n v="0"/>
    <n v="0"/>
    <n v="0"/>
    <n v="1"/>
    <n v="0"/>
    <n v="0"/>
    <n v="0"/>
    <n v="0"/>
    <n v="0"/>
    <n v="0"/>
    <n v="0"/>
    <n v="0"/>
    <x v="2"/>
    <x v="3"/>
    <x v="0"/>
    <x v="0"/>
    <x v="1"/>
    <x v="1"/>
    <n v="1"/>
    <n v="0"/>
    <n v="0"/>
    <n v="0"/>
    <n v="0"/>
    <n v="0"/>
    <n v="0"/>
    <n v="0"/>
    <n v="0"/>
    <n v="0"/>
    <n v="0"/>
    <m/>
    <s v="2. No"/>
    <m/>
    <m/>
    <m/>
    <m/>
    <m/>
    <m/>
    <m/>
    <m/>
    <m/>
    <m/>
    <s v="1. Arma blanca"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3"/>
    <x v="0"/>
    <x v="2"/>
    <x v="1"/>
    <x v="2"/>
    <x v="0"/>
    <x v="0"/>
    <x v="0"/>
    <x v="0"/>
    <x v="1"/>
    <x v="1"/>
    <x v="1"/>
    <x v="2"/>
    <x v="1"/>
    <x v="2"/>
    <x v="0"/>
    <x v="0"/>
    <x v="1"/>
    <x v="2"/>
    <x v="0"/>
    <x v="1"/>
    <x v="0"/>
    <x v="0"/>
    <x v="1"/>
    <x v="2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0"/>
    <x v="0"/>
    <x v="0"/>
    <x v="2"/>
    <x v="2"/>
    <x v="0"/>
    <x v="1"/>
    <x v="1"/>
    <x v="1"/>
    <x v="1"/>
    <x v="2"/>
    <x v="1"/>
    <x v="1"/>
    <x v="2"/>
    <x v="0"/>
    <x v="0"/>
    <x v="0"/>
    <x v="0"/>
    <x v="0"/>
    <x v="0"/>
    <m/>
    <s v="ALEGRÍA"/>
    <s v="PAZ"/>
    <m/>
    <n v="82966404"/>
    <s v="a450f00c-b16e-46c3-bcb6-296d8e62aa3a"/>
    <d v="2025-04-06T13:17:58"/>
    <m/>
    <m/>
    <s v="submitted_via_web"/>
    <m/>
    <s v="vhGz9QPwmdkBybuGFUbzwe"/>
    <m/>
    <n v="211"/>
  </r>
  <r>
    <d v="2025-04-06T08:17:58"/>
    <d v="2025-04-06T08:23:07"/>
    <s v="OM"/>
    <n v="409"/>
    <d v="2025-03-15T00:00:00"/>
    <n v="3"/>
    <s v="AS"/>
    <s v="MJM"/>
    <n v="73"/>
    <x v="1"/>
    <s v="3. al menos 2 veces al mes"/>
    <n v="0"/>
    <n v="0"/>
    <n v="0"/>
    <n v="0"/>
    <n v="0"/>
    <x v="0"/>
    <s v="1. Sí"/>
    <m/>
    <s v="6. Mestiza(o)"/>
    <m/>
    <x v="4"/>
    <s v="1. Completa"/>
    <s v="3. Es jubilada/o o pensionista/o"/>
    <m/>
    <s v="3. de $920 a $1339"/>
    <s v="6. Otra"/>
    <x v="1"/>
    <x v="0"/>
    <x v="0"/>
    <x v="0"/>
    <x v="0"/>
    <x v="1"/>
    <s v="CAMINATA"/>
    <s v="3. Tarde (12:00 a 17:59)"/>
    <x v="0"/>
    <x v="1"/>
    <x v="1"/>
    <x v="0"/>
    <x v="1"/>
    <s v="4. Pistas para correr"/>
    <x v="0"/>
    <x v="0"/>
    <x v="0"/>
    <x v="0"/>
    <x v="0"/>
    <x v="0"/>
    <x v="0"/>
    <m/>
    <x v="0"/>
    <x v="0"/>
    <x v="0"/>
    <s v="NO HE VISTO VIOLENCIA"/>
    <m/>
    <m/>
    <m/>
    <x v="1"/>
    <x v="1"/>
    <x v="1"/>
    <x v="0"/>
    <x v="2"/>
    <x v="3"/>
    <x v="0"/>
    <x v="1"/>
    <s v="L"/>
    <n v="0"/>
    <n v="0"/>
    <n v="0"/>
    <n v="0"/>
    <n v="0"/>
    <n v="0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2"/>
    <x v="0"/>
    <x v="0"/>
    <x v="0"/>
    <x v="1"/>
    <x v="1"/>
    <x v="0"/>
    <x v="0"/>
    <x v="0"/>
    <x v="0"/>
    <x v="1"/>
    <x v="1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1"/>
    <x v="2"/>
    <x v="0"/>
    <x v="0"/>
    <x v="1"/>
    <x v="1"/>
    <x v="0"/>
    <x v="0"/>
    <x v="0"/>
    <x v="0"/>
    <x v="1"/>
    <x v="1"/>
    <x v="1"/>
    <x v="1"/>
    <x v="1"/>
    <x v="1"/>
    <x v="1"/>
    <x v="2"/>
    <x v="1"/>
    <x v="2"/>
    <x v="2"/>
    <x v="0"/>
    <x v="0"/>
    <x v="0"/>
    <m/>
    <s v="PAZ"/>
    <s v="AMOR A LA NATURALEZA"/>
    <s v="GUSTO POR EL AGUA"/>
    <n v="82966502"/>
    <s v="f7ddfd88-ce63-493c-832b-b0c3237b9123"/>
    <d v="2025-04-06T13:23:07"/>
    <m/>
    <m/>
    <s v="submitted_via_web"/>
    <m/>
    <s v="vhGz9QPwmdkBybuGFUbzwe"/>
    <m/>
    <n v="213"/>
  </r>
  <r>
    <d v="2025-04-06T08:23:08"/>
    <d v="2025-04-06T08:27:10"/>
    <s v="OM"/>
    <n v="410"/>
    <d v="2025-03-15T00:00:00"/>
    <n v="3"/>
    <s v="AS"/>
    <s v="MJM"/>
    <n v="53"/>
    <x v="2"/>
    <s v="1. Diariamente"/>
    <n v="0"/>
    <n v="0"/>
    <n v="0"/>
    <n v="0"/>
    <n v="0"/>
    <x v="0"/>
    <s v="1. Sí"/>
    <m/>
    <s v="6. Mestiza(o)"/>
    <m/>
    <x v="2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1"/>
    <s v="4. Pistas para correr"/>
    <x v="0"/>
    <x v="0"/>
    <x v="0"/>
    <x v="0"/>
    <x v="0"/>
    <x v="0"/>
    <x v="0"/>
    <m/>
    <x v="1"/>
    <x v="1"/>
    <x v="0"/>
    <s v="COMPANÍA FAMILIAR"/>
    <m/>
    <m/>
    <m/>
    <x v="1"/>
    <x v="1"/>
    <x v="1"/>
    <x v="0"/>
    <x v="2"/>
    <x v="2"/>
    <x v="1"/>
    <x v="1"/>
    <s v="H"/>
    <n v="0"/>
    <n v="0"/>
    <n v="0"/>
    <n v="0"/>
    <n v="0"/>
    <n v="0"/>
    <n v="0"/>
    <n v="1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1"/>
    <x v="2"/>
    <x v="0"/>
    <x v="0"/>
    <x v="0"/>
    <x v="2"/>
    <x v="0"/>
    <x v="0"/>
    <x v="0"/>
    <x v="0"/>
    <x v="0"/>
    <x v="0"/>
    <x v="0"/>
    <x v="0"/>
    <x v="0"/>
    <x v="0"/>
    <x v="1"/>
    <x v="2"/>
    <x v="0"/>
    <x v="0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SALUD"/>
    <s v="DIVERSIÓN"/>
    <m/>
    <n v="82966601"/>
    <s v="332a2325-d43a-4961-8e98-86e370596d94"/>
    <d v="2025-04-06T13:27:10"/>
    <m/>
    <m/>
    <s v="submitted_via_web"/>
    <m/>
    <s v="vhGz9QPwmdkBybuGFUbzwe"/>
    <m/>
    <n v="214"/>
  </r>
  <r>
    <d v="2025-04-06T08:27:10"/>
    <d v="2025-04-06T08:31:36"/>
    <s v="OM"/>
    <n v="411"/>
    <d v="2025-03-15T00:00:00"/>
    <n v="3"/>
    <s v="AS"/>
    <s v="MJM"/>
    <n v="30"/>
    <x v="0"/>
    <s v="1. Diariamente"/>
    <n v="1"/>
    <n v="0"/>
    <n v="0"/>
    <n v="0"/>
    <n v="0"/>
    <x v="0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 4. Noche  (18:00 a 23:59)"/>
    <x v="0"/>
    <x v="0"/>
    <x v="0"/>
    <x v="1"/>
    <x v="0"/>
    <s v="1. Canchas de fútbol y basquet 2. Rampas para patineta 4. Pistas para correr"/>
    <x v="1"/>
    <x v="1"/>
    <x v="0"/>
    <x v="0"/>
    <x v="0"/>
    <x v="0"/>
    <x v="0"/>
    <m/>
    <x v="1"/>
    <x v="1"/>
    <x v="0"/>
    <s v="MUCHA GENTE"/>
    <m/>
    <m/>
    <m/>
    <x v="1"/>
    <x v="1"/>
    <x v="1"/>
    <x v="1"/>
    <x v="0"/>
    <x v="3"/>
    <x v="2"/>
    <x v="2"/>
    <s v="F"/>
    <n v="0"/>
    <n v="0"/>
    <n v="0"/>
    <n v="0"/>
    <n v="0"/>
    <n v="1"/>
    <n v="0"/>
    <n v="0"/>
    <n v="0"/>
    <n v="0"/>
    <n v="0"/>
    <n v="0"/>
    <n v="0"/>
    <x v="2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1"/>
    <x v="2"/>
    <x v="0"/>
    <x v="0"/>
    <x v="1"/>
    <x v="1"/>
    <x v="0"/>
    <x v="0"/>
    <x v="0"/>
    <x v="0"/>
    <x v="1"/>
    <x v="1"/>
    <x v="1"/>
    <x v="1"/>
    <x v="2"/>
    <x v="1"/>
    <x v="2"/>
    <x v="0"/>
    <x v="0"/>
    <x v="0"/>
    <x v="0"/>
    <x v="1"/>
    <x v="1"/>
    <x v="0"/>
    <m/>
    <s v="RELAJACIÓN"/>
    <s v="ALEGRÍA"/>
    <s v="MIEDO"/>
    <n v="82966670"/>
    <s v="04b26e99-33f6-4c4c-bd11-d8653a9cadd0"/>
    <d v="2025-04-06T13:31:35"/>
    <m/>
    <m/>
    <s v="submitted_via_web"/>
    <m/>
    <s v="vhGz9QPwmdkBybuGFUbzwe"/>
    <m/>
    <n v="216"/>
  </r>
  <r>
    <d v="2025-04-06T08:31:36"/>
    <d v="2025-04-06T08:36:57"/>
    <s v="OM"/>
    <n v="412"/>
    <d v="2025-03-15T00:00:00"/>
    <n v="3"/>
    <s v="AS"/>
    <s v="MJM"/>
    <n v="26"/>
    <x v="0"/>
    <s v="2. Semanalmente"/>
    <n v="0"/>
    <n v="0"/>
    <n v="0"/>
    <n v="0"/>
    <n v="0"/>
    <x v="0"/>
    <s v="1. Sí"/>
    <m/>
    <s v="6. Mestiza(o)"/>
    <m/>
    <x v="2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2"/>
    <s v="1. Canchas de fútbol y basquet"/>
    <x v="1"/>
    <x v="0"/>
    <x v="0"/>
    <x v="1"/>
    <x v="0"/>
    <x v="0"/>
    <x v="0"/>
    <m/>
    <x v="1"/>
    <x v="1"/>
    <x v="1"/>
    <s v="ROBOS"/>
    <m/>
    <m/>
    <m/>
    <x v="1"/>
    <x v="2"/>
    <x v="1"/>
    <x v="2"/>
    <x v="2"/>
    <x v="3"/>
    <x v="0"/>
    <x v="2"/>
    <s v="L"/>
    <n v="0"/>
    <n v="0"/>
    <n v="0"/>
    <n v="0"/>
    <n v="0"/>
    <n v="0"/>
    <n v="0"/>
    <n v="0"/>
    <n v="0"/>
    <n v="0"/>
    <n v="0"/>
    <n v="1"/>
    <n v="0"/>
    <x v="2"/>
    <x v="2"/>
    <x v="2"/>
    <x v="1"/>
    <x v="1"/>
    <x v="11"/>
    <n v="0"/>
    <n v="0"/>
    <n v="1"/>
    <n v="0"/>
    <n v="0"/>
    <n v="0"/>
    <n v="0"/>
    <n v="0"/>
    <n v="0"/>
    <n v="0"/>
    <n v="0"/>
    <m/>
    <m/>
    <m/>
    <s v="2. No"/>
    <m/>
    <m/>
    <m/>
    <m/>
    <m/>
    <m/>
    <m/>
    <m/>
    <m/>
    <m/>
    <m/>
    <m/>
    <s v="6. Ninguna"/>
    <m/>
    <m/>
    <m/>
    <m/>
    <m/>
    <m/>
    <m/>
    <m/>
    <m/>
    <m/>
    <m/>
    <m/>
    <m/>
    <m/>
    <m/>
    <m/>
    <m/>
    <m/>
    <x v="1"/>
    <x v="1"/>
    <x v="1"/>
    <x v="1"/>
    <x v="1"/>
    <x v="1"/>
    <x v="1"/>
    <x v="1"/>
    <x v="2"/>
    <x v="0"/>
    <x v="1"/>
    <x v="2"/>
    <x v="0"/>
    <x v="3"/>
    <x v="0"/>
    <x v="0"/>
    <x v="0"/>
    <x v="0"/>
    <x v="1"/>
    <x v="2"/>
    <x v="0"/>
    <x v="0"/>
    <x v="1"/>
    <x v="1"/>
    <x v="0"/>
    <x v="3"/>
    <x v="0"/>
    <x v="0"/>
    <x v="0"/>
    <x v="0"/>
    <x v="0"/>
    <x v="2"/>
    <x v="0"/>
    <m/>
    <x v="0"/>
    <x v="0"/>
    <x v="3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1"/>
    <x v="2"/>
    <x v="0"/>
    <x v="1"/>
    <x v="2"/>
    <x v="1"/>
    <x v="0"/>
    <x v="0"/>
    <x v="0"/>
    <m/>
    <s v="ALEGRÍA"/>
    <s v="PAZ"/>
    <s v="DIVERSIÓN"/>
    <n v="82966957"/>
    <s v="fd3b7517-e412-454d-ab7f-d9265668ef0b"/>
    <d v="2025-04-06T13:36:57"/>
    <m/>
    <m/>
    <s v="submitted_via_web"/>
    <m/>
    <s v="vhGz9QPwmdkBybuGFUbzwe"/>
    <m/>
    <n v="217"/>
  </r>
  <r>
    <d v="2025-04-06T08:36:57"/>
    <d v="2025-04-06T09:00:58"/>
    <s v="OM"/>
    <n v="413"/>
    <d v="2025-03-15T00:00:00"/>
    <n v="3"/>
    <s v="AMA"/>
    <s v="MJM"/>
    <n v="40"/>
    <x v="0"/>
    <s v="3. al menos 2 veces al mes"/>
    <n v="0"/>
    <n v="0"/>
    <n v="0"/>
    <n v="0"/>
    <n v="0"/>
    <x v="0"/>
    <s v="1. Sí"/>
    <m/>
    <s v="6. Mestiza(o)"/>
    <m/>
    <x v="0"/>
    <s v="1. Completa"/>
    <s v="7. Dueña/o de su propio negocio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1"/>
    <s v="NO HAY POLICÍAS NI METROPOLITANOS"/>
    <m/>
    <m/>
    <m/>
    <x v="1"/>
    <x v="0"/>
    <x v="0"/>
    <x v="0"/>
    <x v="2"/>
    <x v="2"/>
    <x v="0"/>
    <x v="2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1"/>
    <x v="1"/>
    <x v="1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INSEGURIDAD"/>
    <s v="NO SABE A LO QUE SE PUEDE  Y PONER"/>
    <m/>
    <n v="82968030"/>
    <s v="f74cf0fa-fc81-4668-8b11-3c46ab57cada"/>
    <d v="2025-04-06T14:00:58"/>
    <m/>
    <m/>
    <s v="submitted_via_web"/>
    <m/>
    <s v="vhGz9QPwmdkBybuGFUbzwe"/>
    <m/>
    <n v="219"/>
  </r>
  <r>
    <d v="2025-04-06T09:00:59"/>
    <d v="2025-04-06T09:07:06"/>
    <s v="OM"/>
    <n v="414"/>
    <d v="2025-03-15T00:00:00"/>
    <n v="3"/>
    <s v="AMA"/>
    <s v="MJM"/>
    <n v="34"/>
    <x v="0"/>
    <s v="1. Diariamente"/>
    <n v="2"/>
    <n v="0"/>
    <n v="0"/>
    <n v="0"/>
    <n v="0"/>
    <x v="0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3. Caminos de ciclismo"/>
    <x v="0"/>
    <x v="0"/>
    <x v="1"/>
    <x v="1"/>
    <x v="0"/>
    <x v="0"/>
    <x v="0"/>
    <m/>
    <x v="0"/>
    <x v="0"/>
    <x v="0"/>
    <s v="PORQUE NO LE HA PASADO NADA"/>
    <m/>
    <m/>
    <m/>
    <x v="1"/>
    <x v="1"/>
    <x v="1"/>
    <x v="2"/>
    <x v="0"/>
    <x v="2"/>
    <x v="0"/>
    <x v="2"/>
    <s v="L"/>
    <n v="0"/>
    <n v="0"/>
    <n v="0"/>
    <n v="0"/>
    <n v="0"/>
    <n v="0"/>
    <n v="0"/>
    <n v="0"/>
    <n v="0"/>
    <n v="0"/>
    <n v="0"/>
    <n v="1"/>
    <n v="0"/>
    <x v="1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1"/>
    <x v="1"/>
    <x v="0"/>
    <x v="0"/>
    <x v="1"/>
    <x v="2"/>
    <x v="0"/>
    <x v="0"/>
    <x v="0"/>
    <x v="0"/>
    <x v="0"/>
    <x v="0"/>
    <x v="0"/>
    <x v="0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1"/>
    <x v="1"/>
    <x v="2"/>
    <x v="1"/>
    <x v="2"/>
    <x v="0"/>
    <x v="0"/>
    <x v="0"/>
    <x v="0"/>
    <x v="0"/>
    <x v="0"/>
    <x v="0"/>
    <m/>
    <s v="TRANQUILIDAD"/>
    <s v="ALIVIO"/>
    <s v="SE DESPEJA UN MOMENTO"/>
    <n v="82968313"/>
    <s v="9c4089d3-3f93-40c5-83ad-edca6fb4b061"/>
    <d v="2025-04-06T14:07:06"/>
    <m/>
    <m/>
    <s v="submitted_via_web"/>
    <m/>
    <s v="vhGz9QPwmdkBybuGFUbzwe"/>
    <m/>
    <n v="220"/>
  </r>
  <r>
    <d v="2025-04-06T09:07:06"/>
    <d v="2025-04-06T09:11:54"/>
    <s v="OM"/>
    <n v="415"/>
    <d v="2025-03-15T00:00:00"/>
    <n v="3"/>
    <s v="AMA"/>
    <s v="MJM"/>
    <n v="63"/>
    <x v="1"/>
    <s v="3. al menos 2 veces al mes"/>
    <n v="0"/>
    <n v="0"/>
    <n v="0"/>
    <n v="0"/>
    <n v="0"/>
    <x v="0"/>
    <s v="1. Sí"/>
    <m/>
    <s v="6. Mestiza(o)"/>
    <m/>
    <x v="5"/>
    <s v="1. Completa"/>
    <s v="6. No trabaja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BOTES"/>
    <x v="1"/>
    <x v="1"/>
    <x v="0"/>
    <s v="NO LE HA PASADO NADA"/>
    <m/>
    <m/>
    <m/>
    <x v="0"/>
    <x v="2"/>
    <x v="2"/>
    <x v="2"/>
    <x v="3"/>
    <x v="3"/>
    <x v="2"/>
    <x v="1"/>
    <s v="H"/>
    <n v="0"/>
    <n v="0"/>
    <n v="0"/>
    <n v="0"/>
    <n v="0"/>
    <n v="0"/>
    <n v="0"/>
    <n v="1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0"/>
    <x v="0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0"/>
    <x v="1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0"/>
    <x v="0"/>
    <x v="1"/>
    <x v="2"/>
    <x v="0"/>
    <x v="0"/>
    <x v="0"/>
    <x v="0"/>
    <x v="0"/>
    <x v="0"/>
    <x v="0"/>
    <x v="0"/>
    <x v="0"/>
    <x v="0"/>
    <m/>
    <s v="RELAJADO"/>
    <s v="VIENE A RECORDAR VIEJOS TIEMPOS"/>
    <m/>
    <n v="82968586"/>
    <s v="ba741e20-c92a-49a4-816f-63aab53b5181"/>
    <d v="2025-04-06T14:11:55"/>
    <m/>
    <m/>
    <s v="submitted_via_web"/>
    <m/>
    <s v="vhGz9QPwmdkBybuGFUbzwe"/>
    <m/>
    <n v="221"/>
  </r>
  <r>
    <d v="2025-04-06T09:11:54"/>
    <d v="2025-04-06T09:42:01"/>
    <s v="OM"/>
    <n v="416"/>
    <d v="2025-03-15T00:00:00"/>
    <n v="3"/>
    <s v="AMA"/>
    <s v="MJM"/>
    <n v="42"/>
    <x v="2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3. Tarde (12:00 a 17:59)"/>
    <x v="0"/>
    <x v="1"/>
    <x v="1"/>
    <x v="0"/>
    <x v="1"/>
    <s v="1. Canchas de fútbol y basquet"/>
    <x v="1"/>
    <x v="0"/>
    <x v="0"/>
    <x v="1"/>
    <x v="0"/>
    <x v="0"/>
    <x v="0"/>
    <m/>
    <x v="1"/>
    <x v="1"/>
    <x v="1"/>
    <s v="LA DELINCUENCIA ESTA TERRIBLE"/>
    <m/>
    <m/>
    <m/>
    <x v="1"/>
    <x v="1"/>
    <x v="4"/>
    <x v="2"/>
    <x v="3"/>
    <x v="3"/>
    <x v="1"/>
    <x v="1"/>
    <s v="Ninguno"/>
    <n v="0"/>
    <n v="0"/>
    <n v="0"/>
    <n v="0"/>
    <n v="0"/>
    <n v="0"/>
    <n v="0"/>
    <n v="0"/>
    <n v="0"/>
    <n v="0"/>
    <n v="0"/>
    <n v="0"/>
    <n v="1"/>
    <x v="1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0"/>
    <x v="0"/>
    <x v="2"/>
    <x v="0"/>
    <x v="0"/>
    <x v="0"/>
    <x v="0"/>
    <x v="0"/>
    <x v="0"/>
    <x v="0"/>
    <x v="0"/>
    <x v="0"/>
    <x v="1"/>
    <x v="1"/>
    <x v="0"/>
    <x v="0"/>
    <x v="1"/>
    <x v="1"/>
    <x v="0"/>
    <x v="1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RESPIRA AIRE PURO"/>
    <s v="ESTÁ TRANQUILA"/>
    <m/>
    <n v="82969699"/>
    <s v="93ff3902-d607-4d45-9669-1e11e8ccc05d"/>
    <d v="2025-04-06T14:42:01"/>
    <m/>
    <m/>
    <s v="submitted_via_web"/>
    <m/>
    <s v="vhGz9QPwmdkBybuGFUbzwe"/>
    <m/>
    <n v="226"/>
  </r>
  <r>
    <d v="2025-04-06T09:42:01"/>
    <d v="2025-04-06T09:46:14"/>
    <s v="OM"/>
    <n v="417"/>
    <d v="2025-03-15T00:00:00"/>
    <n v="3"/>
    <s v="AMA"/>
    <s v="MJM"/>
    <n v="53"/>
    <x v="2"/>
    <s v="2. Semanalmente"/>
    <n v="2"/>
    <n v="0"/>
    <n v="0"/>
    <n v="0"/>
    <n v="0"/>
    <x v="1"/>
    <s v="1. Sí"/>
    <m/>
    <s v="6. Mestiza(o)"/>
    <m/>
    <x v="3"/>
    <s v="1. Completa"/>
    <s v="5. Quehaceres domésticos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PORQUE CUALQUIER PERSONA LA PUEDE ATACAR"/>
    <m/>
    <m/>
    <m/>
    <x v="1"/>
    <x v="1"/>
    <x v="3"/>
    <x v="1"/>
    <x v="0"/>
    <x v="3"/>
    <x v="1"/>
    <x v="2"/>
    <s v="Ninguno"/>
    <n v="0"/>
    <n v="0"/>
    <n v="0"/>
    <n v="0"/>
    <n v="0"/>
    <n v="0"/>
    <n v="0"/>
    <n v="0"/>
    <n v="0"/>
    <n v="0"/>
    <n v="0"/>
    <n v="0"/>
    <n v="1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1"/>
    <x v="1"/>
    <x v="0"/>
    <x v="0"/>
    <x v="0"/>
    <x v="0"/>
    <x v="0"/>
    <x v="0"/>
    <m/>
    <s v="TRANQUILIDAD"/>
    <s v="SE SIENTE LIBRE"/>
    <m/>
    <n v="82969969"/>
    <s v="0ef3e6fa-f8e8-4894-ba84-603dd1f95a7f"/>
    <d v="2025-04-06T14:46:14"/>
    <m/>
    <m/>
    <s v="submitted_via_web"/>
    <m/>
    <s v="vhGz9QPwmdkBybuGFUbzwe"/>
    <m/>
    <n v="227"/>
  </r>
  <r>
    <d v="2025-04-10T08:50:08"/>
    <d v="2025-04-10T08:54:45"/>
    <s v="GH"/>
    <n v="418"/>
    <d v="2025-03-15T00:00:00"/>
    <n v="3"/>
    <s v="AMA"/>
    <s v="MJM"/>
    <n v="47"/>
    <x v="2"/>
    <s v="3. al menos 2 veces al mes"/>
    <n v="0"/>
    <n v="0"/>
    <n v="0"/>
    <n v="0"/>
    <n v="0"/>
    <x v="1"/>
    <s v="1. Sí"/>
    <m/>
    <s v="6. Mestiza(o)"/>
    <m/>
    <x v="0"/>
    <s v="1. Completa"/>
    <s v="6. No trabaja"/>
    <m/>
    <s v="2. de $471 a $919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1"/>
    <x v="1"/>
    <x v="0"/>
    <s v="HAY GUARDIAS"/>
    <m/>
    <m/>
    <m/>
    <x v="0"/>
    <x v="1"/>
    <x v="0"/>
    <x v="1"/>
    <x v="0"/>
    <x v="2"/>
    <x v="1"/>
    <x v="1"/>
    <s v="Ninguno"/>
    <n v="0"/>
    <n v="0"/>
    <n v="0"/>
    <n v="0"/>
    <n v="0"/>
    <n v="0"/>
    <n v="0"/>
    <n v="0"/>
    <n v="0"/>
    <n v="0"/>
    <n v="0"/>
    <n v="0"/>
    <n v="1"/>
    <x v="3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0"/>
    <x v="0"/>
    <x v="0"/>
    <x v="0"/>
    <x v="0"/>
    <x v="0"/>
    <x v="0"/>
    <x v="0"/>
    <x v="0"/>
    <m/>
    <s v="ALEGRÍA"/>
    <s v="EMOCIÓN"/>
    <m/>
    <n v="83407000"/>
    <s v="56bb0783-9d7a-458e-ae6d-1ec7cddcbd19"/>
    <d v="2025-04-10T13:54:44"/>
    <m/>
    <m/>
    <s v="submitted_via_web"/>
    <m/>
    <s v="v5uNQoYdGp6CCoWUMSjVDf"/>
    <m/>
    <n v="402"/>
  </r>
  <r>
    <d v="2025-04-06T09:46:14"/>
    <d v="2025-04-06T09:50:28"/>
    <s v="OM"/>
    <n v="419"/>
    <d v="2025-03-15T00:00:00"/>
    <n v="3"/>
    <s v="AMA"/>
    <s v="MJM"/>
    <n v="74"/>
    <x v="1"/>
    <s v="2. Semanalmente"/>
    <n v="1"/>
    <n v="0"/>
    <n v="0"/>
    <n v="0"/>
    <n v="0"/>
    <x v="1"/>
    <s v="1. Sí"/>
    <m/>
    <s v="6. Mestiza(o)"/>
    <m/>
    <x v="1"/>
    <s v="1. Completa"/>
    <s v="3. Es jubilada/o o pensionista/o"/>
    <m/>
    <s v="1. Menos de $470"/>
    <s v="4. De paso"/>
    <x v="1"/>
    <x v="0"/>
    <x v="0"/>
    <x v="1"/>
    <x v="0"/>
    <x v="0"/>
    <m/>
    <s v="3. Tarde (12:00 a 17:59)"/>
    <x v="0"/>
    <x v="1"/>
    <x v="1"/>
    <x v="0"/>
    <x v="1"/>
    <s v="7. Áreas verdes"/>
    <x v="0"/>
    <x v="0"/>
    <x v="0"/>
    <x v="1"/>
    <x v="0"/>
    <x v="1"/>
    <x v="0"/>
    <m/>
    <x v="0"/>
    <x v="0"/>
    <x v="1"/>
    <s v="TIENE TEMOR DE QUIEN ESTÁ DETRÁS DE ELLA"/>
    <m/>
    <m/>
    <m/>
    <x v="1"/>
    <x v="1"/>
    <x v="2"/>
    <x v="2"/>
    <x v="1"/>
    <x v="2"/>
    <x v="2"/>
    <x v="0"/>
    <s v="Ninguno"/>
    <n v="0"/>
    <n v="0"/>
    <n v="0"/>
    <n v="0"/>
    <n v="0"/>
    <n v="0"/>
    <n v="0"/>
    <n v="0"/>
    <n v="0"/>
    <n v="0"/>
    <n v="0"/>
    <n v="0"/>
    <n v="1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2"/>
    <x v="0"/>
    <x v="0"/>
    <x v="0"/>
    <x v="0"/>
    <x v="2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LE GUSTA PORQUE RESPIRA AIRE PURO"/>
    <s v="RECIBE EL SOL"/>
    <m/>
    <n v="82970256"/>
    <s v="f308f522-15e7-4bad-9121-5599e43599d7"/>
    <d v="2025-04-06T14:50:28"/>
    <m/>
    <m/>
    <s v="submitted_via_web"/>
    <m/>
    <s v="vhGz9QPwmdkBybuGFUbzwe"/>
    <m/>
    <n v="229"/>
  </r>
  <r>
    <d v="2025-04-10T16:09:16"/>
    <d v="2025-04-10T16:12:46"/>
    <s v="GH"/>
    <n v="420"/>
    <d v="2025-03-15T00:00:00"/>
    <n v="3"/>
    <s v="AMA"/>
    <s v="MJM"/>
    <n v="26"/>
    <x v="0"/>
    <s v="2. Semanalmente"/>
    <n v="1"/>
    <n v="0"/>
    <n v="0"/>
    <n v="0"/>
    <n v="0"/>
    <x v="1"/>
    <s v="1. Sí"/>
    <m/>
    <s v="6. Mestiza(o)"/>
    <m/>
    <x v="1"/>
    <s v="1. Completa"/>
    <s v="4. Es estudiante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0"/>
    <s v="NO LE HA PASADO NADA"/>
    <m/>
    <m/>
    <m/>
    <x v="1"/>
    <x v="2"/>
    <x v="4"/>
    <x v="1"/>
    <x v="3"/>
    <x v="3"/>
    <x v="2"/>
    <x v="0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1"/>
    <x v="2"/>
    <x v="0"/>
    <x v="0"/>
    <x v="0"/>
    <x v="0"/>
    <x v="0"/>
    <x v="0"/>
    <x v="0"/>
    <x v="0"/>
    <x v="0"/>
    <x v="0"/>
    <x v="0"/>
    <x v="0"/>
    <x v="0"/>
    <x v="0"/>
    <x v="0"/>
    <x v="0"/>
    <x v="0"/>
    <x v="2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SE DESESTREZA"/>
    <s v="SE RELAJA"/>
    <m/>
    <n v="83442463"/>
    <s v="522bb72a-9c98-475e-9ec5-dea1399bdf1e"/>
    <d v="2025-04-10T21:12:38"/>
    <m/>
    <m/>
    <s v="submitted_via_web"/>
    <m/>
    <s v="v5uNQoYdGp6CCoWUMSjVDf"/>
    <m/>
    <n v="457"/>
  </r>
  <r>
    <d v="2025-04-10T16:12:46"/>
    <d v="2025-04-10T16:16:43"/>
    <s v="GH"/>
    <n v="421"/>
    <d v="2025-03-15T00:00:00"/>
    <n v="3"/>
    <s v="AMA"/>
    <s v="MJM"/>
    <n v="60"/>
    <x v="1"/>
    <s v="1. Diariamente"/>
    <n v="0"/>
    <n v="0"/>
    <n v="0"/>
    <n v="0"/>
    <n v="0"/>
    <x v="1"/>
    <s v="1. Sí"/>
    <m/>
    <s v="6. Mestiza(o)"/>
    <m/>
    <x v="0"/>
    <s v="1. Completa"/>
    <s v="1. Trabajar"/>
    <m/>
    <s v="4. de $1340 a $183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0"/>
    <x v="0"/>
    <x v="1"/>
    <s v="HAY VENEZOLANOS QUE PERNOCTAN"/>
    <s v="MOTOS EN LOS CAMINOS"/>
    <s v="NO HAY A QUIEN QUEJARSE"/>
    <m/>
    <x v="2"/>
    <x v="2"/>
    <x v="2"/>
    <x v="1"/>
    <x v="3"/>
    <x v="3"/>
    <x v="2"/>
    <x v="0"/>
    <s v="L"/>
    <n v="0"/>
    <n v="0"/>
    <n v="0"/>
    <n v="0"/>
    <n v="0"/>
    <n v="0"/>
    <n v="0"/>
    <n v="0"/>
    <n v="0"/>
    <n v="0"/>
    <n v="0"/>
    <n v="1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2"/>
    <x v="0"/>
    <x v="0"/>
    <x v="1"/>
    <x v="1"/>
    <x v="0"/>
    <x v="3"/>
    <x v="0"/>
    <x v="0"/>
    <x v="0"/>
    <x v="0"/>
    <x v="1"/>
    <x v="2"/>
    <x v="1"/>
    <x v="1"/>
    <x v="1"/>
    <x v="2"/>
    <x v="1"/>
    <x v="2"/>
    <x v="0"/>
    <x v="2"/>
    <x v="0"/>
    <x v="0"/>
    <x v="0"/>
    <x v="2"/>
    <x v="0"/>
    <m/>
    <x v="0"/>
    <x v="0"/>
    <x v="2"/>
    <x v="0"/>
    <x v="1"/>
    <s v="2. Blanca"/>
    <x v="1"/>
    <x v="1"/>
    <x v="1"/>
    <x v="1"/>
    <x v="1"/>
    <m/>
    <x v="1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PAZ"/>
    <s v="ALEGRIA"/>
    <s v="RELAJACIÓN"/>
    <n v="83442894"/>
    <s v="7263ec58-0a53-4a11-94ba-c5e63395955a"/>
    <d v="2025-04-10T21:16:36"/>
    <m/>
    <m/>
    <s v="submitted_via_web"/>
    <m/>
    <s v="v5uNQoYdGp6CCoWUMSjVDf"/>
    <m/>
    <n v="459"/>
  </r>
  <r>
    <d v="2025-04-06T09:50:28"/>
    <d v="2025-04-06T13:15:31"/>
    <s v="OM"/>
    <n v="422"/>
    <d v="2025-03-15T00:00:00"/>
    <n v="3"/>
    <s v="AMA"/>
    <s v="MJM"/>
    <n v="40"/>
    <x v="0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2. de $471 a $919"/>
    <s v="6. Otra"/>
    <x v="1"/>
    <x v="0"/>
    <x v="0"/>
    <x v="0"/>
    <x v="0"/>
    <x v="1"/>
    <s v="ENCUESTAS"/>
    <s v="2. Mañana  (06:00 a 11:59) 3. Tarde (12:00 a 17:59)"/>
    <x v="0"/>
    <x v="0"/>
    <x v="1"/>
    <x v="0"/>
    <x v="2"/>
    <s v="3. Caminos de ciclismo"/>
    <x v="0"/>
    <x v="0"/>
    <x v="1"/>
    <x v="1"/>
    <x v="0"/>
    <x v="0"/>
    <x v="0"/>
    <m/>
    <x v="0"/>
    <x v="0"/>
    <x v="0"/>
    <s v="NO SIENTE RIESGOS"/>
    <s v="LA GENTE QUE TRABAJA EN LAS CARPAS LE CUIDAN"/>
    <m/>
    <m/>
    <x v="1"/>
    <x v="1"/>
    <x v="2"/>
    <x v="2"/>
    <x v="0"/>
    <x v="3"/>
    <x v="3"/>
    <x v="1"/>
    <s v="B"/>
    <n v="0"/>
    <n v="1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1"/>
    <x v="1"/>
    <x v="0"/>
    <x v="0"/>
    <x v="0"/>
    <x v="0"/>
    <x v="0"/>
    <x v="2"/>
    <x v="1"/>
    <x v="1"/>
    <x v="1"/>
    <x v="2"/>
    <x v="1"/>
    <x v="2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2"/>
    <x v="0"/>
    <x v="0"/>
    <x v="0"/>
    <x v="0"/>
    <x v="0"/>
    <x v="0"/>
    <x v="0"/>
    <x v="1"/>
    <x v="2"/>
    <x v="1"/>
    <x v="1"/>
    <x v="0"/>
    <x v="0"/>
    <x v="0"/>
    <x v="0"/>
    <x v="1"/>
    <x v="1"/>
    <x v="1"/>
    <x v="1"/>
    <x v="1"/>
    <x v="2"/>
    <x v="0"/>
    <x v="0"/>
    <x v="0"/>
    <x v="0"/>
    <x v="0"/>
    <x v="0"/>
    <m/>
    <s v="RELAJADA"/>
    <s v="SE SIENTE FRESCO"/>
    <m/>
    <n v="82975453"/>
    <s v="6fcd44aa-3f5d-4fc0-ab01-e4ddf68e46a2"/>
    <d v="2025-04-06T18:15:32"/>
    <m/>
    <m/>
    <s v="submitted_via_web"/>
    <m/>
    <s v="vhGz9QPwmdkBybuGFUbzwe"/>
    <m/>
    <n v="231"/>
  </r>
  <r>
    <d v="2025-04-10T16:16:43"/>
    <d v="2025-04-10T16:21:07"/>
    <s v="GH"/>
    <n v="423"/>
    <d v="2025-03-15T00:00:00"/>
    <n v="3"/>
    <s v="AMA"/>
    <s v="MJM"/>
    <n v="36"/>
    <x v="0"/>
    <s v="2. Semanalmente"/>
    <n v="6"/>
    <n v="0"/>
    <n v="0"/>
    <n v="0"/>
    <n v="0"/>
    <x v="1"/>
    <s v="1. Sí"/>
    <m/>
    <s v="6. Mestiza(o)"/>
    <m/>
    <x v="0"/>
    <s v="1. Completa"/>
    <s v="1. Trabajar"/>
    <m/>
    <s v="4. de $1340 a $1839"/>
    <s v="1. Deporte / ejercicio 3. Compras"/>
    <x v="0"/>
    <x v="0"/>
    <x v="1"/>
    <x v="0"/>
    <x v="0"/>
    <x v="0"/>
    <m/>
    <s v="2. Mañana  (06:00 a 11:59)"/>
    <x v="0"/>
    <x v="0"/>
    <x v="0"/>
    <x v="0"/>
    <x v="3"/>
    <s v="3. Caminos de ciclismo 4. Pistas para correr"/>
    <x v="0"/>
    <x v="0"/>
    <x v="1"/>
    <x v="0"/>
    <x v="0"/>
    <x v="0"/>
    <x v="0"/>
    <m/>
    <x v="1"/>
    <x v="1"/>
    <x v="1"/>
    <s v="SECTOR SOLITARIO"/>
    <m/>
    <m/>
    <m/>
    <x v="1"/>
    <x v="2"/>
    <x v="1"/>
    <x v="1"/>
    <x v="0"/>
    <x v="3"/>
    <x v="1"/>
    <x v="2"/>
    <s v="L"/>
    <n v="0"/>
    <n v="0"/>
    <n v="0"/>
    <n v="0"/>
    <n v="0"/>
    <n v="0"/>
    <n v="0"/>
    <n v="0"/>
    <n v="0"/>
    <n v="0"/>
    <n v="0"/>
    <n v="1"/>
    <n v="0"/>
    <x v="1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0"/>
    <x v="0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1"/>
    <x v="2"/>
    <x v="0"/>
    <x v="0"/>
    <x v="0"/>
    <x v="0"/>
    <x v="0"/>
    <x v="0"/>
    <x v="0"/>
    <x v="0"/>
    <x v="0"/>
    <m/>
    <s v="RECREACIÓN"/>
    <s v="SE DESESPEREZA"/>
    <s v="DE TARDE INSEGURIDAD"/>
    <n v="83443274"/>
    <s v="6102e39b-d2ad-4c4a-9680-0970b31d8526"/>
    <d v="2025-04-10T21:21:00"/>
    <m/>
    <m/>
    <s v="submitted_via_web"/>
    <m/>
    <s v="v5uNQoYdGp6CCoWUMSjVDf"/>
    <m/>
    <n v="461"/>
  </r>
  <r>
    <d v="2025-04-06T13:15:31"/>
    <d v="2025-04-06T13:20:51"/>
    <s v="OM"/>
    <n v="424"/>
    <d v="2025-03-15T00:00:00"/>
    <n v="3"/>
    <s v="AMA"/>
    <s v="MJM"/>
    <n v="42"/>
    <x v="2"/>
    <s v="1. Diariamente"/>
    <n v="2"/>
    <n v="0"/>
    <n v="0"/>
    <n v="0"/>
    <n v="0"/>
    <x v="1"/>
    <s v="1. Sí"/>
    <m/>
    <s v="6. Mestiza(o)"/>
    <m/>
    <x v="2"/>
    <s v="1. Completa"/>
    <s v="1. Trabajar"/>
    <m/>
    <s v="5. más de $1840"/>
    <s v="1. Deporte / ejercicio"/>
    <x v="0"/>
    <x v="0"/>
    <x v="0"/>
    <x v="0"/>
    <x v="0"/>
    <x v="0"/>
    <m/>
    <s v="2. Mañana  (06:00 a 11:59) 3. Tarde (12:00 a 17:59)"/>
    <x v="0"/>
    <x v="0"/>
    <x v="1"/>
    <x v="0"/>
    <x v="1"/>
    <s v="3. Caminos de ciclismo"/>
    <x v="0"/>
    <x v="0"/>
    <x v="1"/>
    <x v="1"/>
    <x v="0"/>
    <x v="0"/>
    <x v="0"/>
    <m/>
    <x v="0"/>
    <x v="0"/>
    <x v="1"/>
    <s v="TARDE ES OSCURO Y NO HAY MUCHA GENTE"/>
    <m/>
    <m/>
    <m/>
    <x v="1"/>
    <x v="3"/>
    <x v="2"/>
    <x v="2"/>
    <x v="3"/>
    <x v="3"/>
    <x v="1"/>
    <x v="1"/>
    <s v="C"/>
    <n v="0"/>
    <n v="0"/>
    <n v="1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0"/>
    <x v="1"/>
    <x v="2"/>
    <x v="0"/>
    <x v="0"/>
    <x v="0"/>
    <x v="3"/>
    <x v="0"/>
    <x v="0"/>
    <x v="0"/>
    <x v="0"/>
    <x v="0"/>
    <x v="0"/>
    <x v="0"/>
    <x v="0"/>
    <x v="0"/>
    <x v="0"/>
    <x v="1"/>
    <x v="2"/>
    <x v="0"/>
    <x v="3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PLACER DE VER UNA ÁREA VERDE"/>
    <s v="FELICIDAD"/>
    <m/>
    <n v="82975519"/>
    <s v="c35a0a2d-e960-4b23-b615-8c67e6a80670"/>
    <d v="2025-04-06T18:20:52"/>
    <m/>
    <m/>
    <s v="submitted_via_web"/>
    <m/>
    <s v="vhGz9QPwmdkBybuGFUbzwe"/>
    <m/>
    <n v="232"/>
  </r>
  <r>
    <d v="2025-04-10T16:21:07"/>
    <d v="2025-04-10T16:25:35"/>
    <s v="GH"/>
    <n v="425"/>
    <d v="2025-03-15T00:00:00"/>
    <n v="3"/>
    <s v="AMA"/>
    <s v="MJM"/>
    <n v="31"/>
    <x v="0"/>
    <s v="1. Diariamente"/>
    <n v="1"/>
    <n v="0"/>
    <n v="0"/>
    <n v="0"/>
    <n v="0"/>
    <x v="1"/>
    <s v="1. Sí"/>
    <m/>
    <s v="6. Mestiza(o)"/>
    <m/>
    <x v="2"/>
    <s v="1. Completa"/>
    <s v="1. Trabajar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1"/>
    <s v="3. Caminos de ciclismo 8. Otro."/>
    <x v="0"/>
    <x v="0"/>
    <x v="1"/>
    <x v="1"/>
    <x v="0"/>
    <x v="0"/>
    <x v="1"/>
    <s v="MAQUINAS"/>
    <x v="0"/>
    <x v="0"/>
    <x v="0"/>
    <s v="POR LA HORA EN LA QUE VIENE"/>
    <s v="MAS MOVIMIENTO DE GENTE"/>
    <s v="PERSONAL DEL MUNICIPIO"/>
    <m/>
    <x v="1"/>
    <x v="1"/>
    <x v="0"/>
    <x v="2"/>
    <x v="2"/>
    <x v="3"/>
    <x v="2"/>
    <x v="1"/>
    <s v="C"/>
    <n v="0"/>
    <n v="0"/>
    <n v="1"/>
    <n v="0"/>
    <n v="0"/>
    <n v="0"/>
    <n v="0"/>
    <n v="0"/>
    <n v="0"/>
    <n v="0"/>
    <n v="0"/>
    <n v="0"/>
    <n v="0"/>
    <x v="2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2"/>
    <x v="0"/>
    <x v="0"/>
    <x v="1"/>
    <x v="2"/>
    <x v="0"/>
    <x v="0"/>
    <x v="0"/>
    <x v="0"/>
    <x v="0"/>
    <x v="0"/>
    <x v="1"/>
    <x v="2"/>
    <x v="0"/>
    <x v="0"/>
    <x v="1"/>
    <x v="2"/>
    <x v="0"/>
    <x v="1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1"/>
    <x v="1"/>
    <x v="0"/>
    <x v="1"/>
    <x v="2"/>
    <x v="2"/>
    <m/>
    <s v="RELAJACIÓN"/>
    <s v="TRANQUILIDAD"/>
    <m/>
    <n v="83443582"/>
    <s v="3c5e25bf-16d1-48ae-97d7-e5aa5ff09351"/>
    <d v="2025-04-10T21:25:28"/>
    <m/>
    <m/>
    <s v="submitted_via_web"/>
    <m/>
    <s v="v5uNQoYdGp6CCoWUMSjVDf"/>
    <m/>
    <n v="463"/>
  </r>
  <r>
    <d v="2025-04-06T13:20:51"/>
    <d v="2025-04-06T13:57:34"/>
    <s v="OM"/>
    <n v="426"/>
    <d v="2025-03-15T00:00:00"/>
    <n v="3"/>
    <s v="AMA"/>
    <s v="MJM"/>
    <n v="34"/>
    <x v="0"/>
    <s v="2. Semanalmente"/>
    <n v="1"/>
    <n v="0"/>
    <n v="0"/>
    <n v="0"/>
    <n v="0"/>
    <x v="1"/>
    <s v="1. Sí"/>
    <m/>
    <s v="6. Mestiza(o)"/>
    <m/>
    <x v="0"/>
    <s v="1. Completa"/>
    <s v="1. Trabajar"/>
    <m/>
    <s v="4. de $1340 a $1839"/>
    <s v="5. Recreación/Ocio"/>
    <x v="1"/>
    <x v="0"/>
    <x v="0"/>
    <x v="0"/>
    <x v="1"/>
    <x v="0"/>
    <m/>
    <s v="2. Mañana  (06:00 a 11:59)"/>
    <x v="0"/>
    <x v="0"/>
    <x v="0"/>
    <x v="0"/>
    <x v="1"/>
    <s v="3. Caminos de ciclismo 7. Áreas verdes"/>
    <x v="0"/>
    <x v="0"/>
    <x v="1"/>
    <x v="1"/>
    <x v="0"/>
    <x v="1"/>
    <x v="0"/>
    <m/>
    <x v="1"/>
    <x v="1"/>
    <x v="0"/>
    <s v="ESTÁN LOS METROPOLITANOS QUE VIGILAN"/>
    <m/>
    <m/>
    <m/>
    <x v="1"/>
    <x v="1"/>
    <x v="4"/>
    <x v="3"/>
    <x v="3"/>
    <x v="3"/>
    <x v="3"/>
    <x v="1"/>
    <s v="B"/>
    <n v="0"/>
    <n v="1"/>
    <n v="0"/>
    <n v="0"/>
    <n v="0"/>
    <n v="0"/>
    <n v="0"/>
    <n v="0"/>
    <n v="0"/>
    <n v="0"/>
    <n v="0"/>
    <n v="0"/>
    <n v="0"/>
    <x v="1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1"/>
    <x v="1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2"/>
    <x v="1"/>
    <x v="1"/>
    <x v="0"/>
    <x v="1"/>
    <x v="2"/>
    <x v="0"/>
    <x v="1"/>
    <x v="2"/>
    <x v="0"/>
    <x v="1"/>
    <x v="1"/>
    <x v="0"/>
    <x v="0"/>
    <x v="1"/>
    <x v="2"/>
    <x v="1"/>
    <x v="2"/>
    <x v="0"/>
    <x v="1"/>
    <x v="2"/>
    <x v="0"/>
    <x v="0"/>
    <x v="0"/>
    <x v="0"/>
    <x v="0"/>
    <x v="0"/>
    <x v="0"/>
    <m/>
    <s v="TRANQUILIDAD"/>
    <s v="DESCANZO"/>
    <s v="PAZ"/>
    <n v="82975759"/>
    <s v="d3efbd24-dcf9-42e8-8b66-fec375398762"/>
    <d v="2025-04-06T18:57:34"/>
    <m/>
    <m/>
    <s v="submitted_via_web"/>
    <m/>
    <s v="vhGz9QPwmdkBybuGFUbzwe"/>
    <m/>
    <n v="233"/>
  </r>
  <r>
    <d v="2025-04-06T13:57:34"/>
    <d v="2025-04-06T14:03:24"/>
    <s v="OM"/>
    <n v="427"/>
    <d v="2025-03-15T00:00:00"/>
    <n v="3"/>
    <s v="AMA"/>
    <s v="MJM"/>
    <n v="40"/>
    <x v="0"/>
    <s v="3. al menos 2 veces al mes"/>
    <n v="2"/>
    <n v="0"/>
    <n v="0"/>
    <n v="0"/>
    <n v="0"/>
    <x v="1"/>
    <s v="1. Sí"/>
    <m/>
    <s v="6. Mestiza(o)"/>
    <m/>
    <x v="0"/>
    <s v="1. Completa"/>
    <s v="1. Trabajar"/>
    <m/>
    <s v="3. de $920 a $1339"/>
    <s v="1. Deporte / ejercicio 5. Recreación/Ocio"/>
    <x v="0"/>
    <x v="0"/>
    <x v="0"/>
    <x v="0"/>
    <x v="1"/>
    <x v="0"/>
    <m/>
    <s v="2. Mañana  (06:00 a 11:59)"/>
    <x v="0"/>
    <x v="0"/>
    <x v="0"/>
    <x v="0"/>
    <x v="3"/>
    <s v="3. Caminos de ciclismo 7. Áreas verdes"/>
    <x v="0"/>
    <x v="0"/>
    <x v="1"/>
    <x v="1"/>
    <x v="0"/>
    <x v="1"/>
    <x v="0"/>
    <m/>
    <x v="1"/>
    <x v="1"/>
    <x v="1"/>
    <s v="LA DELINCUENCIA ESTÁ MALA"/>
    <s v="ESTE ESPACIO GENERA INSEGURIDAD"/>
    <m/>
    <m/>
    <x v="1"/>
    <x v="1"/>
    <x v="1"/>
    <x v="2"/>
    <x v="3"/>
    <x v="3"/>
    <x v="2"/>
    <x v="2"/>
    <s v="B"/>
    <n v="0"/>
    <n v="1"/>
    <n v="0"/>
    <n v="0"/>
    <n v="0"/>
    <n v="0"/>
    <n v="0"/>
    <n v="0"/>
    <n v="0"/>
    <n v="0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2"/>
    <x v="0"/>
    <x v="0"/>
    <x v="0"/>
    <x v="0"/>
    <x v="2"/>
    <x v="0"/>
    <x v="0"/>
    <x v="0"/>
    <x v="0"/>
    <x v="0"/>
    <x v="0"/>
    <x v="0"/>
    <x v="0"/>
    <x v="1"/>
    <x v="1"/>
    <x v="1"/>
    <x v="2"/>
    <x v="0"/>
    <x v="0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HA MEJORADO"/>
    <s v="LE DA ALEGRÍA PORQUE LO MANTIENEN"/>
    <s v="IMPLEMENTACIÓN DE ÁREAS DEPORTIVAS"/>
    <n v="82975901"/>
    <s v="e60257d5-e4ae-43f1-9e3c-5d159a1866ed"/>
    <d v="2025-04-06T19:03:24"/>
    <m/>
    <m/>
    <s v="submitted_via_web"/>
    <m/>
    <s v="vhGz9QPwmdkBybuGFUbzwe"/>
    <m/>
    <n v="234"/>
  </r>
  <r>
    <d v="2025-04-06T14:03:24"/>
    <d v="2025-04-06T14:42:13"/>
    <s v="OM"/>
    <n v="428"/>
    <d v="2025-03-15T00:00:00"/>
    <n v="3"/>
    <s v="GB-EG"/>
    <s v="MJM"/>
    <n v="35"/>
    <x v="0"/>
    <s v="2. Semanal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3. Tarde (12:00 a 17:59)"/>
    <x v="0"/>
    <x v="1"/>
    <x v="1"/>
    <x v="0"/>
    <x v="2"/>
    <s v="1. Canchas de fútbol y basquet"/>
    <x v="1"/>
    <x v="0"/>
    <x v="0"/>
    <x v="1"/>
    <x v="0"/>
    <x v="0"/>
    <x v="0"/>
    <m/>
    <x v="1"/>
    <x v="1"/>
    <x v="0"/>
    <s v="PORQUE HAY SEGURIDAD"/>
    <m/>
    <m/>
    <m/>
    <x v="1"/>
    <x v="2"/>
    <x v="2"/>
    <x v="2"/>
    <x v="0"/>
    <x v="3"/>
    <x v="1"/>
    <x v="0"/>
    <s v="L"/>
    <n v="0"/>
    <n v="0"/>
    <n v="0"/>
    <n v="0"/>
    <n v="0"/>
    <n v="0"/>
    <n v="0"/>
    <n v="0"/>
    <n v="0"/>
    <n v="0"/>
    <n v="0"/>
    <n v="1"/>
    <n v="0"/>
    <x v="1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1"/>
    <x v="0"/>
    <x v="0"/>
    <x v="0"/>
    <x v="0"/>
    <x v="2"/>
    <x v="0"/>
    <x v="1"/>
    <x v="1"/>
    <x v="1"/>
    <x v="1"/>
    <x v="0"/>
    <x v="0"/>
    <x v="1"/>
    <x v="2"/>
    <x v="0"/>
    <x v="0"/>
    <x v="1"/>
    <x v="1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1"/>
    <x v="1"/>
    <x v="2"/>
    <x v="0"/>
    <x v="1"/>
    <x v="1"/>
    <x v="0"/>
    <x v="2"/>
    <x v="2"/>
    <x v="0"/>
    <x v="1"/>
    <x v="2"/>
    <x v="0"/>
    <x v="0"/>
    <x v="0"/>
    <x v="1"/>
    <x v="1"/>
    <x v="2"/>
    <x v="0"/>
    <x v="0"/>
    <x v="0"/>
    <x v="0"/>
    <x v="0"/>
    <x v="0"/>
    <m/>
    <s v="EMOCIONADO POR VENIR A DISTRAER Y SATISFACCIÓN"/>
    <m/>
    <m/>
    <n v="82977053"/>
    <s v="46c318bc-e651-4d96-8417-f72871b53da0"/>
    <d v="2025-04-06T19:42:12"/>
    <m/>
    <m/>
    <s v="submitted_via_web"/>
    <m/>
    <s v="vhGz9QPwmdkBybuGFUbzwe"/>
    <m/>
    <n v="241"/>
  </r>
  <r>
    <d v="2025-04-06T14:42:13"/>
    <d v="2025-04-06T15:38:47"/>
    <s v="OM"/>
    <n v="429"/>
    <d v="2025-03-15T00:00:00"/>
    <n v="5"/>
    <s v="GB-EG"/>
    <s v="MJM"/>
    <n v="22"/>
    <x v="3"/>
    <s v="1. Diariamente"/>
    <n v="0"/>
    <n v="0"/>
    <n v="0"/>
    <n v="0"/>
    <n v="0"/>
    <x v="0"/>
    <s v="1. Sí"/>
    <m/>
    <s v="1. Indígena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0"/>
    <s v="PORQUE VENGO CON COMPAÑEROS"/>
    <m/>
    <m/>
    <m/>
    <x v="1"/>
    <x v="2"/>
    <x v="1"/>
    <x v="2"/>
    <x v="0"/>
    <x v="2"/>
    <x v="2"/>
    <x v="1"/>
    <s v="L"/>
    <n v="0"/>
    <n v="0"/>
    <n v="0"/>
    <n v="0"/>
    <n v="0"/>
    <n v="0"/>
    <n v="0"/>
    <n v="0"/>
    <n v="0"/>
    <n v="0"/>
    <n v="0"/>
    <n v="1"/>
    <n v="0"/>
    <x v="2"/>
    <x v="1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0"/>
    <x v="0"/>
    <x v="1"/>
    <x v="2"/>
    <x v="1"/>
    <x v="3"/>
    <x v="1"/>
    <x v="2"/>
    <x v="1"/>
    <x v="1"/>
    <x v="1"/>
    <x v="1"/>
    <x v="0"/>
    <x v="1"/>
    <x v="0"/>
    <x v="2"/>
    <x v="1"/>
    <x v="1"/>
    <x v="0"/>
    <x v="0"/>
    <x v="0"/>
    <m/>
    <x v="0"/>
    <x v="1"/>
    <x v="1"/>
    <x v="2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0"/>
    <x v="2"/>
    <x v="2"/>
    <x v="0"/>
    <x v="1"/>
    <x v="2"/>
    <x v="1"/>
    <x v="1"/>
    <x v="1"/>
    <x v="1"/>
    <x v="1"/>
    <x v="2"/>
    <x v="1"/>
    <x v="2"/>
    <x v="2"/>
    <x v="0"/>
    <x v="0"/>
    <x v="0"/>
    <m/>
    <s v="SE SIENTE LIBRE Y SEGURO"/>
    <m/>
    <m/>
    <n v="82979761"/>
    <s v="a5991ea7-5c6c-4558-985e-d1cf334b4bdb"/>
    <d v="2025-04-06T20:38:47"/>
    <m/>
    <m/>
    <s v="submitted_via_web"/>
    <m/>
    <s v="vhGz9QPwmdkBybuGFUbzwe"/>
    <m/>
    <n v="254"/>
  </r>
  <r>
    <d v="2025-04-06T15:38:47"/>
    <d v="2025-04-06T15:53:46"/>
    <s v="OM"/>
    <n v="430"/>
    <d v="2025-03-15T00:00:00"/>
    <n v="3"/>
    <s v="GB-EG"/>
    <s v="MJM"/>
    <n v="76"/>
    <x v="1"/>
    <s v="1. Diariamente"/>
    <n v="0"/>
    <n v="0"/>
    <n v="0"/>
    <n v="0"/>
    <n v="0"/>
    <x v="0"/>
    <s v="1. Sí"/>
    <m/>
    <s v="6. Mestiza(o)"/>
    <m/>
    <x v="0"/>
    <s v="1. Completa"/>
    <s v="3. Es jubilada/o o pensionista/o"/>
    <m/>
    <s v="3. de $920 a $1339"/>
    <s v="6. Otra"/>
    <x v="1"/>
    <x v="0"/>
    <x v="0"/>
    <x v="0"/>
    <x v="0"/>
    <x v="1"/>
    <s v="CAMINAR"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MADRUGO Y VENGO ACOMPAÑADO"/>
    <m/>
    <m/>
    <m/>
    <x v="1"/>
    <x v="1"/>
    <x v="1"/>
    <x v="2"/>
    <x v="0"/>
    <x v="2"/>
    <x v="2"/>
    <x v="1"/>
    <s v="L"/>
    <n v="0"/>
    <n v="0"/>
    <n v="0"/>
    <n v="0"/>
    <n v="0"/>
    <n v="0"/>
    <n v="0"/>
    <n v="0"/>
    <n v="0"/>
    <n v="0"/>
    <n v="0"/>
    <n v="1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0"/>
    <x v="0"/>
    <x v="0"/>
    <x v="0"/>
    <x v="0"/>
    <x v="1"/>
    <x v="1"/>
    <x v="1"/>
    <x v="1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2"/>
    <x v="0"/>
    <x v="0"/>
    <x v="0"/>
    <x v="0"/>
    <x v="0"/>
    <x v="0"/>
    <m/>
    <s v="RESPIRO AIRE PURO Y SEGURIDAD"/>
    <m/>
    <m/>
    <n v="82980115"/>
    <s v="f9bbb4b8-d215-4467-9851-965171b153f2"/>
    <d v="2025-04-06T20:53:46"/>
    <m/>
    <m/>
    <s v="submitted_via_web"/>
    <m/>
    <s v="vhGz9QPwmdkBybuGFUbzwe"/>
    <m/>
    <n v="258"/>
  </r>
  <r>
    <d v="2025-04-06T15:53:46"/>
    <d v="2025-04-06T16:01:32"/>
    <s v="OM"/>
    <n v="431"/>
    <d v="2025-03-15T00:00:00"/>
    <n v="3"/>
    <s v="GB-EG"/>
    <s v="MJM"/>
    <n v="31"/>
    <x v="0"/>
    <s v="2. Semanalmente"/>
    <n v="1"/>
    <n v="0"/>
    <n v="0"/>
    <n v="0"/>
    <n v="0"/>
    <x v="0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2"/>
    <s v="PORQUE HAY POLICÍAS Y CAMINOS ILUMINADOS"/>
    <m/>
    <m/>
    <m/>
    <x v="1"/>
    <x v="2"/>
    <x v="1"/>
    <x v="2"/>
    <x v="0"/>
    <x v="3"/>
    <x v="2"/>
    <x v="1"/>
    <s v="B"/>
    <n v="0"/>
    <n v="1"/>
    <n v="0"/>
    <n v="0"/>
    <n v="0"/>
    <n v="0"/>
    <n v="0"/>
    <n v="0"/>
    <n v="0"/>
    <n v="0"/>
    <n v="0"/>
    <n v="0"/>
    <n v="0"/>
    <x v="2"/>
    <x v="2"/>
    <x v="3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1"/>
    <x v="1"/>
    <x v="0"/>
    <x v="0"/>
    <x v="0"/>
    <x v="0"/>
    <x v="0"/>
    <x v="2"/>
    <x v="0"/>
    <x v="0"/>
    <x v="0"/>
    <x v="0"/>
    <x v="1"/>
    <x v="2"/>
    <x v="0"/>
    <x v="0"/>
    <x v="1"/>
    <x v="2"/>
    <x v="1"/>
    <x v="2"/>
    <x v="0"/>
    <x v="2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1"/>
    <x v="2"/>
    <x v="0"/>
    <x v="1"/>
    <x v="1"/>
    <x v="1"/>
    <x v="1"/>
    <x v="1"/>
    <x v="2"/>
    <x v="1"/>
    <x v="2"/>
    <x v="2"/>
    <x v="1"/>
    <x v="2"/>
    <x v="1"/>
    <m/>
    <s v="MUCHA TRANQUILIDAD Y FELICIDAD"/>
    <m/>
    <m/>
    <n v="82980561"/>
    <s v="4ed5971d-f121-4830-85e3-db6c5e3cb0eb"/>
    <d v="2025-04-06T21:01:32"/>
    <m/>
    <m/>
    <s v="submitted_via_web"/>
    <m/>
    <s v="vhGz9QPwmdkBybuGFUbzwe"/>
    <m/>
    <n v="261"/>
  </r>
  <r>
    <d v="2025-04-06T16:01:32"/>
    <d v="2025-04-06T16:23:10"/>
    <s v="OM"/>
    <n v="432"/>
    <d v="2025-03-15T00:00:00"/>
    <n v="3"/>
    <s v="GB-EG"/>
    <s v="MJM"/>
    <n v="40"/>
    <x v="0"/>
    <s v="1. Diariamente"/>
    <n v="0"/>
    <n v="0"/>
    <n v="0"/>
    <n v="0"/>
    <n v="0"/>
    <x v="1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2"/>
    <s v="3. Caminos de ciclismo"/>
    <x v="0"/>
    <x v="0"/>
    <x v="1"/>
    <x v="1"/>
    <x v="0"/>
    <x v="0"/>
    <x v="0"/>
    <m/>
    <x v="1"/>
    <x v="2"/>
    <x v="1"/>
    <s v="PORQUE ME SE CUIDAR"/>
    <m/>
    <m/>
    <m/>
    <x v="1"/>
    <x v="1"/>
    <x v="1"/>
    <x v="2"/>
    <x v="1"/>
    <x v="3"/>
    <x v="1"/>
    <x v="1"/>
    <s v="E"/>
    <n v="0"/>
    <n v="0"/>
    <n v="0"/>
    <n v="0"/>
    <n v="1"/>
    <n v="0"/>
    <n v="0"/>
    <n v="0"/>
    <n v="0"/>
    <n v="0"/>
    <n v="0"/>
    <n v="0"/>
    <n v="0"/>
    <x v="2"/>
    <x v="0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2"/>
    <x v="1"/>
    <x v="1"/>
    <x v="1"/>
    <x v="1"/>
    <x v="1"/>
    <x v="2"/>
    <x v="1"/>
    <x v="1"/>
    <x v="0"/>
    <x v="2"/>
    <x v="0"/>
    <x v="0"/>
    <x v="0"/>
    <x v="0"/>
    <x v="0"/>
    <x v="0"/>
    <x v="0"/>
    <x v="0"/>
    <x v="1"/>
    <x v="2"/>
    <x v="0"/>
    <x v="0"/>
    <x v="1"/>
    <x v="1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0"/>
    <x v="2"/>
    <x v="2"/>
    <x v="0"/>
    <x v="1"/>
    <x v="2"/>
    <x v="1"/>
    <x v="1"/>
    <x v="1"/>
    <x v="1"/>
    <x v="1"/>
    <x v="2"/>
    <x v="1"/>
    <x v="2"/>
    <x v="2"/>
    <x v="1"/>
    <x v="2"/>
    <x v="2"/>
    <m/>
    <s v="SIENTO PAZ Y A LA VEZ TEMOR POR LA DELINCUENCIA"/>
    <m/>
    <m/>
    <n v="82982315"/>
    <s v="f8c3454f-27af-4ad3-904d-007bcb563ff6"/>
    <d v="2025-04-06T21:23:09"/>
    <m/>
    <m/>
    <s v="submitted_via_web"/>
    <m/>
    <s v="vhGz9QPwmdkBybuGFUbzwe"/>
    <m/>
    <n v="265"/>
  </r>
  <r>
    <d v="2025-04-10T08:54:45"/>
    <d v="2025-04-10T09:09:03"/>
    <s v="GH"/>
    <n v="434"/>
    <d v="2025-03-15T00:00:00"/>
    <n v="3"/>
    <s v="GB-EG"/>
    <s v="MJM"/>
    <n v="30"/>
    <x v="0"/>
    <s v="2. Semanalmente"/>
    <n v="0"/>
    <n v="0"/>
    <n v="0"/>
    <n v="0"/>
    <n v="0"/>
    <x v="1"/>
    <s v="1. Sí"/>
    <m/>
    <s v="6. Mestiza(o)"/>
    <m/>
    <x v="1"/>
    <s v="1. Completa"/>
    <s v="1. Trabajar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2"/>
    <s v="4. Pistas para correr"/>
    <x v="0"/>
    <x v="0"/>
    <x v="0"/>
    <x v="0"/>
    <x v="0"/>
    <x v="0"/>
    <x v="0"/>
    <m/>
    <x v="1"/>
    <x v="1"/>
    <x v="0"/>
    <s v="PORQUE VENGO CON MI HIJO AL PARQUE"/>
    <m/>
    <m/>
    <m/>
    <x v="1"/>
    <x v="1"/>
    <x v="1"/>
    <x v="2"/>
    <x v="0"/>
    <x v="3"/>
    <x v="1"/>
    <x v="1"/>
    <s v="L"/>
    <n v="0"/>
    <n v="0"/>
    <n v="0"/>
    <n v="0"/>
    <n v="0"/>
    <n v="0"/>
    <n v="0"/>
    <n v="0"/>
    <n v="0"/>
    <n v="0"/>
    <n v="0"/>
    <n v="1"/>
    <n v="0"/>
    <x v="2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1"/>
    <x v="2"/>
    <x v="1"/>
    <x v="1"/>
    <x v="1"/>
    <x v="1"/>
    <x v="0"/>
    <x v="0"/>
    <x v="0"/>
    <x v="0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0"/>
    <x v="2"/>
    <x v="1"/>
    <x v="0"/>
    <x v="0"/>
    <x v="0"/>
    <x v="0"/>
    <x v="1"/>
    <x v="1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EN LA MAÑANA RESPIRO AIRE PURO Y TRANQUILIDAD"/>
    <m/>
    <m/>
    <n v="83407817"/>
    <s v="6c03b8a7-96f0-4a5b-9c3a-03f35ad15a15"/>
    <d v="2025-04-10T14:09:03"/>
    <m/>
    <m/>
    <s v="submitted_via_web"/>
    <m/>
    <s v="v5uNQoYdGp6CCoWUMSjVDf"/>
    <m/>
    <n v="403"/>
  </r>
  <r>
    <d v="2025-04-10T16:25:35"/>
    <d v="2025-04-11T07:37:31"/>
    <s v="GH"/>
    <n v="436"/>
    <d v="2025-03-22T00:00:00"/>
    <n v="3"/>
    <s v="JC"/>
    <s v="JA"/>
    <n v="50"/>
    <x v="2"/>
    <s v="2. Semanalmente"/>
    <n v="0"/>
    <n v="0"/>
    <n v="0"/>
    <n v="0"/>
    <n v="1"/>
    <x v="0"/>
    <s v="1. Sí"/>
    <m/>
    <s v="6. Mestiza(o)"/>
    <m/>
    <x v="0"/>
    <s v="1. Completa"/>
    <s v="1. Trabajar"/>
    <m/>
    <s v="2. de $471 a $919"/>
    <s v="2. Culturales y sociales"/>
    <x v="1"/>
    <x v="1"/>
    <x v="0"/>
    <x v="0"/>
    <x v="0"/>
    <x v="0"/>
    <m/>
    <s v="2. Mañana  (06:00 a 11:59)"/>
    <x v="0"/>
    <x v="0"/>
    <x v="0"/>
    <x v="0"/>
    <x v="1"/>
    <s v="7. Áreas verdes"/>
    <x v="0"/>
    <x v="0"/>
    <x v="0"/>
    <x v="1"/>
    <x v="0"/>
    <x v="1"/>
    <x v="0"/>
    <m/>
    <x v="0"/>
    <x v="0"/>
    <x v="0"/>
    <s v="MUCHA GENTE"/>
    <s v="POLICIA NACIONAL"/>
    <s v="SEGURIDAD"/>
    <m/>
    <x v="0"/>
    <x v="2"/>
    <x v="2"/>
    <x v="1"/>
    <x v="0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0"/>
    <x v="2"/>
    <x v="1"/>
    <x v="1"/>
    <x v="2"/>
    <x v="0"/>
    <x v="0"/>
    <x v="0"/>
    <x v="0"/>
    <x v="1"/>
    <x v="1"/>
    <x v="1"/>
    <x v="1"/>
    <x v="1"/>
    <x v="0"/>
    <x v="0"/>
    <x v="0"/>
    <x v="0"/>
    <m/>
    <s v="FELIZ"/>
    <s v="PAZ"/>
    <s v="TRANQUILIDAD"/>
    <n v="83507961"/>
    <s v="4f09be59-aac0-4717-b118-bd4557eb1a63"/>
    <d v="2025-04-11T12:37:32"/>
    <m/>
    <m/>
    <s v="submitted_via_web"/>
    <m/>
    <s v="v5uNQoYdGp6CCoWUMSjVDf"/>
    <m/>
    <n v="465"/>
  </r>
  <r>
    <d v="2025-04-10T09:09:03"/>
    <d v="2025-04-10T09:12:52"/>
    <s v="GH"/>
    <n v="437"/>
    <d v="2025-03-22T00:00:00"/>
    <n v="3"/>
    <s v="BP"/>
    <s v="JA"/>
    <n v="42"/>
    <x v="2"/>
    <s v="2. Semanalmente"/>
    <n v="0"/>
    <n v="0"/>
    <n v="0"/>
    <n v="0"/>
    <n v="0"/>
    <x v="1"/>
    <s v="1. Sí"/>
    <m/>
    <s v="6. Mestiza(o)"/>
    <m/>
    <x v="1"/>
    <s v="1. Completa"/>
    <s v="1. Trabajar"/>
    <m/>
    <s v="2. de $471 a $919"/>
    <s v="1. Deporte / ejercicio 2. Culturales y sociales"/>
    <x v="0"/>
    <x v="1"/>
    <x v="0"/>
    <x v="0"/>
    <x v="0"/>
    <x v="0"/>
    <m/>
    <s v="2. Mañana  (06:00 a 11:59)"/>
    <x v="0"/>
    <x v="0"/>
    <x v="0"/>
    <x v="0"/>
    <x v="0"/>
    <s v="4. Pistas para correr 7. Áreas verdes"/>
    <x v="0"/>
    <x v="0"/>
    <x v="0"/>
    <x v="0"/>
    <x v="0"/>
    <x v="1"/>
    <x v="0"/>
    <m/>
    <x v="1"/>
    <x v="1"/>
    <x v="0"/>
    <s v="HAY CONTROL DE SEGURIDAD"/>
    <s v="HAY POLICIAS Y AGENTES"/>
    <m/>
    <m/>
    <x v="1"/>
    <x v="2"/>
    <x v="1"/>
    <x v="2"/>
    <x v="0"/>
    <x v="3"/>
    <x v="4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I SE SIENTE SEGURO EN EL PARQUE"/>
    <s v="PUEDE JUGAR CON SU HIJO"/>
    <m/>
    <n v="83408003"/>
    <s v="5474b63d-764f-412a-a55b-4f6eaf8c7636"/>
    <d v="2025-04-10T14:12:51"/>
    <m/>
    <m/>
    <s v="submitted_via_web"/>
    <m/>
    <s v="v5uNQoYdGp6CCoWUMSjVDf"/>
    <m/>
    <n v="404"/>
  </r>
  <r>
    <d v="2025-04-06T16:44:48"/>
    <d v="2025-04-06T16:48:53"/>
    <s v="OM"/>
    <n v="438"/>
    <d v="2025-03-22T00:00:00"/>
    <n v="3"/>
    <s v="JC"/>
    <s v="JA"/>
    <n v="20"/>
    <x v="3"/>
    <s v="3. al menos 2 veces al mes"/>
    <n v="0"/>
    <n v="0"/>
    <n v="0"/>
    <n v="0"/>
    <n v="0"/>
    <x v="0"/>
    <s v="1. Sí"/>
    <m/>
    <s v="6. Mestiza(o)"/>
    <m/>
    <x v="1"/>
    <s v="1. Completa"/>
    <s v="4. Es estudiante"/>
    <m/>
    <s v="1. Menos de $470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1"/>
    <s v="PERSONAS CON EXPERIENCIA EN CALLE"/>
    <s v="NO HAY POLICÍAS"/>
    <s v="MUCHA GENTE"/>
    <m/>
    <x v="1"/>
    <x v="1"/>
    <x v="1"/>
    <x v="2"/>
    <x v="1"/>
    <x v="2"/>
    <x v="2"/>
    <x v="1"/>
    <s v="A"/>
    <n v="1"/>
    <n v="0"/>
    <n v="0"/>
    <n v="0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s v="FELICIDAD"/>
    <s v="AMISTAD"/>
    <n v="82983055"/>
    <s v="05bad8a9-1aee-4760-b7eb-0624f1388775"/>
    <d v="2025-04-06T21:48:53"/>
    <m/>
    <m/>
    <s v="submitted_via_web"/>
    <m/>
    <s v="vhGz9QPwmdkBybuGFUbzwe"/>
    <m/>
    <n v="272"/>
  </r>
  <r>
    <d v="2025-04-11T07:37:31"/>
    <d v="2025-04-11T07:45:01"/>
    <s v="GH"/>
    <n v="440"/>
    <d v="2025-03-22T00:00:00"/>
    <n v="3"/>
    <s v="BP"/>
    <s v="JA"/>
    <n v="58"/>
    <x v="1"/>
    <s v="3. al menos 2 veces al mes"/>
    <n v="1"/>
    <n v="1"/>
    <n v="0"/>
    <n v="0"/>
    <n v="0"/>
    <x v="1"/>
    <s v="1. Sí"/>
    <m/>
    <s v="6. Mestiza(o)"/>
    <m/>
    <x v="5"/>
    <s v="1. Completa"/>
    <s v="1. Trabajar"/>
    <m/>
    <s v="1. Menos de $470"/>
    <s v="3. Compras"/>
    <x v="1"/>
    <x v="0"/>
    <x v="1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PORQUE HA VISTO POLICÍAS"/>
    <s v="HAY SEGURIDAD"/>
    <m/>
    <m/>
    <x v="1"/>
    <x v="1"/>
    <x v="1"/>
    <x v="2"/>
    <x v="0"/>
    <x v="2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SE SIENTE FELIZ EN EL PARQUE"/>
    <s v="HAY AREAS PARA CORRER"/>
    <m/>
    <n v="83508427"/>
    <s v="dc3344ed-01c2-43ae-8150-ce47e256189e"/>
    <d v="2025-04-11T12:45:01"/>
    <m/>
    <m/>
    <s v="submitted_via_web"/>
    <m/>
    <s v="v5uNQoYdGp6CCoWUMSjVDf"/>
    <m/>
    <n v="466"/>
  </r>
  <r>
    <d v="2025-04-10T14:11:32"/>
    <d v="2025-04-10T14:16:25"/>
    <s v="GH"/>
    <n v="441"/>
    <d v="2025-03-22T00:00:00"/>
    <n v="3"/>
    <s v="BP"/>
    <s v="JA"/>
    <n v="64"/>
    <x v="1"/>
    <s v="3. al menos 2 veces al mes"/>
    <n v="0"/>
    <n v="0"/>
    <n v="0"/>
    <n v="0"/>
    <n v="0"/>
    <x v="1"/>
    <s v="1. Sí"/>
    <m/>
    <s v="6. Mestiza(o)"/>
    <m/>
    <x v="1"/>
    <s v="1. Completa"/>
    <s v="3. Es jubilada/o o pensionista/o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1"/>
    <s v="6. Área para perros 7. Áreas verdes"/>
    <x v="0"/>
    <x v="0"/>
    <x v="0"/>
    <x v="1"/>
    <x v="1"/>
    <x v="1"/>
    <x v="0"/>
    <m/>
    <x v="1"/>
    <x v="1"/>
    <x v="0"/>
    <s v="NO HA VISTO ASALTOS"/>
    <s v="HA VISTO QUE LIMPIAN EL PARQUE"/>
    <s v="HA VISTO LOS GUARDIAS"/>
    <m/>
    <x v="1"/>
    <x v="2"/>
    <x v="2"/>
    <x v="2"/>
    <x v="1"/>
    <x v="3"/>
    <x v="2"/>
    <x v="1"/>
    <s v="I"/>
    <n v="0"/>
    <n v="0"/>
    <n v="0"/>
    <n v="0"/>
    <n v="0"/>
    <n v="0"/>
    <n v="0"/>
    <n v="0"/>
    <n v="1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1"/>
    <x v="2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1"/>
    <x v="2"/>
    <x v="0"/>
    <x v="0"/>
    <x v="0"/>
    <x v="0"/>
    <x v="0"/>
    <x v="0"/>
    <m/>
    <s v="LE GUSTA EL PARQUE PORQUE SE VE SEGURIDAD EN EL PARQUE"/>
    <s v="HAY AREAS PARA LOS PERRITOS"/>
    <m/>
    <n v="83434601"/>
    <s v="fc2c30cd-cc6d-4b07-98a3-59bf7c1368c5"/>
    <d v="2025-04-10T19:16:24"/>
    <m/>
    <m/>
    <s v="submitted_via_web"/>
    <m/>
    <s v="v5uNQoYdGp6CCoWUMSjVDf"/>
    <m/>
    <n v="452"/>
  </r>
  <r>
    <d v="2025-04-06T16:48:53"/>
    <d v="2025-04-06T16:53:48"/>
    <s v="OM"/>
    <n v="442"/>
    <d v="2025-03-22T00:00:00"/>
    <n v="3"/>
    <s v="BP"/>
    <s v="JA"/>
    <n v="45"/>
    <x v="2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1"/>
    <x v="1"/>
    <x v="0"/>
    <s v="PORQUE HAY SEGURIDAD"/>
    <s v="HAY POLICÍAS A CABALLO"/>
    <m/>
    <m/>
    <x v="1"/>
    <x v="1"/>
    <x v="1"/>
    <x v="2"/>
    <x v="0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EN EL DÍA SI ES SEGURO"/>
    <s v="EN LA NOCHE NO ES SEGURO"/>
    <m/>
    <n v="82983186"/>
    <s v="4df2d6da-96e0-4161-8630-d341b4f38f5d"/>
    <d v="2025-04-06T21:53:48"/>
    <m/>
    <m/>
    <s v="submitted_via_web"/>
    <m/>
    <s v="vhGz9QPwmdkBybuGFUbzwe"/>
    <m/>
    <n v="273"/>
  </r>
  <r>
    <d v="2025-04-10T09:19:27"/>
    <d v="2025-04-10T09:25:07"/>
    <s v="GH"/>
    <n v="443"/>
    <d v="2025-03-22T00:00:00"/>
    <n v="3"/>
    <s v="BP"/>
    <s v="JA"/>
    <n v="64"/>
    <x v="1"/>
    <s v="2. Semanalmente"/>
    <n v="2"/>
    <n v="0"/>
    <n v="0"/>
    <n v="0"/>
    <n v="0"/>
    <x v="1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1"/>
    <x v="1"/>
    <x v="0"/>
    <s v="NO LE HA PASADO NADA"/>
    <s v="HA VISTO SEGURIDAD"/>
    <s v="POLICIAS A CABALLO EN MOTOS"/>
    <m/>
    <x v="1"/>
    <x v="1"/>
    <x v="1"/>
    <x v="2"/>
    <x v="1"/>
    <x v="2"/>
    <x v="2"/>
    <x v="1"/>
    <s v="E"/>
    <n v="0"/>
    <n v="0"/>
    <n v="0"/>
    <n v="0"/>
    <n v="1"/>
    <n v="0"/>
    <n v="0"/>
    <n v="0"/>
    <n v="0"/>
    <n v="0"/>
    <n v="0"/>
    <n v="0"/>
    <n v="0"/>
    <x v="0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1"/>
    <x v="1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0"/>
    <x v="1"/>
    <s v="2. Blanca"/>
    <x v="0"/>
    <x v="0"/>
    <x v="0"/>
    <x v="0"/>
    <x v="0"/>
    <m/>
    <x v="1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 SIENTE SEGURO EN EL PARQUE PORQUE SI HAY SEGURIDAD"/>
    <s v="HAY PISTAS PARA CORRER"/>
    <m/>
    <n v="83408743"/>
    <s v="34af8e23-0a57-4a61-bda8-2dcec2f46c3a"/>
    <d v="2025-04-10T14:25:07"/>
    <m/>
    <m/>
    <s v="submitted_via_web"/>
    <m/>
    <s v="v5uNQoYdGp6CCoWUMSjVDf"/>
    <m/>
    <n v="406"/>
  </r>
  <r>
    <d v="2025-04-06T16:53:48"/>
    <d v="2025-04-06T16:58:46"/>
    <s v="OM"/>
    <n v="444"/>
    <d v="2025-03-22T00:00:00"/>
    <n v="3"/>
    <s v="JC"/>
    <s v="JA"/>
    <n v="45"/>
    <x v="2"/>
    <s v="3. al menos 2 veces al mes"/>
    <n v="0"/>
    <n v="0"/>
    <n v="0"/>
    <n v="0"/>
    <n v="0"/>
    <x v="1"/>
    <s v="1. Sí"/>
    <m/>
    <s v="6. Mestiza(o)"/>
    <m/>
    <x v="1"/>
    <s v="1. Completa"/>
    <s v="1. Trabajar"/>
    <m/>
    <s v="2. de $471 a $919"/>
    <s v="4. De paso"/>
    <x v="1"/>
    <x v="0"/>
    <x v="0"/>
    <x v="1"/>
    <x v="0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AL ESTAR ACOMPAÑADO"/>
    <s v="PRESENCIA DE POLICÍA"/>
    <s v="AFLUENCIA DE GENTE"/>
    <m/>
    <x v="0"/>
    <x v="2"/>
    <x v="2"/>
    <x v="1"/>
    <x v="0"/>
    <x v="3"/>
    <x v="4"/>
    <x v="1"/>
    <s v="B G"/>
    <n v="0"/>
    <n v="1"/>
    <n v="0"/>
    <n v="0"/>
    <n v="0"/>
    <n v="0"/>
    <n v="1"/>
    <n v="0"/>
    <n v="0"/>
    <n v="0"/>
    <n v="0"/>
    <n v="0"/>
    <n v="0"/>
    <x v="1"/>
    <x v="0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0"/>
    <x v="2"/>
    <x v="2"/>
    <x v="0"/>
    <x v="0"/>
    <x v="0"/>
    <x v="1"/>
    <x v="1"/>
    <x v="2"/>
    <x v="1"/>
    <x v="1"/>
    <x v="1"/>
    <x v="0"/>
    <x v="0"/>
    <x v="0"/>
    <x v="0"/>
    <x v="0"/>
    <x v="0"/>
    <m/>
    <s v="PAZ"/>
    <s v="TRANQUILIDAD"/>
    <s v="FELICIDAD"/>
    <n v="82983430"/>
    <s v="997fe6ef-8d5d-4585-9053-4520d2723ada"/>
    <d v="2025-04-06T21:58:45"/>
    <m/>
    <m/>
    <s v="submitted_via_web"/>
    <m/>
    <s v="vhGz9QPwmdkBybuGFUbzwe"/>
    <m/>
    <n v="274"/>
  </r>
  <r>
    <d v="2025-04-06T16:58:46"/>
    <d v="2025-04-06T17:08:24"/>
    <s v="OM"/>
    <n v="445"/>
    <d v="2025-03-22T00:00:00"/>
    <n v="3"/>
    <s v="JC"/>
    <s v="JA"/>
    <n v="55"/>
    <x v="2"/>
    <s v="2. Semanalmente"/>
    <n v="0"/>
    <n v="0"/>
    <n v="0"/>
    <n v="0"/>
    <n v="0"/>
    <x v="0"/>
    <s v="1. Sí"/>
    <m/>
    <s v="6. Mestiza(o)"/>
    <m/>
    <x v="1"/>
    <s v="1. Completa"/>
    <s v="7. Dueña/o de su propio negocio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PRESENCIA POLICIAL"/>
    <s v="PERSONAS DE BUEN CORAZÓN"/>
    <s v="PERSONAS CORRIENDO"/>
    <m/>
    <x v="0"/>
    <x v="2"/>
    <x v="2"/>
    <x v="1"/>
    <x v="0"/>
    <x v="3"/>
    <x v="4"/>
    <x v="1"/>
    <s v="C D"/>
    <n v="0"/>
    <n v="0"/>
    <n v="1"/>
    <n v="1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0"/>
    <x v="0"/>
    <x v="0"/>
    <x v="1"/>
    <x v="1"/>
    <x v="2"/>
    <x v="1"/>
    <x v="1"/>
    <x v="1"/>
    <x v="1"/>
    <x v="1"/>
    <x v="0"/>
    <x v="0"/>
    <x v="0"/>
    <x v="0"/>
    <m/>
    <s v="MUY BIEN"/>
    <s v="TRANQUILA"/>
    <s v="FELIZ"/>
    <n v="82983900"/>
    <s v="4739ac41-d103-4403-9055-79aac5fa9180"/>
    <d v="2025-04-06T22:08:24"/>
    <m/>
    <m/>
    <s v="submitted_via_web"/>
    <m/>
    <s v="vhGz9QPwmdkBybuGFUbzwe"/>
    <m/>
    <n v="277"/>
  </r>
  <r>
    <d v="2025-04-10T09:25:07"/>
    <d v="2025-04-10T09:30:26"/>
    <s v="GH"/>
    <n v="446"/>
    <d v="2025-03-22T00:00:00"/>
    <n v="1"/>
    <s v="MQ"/>
    <s v="GH"/>
    <n v="69"/>
    <x v="1"/>
    <s v="2. Semanalmente"/>
    <n v="1"/>
    <n v="0"/>
    <n v="0"/>
    <n v="0"/>
    <n v="0"/>
    <x v="1"/>
    <s v="1. Sí"/>
    <m/>
    <s v="6. Mestiza(o)"/>
    <m/>
    <x v="0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1"/>
    <x v="1"/>
    <x v="0"/>
    <s v="NO LE HA PASADO NADA"/>
    <s v="HAY GENTE"/>
    <m/>
    <m/>
    <x v="1"/>
    <x v="1"/>
    <x v="1"/>
    <x v="0"/>
    <x v="0"/>
    <x v="3"/>
    <x v="0"/>
    <x v="1"/>
    <s v="B J"/>
    <n v="0"/>
    <n v="1"/>
    <n v="0"/>
    <n v="0"/>
    <n v="0"/>
    <n v="0"/>
    <n v="0"/>
    <n v="0"/>
    <n v="0"/>
    <n v="1"/>
    <n v="0"/>
    <n v="0"/>
    <n v="0"/>
    <x v="1"/>
    <x v="3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2"/>
    <x v="0"/>
    <x v="0"/>
    <x v="0"/>
    <x v="0"/>
    <x v="2"/>
    <x v="0"/>
    <x v="0"/>
    <x v="0"/>
    <x v="0"/>
    <x v="0"/>
    <x v="0"/>
    <x v="0"/>
    <x v="0"/>
    <x v="1"/>
    <x v="1"/>
    <x v="1"/>
    <x v="2"/>
    <x v="1"/>
    <x v="1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DESPEJAR POR COMERCIO INFORMAL"/>
    <s v="MAL USO PARQUE"/>
    <m/>
    <n v="83409211"/>
    <s v="d1ce506f-424b-4015-b0e5-d90b750cf846"/>
    <d v="2025-04-10T14:30:26"/>
    <m/>
    <m/>
    <s v="submitted_via_web"/>
    <m/>
    <s v="v5uNQoYdGp6CCoWUMSjVDf"/>
    <m/>
    <n v="407"/>
  </r>
  <r>
    <d v="2025-04-10T09:30:27"/>
    <d v="2025-04-10T09:38:19"/>
    <s v="GH"/>
    <n v="447"/>
    <d v="2025-03-22T00:00:00"/>
    <n v="1"/>
    <s v="MQ"/>
    <s v="GH"/>
    <n v="69"/>
    <x v="1"/>
    <s v="1. Diariamente"/>
    <n v="0"/>
    <n v="0"/>
    <n v="0"/>
    <n v="0"/>
    <n v="0"/>
    <x v="0"/>
    <s v="1. Sí"/>
    <m/>
    <s v="6. Mestiza(o)"/>
    <m/>
    <x v="2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SENDEROS"/>
    <x v="0"/>
    <x v="0"/>
    <x v="1"/>
    <s v="CUANDO VIENEN HACER OPERATIVOS ESTAN AMONTONADOS CON MALA GANA"/>
    <s v="PISTA PATINAJE VENDEN DROGA"/>
    <s v="NADIE HACE NADA"/>
    <m/>
    <x v="1"/>
    <x v="2"/>
    <x v="1"/>
    <x v="2"/>
    <x v="2"/>
    <x v="2"/>
    <x v="0"/>
    <x v="1"/>
    <s v="L"/>
    <n v="0"/>
    <n v="0"/>
    <n v="0"/>
    <n v="0"/>
    <n v="0"/>
    <n v="0"/>
    <n v="0"/>
    <n v="0"/>
    <n v="0"/>
    <n v="0"/>
    <n v="0"/>
    <n v="1"/>
    <n v="0"/>
    <x v="1"/>
    <x v="0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0"/>
    <x v="2"/>
    <x v="0"/>
    <x v="0"/>
    <x v="0"/>
    <x v="0"/>
    <x v="1"/>
    <x v="2"/>
    <x v="1"/>
    <x v="1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1"/>
    <x v="1"/>
    <x v="3"/>
    <x v="0"/>
    <x v="1"/>
    <x v="1"/>
    <x v="1"/>
    <x v="1"/>
    <x v="0"/>
    <x v="1"/>
    <x v="2"/>
    <x v="0"/>
    <x v="1"/>
    <x v="1"/>
    <x v="1"/>
    <x v="1"/>
    <x v="1"/>
    <x v="3"/>
    <x v="1"/>
    <x v="1"/>
    <x v="0"/>
    <x v="0"/>
    <x v="0"/>
    <x v="0"/>
    <m/>
    <s v="ABANDONO AUTORIDADES"/>
    <s v="QUE NO TENEMOS ALCALDE"/>
    <s v="EN VEZ DE CONTRATAR ARTISTAS QUE INSULTAN A LOS DEMAS GASTEN DINERO EN SEGURIDAD"/>
    <n v="83409801"/>
    <s v="d9194dd2-153e-4219-ab50-a9f412e161f0"/>
    <d v="2025-04-10T14:38:18"/>
    <m/>
    <m/>
    <s v="submitted_via_web"/>
    <m/>
    <s v="v5uNQoYdGp6CCoWUMSjVDf"/>
    <m/>
    <n v="408"/>
  </r>
  <r>
    <d v="2025-04-09T12:22:21"/>
    <d v="2025-04-09T12:29:17"/>
    <s v="AFC"/>
    <n v="449"/>
    <d v="2025-03-22T00:00:00"/>
    <n v="1"/>
    <s v="GB-CP"/>
    <s v="GH"/>
    <n v="43"/>
    <x v="2"/>
    <s v="3. al menos 2 veces al mes"/>
    <n v="1"/>
    <n v="0"/>
    <n v="0"/>
    <n v="0"/>
    <n v="0"/>
    <x v="1"/>
    <s v="1. Sí"/>
    <m/>
    <s v="6. Mestiza(o)"/>
    <m/>
    <x v="0"/>
    <s v="1. Completa"/>
    <s v="1. Trabajar"/>
    <m/>
    <s v="3. de $920 a $133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NIVEL DE SEGURIDAD"/>
    <m/>
    <m/>
    <m/>
    <x v="1"/>
    <x v="2"/>
    <x v="1"/>
    <x v="2"/>
    <x v="1"/>
    <x v="2"/>
    <x v="1"/>
    <x v="2"/>
    <s v="C"/>
    <n v="0"/>
    <n v="0"/>
    <n v="1"/>
    <n v="0"/>
    <n v="0"/>
    <n v="0"/>
    <n v="0"/>
    <n v="0"/>
    <n v="0"/>
    <n v="0"/>
    <n v="0"/>
    <n v="0"/>
    <n v="0"/>
    <x v="3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1"/>
    <x v="3"/>
    <x v="1"/>
    <x v="1"/>
    <x v="1"/>
    <x v="3"/>
    <x v="0"/>
    <x v="0"/>
    <x v="0"/>
    <x v="0"/>
    <x v="0"/>
    <x v="0"/>
    <x v="0"/>
    <x v="0"/>
    <x v="0"/>
    <x v="0"/>
    <x v="0"/>
    <x v="0"/>
    <x v="0"/>
    <x v="0"/>
    <x v="0"/>
    <x v="3"/>
    <x v="0"/>
    <x v="2"/>
    <x v="0"/>
    <x v="0"/>
    <x v="0"/>
    <x v="3"/>
    <x v="1"/>
    <s v="TRABAJO INFANTIL"/>
    <x v="3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INSEGURA"/>
    <m/>
    <m/>
    <n v="83299334"/>
    <s v="48d87d6e-28f4-42a6-af6c-c2488a52e1ff"/>
    <d v="2025-04-09T17:29:10"/>
    <m/>
    <m/>
    <s v="submitted_via_web"/>
    <m/>
    <s v="vhGz9QPwmdkBybuGFUbzwe"/>
    <m/>
    <n v="386"/>
  </r>
  <r>
    <d v="2025-04-09T12:04:54"/>
    <d v="2025-04-09T12:22:21"/>
    <s v="AFC"/>
    <n v="450"/>
    <d v="2025-03-22T00:00:00"/>
    <n v="1"/>
    <s v="MQ"/>
    <s v="GH"/>
    <n v="61"/>
    <x v="1"/>
    <s v="2. Semanalmente"/>
    <n v="2"/>
    <n v="0"/>
    <n v="0"/>
    <n v="0"/>
    <n v="0"/>
    <x v="0"/>
    <s v="1. Sí"/>
    <m/>
    <s v="6. Mestiza(o)"/>
    <m/>
    <x v="0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2"/>
    <s v="7. Áreas verdes 8. Otro."/>
    <x v="0"/>
    <x v="0"/>
    <x v="0"/>
    <x v="1"/>
    <x v="0"/>
    <x v="1"/>
    <x v="1"/>
    <s v="SENDEROS"/>
    <x v="1"/>
    <x v="1"/>
    <x v="0"/>
    <s v="HAY METODOS VIGILANCIA"/>
    <s v="HAY DONDE ACUDIR EN EMERGENCIA"/>
    <s v="HAY LUGARES DE CONTROL"/>
    <m/>
    <x v="4"/>
    <x v="2"/>
    <x v="1"/>
    <x v="1"/>
    <x v="0"/>
    <x v="3"/>
    <x v="0"/>
    <x v="1"/>
    <s v="A B C D E F G H I J K L"/>
    <n v="1"/>
    <n v="1"/>
    <n v="1"/>
    <n v="1"/>
    <n v="1"/>
    <n v="1"/>
    <n v="1"/>
    <n v="1"/>
    <n v="1"/>
    <n v="1"/>
    <n v="1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0"/>
    <x v="0"/>
    <x v="0"/>
    <x v="0"/>
    <x v="1"/>
    <x v="1"/>
    <x v="1"/>
    <x v="1"/>
    <x v="2"/>
    <x v="1"/>
    <x v="1"/>
    <x v="1"/>
    <x v="0"/>
    <x v="0"/>
    <x v="0"/>
    <x v="0"/>
    <x v="0"/>
    <x v="0"/>
    <m/>
    <s v="RELAJADO"/>
    <s v="LIBRE DE CONTAMINACION"/>
    <m/>
    <n v="83298840"/>
    <s v="d91546e0-373d-4c34-a777-1bcc069837be"/>
    <d v="2025-04-09T17:22:13"/>
    <m/>
    <m/>
    <s v="submitted_via_web"/>
    <m/>
    <s v="vhGz9QPwmdkBybuGFUbzwe"/>
    <m/>
    <n v="385"/>
  </r>
  <r>
    <d v="2025-04-09T11:57:18"/>
    <d v="2025-04-09T12:04:54"/>
    <s v="AFC"/>
    <n v="451"/>
    <d v="2025-03-22T00:00:00"/>
    <n v="1"/>
    <s v="GB-CCH"/>
    <s v="GM"/>
    <n v="83"/>
    <x v="1"/>
    <s v="3. al menos 2 veces al mes"/>
    <n v="1"/>
    <n v="0"/>
    <n v="0"/>
    <n v="0"/>
    <n v="0"/>
    <x v="0"/>
    <s v="1. Sí"/>
    <m/>
    <s v="6. Mestiza(o)"/>
    <m/>
    <x v="0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PUEDE CAMINAR TRANQUILAMENTE"/>
    <s v="LE GUSTA LAS AREAS DEL PARQUE"/>
    <m/>
    <m/>
    <x v="0"/>
    <x v="2"/>
    <x v="0"/>
    <x v="0"/>
    <x v="0"/>
    <x v="3"/>
    <x v="3"/>
    <x v="1"/>
    <s v="Ninguno"/>
    <n v="0"/>
    <n v="0"/>
    <n v="0"/>
    <n v="0"/>
    <n v="0"/>
    <n v="0"/>
    <n v="0"/>
    <n v="0"/>
    <n v="0"/>
    <n v="0"/>
    <n v="0"/>
    <n v="0"/>
    <n v="1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1"/>
    <x v="1"/>
    <x v="2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1"/>
    <x v="1"/>
    <x v="0"/>
    <x v="0"/>
    <x v="0"/>
    <x v="0"/>
    <m/>
    <s v="UNA SEGURIDAD"/>
    <s v="ALIVIO POR LOS ARBOLES"/>
    <s v="SIN PREOCUPACIONES"/>
    <n v="83296742"/>
    <s v="2f1f84e4-608b-4e33-9ffd-4f659d3914c3"/>
    <d v="2025-04-09T17:04:47"/>
    <m/>
    <m/>
    <s v="submitted_via_web"/>
    <m/>
    <s v="vhGz9QPwmdkBybuGFUbzwe"/>
    <m/>
    <n v="382"/>
  </r>
  <r>
    <d v="2025-04-10T09:56:17"/>
    <d v="2025-04-10T10:05:02"/>
    <s v="JP"/>
    <n v="452"/>
    <d v="2025-03-22T00:00:00"/>
    <n v="4"/>
    <s v="EB"/>
    <s v="GH"/>
    <n v="41"/>
    <x v="2"/>
    <s v="2. Semanalmente"/>
    <n v="0"/>
    <n v="0"/>
    <n v="0"/>
    <n v="0"/>
    <n v="0"/>
    <x v="0"/>
    <s v="1. Sí"/>
    <m/>
    <s v="6. Mestiza(o)"/>
    <m/>
    <x v="5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0"/>
    <s v="1. Canchas de fútbol y basquet"/>
    <x v="1"/>
    <x v="0"/>
    <x v="0"/>
    <x v="1"/>
    <x v="0"/>
    <x v="0"/>
    <x v="0"/>
    <m/>
    <x v="1"/>
    <x v="1"/>
    <x v="2"/>
    <s v="POLICIA (PRESENCIA)"/>
    <m/>
    <m/>
    <m/>
    <x v="1"/>
    <x v="1"/>
    <x v="1"/>
    <x v="1"/>
    <x v="1"/>
    <x v="4"/>
    <x v="1"/>
    <x v="2"/>
    <s v="F L"/>
    <n v="0"/>
    <n v="0"/>
    <n v="0"/>
    <n v="0"/>
    <n v="0"/>
    <n v="1"/>
    <n v="0"/>
    <n v="0"/>
    <n v="0"/>
    <n v="0"/>
    <n v="0"/>
    <n v="1"/>
    <n v="0"/>
    <x v="2"/>
    <x v="1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1"/>
    <x v="3"/>
    <x v="1"/>
    <x v="3"/>
    <x v="1"/>
    <x v="1"/>
    <x v="1"/>
    <x v="3"/>
    <x v="0"/>
    <x v="0"/>
    <x v="0"/>
    <x v="0"/>
    <x v="1"/>
    <x v="3"/>
    <x v="1"/>
    <x v="1"/>
    <x v="1"/>
    <x v="3"/>
    <x v="1"/>
    <x v="3"/>
    <x v="1"/>
    <x v="3"/>
    <x v="1"/>
    <x v="2"/>
    <x v="0"/>
    <x v="0"/>
    <x v="1"/>
    <x v="2"/>
    <x v="2"/>
    <x v="1"/>
    <x v="0"/>
    <m/>
    <x v="0"/>
    <x v="0"/>
    <x v="3"/>
    <x v="0"/>
    <x v="1"/>
    <s v="1. De fuego"/>
    <x v="2"/>
    <x v="2"/>
    <x v="1"/>
    <x v="1"/>
    <x v="1"/>
    <m/>
    <x v="2"/>
    <m/>
    <x v="0"/>
    <x v="2"/>
    <x v="2"/>
    <x v="0"/>
    <x v="2"/>
    <x v="2"/>
    <x v="1"/>
    <x v="1"/>
    <x v="1"/>
    <x v="0"/>
    <x v="1"/>
    <x v="2"/>
    <x v="0"/>
    <x v="2"/>
    <x v="1"/>
    <x v="0"/>
    <x v="0"/>
    <x v="0"/>
    <x v="1"/>
    <x v="2"/>
    <x v="0"/>
    <x v="1"/>
    <x v="1"/>
    <x v="1"/>
    <x v="1"/>
    <x v="2"/>
    <x v="1"/>
    <x v="1"/>
    <x v="2"/>
    <x v="2"/>
    <m/>
    <s v="SEGURO"/>
    <s v="TRANQUILO"/>
    <m/>
    <n v="83411902"/>
    <s v="83c9acdb-f2fe-4d44-9192-07c8f42e6f33"/>
    <d v="2025-04-10T15:04:56"/>
    <m/>
    <m/>
    <s v="submitted_via_web"/>
    <m/>
    <s v="v5uNQoYdGp6CCoWUMSjVDf"/>
    <m/>
    <n v="412"/>
  </r>
  <r>
    <d v="2025-04-09T11:51:12"/>
    <d v="2025-04-09T11:57:18"/>
    <s v="AFC"/>
    <n v="453"/>
    <d v="2025-03-22T00:00:00"/>
    <n v="1"/>
    <s v="GB-CP"/>
    <s v="GH"/>
    <n v="42"/>
    <x v="2"/>
    <s v="3. al menos 2 veces al mes"/>
    <n v="0"/>
    <n v="0"/>
    <n v="0"/>
    <n v="0"/>
    <n v="0"/>
    <x v="0"/>
    <s v="1. Sí"/>
    <m/>
    <s v="6. Mestiza(o)"/>
    <m/>
    <x v="5"/>
    <s v="1. Completa"/>
    <s v="1. Trabajar"/>
    <m/>
    <s v="1. Menos de $470"/>
    <s v="5. Recreación/Ocio"/>
    <x v="1"/>
    <x v="0"/>
    <x v="0"/>
    <x v="0"/>
    <x v="1"/>
    <x v="0"/>
    <m/>
    <s v="2. Mañana  (06:00 a 11:59)"/>
    <x v="0"/>
    <x v="0"/>
    <x v="0"/>
    <x v="0"/>
    <x v="3"/>
    <s v="3. Caminos de ciclismo 7. Áreas verdes"/>
    <x v="0"/>
    <x v="0"/>
    <x v="1"/>
    <x v="1"/>
    <x v="0"/>
    <x v="1"/>
    <x v="0"/>
    <m/>
    <x v="1"/>
    <x v="1"/>
    <x v="0"/>
    <s v="HAY PRESENCIA DE GUARDIAS"/>
    <m/>
    <m/>
    <m/>
    <x v="1"/>
    <x v="1"/>
    <x v="1"/>
    <x v="2"/>
    <x v="0"/>
    <x v="2"/>
    <x v="1"/>
    <x v="2"/>
    <s v="E F"/>
    <n v="0"/>
    <n v="0"/>
    <n v="0"/>
    <n v="0"/>
    <n v="1"/>
    <n v="1"/>
    <n v="0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1"/>
    <x v="3"/>
    <x v="0"/>
    <x v="0"/>
    <x v="1"/>
    <x v="2"/>
    <x v="1"/>
    <x v="1"/>
    <x v="0"/>
    <x v="2"/>
    <x v="1"/>
    <x v="3"/>
    <x v="1"/>
    <x v="1"/>
    <x v="1"/>
    <x v="3"/>
    <x v="1"/>
    <x v="3"/>
    <x v="1"/>
    <x v="3"/>
    <x v="0"/>
    <x v="3"/>
    <x v="0"/>
    <x v="3"/>
    <x v="1"/>
    <x v="3"/>
    <x v="0"/>
    <x v="3"/>
    <x v="0"/>
    <m/>
    <x v="0"/>
    <x v="0"/>
    <x v="3"/>
    <x v="0"/>
    <x v="1"/>
    <s v="2. Blanca"/>
    <x v="1"/>
    <x v="1"/>
    <x v="1"/>
    <x v="1"/>
    <x v="1"/>
    <m/>
    <x v="1"/>
    <m/>
    <x v="0"/>
    <x v="2"/>
    <x v="1"/>
    <x v="0"/>
    <x v="2"/>
    <x v="1"/>
    <x v="1"/>
    <x v="1"/>
    <x v="2"/>
    <x v="0"/>
    <x v="1"/>
    <x v="2"/>
    <x v="0"/>
    <x v="2"/>
    <x v="2"/>
    <x v="0"/>
    <x v="1"/>
    <x v="1"/>
    <x v="1"/>
    <x v="1"/>
    <x v="2"/>
    <x v="1"/>
    <x v="1"/>
    <x v="1"/>
    <x v="0"/>
    <x v="0"/>
    <x v="0"/>
    <x v="1"/>
    <x v="2"/>
    <x v="2"/>
    <m/>
    <s v="SEGURO EN PRESENCIA DE DIFERENTES ENTIDADES"/>
    <m/>
    <m/>
    <n v="83295959"/>
    <s v="206ec98d-f383-435a-80f6-b419feedd502"/>
    <d v="2025-04-09T16:57:10"/>
    <m/>
    <m/>
    <s v="submitted_via_web"/>
    <m/>
    <s v="vhGz9QPwmdkBybuGFUbzwe"/>
    <m/>
    <n v="381"/>
  </r>
  <r>
    <d v="2025-04-09T10:45:05"/>
    <d v="2025-04-09T11:51:12"/>
    <s v="AFC"/>
    <n v="454"/>
    <d v="2025-03-22T00:00:00"/>
    <n v="1"/>
    <s v="GB-CCH"/>
    <s v="GH"/>
    <n v="69"/>
    <x v="1"/>
    <s v="3. al menos 2 veces al mes"/>
    <n v="0"/>
    <n v="0"/>
    <n v="0"/>
    <n v="0"/>
    <n v="0"/>
    <x v="1"/>
    <s v="1. Sí"/>
    <m/>
    <s v="6. Mestiza(o)"/>
    <m/>
    <x v="5"/>
    <s v="1. Completa"/>
    <s v="5. Quehaceres domésticos"/>
    <m/>
    <s v="99. NS/NC"/>
    <s v="4. De paso"/>
    <x v="1"/>
    <x v="0"/>
    <x v="0"/>
    <x v="1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NO SE ANDA CON SEGURIDAD"/>
    <s v="LA EPOCA ESTA MUY DURA"/>
    <m/>
    <m/>
    <x v="1"/>
    <x v="2"/>
    <x v="2"/>
    <x v="1"/>
    <x v="0"/>
    <x v="3"/>
    <x v="4"/>
    <x v="1"/>
    <s v="Ninguno"/>
    <n v="0"/>
    <n v="0"/>
    <n v="0"/>
    <n v="0"/>
    <n v="0"/>
    <n v="0"/>
    <n v="0"/>
    <n v="0"/>
    <n v="0"/>
    <n v="0"/>
    <n v="0"/>
    <n v="0"/>
    <n v="1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1"/>
    <x v="2"/>
    <x v="1"/>
    <x v="1"/>
    <x v="0"/>
    <x v="0"/>
    <x v="1"/>
    <x v="2"/>
    <x v="0"/>
    <x v="0"/>
    <x v="0"/>
    <x v="0"/>
    <x v="0"/>
    <x v="0"/>
    <x v="0"/>
    <x v="0"/>
    <x v="0"/>
    <x v="0"/>
    <x v="0"/>
    <x v="0"/>
    <x v="0"/>
    <x v="0"/>
    <x v="1"/>
    <x v="1"/>
    <x v="0"/>
    <x v="0"/>
    <x v="0"/>
    <x v="2"/>
    <x v="0"/>
    <m/>
    <x v="0"/>
    <x v="0"/>
    <x v="0"/>
    <x v="0"/>
    <x v="0"/>
    <m/>
    <x v="0"/>
    <x v="0"/>
    <x v="0"/>
    <x v="0"/>
    <x v="0"/>
    <m/>
    <x v="0"/>
    <m/>
    <x v="0"/>
    <x v="0"/>
    <x v="0"/>
    <x v="1"/>
    <x v="1"/>
    <x v="0"/>
    <x v="1"/>
    <x v="2"/>
    <x v="0"/>
    <x v="1"/>
    <x v="2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SE DISTRAE EN EL PARQUE"/>
    <s v="ME DA MUCHA ALEGRIA"/>
    <m/>
    <n v="83295163"/>
    <s v="11feba1a-32d4-4eb9-811f-c2ad1f949152"/>
    <d v="2025-04-09T16:51:04"/>
    <m/>
    <m/>
    <s v="submitted_via_web"/>
    <m/>
    <s v="vhGz9QPwmdkBybuGFUbzwe"/>
    <m/>
    <n v="380"/>
  </r>
  <r>
    <d v="2025-04-09T10:23:56"/>
    <d v="2025-04-09T10:45:05"/>
    <s v="AFC"/>
    <n v="455"/>
    <d v="2025-03-22T00:00:00"/>
    <n v="1"/>
    <s v="MQ"/>
    <s v="GH"/>
    <n v="65"/>
    <x v="1"/>
    <s v="3. al menos 2 veces al mes"/>
    <n v="0"/>
    <n v="0"/>
    <n v="0"/>
    <n v="0"/>
    <n v="0"/>
    <x v="1"/>
    <s v="1. Sí"/>
    <m/>
    <s v="6. Mestiza(o)"/>
    <m/>
    <x v="0"/>
    <s v="1. Completa"/>
    <s v="1. Trabajar"/>
    <m/>
    <s v="99. NS/NC"/>
    <s v="2. Culturales y sociales 5. Recreación/Ocio"/>
    <x v="1"/>
    <x v="1"/>
    <x v="0"/>
    <x v="0"/>
    <x v="1"/>
    <x v="0"/>
    <m/>
    <s v="3. Tarde (12:00 a 17:59)"/>
    <x v="0"/>
    <x v="1"/>
    <x v="1"/>
    <x v="0"/>
    <x v="3"/>
    <s v="1. Canchas de fútbol y basquet 7. Áreas verdes 8. Otro."/>
    <x v="1"/>
    <x v="0"/>
    <x v="0"/>
    <x v="1"/>
    <x v="0"/>
    <x v="1"/>
    <x v="1"/>
    <s v="JUEGOS"/>
    <x v="1"/>
    <x v="1"/>
    <x v="0"/>
    <s v="POLICIA NACIONAL"/>
    <s v="GUARDIAS"/>
    <s v="HAY MOVIMIENTO GENTE"/>
    <m/>
    <x v="1"/>
    <x v="2"/>
    <x v="1"/>
    <x v="0"/>
    <x v="0"/>
    <x v="3"/>
    <x v="0"/>
    <x v="1"/>
    <s v="A B D E F I J K L"/>
    <n v="1"/>
    <n v="1"/>
    <n v="0"/>
    <n v="1"/>
    <n v="1"/>
    <n v="1"/>
    <n v="0"/>
    <n v="0"/>
    <n v="1"/>
    <n v="1"/>
    <n v="1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ALEGRE"/>
    <s v="ESATR EN FAMILIA"/>
    <s v="COMPARTIR CON LA FAMILIA"/>
    <n v="83284488"/>
    <s v="edd48247-be7b-451e-9261-8b34c91d686a"/>
    <d v="2025-04-09T15:44:58"/>
    <m/>
    <m/>
    <s v="submitted_via_web"/>
    <m/>
    <s v="vhGz9QPwmdkBybuGFUbzwe"/>
    <m/>
    <n v="377"/>
  </r>
  <r>
    <d v="2025-04-09T10:13:37"/>
    <d v="2025-04-09T10:23:56"/>
    <s v="AFC"/>
    <n v="456"/>
    <d v="2025-03-16T00:00:00"/>
    <n v="4"/>
    <s v="GB-GC"/>
    <s v="GH"/>
    <n v="39"/>
    <x v="0"/>
    <s v="1. Diariamente"/>
    <n v="0"/>
    <n v="0"/>
    <n v="0"/>
    <n v="0"/>
    <n v="0"/>
    <x v="1"/>
    <s v="1. Sí"/>
    <m/>
    <s v="4. Mulata(o)"/>
    <m/>
    <x v="1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1"/>
    <x v="0"/>
    <s v="CONTROL DE POLICIA"/>
    <s v="SEGURIDAD"/>
    <m/>
    <m/>
    <x v="1"/>
    <x v="1"/>
    <x v="1"/>
    <x v="2"/>
    <x v="0"/>
    <x v="2"/>
    <x v="2"/>
    <x v="0"/>
    <s v="B"/>
    <n v="0"/>
    <n v="1"/>
    <n v="0"/>
    <n v="0"/>
    <n v="0"/>
    <n v="0"/>
    <n v="0"/>
    <n v="0"/>
    <n v="0"/>
    <n v="0"/>
    <n v="0"/>
    <n v="0"/>
    <n v="0"/>
    <x v="1"/>
    <x v="3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0"/>
    <x v="0"/>
    <x v="1"/>
    <x v="1"/>
    <x v="0"/>
    <x v="2"/>
    <x v="1"/>
    <x v="1"/>
    <x v="1"/>
    <x v="3"/>
    <x v="0"/>
    <x v="0"/>
    <x v="0"/>
    <x v="0"/>
    <x v="0"/>
    <x v="0"/>
    <x v="0"/>
    <x v="1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0"/>
    <x v="0"/>
    <x v="0"/>
    <x v="0"/>
    <x v="0"/>
    <x v="0"/>
    <x v="1"/>
    <x v="2"/>
    <x v="0"/>
    <x v="1"/>
    <x v="1"/>
    <x v="0"/>
    <x v="0"/>
    <x v="0"/>
    <x v="0"/>
    <m/>
    <s v="LIBRE ESTRES"/>
    <s v="CONTENTA"/>
    <s v="FELIZ"/>
    <n v="83282190"/>
    <s v="da8de56e-54f3-4862-8f82-8ac5af359bc3"/>
    <d v="2025-04-09T15:23:49"/>
    <m/>
    <m/>
    <s v="submitted_via_web"/>
    <m/>
    <s v="vhGz9QPwmdkBybuGFUbzwe"/>
    <m/>
    <n v="374"/>
  </r>
  <r>
    <d v="2025-04-09T10:07:23"/>
    <d v="2025-04-09T10:13:37"/>
    <s v="AFC"/>
    <n v="457"/>
    <d v="2025-03-16T00:00:00"/>
    <n v="4"/>
    <s v="MQ"/>
    <s v="GH"/>
    <n v="74"/>
    <x v="1"/>
    <s v="1. Diariamente"/>
    <n v="0"/>
    <n v="0"/>
    <n v="0"/>
    <n v="0"/>
    <n v="0"/>
    <x v="0"/>
    <s v="1. Sí"/>
    <m/>
    <s v="6. Mestiza(o)"/>
    <m/>
    <x v="0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1"/>
    <x v="1"/>
    <x v="0"/>
    <s v="PERSONAL VIGILANCIA POLICIA"/>
    <s v="CONTENTO"/>
    <s v="GENTE"/>
    <m/>
    <x v="1"/>
    <x v="2"/>
    <x v="1"/>
    <x v="0"/>
    <x v="0"/>
    <x v="3"/>
    <x v="0"/>
    <x v="1"/>
    <s v="B F"/>
    <n v="0"/>
    <n v="1"/>
    <n v="0"/>
    <n v="0"/>
    <n v="0"/>
    <n v="1"/>
    <n v="0"/>
    <n v="0"/>
    <n v="0"/>
    <n v="0"/>
    <n v="0"/>
    <n v="0"/>
    <n v="0"/>
    <x v="0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2"/>
    <x v="1"/>
    <x v="2"/>
    <x v="0"/>
    <x v="0"/>
    <x v="0"/>
    <x v="0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1"/>
    <x v="1"/>
    <x v="2"/>
    <x v="1"/>
    <x v="2"/>
    <x v="0"/>
    <x v="1"/>
    <x v="1"/>
    <x v="0"/>
    <x v="1"/>
    <x v="2"/>
    <x v="0"/>
    <x v="1"/>
    <x v="1"/>
    <x v="2"/>
    <x v="0"/>
    <x v="0"/>
    <x v="0"/>
    <x v="0"/>
    <x v="0"/>
    <x v="0"/>
    <x v="0"/>
    <x v="0"/>
    <x v="0"/>
    <m/>
    <s v="SIENTE SEGURO"/>
    <s v="JUGAR"/>
    <m/>
    <n v="83281179"/>
    <s v="3b8cda82-adb4-4853-bbfc-dc5d16726b13"/>
    <d v="2025-04-09T15:13:29"/>
    <m/>
    <m/>
    <s v="submitted_via_web"/>
    <m/>
    <s v="vhGz9QPwmdkBybuGFUbzwe"/>
    <m/>
    <n v="372"/>
  </r>
  <r>
    <d v="2025-04-09T10:02:23"/>
    <d v="2025-04-09T10:07:23"/>
    <s v="AFC"/>
    <n v="458"/>
    <d v="2025-03-16T00:00:00"/>
    <n v="4"/>
    <s v="MQ"/>
    <s v="GH"/>
    <n v="53"/>
    <x v="2"/>
    <s v="2. Semanalmente"/>
    <n v="0"/>
    <n v="0"/>
    <n v="0"/>
    <n v="0"/>
    <n v="0"/>
    <x v="0"/>
    <s v="1. Sí"/>
    <m/>
    <s v="6. Mestiza(o)"/>
    <m/>
    <x v="4"/>
    <s v="1. Completa"/>
    <s v="1. Trabajar"/>
    <m/>
    <s v="99. NS/NC"/>
    <s v="1. Deporte / ejercicio 6. Otra"/>
    <x v="0"/>
    <x v="0"/>
    <x v="0"/>
    <x v="0"/>
    <x v="0"/>
    <x v="1"/>
    <s v="SENDEROS"/>
    <s v="2. Mañana  (06:00 a 11:59)"/>
    <x v="0"/>
    <x v="0"/>
    <x v="0"/>
    <x v="0"/>
    <x v="1"/>
    <s v="8. Otro."/>
    <x v="0"/>
    <x v="0"/>
    <x v="0"/>
    <x v="1"/>
    <x v="0"/>
    <x v="0"/>
    <x v="1"/>
    <s v="SENDEROS"/>
    <x v="1"/>
    <x v="1"/>
    <x v="0"/>
    <s v="CONTROL POLICIAL"/>
    <s v="HAY GENTE"/>
    <m/>
    <m/>
    <x v="1"/>
    <x v="2"/>
    <x v="1"/>
    <x v="0"/>
    <x v="2"/>
    <x v="3"/>
    <x v="0"/>
    <x v="1"/>
    <s v="A B D F I J"/>
    <n v="1"/>
    <n v="1"/>
    <n v="0"/>
    <n v="1"/>
    <n v="0"/>
    <n v="1"/>
    <n v="0"/>
    <n v="0"/>
    <n v="1"/>
    <n v="1"/>
    <n v="0"/>
    <n v="0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2"/>
    <x v="0"/>
    <x v="0"/>
    <x v="0"/>
    <x v="0"/>
    <x v="0"/>
    <x v="0"/>
    <x v="0"/>
    <x v="0"/>
    <x v="0"/>
    <x v="0"/>
    <x v="0"/>
    <x v="0"/>
    <x v="0"/>
    <x v="0"/>
    <x v="0"/>
    <x v="1"/>
    <x v="2"/>
    <x v="1"/>
    <x v="1"/>
    <x v="1"/>
    <x v="2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3"/>
    <x v="0"/>
    <x v="0"/>
    <x v="0"/>
    <x v="0"/>
    <x v="0"/>
    <x v="0"/>
    <m/>
    <s v="SENSACION SEGURIDAD"/>
    <s v="POSITIVO"/>
    <m/>
    <n v="83280536"/>
    <s v="328f061f-1659-45cc-bae2-f2a0a9102195"/>
    <d v="2025-04-09T15:07:15"/>
    <m/>
    <m/>
    <s v="submitted_via_web"/>
    <m/>
    <s v="vhGz9QPwmdkBybuGFUbzwe"/>
    <m/>
    <n v="371"/>
  </r>
  <r>
    <d v="2025-04-09T09:58:34"/>
    <d v="2025-04-09T10:02:23"/>
    <s v="AFC"/>
    <n v="459"/>
    <d v="2025-03-16T00:00:00"/>
    <n v="4"/>
    <s v="LB"/>
    <s v="GH"/>
    <n v="61"/>
    <x v="1"/>
    <s v="1. Diariamente"/>
    <n v="0"/>
    <n v="0"/>
    <n v="0"/>
    <n v="0"/>
    <n v="0"/>
    <x v="1"/>
    <s v="1. Sí"/>
    <m/>
    <s v="6. Mestiza(o)"/>
    <m/>
    <x v="1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2"/>
    <x v="0"/>
    <s v="PRESENCIA POLICIAL"/>
    <m/>
    <m/>
    <m/>
    <x v="0"/>
    <x v="2"/>
    <x v="2"/>
    <x v="4"/>
    <x v="4"/>
    <x v="3"/>
    <x v="4"/>
    <x v="1"/>
    <s v="A"/>
    <n v="1"/>
    <n v="0"/>
    <n v="0"/>
    <n v="0"/>
    <n v="0"/>
    <n v="0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FELIZ"/>
    <s v="PAZ"/>
    <m/>
    <n v="83280237"/>
    <s v="ef960b8a-64ce-4d79-8ab5-1e2022ab38ba"/>
    <d v="2025-04-09T15:02:15"/>
    <m/>
    <m/>
    <s v="submitted_via_web"/>
    <m/>
    <s v="vhGz9QPwmdkBybuGFUbzwe"/>
    <m/>
    <n v="370"/>
  </r>
  <r>
    <d v="2025-04-09T09:16:38"/>
    <d v="2025-04-09T09:58:34"/>
    <s v="AFC"/>
    <n v="460"/>
    <d v="2025-03-16T00:00:00"/>
    <n v="4"/>
    <s v="GB-GC"/>
    <s v="GH"/>
    <n v="31"/>
    <x v="0"/>
    <s v="1. Diariamente"/>
    <n v="0"/>
    <n v="0"/>
    <n v="0"/>
    <n v="0"/>
    <n v="0"/>
    <x v="1"/>
    <s v="1. Sí"/>
    <m/>
    <s v="6. Mestiza(o)"/>
    <m/>
    <x v="0"/>
    <s v="1. Completa"/>
    <s v="1. Trabajar"/>
    <m/>
    <s v="4. de $1340 a $1839"/>
    <s v="1. Deporte / ejercicio"/>
    <x v="0"/>
    <x v="0"/>
    <x v="0"/>
    <x v="0"/>
    <x v="0"/>
    <x v="0"/>
    <m/>
    <s v="1. Madrugada (00:00 a 05:59)"/>
    <x v="1"/>
    <x v="1"/>
    <x v="0"/>
    <x v="0"/>
    <x v="3"/>
    <s v="4. Pistas para correr"/>
    <x v="0"/>
    <x v="0"/>
    <x v="0"/>
    <x v="0"/>
    <x v="0"/>
    <x v="0"/>
    <x v="0"/>
    <m/>
    <x v="1"/>
    <x v="1"/>
    <x v="1"/>
    <s v="NO HAY MUCHA VIGILANCIA"/>
    <s v="MUCHA DROGA"/>
    <m/>
    <m/>
    <x v="1"/>
    <x v="1"/>
    <x v="1"/>
    <x v="1"/>
    <x v="0"/>
    <x v="1"/>
    <x v="1"/>
    <x v="1"/>
    <s v="B"/>
    <n v="0"/>
    <n v="1"/>
    <n v="0"/>
    <n v="0"/>
    <n v="0"/>
    <n v="0"/>
    <n v="0"/>
    <n v="0"/>
    <n v="0"/>
    <n v="0"/>
    <n v="0"/>
    <n v="0"/>
    <n v="0"/>
    <x v="2"/>
    <x v="2"/>
    <x v="3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1"/>
    <x v="1"/>
    <x v="1"/>
    <x v="2"/>
    <x v="0"/>
    <x v="0"/>
    <x v="0"/>
    <x v="3"/>
    <x v="0"/>
    <x v="0"/>
    <x v="0"/>
    <x v="0"/>
    <x v="1"/>
    <x v="2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2"/>
    <x v="1"/>
    <x v="1"/>
    <x v="0"/>
    <x v="0"/>
    <x v="0"/>
    <x v="0"/>
    <x v="0"/>
    <x v="0"/>
    <x v="0"/>
    <x v="1"/>
    <x v="2"/>
    <x v="0"/>
    <x v="1"/>
    <x v="1"/>
    <x v="0"/>
    <x v="0"/>
    <x v="0"/>
    <x v="0"/>
    <m/>
    <s v="TRANQUILA"/>
    <s v="COMPAÑIA"/>
    <m/>
    <n v="83279903"/>
    <s v="ff5e6f7e-3770-4848-9e72-916000be6a4b"/>
    <d v="2025-04-09T14:58:27"/>
    <m/>
    <m/>
    <s v="submitted_via_web"/>
    <m/>
    <s v="vhGz9QPwmdkBybuGFUbzwe"/>
    <m/>
    <n v="369"/>
  </r>
  <r>
    <d v="2025-04-09T09:08:57"/>
    <d v="2025-04-09T09:16:38"/>
    <s v="AFC"/>
    <n v="461"/>
    <d v="2025-03-16T00:00:00"/>
    <n v="4"/>
    <s v="MQ"/>
    <s v="GH"/>
    <n v="29"/>
    <x v="0"/>
    <s v="2. Semanalmente"/>
    <n v="0"/>
    <n v="0"/>
    <n v="0"/>
    <n v="0"/>
    <n v="0"/>
    <x v="0"/>
    <s v="1. Sí"/>
    <m/>
    <s v="6. Mestiza(o)"/>
    <m/>
    <x v="0"/>
    <s v="1. Completa"/>
    <s v="4. Es estudiante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SENDEROS"/>
    <x v="1"/>
    <x v="1"/>
    <x v="0"/>
    <s v="PRESENCIA VIGILANCIA"/>
    <s v="CUANDO HAY GENTE A LAS 09"/>
    <m/>
    <m/>
    <x v="4"/>
    <x v="1"/>
    <x v="0"/>
    <x v="0"/>
    <x v="0"/>
    <x v="3"/>
    <x v="0"/>
    <x v="1"/>
    <s v="B E F I K L"/>
    <n v="0"/>
    <n v="1"/>
    <n v="0"/>
    <n v="0"/>
    <n v="1"/>
    <n v="1"/>
    <n v="0"/>
    <n v="0"/>
    <n v="1"/>
    <n v="0"/>
    <n v="1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1"/>
    <x v="1"/>
    <x v="2"/>
    <x v="0"/>
    <x v="1"/>
    <x v="2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TRANQUILIDAD"/>
    <s v="DESESTRES"/>
    <s v="COMPARTEN CON FAMILIA"/>
    <n v="83276911"/>
    <s v="feaa79df-ebe1-4bf7-9d71-f45fcca49afe"/>
    <d v="2025-04-09T14:16:30"/>
    <m/>
    <m/>
    <s v="submitted_via_web"/>
    <m/>
    <s v="vhGz9QPwmdkBybuGFUbzwe"/>
    <m/>
    <n v="365"/>
  </r>
  <r>
    <d v="2025-04-09T09:01:24"/>
    <d v="2025-04-09T09:08:57"/>
    <s v="AFC"/>
    <n v="462"/>
    <d v="2025-03-16T00:00:00"/>
    <n v="4"/>
    <s v="GB-GC"/>
    <s v="GH"/>
    <n v="43"/>
    <x v="2"/>
    <s v="1. Diariamente"/>
    <n v="0"/>
    <n v="0"/>
    <n v="0"/>
    <n v="0"/>
    <n v="0"/>
    <x v="1"/>
    <s v="1. Sí"/>
    <m/>
    <s v="6. Mestiza(o)"/>
    <m/>
    <x v="0"/>
    <s v="1. Completa"/>
    <s v="1. Trabajar"/>
    <m/>
    <s v="4. de $1340 a $1839"/>
    <s v="5. Recreación/Ocio"/>
    <x v="1"/>
    <x v="0"/>
    <x v="0"/>
    <x v="0"/>
    <x v="1"/>
    <x v="0"/>
    <m/>
    <s v="1. Madrugada (00:00 a 05:59) 2. Mañana  (06:00 a 11:59) 3. Tarde (12:00 a 17:59)"/>
    <x v="1"/>
    <x v="0"/>
    <x v="1"/>
    <x v="0"/>
    <x v="0"/>
    <s v="6. Área para perros 7. Áreas verdes"/>
    <x v="0"/>
    <x v="0"/>
    <x v="0"/>
    <x v="1"/>
    <x v="1"/>
    <x v="1"/>
    <x v="0"/>
    <m/>
    <x v="1"/>
    <x v="1"/>
    <x v="0"/>
    <s v="POLICIA NACIONAL"/>
    <s v="POLICIA METROPOLITANA"/>
    <s v="MAS GENTE"/>
    <m/>
    <x v="1"/>
    <x v="2"/>
    <x v="1"/>
    <x v="1"/>
    <x v="0"/>
    <x v="3"/>
    <x v="2"/>
    <x v="2"/>
    <s v="E"/>
    <n v="0"/>
    <n v="0"/>
    <n v="0"/>
    <n v="0"/>
    <n v="1"/>
    <n v="0"/>
    <n v="0"/>
    <n v="0"/>
    <n v="0"/>
    <n v="0"/>
    <n v="0"/>
    <n v="0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3"/>
    <x v="0"/>
    <x v="3"/>
    <x v="1"/>
    <x v="1"/>
    <x v="0"/>
    <x v="0"/>
    <x v="0"/>
    <x v="3"/>
    <x v="0"/>
    <x v="0"/>
    <x v="0"/>
    <x v="0"/>
    <x v="1"/>
    <x v="3"/>
    <x v="0"/>
    <x v="0"/>
    <x v="1"/>
    <x v="2"/>
    <x v="0"/>
    <x v="3"/>
    <x v="0"/>
    <x v="3"/>
    <x v="0"/>
    <x v="0"/>
    <x v="0"/>
    <x v="3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1"/>
    <x v="2"/>
    <x v="0"/>
    <x v="0"/>
    <x v="0"/>
    <x v="0"/>
    <x v="0"/>
    <x v="0"/>
    <m/>
    <s v="TRANQUILO"/>
    <s v="UN POCO MOLESTO POR LOS EXTRANJEROS COMO LOS VENEZOLANOS"/>
    <m/>
    <n v="83276609"/>
    <s v="1e5cdc0b-3b2e-45d4-9d71-6c30f0d85ac2"/>
    <d v="2025-04-09T14:08:50"/>
    <m/>
    <m/>
    <s v="submitted_via_web"/>
    <m/>
    <s v="vhGz9QPwmdkBybuGFUbzwe"/>
    <m/>
    <n v="363"/>
  </r>
  <r>
    <d v="2025-04-09T08:52:33"/>
    <d v="2025-04-09T09:01:24"/>
    <s v="AFC"/>
    <n v="463"/>
    <d v="2025-03-16T00:00:00"/>
    <n v="4"/>
    <s v="MQ"/>
    <s v="GH"/>
    <n v="45"/>
    <x v="2"/>
    <s v="2. Semanalmente"/>
    <n v="0"/>
    <n v="0"/>
    <n v="0"/>
    <n v="0"/>
    <n v="0"/>
    <x v="0"/>
    <s v="1. Sí"/>
    <m/>
    <s v="6. Mestiza(o)"/>
    <m/>
    <x v="1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VIGILANCIA"/>
    <s v="PORQUE HAY GENTE"/>
    <m/>
    <m/>
    <x v="4"/>
    <x v="1"/>
    <x v="1"/>
    <x v="1"/>
    <x v="0"/>
    <x v="0"/>
    <x v="0"/>
    <x v="1"/>
    <s v="A D G I J"/>
    <n v="1"/>
    <n v="0"/>
    <n v="0"/>
    <n v="1"/>
    <n v="0"/>
    <n v="0"/>
    <n v="1"/>
    <n v="0"/>
    <n v="1"/>
    <n v="1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0"/>
    <x v="2"/>
    <x v="2"/>
    <x v="0"/>
    <x v="2"/>
    <x v="2"/>
    <x v="0"/>
    <x v="0"/>
    <x v="0"/>
    <x v="0"/>
    <x v="1"/>
    <x v="2"/>
    <x v="1"/>
    <x v="1"/>
    <x v="0"/>
    <x v="0"/>
    <x v="1"/>
    <x v="2"/>
    <x v="1"/>
    <x v="1"/>
    <x v="1"/>
    <x v="1"/>
    <x v="1"/>
    <x v="2"/>
    <x v="0"/>
    <x v="0"/>
    <x v="0"/>
    <x v="0"/>
    <x v="0"/>
    <x v="0"/>
    <m/>
    <s v="PASEAN"/>
    <s v="DISTRAEN"/>
    <s v="PASA BIEN CON LA FAMILIA"/>
    <n v="83276132"/>
    <s v="ee04e706-4e45-4cd8-a46e-a45818713691"/>
    <d v="2025-04-09T14:01:17"/>
    <m/>
    <m/>
    <s v="submitted_via_web"/>
    <m/>
    <s v="vhGz9QPwmdkBybuGFUbzwe"/>
    <m/>
    <n v="362"/>
  </r>
  <r>
    <d v="2025-04-08T15:10:01"/>
    <d v="2025-04-08T15:15:04"/>
    <s v="AFC"/>
    <n v="465"/>
    <d v="2025-03-16T00:00:00"/>
    <n v="4"/>
    <s v="LB"/>
    <s v="GH"/>
    <n v="57"/>
    <x v="1"/>
    <s v="1. Diariamente"/>
    <n v="2"/>
    <n v="0"/>
    <n v="0"/>
    <n v="0"/>
    <n v="0"/>
    <x v="1"/>
    <s v="2. No"/>
    <s v="COLOMBIANA"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0"/>
    <x v="0"/>
    <x v="1"/>
    <s v="MUCHO MENDIGO"/>
    <s v="POCA ILUMINACION"/>
    <m/>
    <m/>
    <x v="2"/>
    <x v="3"/>
    <x v="1"/>
    <x v="2"/>
    <x v="1"/>
    <x v="2"/>
    <x v="2"/>
    <x v="2"/>
    <s v="L"/>
    <n v="0"/>
    <n v="0"/>
    <n v="0"/>
    <n v="0"/>
    <n v="0"/>
    <n v="0"/>
    <n v="0"/>
    <n v="0"/>
    <n v="0"/>
    <n v="0"/>
    <n v="0"/>
    <n v="1"/>
    <n v="0"/>
    <x v="0"/>
    <x v="1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2"/>
    <x v="0"/>
    <x v="0"/>
    <x v="0"/>
    <x v="0"/>
    <x v="0"/>
    <x v="0"/>
    <x v="0"/>
    <m/>
    <s v="MAS ILUMINACION"/>
    <s v="MAS GUARDIAS"/>
    <m/>
    <n v="83188003"/>
    <s v="91845e43-0850-4643-830a-e4bea19b1c76"/>
    <d v="2025-04-08T20:14:57"/>
    <m/>
    <m/>
    <s v="submitted_via_web"/>
    <m/>
    <s v="vhGz9QPwmdkBybuGFUbzwe"/>
    <m/>
    <n v="353"/>
  </r>
  <r>
    <d v="2025-04-08T15:03:45"/>
    <d v="2025-04-08T15:10:01"/>
    <s v="AFC"/>
    <n v="466"/>
    <d v="2025-03-16T00:00:00"/>
    <n v="4"/>
    <s v="LB"/>
    <s v="GH"/>
    <n v="61"/>
    <x v="1"/>
    <s v="1. Diariamente"/>
    <n v="0"/>
    <n v="0"/>
    <n v="0"/>
    <n v="0"/>
    <n v="0"/>
    <x v="1"/>
    <s v="1. Sí"/>
    <m/>
    <s v="6. Mestiza(o)"/>
    <m/>
    <x v="1"/>
    <s v="1. Completa"/>
    <s v="7. Dueña/o de su propio negocio"/>
    <m/>
    <s v="2. de $471 a $919"/>
    <s v="2. Culturales y sociales"/>
    <x v="1"/>
    <x v="1"/>
    <x v="0"/>
    <x v="0"/>
    <x v="0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0"/>
    <x v="0"/>
    <x v="0"/>
    <s v="SIEMPRE OBSERVA GUARDIAS"/>
    <s v="PRESENCIA POLICIAL"/>
    <m/>
    <m/>
    <x v="1"/>
    <x v="2"/>
    <x v="2"/>
    <x v="2"/>
    <x v="0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IDAD"/>
    <s v="PAZ"/>
    <m/>
    <n v="83187756"/>
    <s v="8ff5930b-e8ae-4e84-a24d-1a66150aee51"/>
    <d v="2025-04-08T20:09:54"/>
    <m/>
    <m/>
    <s v="submitted_via_web"/>
    <m/>
    <s v="vhGz9QPwmdkBybuGFUbzwe"/>
    <m/>
    <n v="352"/>
  </r>
  <r>
    <d v="2025-04-08T14:57:17"/>
    <d v="2025-04-08T15:03:45"/>
    <s v="AFC"/>
    <n v="467"/>
    <d v="2025-03-16T00:00:00"/>
    <n v="4"/>
    <s v="GB-GC"/>
    <s v="GH"/>
    <n v="47"/>
    <x v="2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1"/>
    <x v="1"/>
    <x v="1"/>
    <s v="MUCHA GENTE REALIZANDO COSAS INDEBIDAS"/>
    <s v="MUCHO VENDEDOR"/>
    <m/>
    <m/>
    <x v="1"/>
    <x v="1"/>
    <x v="1"/>
    <x v="1"/>
    <x v="0"/>
    <x v="2"/>
    <x v="1"/>
    <x v="1"/>
    <s v="A B"/>
    <n v="1"/>
    <n v="1"/>
    <n v="0"/>
    <n v="0"/>
    <n v="0"/>
    <n v="0"/>
    <n v="0"/>
    <n v="0"/>
    <n v="0"/>
    <n v="0"/>
    <n v="0"/>
    <n v="0"/>
    <n v="0"/>
    <x v="1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0"/>
    <x v="3"/>
    <x v="0"/>
    <x v="0"/>
    <x v="0"/>
    <x v="0"/>
    <x v="1"/>
    <x v="1"/>
    <x v="0"/>
    <x v="0"/>
    <x v="0"/>
    <x v="0"/>
    <x v="0"/>
    <x v="0"/>
    <x v="1"/>
    <x v="1"/>
    <x v="0"/>
    <x v="0"/>
    <x v="1"/>
    <x v="2"/>
    <x v="0"/>
    <x v="0"/>
    <x v="0"/>
    <x v="0"/>
    <x v="1"/>
    <x v="1"/>
    <x v="0"/>
    <m/>
    <x v="0"/>
    <x v="0"/>
    <x v="0"/>
    <x v="0"/>
    <x v="1"/>
    <s v="3. Contundente"/>
    <x v="1"/>
    <x v="2"/>
    <x v="2"/>
    <x v="1"/>
    <x v="1"/>
    <m/>
    <x v="2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SE SIENTE BIEN FELIZ"/>
    <s v="PERO TIENE QUE ESTAR MUY ALERTA"/>
    <m/>
    <n v="83187274"/>
    <s v="98ebea7e-5695-4468-9ac8-6c642352055e"/>
    <d v="2025-04-08T20:03:38"/>
    <m/>
    <m/>
    <s v="submitted_via_web"/>
    <m/>
    <s v="vhGz9QPwmdkBybuGFUbzwe"/>
    <m/>
    <n v="351"/>
  </r>
  <r>
    <d v="2025-04-08T14:31:02"/>
    <d v="2025-04-08T14:35:35"/>
    <s v="AFC"/>
    <n v="470"/>
    <d v="2025-03-16T00:00:00"/>
    <n v="4"/>
    <s v="LB"/>
    <s v="GH"/>
    <n v="26"/>
    <x v="0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3. Caminos de ciclismo"/>
    <x v="0"/>
    <x v="0"/>
    <x v="1"/>
    <x v="1"/>
    <x v="0"/>
    <x v="0"/>
    <x v="0"/>
    <m/>
    <x v="1"/>
    <x v="2"/>
    <x v="0"/>
    <s v="ILUMINACION"/>
    <s v="RONDA POLICIAL"/>
    <m/>
    <m/>
    <x v="0"/>
    <x v="2"/>
    <x v="2"/>
    <x v="2"/>
    <x v="1"/>
    <x v="3"/>
    <x v="2"/>
    <x v="1"/>
    <s v="B E"/>
    <n v="0"/>
    <n v="1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1"/>
    <x v="1"/>
    <x v="1"/>
    <x v="1"/>
    <x v="1"/>
    <x v="0"/>
    <x v="0"/>
    <x v="1"/>
    <x v="1"/>
    <x v="0"/>
    <x v="0"/>
    <x v="0"/>
    <x v="0"/>
    <x v="1"/>
    <x v="2"/>
    <x v="0"/>
    <x v="0"/>
    <x v="0"/>
    <x v="0"/>
    <x v="1"/>
    <x v="2"/>
    <x v="0"/>
    <x v="0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1"/>
    <x v="1"/>
    <x v="0"/>
    <m/>
    <s v="TRANQUILIDAD"/>
    <s v="CANTAR"/>
    <m/>
    <n v="83185172"/>
    <s v="3e4ac009-21f9-46c2-a353-404ccd6774ab"/>
    <d v="2025-04-08T19:35:27"/>
    <m/>
    <m/>
    <s v="submitted_via_web"/>
    <m/>
    <s v="vhGz9QPwmdkBybuGFUbzwe"/>
    <m/>
    <n v="350"/>
  </r>
  <r>
    <d v="2025-04-08T14:26:02"/>
    <d v="2025-04-08T14:31:02"/>
    <s v="AFC"/>
    <n v="471"/>
    <d v="2025-03-16T00:00:00"/>
    <n v="4"/>
    <s v="LB"/>
    <s v="GH"/>
    <n v="37"/>
    <x v="0"/>
    <s v="1. Diariamente"/>
    <n v="0"/>
    <n v="0"/>
    <n v="0"/>
    <n v="0"/>
    <n v="0"/>
    <x v="1"/>
    <s v="1. Sí"/>
    <m/>
    <s v="6. Mestiza(o)"/>
    <m/>
    <x v="2"/>
    <s v="1. Completa"/>
    <s v="1. Trabajar"/>
    <m/>
    <s v="3. de $920 a $1339"/>
    <s v="1. Deporte / ejercicio"/>
    <x v="0"/>
    <x v="0"/>
    <x v="0"/>
    <x v="0"/>
    <x v="0"/>
    <x v="0"/>
    <m/>
    <s v="3. Tarde (12:00 a 17:59)"/>
    <x v="0"/>
    <x v="1"/>
    <x v="1"/>
    <x v="0"/>
    <x v="0"/>
    <s v="1. Canchas de fútbol y basquet"/>
    <x v="1"/>
    <x v="0"/>
    <x v="0"/>
    <x v="1"/>
    <x v="0"/>
    <x v="0"/>
    <x v="0"/>
    <m/>
    <x v="1"/>
    <x v="2"/>
    <x v="0"/>
    <s v="PATRULLAJES"/>
    <s v="GUARDIAS QUE VIGILAN"/>
    <m/>
    <m/>
    <x v="1"/>
    <x v="1"/>
    <x v="1"/>
    <x v="1"/>
    <x v="0"/>
    <x v="2"/>
    <x v="2"/>
    <x v="1"/>
    <s v="D"/>
    <n v="0"/>
    <n v="0"/>
    <n v="0"/>
    <n v="1"/>
    <n v="0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3"/>
    <x v="0"/>
    <x v="3"/>
    <x v="0"/>
    <x v="0"/>
    <x v="0"/>
    <x v="0"/>
    <x v="1"/>
    <x v="1"/>
    <x v="0"/>
    <x v="0"/>
    <x v="0"/>
    <x v="0"/>
    <x v="0"/>
    <x v="0"/>
    <x v="0"/>
    <x v="0"/>
    <x v="1"/>
    <x v="1"/>
    <x v="0"/>
    <x v="3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SEGURIDADEN SUS HIJOS"/>
    <s v="PAZ EN EL PARQUE"/>
    <m/>
    <n v="83184930"/>
    <s v="66834938-883f-4da3-b986-fd7a6b3f5269"/>
    <d v="2025-04-08T19:30:55"/>
    <m/>
    <m/>
    <s v="submitted_via_web"/>
    <m/>
    <s v="vhGz9QPwmdkBybuGFUbzwe"/>
    <m/>
    <n v="349"/>
  </r>
  <r>
    <d v="2025-04-08T14:20:27"/>
    <d v="2025-04-08T14:26:02"/>
    <s v="AFC"/>
    <n v="472"/>
    <d v="2025-03-16T00:00:00"/>
    <n v="4"/>
    <s v="MQ"/>
    <s v="GH"/>
    <n v="39"/>
    <x v="0"/>
    <s v="2. Semanalmente"/>
    <n v="0"/>
    <n v="0"/>
    <n v="0"/>
    <n v="0"/>
    <n v="0"/>
    <x v="0"/>
    <s v="1. Sí"/>
    <m/>
    <s v="6. Mestiza(o)"/>
    <m/>
    <x v="1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1"/>
    <x v="1"/>
    <x v="0"/>
    <s v="HAY POLICIA"/>
    <s v="HAY SEGURIDAD"/>
    <m/>
    <m/>
    <x v="4"/>
    <x v="1"/>
    <x v="0"/>
    <x v="0"/>
    <x v="0"/>
    <x v="3"/>
    <x v="0"/>
    <x v="1"/>
    <s v="B F I"/>
    <n v="0"/>
    <n v="1"/>
    <n v="0"/>
    <n v="0"/>
    <n v="0"/>
    <n v="1"/>
    <n v="0"/>
    <n v="0"/>
    <n v="1"/>
    <n v="0"/>
    <n v="0"/>
    <n v="0"/>
    <n v="0"/>
    <x v="0"/>
    <x v="3"/>
    <x v="2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0"/>
    <x v="1"/>
    <x v="1"/>
    <x v="1"/>
    <x v="1"/>
    <x v="2"/>
    <x v="1"/>
    <x v="1"/>
    <x v="2"/>
    <x v="1"/>
    <x v="2"/>
    <x v="2"/>
    <x v="0"/>
    <x v="0"/>
    <x v="0"/>
    <m/>
    <s v="PASION"/>
    <s v="JUGAR A LOS NIÑOS"/>
    <m/>
    <n v="83184604"/>
    <s v="c5d57ef3-912e-42bf-b077-22ef0ff2fd61"/>
    <d v="2025-04-08T19:25:54"/>
    <m/>
    <m/>
    <s v="submitted_via_web"/>
    <m/>
    <s v="vhGz9QPwmdkBybuGFUbzwe"/>
    <m/>
    <n v="348"/>
  </r>
  <r>
    <d v="2025-04-08T14:04:53"/>
    <d v="2025-04-08T14:10:21"/>
    <s v="AFC"/>
    <n v="474"/>
    <d v="2025-02-16T00:00:00"/>
    <n v="4"/>
    <s v="MQ"/>
    <s v="GH"/>
    <n v="50"/>
    <x v="2"/>
    <s v="2. Semanalmente"/>
    <n v="3"/>
    <n v="0"/>
    <n v="0"/>
    <n v="0"/>
    <n v="0"/>
    <x v="1"/>
    <s v="1. Sí"/>
    <m/>
    <s v="6. Mestiza(o)"/>
    <m/>
    <x v="1"/>
    <s v="1. Completa"/>
    <s v="5. Quehaceres domésticos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1"/>
    <s v="FALTA DE SEGURIDAD"/>
    <s v="FALTA CONTROL POLICIAL"/>
    <m/>
    <m/>
    <x v="4"/>
    <x v="1"/>
    <x v="1"/>
    <x v="0"/>
    <x v="0"/>
    <x v="2"/>
    <x v="0"/>
    <x v="1"/>
    <s v="A C E K L"/>
    <n v="1"/>
    <n v="0"/>
    <n v="1"/>
    <n v="0"/>
    <n v="1"/>
    <n v="0"/>
    <n v="0"/>
    <n v="0"/>
    <n v="0"/>
    <n v="0"/>
    <n v="1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1"/>
    <x v="2"/>
    <x v="1"/>
    <x v="0"/>
    <x v="0"/>
    <x v="0"/>
    <m/>
    <s v="TRANQUILO"/>
    <m/>
    <m/>
    <n v="83183042"/>
    <s v="fb1c5f67-b910-4101-b075-bcd235ae290c"/>
    <d v="2025-04-08T19:10:14"/>
    <m/>
    <m/>
    <s v="submitted_via_web"/>
    <m/>
    <s v="vhGz9QPwmdkBybuGFUbzwe"/>
    <m/>
    <n v="345"/>
  </r>
  <r>
    <d v="2025-04-08T09:13:21"/>
    <d v="2025-04-08T14:04:53"/>
    <s v="AFC"/>
    <n v="475"/>
    <d v="2025-03-16T00:00:00"/>
    <n v="4"/>
    <s v="LB"/>
    <s v="GH"/>
    <n v="52"/>
    <x v="2"/>
    <s v="1. Diariamente"/>
    <n v="1"/>
    <n v="0"/>
    <n v="0"/>
    <n v="0"/>
    <n v="0"/>
    <x v="0"/>
    <s v="1. Sí"/>
    <m/>
    <s v="6. Mestiza(o)"/>
    <m/>
    <x v="0"/>
    <s v="1. Completa"/>
    <s v="1. Trabajar"/>
    <m/>
    <s v="5. más de $1840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0"/>
    <x v="0"/>
    <x v="1"/>
    <s v="POCO PERSONAL DE SEGURIDAD"/>
    <s v="MUCHO VENEZOLANO"/>
    <m/>
    <m/>
    <x v="1"/>
    <x v="2"/>
    <x v="1"/>
    <x v="2"/>
    <x v="1"/>
    <x v="2"/>
    <x v="2"/>
    <x v="2"/>
    <s v="E L"/>
    <n v="0"/>
    <n v="0"/>
    <n v="0"/>
    <n v="0"/>
    <n v="1"/>
    <n v="0"/>
    <n v="0"/>
    <n v="0"/>
    <n v="0"/>
    <n v="0"/>
    <n v="0"/>
    <n v="1"/>
    <n v="0"/>
    <x v="1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0"/>
    <x v="0"/>
    <x v="0"/>
    <x v="0"/>
    <x v="0"/>
    <x v="1"/>
    <x v="1"/>
    <x v="0"/>
    <x v="0"/>
    <x v="0"/>
    <x v="0"/>
    <x v="1"/>
    <x v="3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TRANQUILIDAD PERSO SOLO EN LA MAÑANA"/>
    <s v="PAZ"/>
    <m/>
    <n v="83182403"/>
    <s v="ffdbd547-5ebd-4654-81b6-adbb62c8a661"/>
    <d v="2025-04-08T19:04:46"/>
    <m/>
    <m/>
    <s v="submitted_via_web"/>
    <m/>
    <s v="vhGz9QPwmdkBybuGFUbzwe"/>
    <m/>
    <n v="344"/>
  </r>
  <r>
    <d v="2025-04-10T10:12:36"/>
    <d v="2025-04-10T10:17:26"/>
    <s v="JP"/>
    <n v="476"/>
    <d v="2025-03-16T00:00:00"/>
    <n v="4"/>
    <s v="MQ"/>
    <s v="GH"/>
    <n v="49"/>
    <x v="2"/>
    <s v="2. Semanalmente"/>
    <n v="0"/>
    <n v="0"/>
    <n v="0"/>
    <n v="0"/>
    <n v="0"/>
    <x v="0"/>
    <s v="1. Sí"/>
    <m/>
    <s v="6. Mestiza(o)"/>
    <m/>
    <x v="0"/>
    <s v="1. Completa"/>
    <s v="8. Otro"/>
    <s v="EMPRENDEDOR"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8. Otro."/>
    <x v="0"/>
    <x v="0"/>
    <x v="0"/>
    <x v="1"/>
    <x v="0"/>
    <x v="0"/>
    <x v="1"/>
    <s v="SENDEROS"/>
    <x v="0"/>
    <x v="0"/>
    <x v="0"/>
    <s v="PORQUEHAY GENTE"/>
    <s v="HAY CONTROL GUARDIAS"/>
    <s v="GUARDIAS"/>
    <m/>
    <x v="1"/>
    <x v="2"/>
    <x v="1"/>
    <x v="0"/>
    <x v="2"/>
    <x v="2"/>
    <x v="0"/>
    <x v="1"/>
    <s v="B F"/>
    <n v="0"/>
    <n v="1"/>
    <n v="0"/>
    <n v="0"/>
    <n v="0"/>
    <n v="1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2"/>
    <x v="0"/>
    <x v="1"/>
    <x v="1"/>
    <x v="2"/>
    <x v="1"/>
    <x v="1"/>
    <x v="1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INTRANQUILO"/>
    <s v="NO ME SIENTO SEGURO COMO ANTES"/>
    <m/>
    <n v="83412866"/>
    <s v="1bcf9644-1cb6-42ac-88c1-f0ce90b016d4"/>
    <d v="2025-04-10T15:17:19"/>
    <m/>
    <m/>
    <s v="submitted_via_web"/>
    <m/>
    <s v="v5uNQoYdGp6CCoWUMSjVDf"/>
    <m/>
    <n v="415"/>
  </r>
  <r>
    <d v="2025-04-08T08:37:25"/>
    <d v="2025-04-08T08:46:14"/>
    <s v="AFC"/>
    <n v="477"/>
    <d v="2025-03-16T00:00:00"/>
    <n v="4"/>
    <s v="GB-GC"/>
    <s v="GH"/>
    <n v="47"/>
    <x v="2"/>
    <s v="2. Semanalmente"/>
    <n v="1"/>
    <n v="0"/>
    <n v="0"/>
    <n v="0"/>
    <n v="0"/>
    <x v="0"/>
    <s v="1. Sí"/>
    <m/>
    <s v="6. Mestiza(o)"/>
    <m/>
    <x v="0"/>
    <s v="1. Completa"/>
    <s v="1. Trabajar"/>
    <m/>
    <s v="5. más de $1840"/>
    <s v="4. De paso 5. Recreación/Ocio"/>
    <x v="1"/>
    <x v="0"/>
    <x v="0"/>
    <x v="1"/>
    <x v="1"/>
    <x v="0"/>
    <m/>
    <s v="2. Mañana  (06:00 a 11:59)"/>
    <x v="0"/>
    <x v="0"/>
    <x v="0"/>
    <x v="0"/>
    <x v="2"/>
    <s v="7. Áreas verdes"/>
    <x v="0"/>
    <x v="0"/>
    <x v="0"/>
    <x v="1"/>
    <x v="0"/>
    <x v="1"/>
    <x v="0"/>
    <m/>
    <x v="1"/>
    <x v="1"/>
    <x v="0"/>
    <s v="MUCHA GENTE"/>
    <s v="GUARDIAS"/>
    <s v="POLICIA NACIONAL"/>
    <m/>
    <x v="0"/>
    <x v="2"/>
    <x v="2"/>
    <x v="1"/>
    <x v="0"/>
    <x v="3"/>
    <x v="2"/>
    <x v="0"/>
    <s v="H"/>
    <n v="0"/>
    <n v="0"/>
    <n v="0"/>
    <n v="0"/>
    <n v="0"/>
    <n v="0"/>
    <n v="0"/>
    <n v="1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0"/>
    <x v="2"/>
    <x v="2"/>
    <x v="0"/>
    <x v="2"/>
    <x v="1"/>
    <x v="0"/>
    <x v="0"/>
    <x v="0"/>
    <x v="0"/>
    <x v="0"/>
    <x v="0"/>
    <x v="1"/>
    <x v="1"/>
    <x v="0"/>
    <x v="1"/>
    <x v="2"/>
    <x v="0"/>
    <x v="0"/>
    <x v="0"/>
    <x v="0"/>
    <x v="1"/>
    <x v="1"/>
    <x v="2"/>
    <x v="0"/>
    <x v="0"/>
    <x v="0"/>
    <x v="0"/>
    <x v="0"/>
    <x v="0"/>
    <m/>
    <s v="TRANQUILO"/>
    <s v="SEGURO"/>
    <m/>
    <n v="83151945"/>
    <s v="aee1d770-ef2b-4693-8bc9-ff6fa08ebb2c"/>
    <d v="2025-04-08T13:46:07"/>
    <m/>
    <m/>
    <s v="submitted_via_web"/>
    <m/>
    <s v="vhGz9QPwmdkBybuGFUbzwe"/>
    <m/>
    <n v="334"/>
  </r>
  <r>
    <d v="2025-04-08T08:32:43"/>
    <d v="2025-04-08T08:37:25"/>
    <s v="AFC"/>
    <n v="478"/>
    <d v="2025-03-16T00:00:00"/>
    <n v="4"/>
    <s v="MQ"/>
    <s v="GH"/>
    <n v="58"/>
    <x v="1"/>
    <s v="2. Semanalmente"/>
    <n v="0"/>
    <n v="0"/>
    <n v="0"/>
    <n v="0"/>
    <n v="0"/>
    <x v="1"/>
    <s v="2. No"/>
    <s v="VENEZOLANA"/>
    <s v="7. Blanca(o)"/>
    <m/>
    <x v="3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PERSONAL DE SEGURIDAD"/>
    <s v="GUARDIAS"/>
    <m/>
    <m/>
    <x v="4"/>
    <x v="2"/>
    <x v="1"/>
    <x v="1"/>
    <x v="0"/>
    <x v="3"/>
    <x v="0"/>
    <x v="1"/>
    <s v="I L"/>
    <n v="0"/>
    <n v="0"/>
    <n v="0"/>
    <n v="0"/>
    <n v="0"/>
    <n v="0"/>
    <n v="0"/>
    <n v="0"/>
    <n v="1"/>
    <n v="0"/>
    <n v="0"/>
    <n v="1"/>
    <n v="0"/>
    <x v="0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2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1"/>
    <x v="1"/>
    <x v="2"/>
    <x v="0"/>
    <x v="1"/>
    <x v="3"/>
    <x v="0"/>
    <x v="2"/>
    <x v="2"/>
    <x v="1"/>
    <x v="2"/>
    <x v="0"/>
    <x v="1"/>
    <x v="1"/>
    <x v="1"/>
    <x v="1"/>
    <x v="1"/>
    <x v="1"/>
    <x v="1"/>
    <x v="2"/>
    <x v="1"/>
    <x v="0"/>
    <x v="0"/>
    <x v="0"/>
    <m/>
    <s v="ME SIENTO BIEN"/>
    <s v="TRANQUILA"/>
    <m/>
    <n v="83151314"/>
    <s v="3b61657b-2914-438f-81d5-7d74e8d859f5"/>
    <d v="2025-04-08T13:37:17"/>
    <m/>
    <m/>
    <s v="submitted_via_web"/>
    <m/>
    <s v="vhGz9QPwmdkBybuGFUbzwe"/>
    <m/>
    <n v="333"/>
  </r>
  <r>
    <d v="2025-04-10T09:45:41"/>
    <d v="2025-04-10T09:52:25"/>
    <s v="JP"/>
    <n v="479"/>
    <d v="2025-03-16T00:00:00"/>
    <n v="4"/>
    <s v="LB"/>
    <s v="GH"/>
    <n v="65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2"/>
    <x v="2"/>
    <x v="2"/>
    <x v="2"/>
    <x v="2"/>
    <x v="2"/>
    <x v="2"/>
    <m/>
    <x v="0"/>
    <x v="0"/>
    <x v="0"/>
    <s v="SABADO Y DOMINGO HAY MUCHA SEGURIDAD"/>
    <s v="GUARDIAS PRIVADOS"/>
    <m/>
    <m/>
    <x v="0"/>
    <x v="2"/>
    <x v="2"/>
    <x v="2"/>
    <x v="1"/>
    <x v="2"/>
    <x v="1"/>
    <x v="2"/>
    <s v="B"/>
    <n v="0"/>
    <n v="1"/>
    <n v="0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3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3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LE GUSTA VER LOS PAJAROS"/>
    <s v="FELICIDAD"/>
    <m/>
    <n v="83410585"/>
    <s v="43af99ac-cd9f-45c1-9789-a6cc6a34fd73"/>
    <d v="2025-04-10T14:52:18"/>
    <m/>
    <m/>
    <s v="submitted_via_web"/>
    <m/>
    <s v="v5uNQoYdGp6CCoWUMSjVDf"/>
    <m/>
    <n v="410"/>
  </r>
  <r>
    <d v="2025-04-10T10:17:26"/>
    <d v="2025-04-10T10:21:04"/>
    <s v="JP"/>
    <n v="480"/>
    <d v="2025-04-16T00:00:00"/>
    <n v="4"/>
    <s v="GB-GC"/>
    <s v="GH"/>
    <n v="70"/>
    <x v="1"/>
    <s v="1. Diariamente"/>
    <n v="0"/>
    <n v="0"/>
    <n v="0"/>
    <n v="0"/>
    <n v="0"/>
    <x v="0"/>
    <s v="1. Sí"/>
    <m/>
    <s v="6. Mestiza(o)"/>
    <m/>
    <x v="2"/>
    <s v="1. Completa"/>
    <s v="3. Es jubilada/o o pensionista/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PRESENCIA DE LA GENTE"/>
    <s v="POLICIA NACIONAL"/>
    <m/>
    <m/>
    <x v="0"/>
    <x v="2"/>
    <x v="2"/>
    <x v="1"/>
    <x v="2"/>
    <x v="3"/>
    <x v="0"/>
    <x v="0"/>
    <s v="Ninguno"/>
    <n v="0"/>
    <n v="0"/>
    <n v="0"/>
    <n v="0"/>
    <n v="0"/>
    <n v="0"/>
    <n v="0"/>
    <n v="0"/>
    <n v="0"/>
    <n v="0"/>
    <n v="0"/>
    <n v="0"/>
    <n v="1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RELAJACION"/>
    <s v="SEGURO"/>
    <m/>
    <n v="83413150"/>
    <s v="00d17d7a-cf1e-4c7c-b773-bae4e42c6bd1"/>
    <d v="2025-04-10T15:20:58"/>
    <m/>
    <m/>
    <s v="submitted_via_web"/>
    <m/>
    <s v="v5uNQoYdGp6CCoWUMSjVDf"/>
    <m/>
    <n v="416"/>
  </r>
  <r>
    <d v="2025-04-08T09:50:32"/>
    <d v="2025-04-08T09:56:19"/>
    <s v="GH"/>
    <n v="481"/>
    <d v="2025-03-16T00:00:00"/>
    <n v="4"/>
    <s v="MQ"/>
    <s v="GH"/>
    <n v="65"/>
    <x v="1"/>
    <s v="3. al menos 2 veces al mes"/>
    <n v="4"/>
    <n v="0"/>
    <n v="0"/>
    <n v="0"/>
    <n v="0"/>
    <x v="0"/>
    <s v="1. Sí"/>
    <m/>
    <s v="6. Mestiza(o)"/>
    <m/>
    <x v="0"/>
    <s v="1. Completa"/>
    <s v="3. Es jubilada/o o pensionista/o"/>
    <m/>
    <s v="99. NS/NC"/>
    <s v="5. Recreación/Ocio"/>
    <x v="1"/>
    <x v="0"/>
    <x v="0"/>
    <x v="0"/>
    <x v="1"/>
    <x v="0"/>
    <m/>
    <s v="2. Mañana  (06:00 a 11:59)"/>
    <x v="0"/>
    <x v="0"/>
    <x v="0"/>
    <x v="0"/>
    <x v="0"/>
    <s v="8. Otro."/>
    <x v="0"/>
    <x v="0"/>
    <x v="0"/>
    <x v="1"/>
    <x v="0"/>
    <x v="0"/>
    <x v="1"/>
    <s v="SENDEROS"/>
    <x v="1"/>
    <x v="1"/>
    <x v="0"/>
    <s v="SEGURIDAD"/>
    <s v="GUARDIAS"/>
    <m/>
    <m/>
    <x v="4"/>
    <x v="1"/>
    <x v="1"/>
    <x v="1"/>
    <x v="2"/>
    <x v="3"/>
    <x v="0"/>
    <x v="1"/>
    <s v="F K L"/>
    <n v="0"/>
    <n v="0"/>
    <n v="0"/>
    <n v="0"/>
    <n v="0"/>
    <n v="1"/>
    <n v="0"/>
    <n v="0"/>
    <n v="0"/>
    <n v="0"/>
    <n v="1"/>
    <n v="1"/>
    <n v="0"/>
    <x v="0"/>
    <x v="1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0"/>
    <x v="0"/>
    <x v="0"/>
    <x v="1"/>
    <x v="1"/>
    <x v="1"/>
    <x v="0"/>
    <x v="0"/>
    <x v="0"/>
    <x v="0"/>
    <x v="0"/>
    <x v="0"/>
    <m/>
    <s v="NOS GUSTA"/>
    <s v="RELAX"/>
    <s v="DISTRACCIÓN"/>
    <n v="83156153"/>
    <s v="4a02fe5f-9dd8-4b3b-afe6-e7fa07e1a00c"/>
    <d v="2025-04-08T14:56:12"/>
    <m/>
    <m/>
    <s v="submitted_via_web"/>
    <m/>
    <s v="vhGz9QPwmdkBybuGFUbzwe"/>
    <m/>
    <n v="343"/>
  </r>
  <r>
    <d v="2025-04-08T09:44:46"/>
    <d v="2025-04-08T09:50:32"/>
    <s v="GH"/>
    <n v="482"/>
    <d v="2025-03-16T00:00:00"/>
    <n v="4"/>
    <s v="GB-LS"/>
    <s v="GH"/>
    <n v="43"/>
    <x v="2"/>
    <s v="2. Semanalmente"/>
    <n v="0"/>
    <n v="0"/>
    <n v="0"/>
    <n v="0"/>
    <n v="0"/>
    <x v="1"/>
    <s v="1. Sí"/>
    <m/>
    <s v="6. Mestiza(o)"/>
    <m/>
    <x v="1"/>
    <s v="1. Completa"/>
    <s v="1. Trabajar"/>
    <m/>
    <s v="2. de $471 a $919"/>
    <s v="1. Deporte / ejercicio"/>
    <x v="0"/>
    <x v="0"/>
    <x v="0"/>
    <x v="0"/>
    <x v="0"/>
    <x v="0"/>
    <m/>
    <s v="1. Madrugada (00:00 a 05:59)"/>
    <x v="1"/>
    <x v="1"/>
    <x v="0"/>
    <x v="0"/>
    <x v="3"/>
    <s v="7. Áreas verdes"/>
    <x v="0"/>
    <x v="0"/>
    <x v="0"/>
    <x v="1"/>
    <x v="0"/>
    <x v="1"/>
    <x v="0"/>
    <m/>
    <x v="1"/>
    <x v="1"/>
    <x v="1"/>
    <s v="NO HAY PATRULLAJE DE LA POLICÍA"/>
    <m/>
    <m/>
    <m/>
    <x v="1"/>
    <x v="1"/>
    <x v="1"/>
    <x v="2"/>
    <x v="1"/>
    <x v="2"/>
    <x v="1"/>
    <x v="2"/>
    <s v="C F"/>
    <n v="0"/>
    <n v="0"/>
    <n v="1"/>
    <n v="0"/>
    <n v="0"/>
    <n v="1"/>
    <n v="0"/>
    <n v="0"/>
    <n v="0"/>
    <n v="0"/>
    <n v="0"/>
    <n v="0"/>
    <n v="0"/>
    <x v="1"/>
    <x v="0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1"/>
    <x v="3"/>
    <x v="0"/>
    <x v="0"/>
    <x v="0"/>
    <x v="3"/>
    <x v="0"/>
    <x v="0"/>
    <x v="0"/>
    <x v="0"/>
    <x v="1"/>
    <x v="1"/>
    <x v="0"/>
    <x v="0"/>
    <x v="1"/>
    <x v="2"/>
    <x v="0"/>
    <x v="1"/>
    <x v="0"/>
    <x v="0"/>
    <x v="0"/>
    <x v="0"/>
    <x v="0"/>
    <x v="0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2"/>
    <x v="0"/>
    <x v="0"/>
    <x v="0"/>
    <x v="0"/>
    <x v="0"/>
    <x v="0"/>
    <x v="0"/>
    <x v="0"/>
    <x v="0"/>
    <x v="0"/>
    <m/>
    <s v="POCO DE INCERTIDUMBRE PORQUE NO SE PUEDE DISFRUTAR DEL PAISAJE"/>
    <m/>
    <m/>
    <n v="83155785"/>
    <s v="be8428a7-8823-421b-9f3b-fcc570edcf8c"/>
    <d v="2025-04-08T14:50:26"/>
    <m/>
    <m/>
    <s v="submitted_via_web"/>
    <m/>
    <s v="vhGz9QPwmdkBybuGFUbzwe"/>
    <m/>
    <n v="342"/>
  </r>
  <r>
    <d v="2025-04-08T09:36:41"/>
    <d v="2025-04-08T09:41:23"/>
    <s v="GH"/>
    <n v="483"/>
    <d v="2025-03-16T00:00:00"/>
    <n v="4"/>
    <s v="MQ"/>
    <s v="GH"/>
    <n v="56"/>
    <x v="1"/>
    <s v="2. Semanalmente"/>
    <n v="0"/>
    <n v="0"/>
    <n v="0"/>
    <n v="0"/>
    <n v="0"/>
    <x v="0"/>
    <s v="1. Sí"/>
    <m/>
    <s v="6. Mestiza(o)"/>
    <m/>
    <x v="1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1"/>
    <x v="0"/>
    <s v="HAY GENTE"/>
    <s v="GUARDIAS"/>
    <m/>
    <m/>
    <x v="4"/>
    <x v="2"/>
    <x v="1"/>
    <x v="1"/>
    <x v="0"/>
    <x v="3"/>
    <x v="0"/>
    <x v="1"/>
    <s v="B F I J"/>
    <n v="0"/>
    <n v="1"/>
    <n v="0"/>
    <n v="0"/>
    <n v="0"/>
    <n v="1"/>
    <n v="0"/>
    <n v="0"/>
    <n v="1"/>
    <n v="1"/>
    <n v="0"/>
    <n v="0"/>
    <n v="0"/>
    <x v="1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1"/>
    <x v="1"/>
    <x v="1"/>
    <x v="1"/>
    <x v="0"/>
    <x v="0"/>
    <x v="0"/>
    <x v="0"/>
    <x v="0"/>
    <x v="0"/>
    <m/>
    <s v="CONTENTO"/>
    <s v="DISTRAÍDO"/>
    <m/>
    <n v="83155270"/>
    <s v="b00c90b5-674c-47f4-9f51-68cb13c09084"/>
    <d v="2025-04-08T14:41:15"/>
    <m/>
    <m/>
    <s v="submitted_via_web"/>
    <m/>
    <s v="vhGz9QPwmdkBybuGFUbzwe"/>
    <m/>
    <n v="341"/>
  </r>
  <r>
    <d v="2025-04-08T09:30:26"/>
    <d v="2025-04-08T09:36:41"/>
    <s v="GH"/>
    <n v="484"/>
    <d v="2025-03-16T00:00:00"/>
    <n v="4"/>
    <s v="GB-LS"/>
    <s v="GH"/>
    <n v="41"/>
    <x v="2"/>
    <s v="3. al menos 2 veces al mes"/>
    <n v="0"/>
    <n v="0"/>
    <n v="0"/>
    <n v="0"/>
    <n v="0"/>
    <x v="0"/>
    <s v="2. No"/>
    <s v="COLOMBIANA"/>
    <s v="1. Indígena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8. Otro."/>
    <x v="0"/>
    <x v="0"/>
    <x v="0"/>
    <x v="1"/>
    <x v="0"/>
    <x v="0"/>
    <x v="1"/>
    <s v="PASEO"/>
    <x v="1"/>
    <x v="1"/>
    <x v="0"/>
    <s v="PORQUE MUCHA GENTE"/>
    <m/>
    <m/>
    <m/>
    <x v="0"/>
    <x v="2"/>
    <x v="0"/>
    <x v="1"/>
    <x v="0"/>
    <x v="3"/>
    <x v="5"/>
    <x v="1"/>
    <s v="A"/>
    <n v="1"/>
    <n v="0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3"/>
    <x v="1"/>
    <x v="2"/>
    <x v="0"/>
    <x v="3"/>
    <x v="1"/>
    <x v="1"/>
    <x v="0"/>
    <x v="0"/>
    <x v="0"/>
    <x v="0"/>
    <x v="1"/>
    <x v="2"/>
    <x v="0"/>
    <x v="0"/>
    <x v="1"/>
    <x v="3"/>
    <x v="0"/>
    <x v="0"/>
    <x v="0"/>
    <x v="0"/>
    <x v="1"/>
    <x v="2"/>
    <x v="0"/>
    <x v="3"/>
    <x v="0"/>
    <x v="0"/>
    <x v="0"/>
    <x v="0"/>
    <x v="0"/>
    <m/>
    <x v="0"/>
    <x v="1"/>
    <x v="1"/>
    <x v="2"/>
    <x v="0"/>
    <m/>
    <x v="0"/>
    <x v="0"/>
    <x v="0"/>
    <x v="0"/>
    <x v="0"/>
    <m/>
    <x v="0"/>
    <m/>
    <x v="1"/>
    <x v="1"/>
    <x v="0"/>
    <x v="0"/>
    <x v="0"/>
    <x v="0"/>
    <x v="0"/>
    <x v="0"/>
    <x v="0"/>
    <x v="0"/>
    <x v="0"/>
    <x v="0"/>
    <x v="1"/>
    <x v="1"/>
    <x v="0"/>
    <x v="0"/>
    <x v="0"/>
    <x v="0"/>
    <x v="1"/>
    <x v="1"/>
    <x v="2"/>
    <x v="1"/>
    <x v="2"/>
    <x v="0"/>
    <x v="0"/>
    <x v="0"/>
    <x v="0"/>
    <x v="0"/>
    <x v="0"/>
    <x v="0"/>
    <m/>
    <s v="SE SIENTE RELAJADO"/>
    <m/>
    <m/>
    <n v="83154937"/>
    <s v="4f9b497e-f1fa-47af-a888-3753d24e5642"/>
    <d v="2025-04-08T14:36:34"/>
    <m/>
    <m/>
    <s v="submitted_via_web"/>
    <m/>
    <s v="vhGz9QPwmdkBybuGFUbzwe"/>
    <m/>
    <n v="340"/>
  </r>
  <r>
    <d v="2025-04-08T09:25:12"/>
    <d v="2025-04-08T09:30:26"/>
    <s v="GH"/>
    <n v="485"/>
    <d v="2025-03-16T00:00:00"/>
    <n v="4"/>
    <s v="LB"/>
    <s v="GH"/>
    <n v="61"/>
    <x v="1"/>
    <s v="1. Diariamente"/>
    <n v="0"/>
    <n v="0"/>
    <n v="0"/>
    <n v="0"/>
    <n v="0"/>
    <x v="0"/>
    <s v="1. Sí"/>
    <m/>
    <s v="6. Mestiza(o)"/>
    <m/>
    <x v="0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1"/>
    <s v="NO HAY PRESENCIA POLICIAL"/>
    <m/>
    <m/>
    <m/>
    <x v="1"/>
    <x v="1"/>
    <x v="1"/>
    <x v="1"/>
    <x v="0"/>
    <x v="3"/>
    <x v="4"/>
    <x v="2"/>
    <s v="A"/>
    <n v="1"/>
    <n v="0"/>
    <n v="0"/>
    <n v="0"/>
    <n v="0"/>
    <n v="0"/>
    <n v="0"/>
    <n v="0"/>
    <n v="0"/>
    <n v="0"/>
    <n v="0"/>
    <n v="0"/>
    <n v="0"/>
    <x v="2"/>
    <x v="2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0"/>
    <x v="0"/>
    <x v="0"/>
    <x v="0"/>
    <x v="0"/>
    <x v="0"/>
    <x v="0"/>
    <x v="0"/>
    <x v="0"/>
    <m/>
    <s v="RECREACIÓN"/>
    <s v="FELICIDAD"/>
    <m/>
    <n v="83154587"/>
    <s v="1612a63d-e1f3-4afe-a96c-0ee6dce059f6"/>
    <d v="2025-04-08T14:30:18"/>
    <m/>
    <m/>
    <s v="submitted_via_web"/>
    <m/>
    <s v="vhGz9QPwmdkBybuGFUbzwe"/>
    <m/>
    <n v="339"/>
  </r>
  <r>
    <d v="2025-04-08T09:17:26"/>
    <d v="2025-04-08T09:25:12"/>
    <s v="GH"/>
    <n v="486"/>
    <d v="2025-03-16T00:00:00"/>
    <n v="4"/>
    <s v="MQ"/>
    <s v="GH"/>
    <n v="48"/>
    <x v="2"/>
    <s v="3. al menos 2 veces al mes"/>
    <n v="1"/>
    <n v="0"/>
    <n v="0"/>
    <n v="0"/>
    <n v="0"/>
    <x v="0"/>
    <s v="1. Sí"/>
    <m/>
    <s v="6. Mestiza(o)"/>
    <m/>
    <x v="1"/>
    <s v="1. Completa"/>
    <s v="1. Trabajar"/>
    <m/>
    <s v="99. NS/NC"/>
    <s v="5. Recreación/Ocio"/>
    <x v="1"/>
    <x v="0"/>
    <x v="0"/>
    <x v="0"/>
    <x v="1"/>
    <x v="0"/>
    <m/>
    <s v="2. Mañana  (06:00 a 11:59)"/>
    <x v="0"/>
    <x v="0"/>
    <x v="0"/>
    <x v="0"/>
    <x v="0"/>
    <s v="7. Áreas verdes"/>
    <x v="0"/>
    <x v="0"/>
    <x v="0"/>
    <x v="1"/>
    <x v="0"/>
    <x v="1"/>
    <x v="0"/>
    <m/>
    <x v="1"/>
    <x v="1"/>
    <x v="0"/>
    <s v="NO HA PASADO NADA"/>
    <s v="POLICIA NACIONAL GUARIDA CACMQ"/>
    <m/>
    <m/>
    <x v="1"/>
    <x v="1"/>
    <x v="1"/>
    <x v="2"/>
    <x v="0"/>
    <x v="3"/>
    <x v="0"/>
    <x v="1"/>
    <s v="B C D I"/>
    <n v="0"/>
    <n v="1"/>
    <n v="1"/>
    <n v="1"/>
    <n v="0"/>
    <n v="0"/>
    <n v="0"/>
    <n v="0"/>
    <n v="1"/>
    <n v="0"/>
    <n v="0"/>
    <n v="0"/>
    <n v="0"/>
    <x v="2"/>
    <x v="1"/>
    <x v="3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0"/>
    <x v="2"/>
    <x v="0"/>
    <x v="0"/>
    <x v="0"/>
    <x v="0"/>
    <x v="3"/>
    <x v="0"/>
    <x v="0"/>
    <x v="0"/>
    <x v="0"/>
    <x v="1"/>
    <x v="3"/>
    <x v="0"/>
    <x v="0"/>
    <x v="0"/>
    <x v="0"/>
    <x v="0"/>
    <x v="1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1"/>
    <x v="1"/>
    <x v="1"/>
    <x v="0"/>
    <x v="0"/>
    <x v="1"/>
    <x v="1"/>
    <x v="1"/>
    <x v="1"/>
    <x v="2"/>
    <x v="0"/>
    <x v="0"/>
    <x v="0"/>
    <x v="0"/>
    <x v="0"/>
    <x v="0"/>
    <x v="0"/>
    <x v="0"/>
    <x v="0"/>
    <m/>
    <s v="RELAJACION"/>
    <s v="DISTRACCIÓN"/>
    <s v="ALEGRIA"/>
    <n v="83154122"/>
    <s v="dec5832b-e921-465b-8377-3eaf0d15c11a"/>
    <d v="2025-04-08T14:25:05"/>
    <m/>
    <m/>
    <s v="submitted_via_web"/>
    <m/>
    <s v="vhGz9QPwmdkBybuGFUbzwe"/>
    <m/>
    <n v="338"/>
  </r>
  <r>
    <d v="2025-04-08T09:04:27"/>
    <d v="2025-04-08T09:17:26"/>
    <s v="GH"/>
    <n v="487"/>
    <d v="2025-03-16T00:00:00"/>
    <n v="4"/>
    <s v="MQ"/>
    <s v="GH"/>
    <n v="79"/>
    <x v="1"/>
    <s v="2. Semanalmente"/>
    <n v="0"/>
    <n v="0"/>
    <n v="0"/>
    <n v="0"/>
    <n v="0"/>
    <x v="0"/>
    <s v="1. Sí"/>
    <m/>
    <s v="6. Mestiza(o)"/>
    <m/>
    <x v="0"/>
    <s v="1. Completa"/>
    <s v="3. Es jubilada/o o pensionista/o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1"/>
    <s v="8. Otro."/>
    <x v="0"/>
    <x v="0"/>
    <x v="0"/>
    <x v="1"/>
    <x v="0"/>
    <x v="0"/>
    <x v="1"/>
    <s v="SENDEROS"/>
    <x v="0"/>
    <x v="0"/>
    <x v="0"/>
    <s v="GENTE"/>
    <s v="VIGILANCIA GUARDIAS"/>
    <m/>
    <m/>
    <x v="4"/>
    <x v="2"/>
    <x v="2"/>
    <x v="0"/>
    <x v="2"/>
    <x v="3"/>
    <x v="0"/>
    <x v="1"/>
    <s v="F L"/>
    <n v="0"/>
    <n v="0"/>
    <n v="0"/>
    <n v="0"/>
    <n v="0"/>
    <n v="1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0"/>
    <x v="0"/>
    <x v="0"/>
    <x v="0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O"/>
    <s v="RELAJADO"/>
    <m/>
    <n v="83153683"/>
    <s v="31c6e95b-fea7-4d7c-ac46-cdb902c341dc"/>
    <d v="2025-04-08T14:17:19"/>
    <m/>
    <m/>
    <s v="submitted_via_web"/>
    <m/>
    <s v="vhGz9QPwmdkBybuGFUbzwe"/>
    <m/>
    <n v="337"/>
  </r>
  <r>
    <d v="2025-04-08T08:56:31"/>
    <d v="2025-04-08T09:04:27"/>
    <s v="GH"/>
    <n v="488"/>
    <d v="2025-03-16T00:00:00"/>
    <n v="4"/>
    <s v="GB-LS"/>
    <s v="GH"/>
    <n v="42"/>
    <x v="2"/>
    <s v="2. Semanalmente"/>
    <n v="2"/>
    <n v="1"/>
    <n v="0"/>
    <n v="0"/>
    <n v="0"/>
    <x v="0"/>
    <s v="1. Sí"/>
    <m/>
    <s v="6. Mestiza(o)"/>
    <m/>
    <x v="1"/>
    <s v="1. Completa"/>
    <s v="1. Trabajar"/>
    <m/>
    <s v="1. Menos de $470"/>
    <s v="5. Recreación/Ocio"/>
    <x v="1"/>
    <x v="0"/>
    <x v="0"/>
    <x v="0"/>
    <x v="1"/>
    <x v="0"/>
    <m/>
    <s v="3. Tarde (12:00 a 17:59)"/>
    <x v="0"/>
    <x v="1"/>
    <x v="1"/>
    <x v="0"/>
    <x v="0"/>
    <s v="8. Otro."/>
    <x v="0"/>
    <x v="0"/>
    <x v="0"/>
    <x v="1"/>
    <x v="0"/>
    <x v="0"/>
    <x v="1"/>
    <s v="PISTA BICICLETAS"/>
    <x v="1"/>
    <x v="1"/>
    <x v="0"/>
    <s v="PRESENCIA POLICIAL"/>
    <m/>
    <m/>
    <m/>
    <x v="0"/>
    <x v="2"/>
    <x v="1"/>
    <x v="1"/>
    <x v="0"/>
    <x v="3"/>
    <x v="2"/>
    <x v="1"/>
    <s v="A"/>
    <n v="1"/>
    <n v="0"/>
    <n v="0"/>
    <n v="0"/>
    <n v="0"/>
    <n v="0"/>
    <n v="0"/>
    <n v="0"/>
    <n v="0"/>
    <n v="0"/>
    <n v="0"/>
    <n v="0"/>
    <n v="0"/>
    <x v="3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0"/>
    <x v="2"/>
    <x v="2"/>
    <x v="0"/>
    <x v="0"/>
    <x v="0"/>
    <x v="0"/>
    <x v="0"/>
    <x v="0"/>
    <x v="0"/>
    <x v="1"/>
    <x v="2"/>
    <x v="0"/>
    <x v="0"/>
    <x v="0"/>
    <x v="0"/>
    <x v="0"/>
    <x v="0"/>
    <x v="0"/>
    <x v="0"/>
    <x v="1"/>
    <x v="1"/>
    <x v="0"/>
    <x v="0"/>
    <x v="0"/>
    <x v="2"/>
    <x v="0"/>
    <m/>
    <x v="0"/>
    <x v="1"/>
    <x v="1"/>
    <x v="2"/>
    <x v="0"/>
    <m/>
    <x v="0"/>
    <x v="0"/>
    <x v="0"/>
    <x v="0"/>
    <x v="0"/>
    <m/>
    <x v="0"/>
    <m/>
    <x v="1"/>
    <x v="1"/>
    <x v="0"/>
    <x v="0"/>
    <x v="0"/>
    <x v="0"/>
    <x v="0"/>
    <x v="0"/>
    <x v="0"/>
    <x v="0"/>
    <x v="0"/>
    <x v="0"/>
    <x v="0"/>
    <x v="2"/>
    <x v="3"/>
    <x v="1"/>
    <x v="2"/>
    <x v="0"/>
    <x v="1"/>
    <x v="1"/>
    <x v="2"/>
    <x v="1"/>
    <x v="1"/>
    <x v="1"/>
    <x v="0"/>
    <x v="0"/>
    <x v="0"/>
    <x v="0"/>
    <x v="0"/>
    <x v="0"/>
    <m/>
    <s v="DISFRUTAR UNA REUNÓN CON LA FAMILIAR"/>
    <s v="TRANQUILO"/>
    <m/>
    <n v="83153041"/>
    <s v="8ddeb7eb-1d91-46ca-a314-558793463df3"/>
    <d v="2025-04-08T14:04:21"/>
    <m/>
    <m/>
    <s v="submitted_via_web"/>
    <m/>
    <s v="vhGz9QPwmdkBybuGFUbzwe"/>
    <m/>
    <n v="336"/>
  </r>
  <r>
    <d v="2025-04-08T08:49:54"/>
    <d v="2025-04-08T08:56:31"/>
    <s v="GH"/>
    <n v="489"/>
    <d v="2025-03-16T00:00:00"/>
    <n v="4"/>
    <s v="MQ"/>
    <s v="GH"/>
    <n v="54"/>
    <x v="2"/>
    <s v="2. Semanalmente"/>
    <n v="3"/>
    <n v="0"/>
    <n v="0"/>
    <n v="0"/>
    <n v="0"/>
    <x v="0"/>
    <s v="1. Sí"/>
    <m/>
    <s v="6. Mestiza(o)"/>
    <m/>
    <x v="3"/>
    <s v="1. Completa"/>
    <s v="1. Trabajar"/>
    <m/>
    <s v="99. NS/NC"/>
    <s v="1. Deporte / ejercicio"/>
    <x v="0"/>
    <x v="0"/>
    <x v="0"/>
    <x v="0"/>
    <x v="0"/>
    <x v="0"/>
    <m/>
    <s v="2. Mañana  (06:00 a 11:59)"/>
    <x v="0"/>
    <x v="0"/>
    <x v="0"/>
    <x v="0"/>
    <x v="3"/>
    <s v="4. Pistas para correr"/>
    <x v="0"/>
    <x v="0"/>
    <x v="0"/>
    <x v="0"/>
    <x v="0"/>
    <x v="0"/>
    <x v="0"/>
    <m/>
    <x v="1"/>
    <x v="1"/>
    <x v="0"/>
    <s v="SEGURIDAD GUARDIAS"/>
    <s v="HAY GENTE"/>
    <m/>
    <m/>
    <x v="0"/>
    <x v="1"/>
    <x v="2"/>
    <x v="0"/>
    <x v="0"/>
    <x v="3"/>
    <x v="0"/>
    <x v="1"/>
    <s v="L"/>
    <n v="0"/>
    <n v="0"/>
    <n v="0"/>
    <n v="0"/>
    <n v="0"/>
    <n v="0"/>
    <n v="0"/>
    <n v="0"/>
    <n v="0"/>
    <n v="0"/>
    <n v="0"/>
    <n v="1"/>
    <n v="0"/>
    <x v="0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2"/>
    <x v="0"/>
    <x v="0"/>
    <x v="0"/>
    <x v="1"/>
    <x v="1"/>
    <x v="0"/>
    <x v="0"/>
    <x v="0"/>
    <x v="0"/>
    <x v="0"/>
    <x v="0"/>
    <x v="0"/>
    <x v="0"/>
    <x v="1"/>
    <x v="1"/>
    <x v="1"/>
    <x v="2"/>
    <x v="1"/>
    <x v="1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GUSTO"/>
    <s v="PENDIENTES"/>
    <m/>
    <n v="83152592"/>
    <s v="fa3db4e9-8a6c-4e6d-ad42-a65a1ff57342"/>
    <d v="2025-04-08T13:56:24"/>
    <m/>
    <m/>
    <s v="submitted_via_web"/>
    <m/>
    <s v="vhGz9QPwmdkBybuGFUbzwe"/>
    <m/>
    <n v="335"/>
  </r>
  <r>
    <d v="2025-04-07T16:17:20"/>
    <d v="2025-04-07T16:22:18"/>
    <s v="GH"/>
    <n v="490"/>
    <d v="2025-03-16T00:00:00"/>
    <n v="4"/>
    <s v="LB"/>
    <s v="GH"/>
    <n v="54"/>
    <x v="2"/>
    <s v="1. Diariamente"/>
    <n v="1"/>
    <n v="0"/>
    <n v="0"/>
    <n v="0"/>
    <n v="0"/>
    <x v="0"/>
    <s v="1. Sí"/>
    <m/>
    <s v="6. Mestiza(o)"/>
    <m/>
    <x v="1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0"/>
    <s v="SEGURIDAD"/>
    <s v="ILUMINACIÓN"/>
    <m/>
    <m/>
    <x v="0"/>
    <x v="2"/>
    <x v="1"/>
    <x v="1"/>
    <x v="1"/>
    <x v="3"/>
    <x v="2"/>
    <x v="0"/>
    <s v="J"/>
    <n v="0"/>
    <n v="0"/>
    <n v="0"/>
    <n v="0"/>
    <n v="0"/>
    <n v="0"/>
    <n v="0"/>
    <n v="0"/>
    <n v="0"/>
    <n v="1"/>
    <n v="0"/>
    <n v="0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0"/>
    <x v="0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RELAJANTE"/>
    <s v="DESPEJAR LA MENTE EN FAMILIA"/>
    <m/>
    <n v="83084959"/>
    <s v="8c8b37f2-7edd-4188-bb58-9b5e232a8ead"/>
    <d v="2025-04-07T21:22:11"/>
    <m/>
    <m/>
    <s v="submitted_via_web"/>
    <m/>
    <s v="vhGz9QPwmdkBybuGFUbzwe"/>
    <m/>
    <n v="332"/>
  </r>
  <r>
    <d v="2025-04-07T16:11:09"/>
    <d v="2025-04-07T16:17:20"/>
    <s v="GH"/>
    <n v="491"/>
    <d v="2025-03-16T00:00:00"/>
    <n v="4"/>
    <s v="MQ"/>
    <s v="GH"/>
    <n v="51"/>
    <x v="2"/>
    <s v="3. al menos 2 veces al mes"/>
    <n v="0"/>
    <n v="0"/>
    <n v="0"/>
    <n v="0"/>
    <n v="0"/>
    <x v="0"/>
    <s v="1. Sí"/>
    <m/>
    <s v="6. Mestiza(o)"/>
    <m/>
    <x v="1"/>
    <s v="1. Completa"/>
    <s v="1. Trabajar"/>
    <m/>
    <s v="99. NS/NC"/>
    <s v="1. Deporte / ejercicio"/>
    <x v="0"/>
    <x v="0"/>
    <x v="0"/>
    <x v="0"/>
    <x v="0"/>
    <x v="0"/>
    <m/>
    <s v="3. Tarde (12:00 a 17:59)"/>
    <x v="0"/>
    <x v="1"/>
    <x v="1"/>
    <x v="0"/>
    <x v="3"/>
    <s v="1. Canchas de fútbol y basquet 4. Pistas para correr"/>
    <x v="1"/>
    <x v="0"/>
    <x v="0"/>
    <x v="0"/>
    <x v="0"/>
    <x v="0"/>
    <x v="0"/>
    <m/>
    <x v="1"/>
    <x v="1"/>
    <x v="0"/>
    <s v="HAY CONTROL POLICIAL"/>
    <s v="GENTE ES SOLIDARIA"/>
    <m/>
    <m/>
    <x v="4"/>
    <x v="2"/>
    <x v="1"/>
    <x v="0"/>
    <x v="2"/>
    <x v="4"/>
    <x v="0"/>
    <x v="1"/>
    <s v="B F"/>
    <n v="0"/>
    <n v="1"/>
    <n v="0"/>
    <n v="0"/>
    <n v="0"/>
    <n v="1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2"/>
    <x v="0"/>
    <x v="0"/>
    <x v="0"/>
    <x v="1"/>
    <x v="1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2"/>
    <x v="1"/>
    <x v="1"/>
    <x v="1"/>
    <x v="0"/>
    <x v="0"/>
    <x v="0"/>
    <x v="0"/>
    <x v="0"/>
    <x v="1"/>
    <x v="2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QUERER MAS SEGURIDAD"/>
    <s v="MAS POLICIAS QUE DEN SEGURIDAD"/>
    <m/>
    <n v="83084736"/>
    <s v="7032a3d2-593c-4e64-a294-a3e9bdbb03c0"/>
    <d v="2025-04-07T21:17:12"/>
    <m/>
    <m/>
    <s v="submitted_via_web"/>
    <m/>
    <s v="vhGz9QPwmdkBybuGFUbzwe"/>
    <m/>
    <n v="331"/>
  </r>
  <r>
    <d v="2025-04-07T15:56:27"/>
    <d v="2025-04-07T16:03:37"/>
    <s v="GH"/>
    <n v="493"/>
    <d v="2025-03-16T00:00:00"/>
    <n v="4"/>
    <s v="LB"/>
    <s v="GH"/>
    <n v="45"/>
    <x v="2"/>
    <s v="2. Semanalmente"/>
    <n v="1"/>
    <n v="0"/>
    <n v="0"/>
    <n v="0"/>
    <n v="0"/>
    <x v="1"/>
    <s v="1. Sí"/>
    <m/>
    <s v="6. Mestiza(o)"/>
    <m/>
    <x v="1"/>
    <s v="1. Completa"/>
    <s v="1. Trabajar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3"/>
    <s v="2. Rampas para patineta"/>
    <x v="0"/>
    <x v="1"/>
    <x v="0"/>
    <x v="1"/>
    <x v="0"/>
    <x v="0"/>
    <x v="0"/>
    <m/>
    <x v="0"/>
    <x v="0"/>
    <x v="3"/>
    <s v="NO HAY PRESENCIA POLICIAL"/>
    <m/>
    <m/>
    <m/>
    <x v="0"/>
    <x v="2"/>
    <x v="2"/>
    <x v="2"/>
    <x v="1"/>
    <x v="3"/>
    <x v="2"/>
    <x v="1"/>
    <s v="L"/>
    <n v="0"/>
    <n v="0"/>
    <n v="0"/>
    <n v="0"/>
    <n v="0"/>
    <n v="0"/>
    <n v="0"/>
    <n v="0"/>
    <n v="0"/>
    <n v="0"/>
    <n v="0"/>
    <n v="1"/>
    <n v="0"/>
    <x v="2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0"/>
    <x v="0"/>
    <x v="0"/>
    <x v="0"/>
    <x v="0"/>
    <x v="1"/>
    <x v="1"/>
    <x v="1"/>
    <x v="1"/>
    <x v="0"/>
    <x v="0"/>
    <x v="0"/>
    <x v="0"/>
    <x v="0"/>
    <x v="0"/>
    <x v="0"/>
    <x v="0"/>
    <x v="1"/>
    <x v="2"/>
    <x v="0"/>
    <x v="3"/>
    <x v="0"/>
    <x v="0"/>
    <x v="0"/>
    <x v="3"/>
    <x v="0"/>
    <m/>
    <x v="0"/>
    <x v="0"/>
    <x v="3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SE ESTRESA POR LA AGLOMERACIÓN DE PERSONAS"/>
    <s v="MUCHOS VENEZOLANOS"/>
    <m/>
    <n v="83084058"/>
    <s v="3d9c0f02-3c36-4825-a785-06d8ba031589"/>
    <d v="2025-04-07T21:03:29"/>
    <m/>
    <m/>
    <s v="submitted_via_web"/>
    <m/>
    <s v="vhGz9QPwmdkBybuGFUbzwe"/>
    <m/>
    <n v="329"/>
  </r>
  <r>
    <d v="2025-04-07T15:49:24"/>
    <d v="2025-04-07T15:56:27"/>
    <s v="GH"/>
    <n v="494"/>
    <d v="2025-03-22T00:00:00"/>
    <n v="2"/>
    <s v="LB"/>
    <s v="OM"/>
    <n v="57"/>
    <x v="1"/>
    <s v="2. Semanalmente"/>
    <n v="0"/>
    <n v="0"/>
    <n v="0"/>
    <n v="0"/>
    <n v="0"/>
    <x v="0"/>
    <s v="1. Sí"/>
    <m/>
    <s v="6. Mestiza(o)"/>
    <m/>
    <x v="2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6. Área para perros"/>
    <x v="0"/>
    <x v="0"/>
    <x v="0"/>
    <x v="1"/>
    <x v="1"/>
    <x v="0"/>
    <x v="0"/>
    <m/>
    <x v="0"/>
    <x v="0"/>
    <x v="0"/>
    <s v="HAY PRESENCIA DE POLICIAS"/>
    <s v="SIEMPRE VIENE EN EL DÍA"/>
    <m/>
    <m/>
    <x v="1"/>
    <x v="2"/>
    <x v="1"/>
    <x v="2"/>
    <x v="1"/>
    <x v="3"/>
    <x v="2"/>
    <x v="1"/>
    <s v="E"/>
    <n v="0"/>
    <n v="0"/>
    <n v="0"/>
    <n v="0"/>
    <n v="1"/>
    <n v="0"/>
    <n v="0"/>
    <n v="0"/>
    <n v="0"/>
    <n v="0"/>
    <n v="0"/>
    <n v="0"/>
    <n v="0"/>
    <x v="2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0"/>
    <x v="0"/>
    <x v="1"/>
    <x v="2"/>
    <x v="1"/>
    <x v="1"/>
    <x v="0"/>
    <x v="0"/>
    <x v="0"/>
    <x v="0"/>
    <x v="1"/>
    <x v="1"/>
    <x v="1"/>
    <x v="1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3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1"/>
    <x v="2"/>
    <x v="0"/>
    <x v="0"/>
    <x v="0"/>
    <x v="0"/>
    <x v="1"/>
    <x v="2"/>
    <x v="0"/>
    <x v="0"/>
    <x v="0"/>
    <x v="0"/>
    <x v="1"/>
    <x v="2"/>
    <x v="0"/>
    <x v="0"/>
    <x v="0"/>
    <x v="0"/>
    <x v="0"/>
    <x v="0"/>
    <x v="0"/>
    <m/>
    <s v="TRANQUILIDAD"/>
    <s v="PAZ"/>
    <m/>
    <n v="83083896"/>
    <s v="e65bb351-954a-4dd8-b6a1-371f252c3b40"/>
    <d v="2025-04-07T20:56:20"/>
    <m/>
    <m/>
    <s v="submitted_via_web"/>
    <m/>
    <s v="vhGz9QPwmdkBybuGFUbzwe"/>
    <m/>
    <n v="328"/>
  </r>
  <r>
    <d v="2025-04-07T15:31:08"/>
    <d v="2025-04-07T15:49:24"/>
    <s v="GH"/>
    <n v="495"/>
    <d v="2025-03-22T00:00:00"/>
    <n v="2"/>
    <s v="DA"/>
    <s v="OM"/>
    <n v="79"/>
    <x v="1"/>
    <s v="1. Diariamente"/>
    <n v="1"/>
    <n v="0"/>
    <n v="0"/>
    <n v="0"/>
    <n v="0"/>
    <x v="1"/>
    <s v="1. Sí"/>
    <m/>
    <s v="6. Mestiza(o)"/>
    <m/>
    <x v="0"/>
    <s v="1. Completa"/>
    <s v="3. Es jubilada/o o pensionista/o"/>
    <m/>
    <s v="2. de $471 a $919"/>
    <s v="4. De paso"/>
    <x v="1"/>
    <x v="0"/>
    <x v="0"/>
    <x v="1"/>
    <x v="0"/>
    <x v="0"/>
    <m/>
    <s v="2. Mañana  (06:00 a 11:59)"/>
    <x v="0"/>
    <x v="0"/>
    <x v="0"/>
    <x v="0"/>
    <x v="1"/>
    <s v="3. Caminos de ciclismo 6. Área para perros 7. Áreas verdes"/>
    <x v="0"/>
    <x v="0"/>
    <x v="1"/>
    <x v="1"/>
    <x v="1"/>
    <x v="1"/>
    <x v="0"/>
    <m/>
    <x v="0"/>
    <x v="0"/>
    <x v="0"/>
    <s v="POR LOS GUARDIA"/>
    <s v="POR LA GENTE"/>
    <m/>
    <m/>
    <x v="1"/>
    <x v="1"/>
    <x v="2"/>
    <x v="2"/>
    <x v="0"/>
    <x v="3"/>
    <x v="0"/>
    <x v="1"/>
    <s v="L"/>
    <n v="0"/>
    <n v="0"/>
    <n v="0"/>
    <n v="0"/>
    <n v="0"/>
    <n v="0"/>
    <n v="0"/>
    <n v="0"/>
    <n v="0"/>
    <n v="0"/>
    <n v="0"/>
    <n v="1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0"/>
    <x v="0"/>
    <x v="0"/>
    <x v="0"/>
    <x v="0"/>
    <x v="1"/>
    <x v="1"/>
    <x v="0"/>
    <x v="0"/>
    <x v="0"/>
    <x v="0"/>
    <x v="1"/>
    <x v="1"/>
    <x v="0"/>
    <x v="0"/>
    <x v="0"/>
    <x v="0"/>
    <x v="1"/>
    <x v="2"/>
    <x v="0"/>
    <x v="2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TRANQUILA"/>
    <s v="RELAJADA"/>
    <s v="POCO SEGURA"/>
    <n v="83083626"/>
    <s v="a3aa9920-0b36-4cac-9035-0d0e5d98ca39"/>
    <d v="2025-04-07T20:49:17"/>
    <m/>
    <m/>
    <s v="submitted_via_web"/>
    <m/>
    <s v="vhGz9QPwmdkBybuGFUbzwe"/>
    <m/>
    <n v="327"/>
  </r>
  <r>
    <d v="2025-04-07T15:38:22"/>
    <d v="2025-04-07T15:48:07"/>
    <s v="AFC"/>
    <n v="496"/>
    <d v="2025-03-22T00:00:00"/>
    <n v="2"/>
    <s v="LB"/>
    <s v="OM"/>
    <n v="70"/>
    <x v="1"/>
    <s v="1. Diariamente"/>
    <n v="0"/>
    <n v="0"/>
    <n v="0"/>
    <n v="0"/>
    <n v="0"/>
    <x v="1"/>
    <s v="1. Sí"/>
    <m/>
    <s v="6. Mestiza(o)"/>
    <m/>
    <x v="0"/>
    <s v="1. Completa"/>
    <s v="3. Es jubilada/o o pensionista/o"/>
    <m/>
    <s v="2. de $471 a $919"/>
    <s v="5. Recreación/Ocio"/>
    <x v="1"/>
    <x v="0"/>
    <x v="0"/>
    <x v="0"/>
    <x v="1"/>
    <x v="0"/>
    <m/>
    <s v="2. Mañana  (06:00 a 11:59)"/>
    <x v="0"/>
    <x v="0"/>
    <x v="0"/>
    <x v="0"/>
    <x v="0"/>
    <s v="3. Caminos de ciclismo"/>
    <x v="0"/>
    <x v="0"/>
    <x v="1"/>
    <x v="1"/>
    <x v="0"/>
    <x v="0"/>
    <x v="0"/>
    <m/>
    <x v="1"/>
    <x v="2"/>
    <x v="0"/>
    <s v="PRESENCIA DE POLICIA"/>
    <s v="HAY GENTE QUE HACE SEGURO EL PARQUE"/>
    <m/>
    <m/>
    <x v="0"/>
    <x v="2"/>
    <x v="4"/>
    <x v="2"/>
    <x v="1"/>
    <x v="3"/>
    <x v="4"/>
    <x v="1"/>
    <s v="A L"/>
    <n v="1"/>
    <n v="0"/>
    <n v="0"/>
    <n v="0"/>
    <n v="0"/>
    <n v="0"/>
    <n v="0"/>
    <n v="0"/>
    <n v="0"/>
    <n v="0"/>
    <n v="0"/>
    <n v="1"/>
    <n v="0"/>
    <x v="1"/>
    <x v="2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3"/>
    <x v="0"/>
    <x v="0"/>
    <x v="0"/>
    <x v="0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3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TRANQUILIDAD"/>
    <s v="CONFIANZA"/>
    <m/>
    <n v="83083571"/>
    <s v="09387111-633d-4770-90f0-6d1eac6b7743"/>
    <d v="2025-04-07T20:48:00"/>
    <m/>
    <m/>
    <s v="submitted_via_web"/>
    <m/>
    <s v="vhGz9QPwmdkBybuGFUbzwe"/>
    <m/>
    <n v="326"/>
  </r>
  <r>
    <d v="2025-04-07T15:27:07"/>
    <d v="2025-04-07T15:38:22"/>
    <s v="AFC"/>
    <n v="497"/>
    <d v="2025-03-22T00:00:00"/>
    <n v="2"/>
    <s v="DA"/>
    <s v="OM"/>
    <n v="62"/>
    <x v="1"/>
    <s v="1. Diariamente"/>
    <n v="0"/>
    <n v="0"/>
    <n v="0"/>
    <n v="0"/>
    <n v="0"/>
    <x v="1"/>
    <s v="1. Sí"/>
    <m/>
    <s v="6. Mestiza(o)"/>
    <m/>
    <x v="2"/>
    <s v="1. Completa"/>
    <s v="3. Es jubilada/o o pensionista/o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3. Caminos de ciclismo 4. Pistas para correr 7. Áreas verdes"/>
    <x v="0"/>
    <x v="0"/>
    <x v="1"/>
    <x v="0"/>
    <x v="0"/>
    <x v="1"/>
    <x v="0"/>
    <m/>
    <x v="0"/>
    <x v="0"/>
    <x v="1"/>
    <s v="POR COMENTARIOS"/>
    <s v="FALTA DE CONTROL"/>
    <m/>
    <m/>
    <x v="4"/>
    <x v="2"/>
    <x v="2"/>
    <x v="0"/>
    <x v="0"/>
    <x v="3"/>
    <x v="0"/>
    <x v="1"/>
    <s v="A"/>
    <n v="1"/>
    <n v="0"/>
    <n v="0"/>
    <n v="0"/>
    <n v="0"/>
    <n v="0"/>
    <n v="0"/>
    <n v="0"/>
    <n v="0"/>
    <n v="0"/>
    <n v="0"/>
    <n v="0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3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TRANQUILA"/>
    <s v="BIEN"/>
    <m/>
    <n v="83082994"/>
    <s v="73bbe307-5707-4388-87d2-12f87e14a984"/>
    <d v="2025-04-07T20:38:15"/>
    <m/>
    <m/>
    <s v="submitted_via_web"/>
    <m/>
    <s v="vhGz9QPwmdkBybuGFUbzwe"/>
    <m/>
    <n v="325"/>
  </r>
  <r>
    <d v="2025-04-07T15:17:25"/>
    <d v="2025-04-07T15:27:07"/>
    <s v="AFC"/>
    <n v="498"/>
    <d v="2025-03-22T00:00:00"/>
    <n v="2"/>
    <s v="LB"/>
    <s v="OM"/>
    <n v="47"/>
    <x v="2"/>
    <s v="2. Semanalmente"/>
    <n v="1"/>
    <n v="0"/>
    <n v="0"/>
    <n v="0"/>
    <n v="0"/>
    <x v="1"/>
    <s v="1. Sí"/>
    <m/>
    <s v="6. Mestiza(o)"/>
    <m/>
    <x v="0"/>
    <s v="1. Completa"/>
    <s v="1. Trabajar"/>
    <m/>
    <s v="2. de $471 a $919"/>
    <s v="1. Deporte / ejercicio"/>
    <x v="0"/>
    <x v="0"/>
    <x v="0"/>
    <x v="0"/>
    <x v="0"/>
    <x v="0"/>
    <m/>
    <s v="2. Mañana  (06:00 a 11:59)"/>
    <x v="0"/>
    <x v="0"/>
    <x v="0"/>
    <x v="0"/>
    <x v="3"/>
    <s v="7. Áreas verdes"/>
    <x v="0"/>
    <x v="0"/>
    <x v="0"/>
    <x v="1"/>
    <x v="0"/>
    <x v="1"/>
    <x v="0"/>
    <m/>
    <x v="1"/>
    <x v="2"/>
    <x v="0"/>
    <s v="HAY GENTE QUE BRINDA SEGURIDAD"/>
    <s v="HAY POLICIA"/>
    <m/>
    <m/>
    <x v="0"/>
    <x v="2"/>
    <x v="1"/>
    <x v="2"/>
    <x v="0"/>
    <x v="3"/>
    <x v="4"/>
    <x v="1"/>
    <s v="B"/>
    <n v="0"/>
    <n v="1"/>
    <n v="0"/>
    <n v="0"/>
    <n v="0"/>
    <n v="0"/>
    <n v="0"/>
    <n v="0"/>
    <n v="0"/>
    <n v="0"/>
    <n v="0"/>
    <n v="0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1"/>
    <x v="2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0"/>
    <x v="0"/>
    <x v="0"/>
    <x v="1"/>
    <x v="2"/>
    <x v="0"/>
    <x v="0"/>
    <x v="0"/>
    <x v="0"/>
    <x v="0"/>
    <x v="0"/>
    <x v="0"/>
    <m/>
    <s v="SEGURO"/>
    <s v="FELIZ TRANQUILIDAD"/>
    <m/>
    <n v="83082524"/>
    <s v="1c2f9015-6036-467b-9afe-8f7a5ac286b8"/>
    <d v="2025-04-07T20:26:59"/>
    <m/>
    <m/>
    <s v="submitted_via_web"/>
    <m/>
    <s v="vhGz9QPwmdkBybuGFUbzwe"/>
    <m/>
    <n v="324"/>
  </r>
  <r>
    <d v="2025-04-07T15:10:41"/>
    <d v="2025-04-07T15:17:25"/>
    <s v="AFC"/>
    <n v="499"/>
    <d v="2025-03-22T00:00:00"/>
    <n v="2"/>
    <s v="DA"/>
    <s v="OM"/>
    <n v="60"/>
    <x v="1"/>
    <s v="2. Semanalmente"/>
    <n v="0"/>
    <n v="0"/>
    <n v="0"/>
    <n v="0"/>
    <n v="0"/>
    <x v="0"/>
    <s v="1. Sí"/>
    <m/>
    <s v="6. Mestiza(o)"/>
    <m/>
    <x v="2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0"/>
    <s v="4. Pistas para correr"/>
    <x v="0"/>
    <x v="0"/>
    <x v="0"/>
    <x v="0"/>
    <x v="0"/>
    <x v="0"/>
    <x v="0"/>
    <m/>
    <x v="0"/>
    <x v="0"/>
    <x v="0"/>
    <s v="AFLUENCIA DE GENTE"/>
    <s v="POLICIA MUNICIPAL"/>
    <s v="GUARDIAS"/>
    <m/>
    <x v="4"/>
    <x v="2"/>
    <x v="1"/>
    <x v="0"/>
    <x v="2"/>
    <x v="2"/>
    <x v="0"/>
    <x v="1"/>
    <s v="L"/>
    <n v="0"/>
    <n v="0"/>
    <n v="0"/>
    <n v="0"/>
    <n v="0"/>
    <n v="0"/>
    <n v="0"/>
    <n v="0"/>
    <n v="0"/>
    <n v="0"/>
    <n v="0"/>
    <n v="1"/>
    <n v="0"/>
    <x v="2"/>
    <x v="3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2"/>
    <x v="0"/>
    <x v="0"/>
    <x v="1"/>
    <x v="2"/>
    <x v="0"/>
    <x v="2"/>
    <x v="0"/>
    <x v="0"/>
    <x v="1"/>
    <x v="2"/>
    <x v="1"/>
    <x v="1"/>
    <x v="1"/>
    <x v="2"/>
    <x v="0"/>
    <x v="0"/>
    <x v="1"/>
    <x v="2"/>
    <x v="1"/>
    <x v="2"/>
    <x v="0"/>
    <x v="0"/>
    <x v="0"/>
    <x v="0"/>
    <x v="0"/>
    <x v="0"/>
    <x v="0"/>
    <x v="0"/>
    <x v="1"/>
    <x v="1"/>
    <x v="0"/>
    <m/>
    <x v="0"/>
    <x v="0"/>
    <x v="0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1"/>
    <x v="1"/>
    <x v="1"/>
    <x v="0"/>
    <x v="1"/>
    <x v="2"/>
    <x v="0"/>
    <x v="1"/>
    <x v="2"/>
    <x v="0"/>
    <x v="1"/>
    <x v="2"/>
    <x v="0"/>
    <x v="0"/>
    <x v="0"/>
    <x v="0"/>
    <x v="0"/>
    <x v="0"/>
    <x v="0"/>
    <m/>
    <s v="TRANQUILO"/>
    <s v="MUY LINDO"/>
    <s v="POCO SEGURO"/>
    <n v="83082125"/>
    <s v="05f04b10-568f-49c4-a514-b06ed2374b8e"/>
    <d v="2025-04-07T20:17:18"/>
    <m/>
    <m/>
    <s v="submitted_via_web"/>
    <m/>
    <s v="vhGz9QPwmdkBybuGFUbzwe"/>
    <m/>
    <n v="323"/>
  </r>
  <r>
    <d v="2025-04-07T15:01:41"/>
    <d v="2025-04-07T15:10:41"/>
    <s v="AFC"/>
    <n v="500"/>
    <d v="2025-03-22T00:00:00"/>
    <n v="2"/>
    <s v="DA"/>
    <s v="OM"/>
    <n v="20"/>
    <x v="3"/>
    <s v="2. Semanalmente"/>
    <n v="0"/>
    <n v="0"/>
    <n v="0"/>
    <n v="0"/>
    <n v="0"/>
    <x v="0"/>
    <s v="1. Sí"/>
    <m/>
    <s v="6. Mestiza(o)"/>
    <m/>
    <x v="0"/>
    <s v="2. Incompleta"/>
    <s v="4. Es estudiante"/>
    <m/>
    <s v="2. de $471 a $919"/>
    <s v="4. De paso 5. Recreación/Ocio"/>
    <x v="1"/>
    <x v="0"/>
    <x v="0"/>
    <x v="1"/>
    <x v="1"/>
    <x v="0"/>
    <m/>
    <s v="2. Mañana  (06:00 a 11:59)"/>
    <x v="0"/>
    <x v="0"/>
    <x v="0"/>
    <x v="0"/>
    <x v="0"/>
    <s v="4. Pistas para correr 7. Áreas verdes"/>
    <x v="0"/>
    <x v="0"/>
    <x v="0"/>
    <x v="0"/>
    <x v="0"/>
    <x v="1"/>
    <x v="0"/>
    <m/>
    <x v="0"/>
    <x v="0"/>
    <x v="0"/>
    <s v="AFLUENCIA DE GENTE"/>
    <s v="GUARDIA"/>
    <s v="POLICIA NACIONAL"/>
    <m/>
    <x v="0"/>
    <x v="2"/>
    <x v="2"/>
    <x v="0"/>
    <x v="0"/>
    <x v="3"/>
    <x v="0"/>
    <x v="0"/>
    <s v="L"/>
    <n v="0"/>
    <n v="0"/>
    <n v="0"/>
    <n v="0"/>
    <n v="0"/>
    <n v="0"/>
    <n v="0"/>
    <n v="0"/>
    <n v="0"/>
    <n v="0"/>
    <n v="0"/>
    <n v="1"/>
    <n v="0"/>
    <x v="2"/>
    <x v="3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1"/>
    <x v="1"/>
    <x v="1"/>
    <x v="0"/>
    <x v="2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1"/>
    <x v="1"/>
    <x v="0"/>
    <x v="0"/>
    <x v="1"/>
    <x v="1"/>
    <x v="0"/>
    <m/>
    <x v="0"/>
    <x v="0"/>
    <x v="2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1"/>
    <x v="2"/>
    <x v="1"/>
    <x v="1"/>
    <x v="0"/>
    <x v="1"/>
    <x v="2"/>
    <x v="0"/>
    <x v="1"/>
    <x v="1"/>
    <x v="1"/>
    <x v="0"/>
    <x v="0"/>
    <x v="0"/>
    <x v="0"/>
    <x v="0"/>
    <x v="0"/>
    <x v="0"/>
    <x v="0"/>
    <x v="0"/>
    <m/>
    <s v="SEGURO"/>
    <s v="TRANQUILO"/>
    <s v="ALEGRE"/>
    <n v="83081626"/>
    <s v="2486227b-a4c9-4db9-aa21-9b8f078f8d90"/>
    <d v="2025-04-07T20:10:34"/>
    <m/>
    <m/>
    <s v="submitted_via_web"/>
    <m/>
    <s v="vhGz9QPwmdkBybuGFUbzwe"/>
    <m/>
    <n v="322"/>
  </r>
  <r>
    <d v="2025-04-04T14:20:23"/>
    <d v="2025-04-04T15:00:20"/>
    <s v="DD"/>
    <n v="501"/>
    <d v="2025-03-22T00:00:00"/>
    <n v="2"/>
    <s v="LB"/>
    <s v="OM"/>
    <n v="45"/>
    <x v="2"/>
    <s v="1. Diariamente"/>
    <n v="0"/>
    <n v="0"/>
    <n v="0"/>
    <n v="0"/>
    <n v="0"/>
    <x v="1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1. Madrugada (00:00 a 05:59)"/>
    <x v="1"/>
    <x v="1"/>
    <x v="0"/>
    <x v="0"/>
    <x v="1"/>
    <s v="6. Área para perros"/>
    <x v="0"/>
    <x v="0"/>
    <x v="0"/>
    <x v="1"/>
    <x v="1"/>
    <x v="0"/>
    <x v="0"/>
    <m/>
    <x v="1"/>
    <x v="2"/>
    <x v="1"/>
    <s v="POR PRESENCIA DE VENEZOLANOS"/>
    <s v="NO HAY PRESENCIA POLICIAL"/>
    <m/>
    <m/>
    <x v="1"/>
    <x v="2"/>
    <x v="2"/>
    <x v="1"/>
    <x v="1"/>
    <x v="2"/>
    <x v="1"/>
    <x v="1"/>
    <s v="A L"/>
    <n v="1"/>
    <n v="0"/>
    <n v="0"/>
    <n v="0"/>
    <n v="0"/>
    <n v="0"/>
    <n v="0"/>
    <n v="0"/>
    <n v="0"/>
    <n v="0"/>
    <n v="0"/>
    <n v="1"/>
    <n v="0"/>
    <x v="1"/>
    <x v="0"/>
    <x v="1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1"/>
    <x v="0"/>
    <x v="2"/>
    <x v="0"/>
    <x v="0"/>
    <x v="1"/>
    <x v="2"/>
    <x v="0"/>
    <x v="2"/>
    <x v="0"/>
    <x v="0"/>
    <x v="0"/>
    <x v="0"/>
    <x v="0"/>
    <x v="0"/>
    <x v="0"/>
    <x v="0"/>
    <x v="0"/>
    <x v="0"/>
    <x v="1"/>
    <x v="2"/>
    <x v="1"/>
    <x v="1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0"/>
    <x v="0"/>
    <x v="1"/>
    <x v="1"/>
    <x v="0"/>
    <x v="0"/>
    <x v="0"/>
    <x v="0"/>
    <x v="0"/>
    <x v="0"/>
    <x v="0"/>
    <x v="1"/>
    <x v="2"/>
    <x v="0"/>
    <x v="0"/>
    <x v="0"/>
    <x v="0"/>
    <x v="0"/>
    <x v="0"/>
    <x v="0"/>
    <m/>
    <s v="LIBERTAD"/>
    <s v="TRANQUILIDAD"/>
    <m/>
    <n v="82867730"/>
    <s v="6c96ec91-52ac-44fe-86d9-7b4e84b6c656"/>
    <d v="2025-04-04T20:00:12"/>
    <m/>
    <m/>
    <s v="submitted_via_web"/>
    <m/>
    <s v="vhGz9QPwmdkBybuGFUbzwe"/>
    <m/>
    <n v="147"/>
  </r>
  <r>
    <d v="2025-04-04T14:07:35"/>
    <d v="2025-04-04T14:20:23"/>
    <s v="DD"/>
    <n v="502"/>
    <d v="2025-03-22T00:00:00"/>
    <n v="2"/>
    <s v="LB"/>
    <s v="OM"/>
    <n v="40"/>
    <x v="0"/>
    <s v="1. Diariamente"/>
    <n v="0"/>
    <n v="0"/>
    <n v="0"/>
    <n v="0"/>
    <n v="0"/>
    <x v="0"/>
    <s v="1. Sí"/>
    <m/>
    <s v="6. Mestiza(o)"/>
    <m/>
    <x v="0"/>
    <s v="1. Completa"/>
    <s v="1. Trabajar"/>
    <m/>
    <s v="3. de $920 a $1339"/>
    <s v="1. Deporte / ejercicio"/>
    <x v="0"/>
    <x v="0"/>
    <x v="0"/>
    <x v="0"/>
    <x v="0"/>
    <x v="0"/>
    <m/>
    <s v="2. Mañana  (06:00 a 11:59)"/>
    <x v="0"/>
    <x v="0"/>
    <x v="0"/>
    <x v="0"/>
    <x v="3"/>
    <s v="1. Canchas de fútbol y basquet"/>
    <x v="1"/>
    <x v="0"/>
    <x v="0"/>
    <x v="1"/>
    <x v="0"/>
    <x v="0"/>
    <x v="0"/>
    <m/>
    <x v="0"/>
    <x v="0"/>
    <x v="0"/>
    <s v="EN LA MAÑANA HAY ALUENCIA DE GENTE"/>
    <s v="HAY POLICÍA"/>
    <m/>
    <m/>
    <x v="0"/>
    <x v="1"/>
    <x v="1"/>
    <x v="2"/>
    <x v="0"/>
    <x v="3"/>
    <x v="4"/>
    <x v="1"/>
    <s v="F K L"/>
    <n v="0"/>
    <n v="0"/>
    <n v="0"/>
    <n v="0"/>
    <n v="0"/>
    <n v="1"/>
    <n v="0"/>
    <n v="0"/>
    <n v="0"/>
    <n v="0"/>
    <n v="1"/>
    <n v="1"/>
    <n v="0"/>
    <x v="2"/>
    <x v="2"/>
    <x v="0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1"/>
    <x v="2"/>
    <x v="0"/>
    <x v="2"/>
    <x v="0"/>
    <x v="0"/>
    <x v="0"/>
    <x v="0"/>
    <x v="1"/>
    <x v="1"/>
    <x v="1"/>
    <x v="2"/>
    <x v="0"/>
    <x v="0"/>
    <x v="1"/>
    <x v="2"/>
    <x v="0"/>
    <x v="0"/>
    <x v="0"/>
    <x v="0"/>
    <x v="1"/>
    <x v="2"/>
    <x v="0"/>
    <x v="2"/>
    <x v="0"/>
    <x v="0"/>
    <x v="1"/>
    <x v="1"/>
    <x v="0"/>
    <m/>
    <x v="0"/>
    <x v="0"/>
    <x v="0"/>
    <x v="1"/>
    <x v="0"/>
    <m/>
    <x v="0"/>
    <x v="0"/>
    <x v="0"/>
    <x v="0"/>
    <x v="0"/>
    <m/>
    <x v="0"/>
    <m/>
    <x v="0"/>
    <x v="0"/>
    <x v="0"/>
    <x v="1"/>
    <x v="1"/>
    <x v="0"/>
    <x v="0"/>
    <x v="0"/>
    <x v="0"/>
    <x v="0"/>
    <x v="0"/>
    <x v="0"/>
    <x v="1"/>
    <x v="1"/>
    <x v="0"/>
    <x v="0"/>
    <x v="0"/>
    <x v="0"/>
    <x v="1"/>
    <x v="2"/>
    <x v="0"/>
    <x v="1"/>
    <x v="2"/>
    <x v="0"/>
    <x v="0"/>
    <x v="0"/>
    <x v="0"/>
    <x v="0"/>
    <x v="0"/>
    <x v="0"/>
    <m/>
    <s v="DISTRACCIÓN"/>
    <s v="LIBERTAD"/>
    <m/>
    <n v="82865240"/>
    <s v="ee6a259a-1dca-43e9-af36-0444c1136970"/>
    <d v="2025-04-04T19:20:16"/>
    <m/>
    <m/>
    <s v="submitted_via_web"/>
    <m/>
    <s v="vhGz9QPwmdkBybuGFUbzwe"/>
    <m/>
    <n v="143"/>
  </r>
  <r>
    <d v="2025-04-04T14:00:52"/>
    <d v="2025-04-04T14:07:35"/>
    <s v="DD"/>
    <n v="503"/>
    <d v="2025-03-22T00:00:00"/>
    <n v="2"/>
    <s v="DA"/>
    <s v="OM"/>
    <n v="55"/>
    <x v="2"/>
    <s v="3. al menos 2 veces al mes"/>
    <n v="0"/>
    <n v="0"/>
    <n v="0"/>
    <n v="0"/>
    <n v="0"/>
    <x v="0"/>
    <s v="1. Sí"/>
    <m/>
    <s v="6. Mestiza(o)"/>
    <m/>
    <x v="5"/>
    <s v="1. Completa"/>
    <s v="1. Trabajar"/>
    <m/>
    <s v="2. de $471 a $919"/>
    <s v="1. Deporte / ejercicio 4. De paso 5. Recreación/Ocio"/>
    <x v="0"/>
    <x v="0"/>
    <x v="0"/>
    <x v="1"/>
    <x v="1"/>
    <x v="0"/>
    <m/>
    <s v="2. Mañana  (06:00 a 11:59)"/>
    <x v="0"/>
    <x v="0"/>
    <x v="0"/>
    <x v="0"/>
    <x v="3"/>
    <s v="2. Rampas para patineta 4. Pistas para correr 6. Área para perros"/>
    <x v="0"/>
    <x v="1"/>
    <x v="0"/>
    <x v="0"/>
    <x v="1"/>
    <x v="0"/>
    <x v="0"/>
    <m/>
    <x v="1"/>
    <x v="1"/>
    <x v="0"/>
    <s v="PERSONAL POLICIAL"/>
    <s v="GUARDIAS"/>
    <m/>
    <m/>
    <x v="4"/>
    <x v="2"/>
    <x v="2"/>
    <x v="1"/>
    <x v="2"/>
    <x v="3"/>
    <x v="4"/>
    <x v="0"/>
    <s v="L"/>
    <n v="0"/>
    <n v="0"/>
    <n v="0"/>
    <n v="0"/>
    <n v="0"/>
    <n v="0"/>
    <n v="0"/>
    <n v="0"/>
    <n v="0"/>
    <n v="0"/>
    <n v="0"/>
    <n v="1"/>
    <n v="0"/>
    <x v="2"/>
    <x v="2"/>
    <x v="0"/>
    <x v="1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0"/>
    <x v="0"/>
    <x v="0"/>
    <x v="0"/>
    <x v="1"/>
    <x v="1"/>
    <x v="0"/>
    <x v="0"/>
    <x v="0"/>
    <x v="0"/>
    <x v="1"/>
    <x v="1"/>
    <x v="0"/>
    <x v="0"/>
    <x v="0"/>
    <x v="0"/>
    <x v="0"/>
    <x v="0"/>
    <x v="0"/>
    <x v="0"/>
    <x v="0"/>
    <x v="0"/>
    <x v="0"/>
    <x v="0"/>
    <x v="0"/>
    <x v="2"/>
    <x v="0"/>
    <x v="0"/>
    <x v="1"/>
    <x v="1"/>
    <x v="0"/>
    <m/>
    <x v="0"/>
    <x v="1"/>
    <x v="1"/>
    <x v="2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0"/>
    <x v="1"/>
    <x v="2"/>
    <x v="1"/>
    <x v="1"/>
    <x v="0"/>
    <x v="1"/>
    <x v="2"/>
    <x v="0"/>
    <x v="1"/>
    <x v="1"/>
    <x v="1"/>
    <x v="1"/>
    <x v="2"/>
    <x v="0"/>
    <x v="0"/>
    <x v="0"/>
    <x v="0"/>
    <x v="0"/>
    <x v="0"/>
    <x v="0"/>
    <m/>
    <s v="SEGURO"/>
    <s v="TRANQUILO"/>
    <s v="RELAJADO"/>
    <n v="82864735"/>
    <s v="bbd24722-1c03-4cf1-bbe9-067d8590cc53"/>
    <d v="2025-04-04T19:07:28"/>
    <m/>
    <m/>
    <s v="submitted_via_web"/>
    <m/>
    <s v="vhGz9QPwmdkBybuGFUbzwe"/>
    <m/>
    <n v="141"/>
  </r>
  <r>
    <d v="2025-04-27T14:25:09"/>
    <d v="2025-04-27T14:28:58"/>
    <s v="GH"/>
    <n v="285"/>
    <d v="2025-03-14T00:00:00"/>
    <n v="1"/>
    <s v="GB-SCH"/>
    <s v="AE"/>
    <n v="25"/>
    <x v="3"/>
    <s v="1. Diariamente"/>
    <n v="0"/>
    <n v="0"/>
    <n v="0"/>
    <n v="0"/>
    <n v="0"/>
    <x v="0"/>
    <s v="2. No"/>
    <s v="VENEZOLANA"/>
    <s v="6. Mestiza(o)"/>
    <m/>
    <x v="0"/>
    <s v="2. Incompleta"/>
    <s v="1. Trabajar"/>
    <m/>
    <s v="2. de $471 a $919"/>
    <s v="5. Recreación/Ocio"/>
    <x v="1"/>
    <x v="0"/>
    <x v="0"/>
    <x v="0"/>
    <x v="1"/>
    <x v="0"/>
    <m/>
    <s v="2. Mañana  (06:00 a 11:59) 3. Tarde (12:00 a 17:59)"/>
    <x v="0"/>
    <x v="0"/>
    <x v="1"/>
    <x v="0"/>
    <x v="3"/>
    <s v="3. Caminos de ciclismo 6. Área para perros"/>
    <x v="0"/>
    <x v="0"/>
    <x v="1"/>
    <x v="1"/>
    <x v="1"/>
    <x v="0"/>
    <x v="0"/>
    <m/>
    <x v="1"/>
    <x v="1"/>
    <x v="0"/>
    <s v="EN EL HORARIO QUE VIENE HAY MAS GENTE"/>
    <m/>
    <m/>
    <m/>
    <x v="1"/>
    <x v="2"/>
    <x v="1"/>
    <x v="2"/>
    <x v="2"/>
    <x v="3"/>
    <x v="1"/>
    <x v="1"/>
    <s v="F"/>
    <n v="0"/>
    <n v="0"/>
    <n v="0"/>
    <n v="0"/>
    <n v="0"/>
    <n v="1"/>
    <n v="0"/>
    <n v="0"/>
    <n v="0"/>
    <n v="0"/>
    <n v="0"/>
    <n v="0"/>
    <n v="0"/>
    <x v="2"/>
    <x v="2"/>
    <x v="2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x v="1"/>
    <x v="1"/>
    <x v="3"/>
    <x v="1"/>
    <x v="2"/>
    <x v="0"/>
    <x v="2"/>
    <x v="1"/>
    <x v="3"/>
    <x v="1"/>
    <x v="2"/>
    <x v="0"/>
    <x v="0"/>
    <x v="1"/>
    <x v="2"/>
    <x v="0"/>
    <x v="0"/>
    <x v="1"/>
    <x v="2"/>
    <x v="0"/>
    <x v="0"/>
    <x v="1"/>
    <x v="2"/>
    <x v="1"/>
    <x v="2"/>
    <x v="0"/>
    <x v="0"/>
    <x v="0"/>
    <x v="0"/>
    <x v="0"/>
    <x v="0"/>
    <x v="0"/>
    <m/>
    <x v="0"/>
    <x v="0"/>
    <x v="0"/>
    <x v="1"/>
    <x v="0"/>
    <m/>
    <x v="0"/>
    <x v="0"/>
    <x v="0"/>
    <x v="0"/>
    <x v="0"/>
    <m/>
    <x v="0"/>
    <m/>
    <x v="0"/>
    <x v="0"/>
    <x v="0"/>
    <x v="0"/>
    <x v="0"/>
    <x v="0"/>
    <x v="0"/>
    <x v="0"/>
    <x v="0"/>
    <x v="0"/>
    <x v="0"/>
    <x v="0"/>
    <x v="1"/>
    <x v="1"/>
    <x v="0"/>
    <x v="1"/>
    <x v="2"/>
    <x v="0"/>
    <x v="1"/>
    <x v="1"/>
    <x v="2"/>
    <x v="1"/>
    <x v="1"/>
    <x v="1"/>
    <x v="0"/>
    <x v="0"/>
    <x v="0"/>
    <x v="0"/>
    <x v="0"/>
    <x v="0"/>
    <m/>
    <s v="TRANQUILIDAD"/>
    <m/>
    <m/>
    <n v="84746583"/>
    <s v="4b8e8536-9f18-4e69-ad55-74b4bee1f381"/>
    <d v="2025-04-27T19:28:58"/>
    <m/>
    <m/>
    <s v="submitted_via_web"/>
    <m/>
    <s v="v5uNQoYdGp6CCoWUMSjVDf"/>
    <m/>
    <n v="506"/>
  </r>
  <r>
    <d v="2025-04-27T14:20:06"/>
    <d v="2025-04-27T14:24:36"/>
    <s v="GH"/>
    <n v="468"/>
    <d v="2025-03-16T00:00:00"/>
    <n v="4"/>
    <s v="GB-GC"/>
    <s v="GH"/>
    <n v="28"/>
    <x v="0"/>
    <s v="2. Semanalmente"/>
    <n v="0"/>
    <n v="0"/>
    <n v="0"/>
    <n v="0"/>
    <n v="0"/>
    <x v="1"/>
    <s v="1. Sí"/>
    <m/>
    <s v="6. Mestiza(o)"/>
    <m/>
    <x v="0"/>
    <s v="1. Completa"/>
    <s v="6. No trabaja"/>
    <m/>
    <s v="5. más de $1840"/>
    <s v="5. Recreación/Ocio"/>
    <x v="1"/>
    <x v="0"/>
    <x v="0"/>
    <x v="0"/>
    <x v="1"/>
    <x v="0"/>
    <m/>
    <s v="2. Mañana  (06:00 a 11:59)"/>
    <x v="0"/>
    <x v="0"/>
    <x v="0"/>
    <x v="0"/>
    <x v="0"/>
    <s v="4. Pistas para correr 6. Área para perros 7. Áreas verdes"/>
    <x v="0"/>
    <x v="0"/>
    <x v="0"/>
    <x v="0"/>
    <x v="1"/>
    <x v="1"/>
    <x v="0"/>
    <m/>
    <x v="1"/>
    <x v="1"/>
    <x v="1"/>
    <s v="VENTA AMBULANTES"/>
    <s v="PERSONAS DE LA CALLE"/>
    <m/>
    <m/>
    <x v="2"/>
    <x v="1"/>
    <x v="2"/>
    <x v="2"/>
    <x v="1"/>
    <x v="1"/>
    <x v="0"/>
    <x v="1"/>
    <s v="C E G"/>
    <n v="0"/>
    <n v="0"/>
    <n v="1"/>
    <n v="0"/>
    <n v="1"/>
    <n v="0"/>
    <n v="1"/>
    <n v="0"/>
    <n v="0"/>
    <n v="0"/>
    <n v="0"/>
    <n v="0"/>
    <n v="0"/>
    <x v="1"/>
    <x v="0"/>
    <x v="1"/>
    <x v="0"/>
    <x v="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x v="0"/>
    <x v="1"/>
    <x v="1"/>
    <x v="0"/>
    <x v="0"/>
    <x v="0"/>
    <x v="0"/>
    <x v="1"/>
    <x v="2"/>
    <x v="0"/>
    <x v="0"/>
    <x v="0"/>
    <x v="3"/>
    <x v="1"/>
    <x v="1"/>
    <x v="1"/>
    <x v="3"/>
    <x v="1"/>
    <x v="1"/>
    <x v="0"/>
    <x v="0"/>
    <x v="1"/>
    <x v="2"/>
    <x v="0"/>
    <x v="0"/>
    <x v="0"/>
    <x v="2"/>
    <x v="0"/>
    <x v="0"/>
    <x v="1"/>
    <x v="1"/>
    <x v="0"/>
    <m/>
    <x v="0"/>
    <x v="0"/>
    <x v="3"/>
    <x v="0"/>
    <x v="0"/>
    <m/>
    <x v="0"/>
    <x v="0"/>
    <x v="0"/>
    <x v="0"/>
    <x v="0"/>
    <m/>
    <x v="0"/>
    <m/>
    <x v="1"/>
    <x v="1"/>
    <x v="0"/>
    <x v="1"/>
    <x v="1"/>
    <x v="0"/>
    <x v="0"/>
    <x v="0"/>
    <x v="0"/>
    <x v="1"/>
    <x v="2"/>
    <x v="0"/>
    <x v="1"/>
    <x v="1"/>
    <x v="0"/>
    <x v="1"/>
    <x v="2"/>
    <x v="0"/>
    <x v="1"/>
    <x v="1"/>
    <x v="1"/>
    <x v="1"/>
    <x v="1"/>
    <x v="4"/>
    <x v="1"/>
    <x v="2"/>
    <x v="2"/>
    <x v="0"/>
    <x v="0"/>
    <x v="0"/>
    <m/>
    <s v="INSEGURO"/>
    <s v="PENDIENTE"/>
    <s v="ALERTA"/>
    <n v="84746504"/>
    <s v="b27299e9-92e6-47a5-adc1-5b20674b73aa"/>
    <d v="2025-04-27T19:24:36"/>
    <m/>
    <m/>
    <s v="submitted_via_web"/>
    <m/>
    <s v="v5uNQoYdGp6CCoWUMSjVDf"/>
    <m/>
    <n v="505"/>
  </r>
  <r>
    <d v="2025-04-27T14:13:57"/>
    <d v="2025-04-27T14:20:06"/>
    <s v="GH"/>
    <n v="202"/>
    <d v="2025-03-14T00:00:00"/>
    <n v="4"/>
    <s v="GB-CCH"/>
    <s v="GH"/>
    <n v="25"/>
    <x v="3"/>
    <s v="1. Diariamente"/>
    <n v="1"/>
    <n v="0"/>
    <n v="0"/>
    <n v="0"/>
    <n v="0"/>
    <x v="1"/>
    <s v="1. Sí"/>
    <m/>
    <s v="6. Mestiza(o)"/>
    <m/>
    <x v="2"/>
    <s v="2. Incompleta"/>
    <s v="6. No trabaja"/>
    <m/>
    <s v="99. NS/NC"/>
    <s v="4. De paso"/>
    <x v="1"/>
    <x v="0"/>
    <x v="0"/>
    <x v="1"/>
    <x v="0"/>
    <x v="0"/>
    <m/>
    <s v="2. Mañana  (06:00 a 11:59) 3. Tarde (12:00 a 17:59) 4. Noche  (18:00 a 23:59)"/>
    <x v="0"/>
    <x v="0"/>
    <x v="1"/>
    <x v="1"/>
    <x v="3"/>
    <s v="8. Otro."/>
    <x v="0"/>
    <x v="0"/>
    <x v="0"/>
    <x v="1"/>
    <x v="0"/>
    <x v="0"/>
    <x v="1"/>
    <s v="BULEVAR"/>
    <x v="1"/>
    <x v="1"/>
    <x v="3"/>
    <s v="ROTULOS AZULES HAY INSEGURIDAD CERCA AMAZONAS"/>
    <s v="FALTA ALUMBRADO"/>
    <m/>
    <m/>
    <x v="2"/>
    <x v="3"/>
    <x v="1"/>
    <x v="5"/>
    <x v="1"/>
    <x v="2"/>
    <x v="1"/>
    <x v="1"/>
    <s v="C E"/>
    <n v="0"/>
    <n v="0"/>
    <n v="1"/>
    <n v="0"/>
    <n v="1"/>
    <n v="0"/>
    <n v="0"/>
    <n v="0"/>
    <n v="0"/>
    <n v="0"/>
    <n v="0"/>
    <n v="0"/>
    <n v="0"/>
    <x v="2"/>
    <x v="3"/>
    <x v="1"/>
    <x v="1"/>
    <x v="1"/>
    <x v="5"/>
    <n v="1"/>
    <n v="0"/>
    <n v="0"/>
    <n v="0"/>
    <n v="0"/>
    <n v="0"/>
    <n v="0"/>
    <n v="0"/>
    <n v="1"/>
    <n v="1"/>
    <n v="0"/>
    <m/>
    <s v="1. Sí"/>
    <m/>
    <m/>
    <m/>
    <m/>
    <m/>
    <m/>
    <m/>
    <s v="1. Sí"/>
    <s v="1. Sí"/>
    <m/>
    <s v="1. Arma blanca"/>
    <m/>
    <m/>
    <m/>
    <m/>
    <m/>
    <m/>
    <m/>
    <m/>
    <m/>
    <m/>
    <m/>
    <m/>
    <m/>
    <m/>
    <m/>
    <s v="6. Ninguna"/>
    <m/>
    <s v="6. Ninguna"/>
    <m/>
    <m/>
    <m/>
    <m/>
    <x v="0"/>
    <x v="2"/>
    <x v="0"/>
    <x v="0"/>
    <x v="1"/>
    <x v="1"/>
    <x v="0"/>
    <x v="0"/>
    <x v="1"/>
    <x v="2"/>
    <x v="1"/>
    <x v="2"/>
    <x v="0"/>
    <x v="0"/>
    <x v="0"/>
    <x v="0"/>
    <x v="0"/>
    <x v="0"/>
    <x v="1"/>
    <x v="1"/>
    <x v="0"/>
    <x v="0"/>
    <x v="0"/>
    <x v="0"/>
    <x v="0"/>
    <x v="0"/>
    <x v="0"/>
    <x v="0"/>
    <x v="0"/>
    <x v="0"/>
    <x v="0"/>
    <x v="2"/>
    <x v="0"/>
    <m/>
    <x v="0"/>
    <x v="0"/>
    <x v="0"/>
    <x v="0"/>
    <x v="1"/>
    <s v="2. Blanca"/>
    <x v="1"/>
    <x v="1"/>
    <x v="1"/>
    <x v="1"/>
    <x v="1"/>
    <m/>
    <x v="1"/>
    <m/>
    <x v="0"/>
    <x v="0"/>
    <x v="0"/>
    <x v="0"/>
    <x v="2"/>
    <x v="1"/>
    <x v="0"/>
    <x v="0"/>
    <x v="0"/>
    <x v="0"/>
    <x v="0"/>
    <x v="0"/>
    <x v="1"/>
    <x v="1"/>
    <x v="0"/>
    <x v="1"/>
    <x v="2"/>
    <x v="0"/>
    <x v="1"/>
    <x v="1"/>
    <x v="2"/>
    <x v="1"/>
    <x v="2"/>
    <x v="0"/>
    <x v="0"/>
    <x v="0"/>
    <x v="0"/>
    <x v="0"/>
    <x v="0"/>
    <x v="0"/>
    <m/>
    <s v="EN ALERTA NO CONFIADO"/>
    <m/>
    <m/>
    <n v="84746447"/>
    <s v="308f8a1b-d928-4536-8884-2c2314f5e18e"/>
    <d v="2025-04-27T19:20:09"/>
    <m/>
    <m/>
    <s v="submitted_via_web"/>
    <m/>
    <s v="v5uNQoYdGp6CCoWUMSjVDf"/>
    <m/>
    <n v="5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5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34:B33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5"/>
  </rowFields>
  <rowItems count="3">
    <i>
      <x/>
    </i>
    <i>
      <x v="1"/>
    </i>
    <i t="grand">
      <x/>
    </i>
  </rowItems>
  <colItems count="1">
    <i/>
  </colItems>
  <dataFields count="1">
    <dataField name="Cuenta de PCA.1 En los últimos 6 meses, es decir, de septiembre 2024 a la fecha. ¿Usted ha presenciado ventas ambulantes en el parque ? Enc. RE y RU. Si la respuesta es &quot;SI&quot; preguntar con que frecuencia" fld="165" subtotal="count" showDataAs="percentOfCol" baseField="16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laDinámica6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79:B38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4"/>
  </rowFields>
  <rowItems count="2">
    <i>
      <x v="1"/>
    </i>
    <i t="grand">
      <x/>
    </i>
  </rowItems>
  <colItems count="1">
    <i/>
  </colItems>
  <dataFields count="1">
    <dataField name="Suma de PA.2 ¿Qué tipo de armas? Enc. RE y RM/5. Otras" fld="17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laDinámica4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87:B29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8"/>
  </rowFields>
  <rowItems count="3">
    <i>
      <x/>
    </i>
    <i>
      <x v="1"/>
    </i>
    <i t="grand">
      <x/>
    </i>
  </rowItems>
  <colItems count="1">
    <i/>
  </colItems>
  <dataFields count="1">
    <dataField name="Cuenta de CC.10 Consumo de drogas?" fld="148" subtotal="count" showDataAs="percentOfCol" baseField="14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7:B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2. Culturales y sociale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TablaDinámica6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75:B37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3"/>
  </rowFields>
  <rowItems count="2">
    <i>
      <x v="1"/>
    </i>
    <i t="grand">
      <x/>
    </i>
  </rowItems>
  <colItems count="1">
    <i/>
  </colItems>
  <dataFields count="1">
    <dataField name="Suma de PA.2 ¿Qué tipo de armas? Enc. RE y RM/4. Constrictora" fld="17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TablaDinámica7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34:B43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2"/>
  </rowFields>
  <rowItems count="3">
    <i>
      <x/>
    </i>
    <i>
      <x v="1"/>
    </i>
    <i t="grand">
      <x/>
    </i>
  </rowItems>
  <colItems count="1">
    <i/>
  </colItems>
  <dataFields count="1">
    <dataField name="Cuenta de SSM.9 Fuerzas Armadas del Ecuador (FFAA) - Defensa de la soberanía e integridad territorial del país." fld="20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TablaDinámica8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29:E43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0"/>
  </rowFields>
  <rowItems count="3">
    <i>
      <x/>
    </i>
    <i>
      <x v="1"/>
    </i>
    <i t="grand">
      <x/>
    </i>
  </rowItems>
  <colItems count="1">
    <i/>
  </colItems>
  <dataFields count="1">
    <dataField name="Cuenta de SSM.8.1 ¿Se benefició de alguna manera del  trabajo de esta institución?" fld="20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TablaDinámica5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15:B31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6 Trabajo sexual (prostitución)?" fld="158" subtotal="count" showDataAs="percentOfCol" baseField="15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TablaDinámica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39:B14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3 Con la presencia de vendedores ambulantes en el parque?" fld="57" subtotal="count" showDataAs="percentOfCol" baseField="5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TablaDinámica8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394:H39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4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1.2 ¿Cómo califica el servicio?" fld="18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TablaDinámica6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87:B390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6"/>
  </rowFields>
  <rowItems count="3">
    <i>
      <x/>
    </i>
    <i>
      <x v="1"/>
    </i>
    <i t="grand">
      <x/>
    </i>
  </rowItems>
  <colItems count="1">
    <i/>
  </colItems>
  <pageFields count="1">
    <pageField fld="168" hier="-1"/>
  </pageFields>
  <dataFields count="1">
    <dataField name="Cuenta de PA.3 Durante los últimos 6 meses. ¿Ud. ha presenciado alguna situación de violencia relacionada con armas en el parque? Enc. RE y RU." fld="17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TablaDinámica3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41:B24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2 Grafitis no artisticos que le molestan?" fld="132" subtotal="count" showDataAs="percentOfCol" baseField="131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64:B6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2. Rampas para patineta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name="TablaDinámica6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14:B41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0"/>
  </rowFields>
  <rowItems count="3">
    <i>
      <x/>
    </i>
    <i>
      <x v="1"/>
    </i>
    <i t="grand">
      <x/>
    </i>
  </rowItems>
  <colItems count="1">
    <i/>
  </colItems>
  <dataFields count="1">
    <dataField name="Cuenta de SSM.5 Cuerpo de Bombero de Quito (CBQ) - Prevención, control y respuesta de emergencias a incendios, rescates y desastres." fld="19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58:B6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1. Canchas de fútbol y basquet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1:B3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1. Madrugada (00:00 a 05:59)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name="TablaDinámica3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01:B20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H.1 la frecuencia con la que transita solo/a por el parque" fld="78" subtotal="count" showDataAs="percentOfCol" baseField="77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1. Deporte / ejercicio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6:B3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6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2. Mañana  (06:00 a 11:59)" fld="3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name="TablaDinámica9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25:H42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6.2 ¿Cómo califica el servicio?" fld="19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1:B2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5. Recreación/Ocio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name="TablaDinámica4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81:B28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9 Venta de alcohol?" fld="146" subtotal="count" showDataAs="percentOfCol" baseField="14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1:B1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3. Compra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name="TablaDinámica7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394:E39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9"/>
  </rowFields>
  <rowItems count="3">
    <i>
      <x/>
    </i>
    <i>
      <x v="1"/>
    </i>
    <i t="grand">
      <x/>
    </i>
  </rowItems>
  <colItems count="1">
    <i/>
  </colItems>
  <dataFields count="1">
    <dataField name="Cuenta de SSM.1.1 ¿Se benefició de alguna manera del  trabajo de esta institución?" fld="17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name="TablaDinámica3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15:B22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H.3  la frecuencia con la que visita restaurantes, cafeterías y comedores del parque" fld="80" subtotal="count" showDataAs="percentOfCol" baseField="7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name="TablaDinámica7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24:B42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6"/>
  </rowFields>
  <rowItems count="3">
    <i>
      <x/>
    </i>
    <i>
      <x v="1"/>
    </i>
    <i t="grand">
      <x/>
    </i>
  </rowItems>
  <colItems count="1">
    <i/>
  </colItems>
  <dataFields count="1">
    <dataField name="Cuenta de SSM.7 Empresa Metropolitana de Aseo (EMASEO) - Recolección, transporte y disposición de residuos." fld="19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name="TablaDinámica9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45:H45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9.2 ¿Cómo califica el servicio?" fld="20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name="TablaDinámica8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13:H41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4.2 ¿Cómo califica el servicio?" fld="18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name="TablaDinámica3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92:B19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SC.9 ¿En los últimos 6 meses, ¿usted diría que la delincuencia en el parque y sus inmediaciones: Enc. Leer opciones y RU ." fld="63" subtotal="count" showDataAs="percentOfCol" baseField="6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name="TablaDinámica4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04:B30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3 Fauna Urbana? (animales sin hogar)" fld="154" subtotal="count" showDataAs="percentOfCol" baseField="15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name="TablaDinámica2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75:B18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PSC.7 Caminando sola/o en el día por este parque?" fld="61" subtotal="count" showDataAs="percentOfCol" baseField="6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1:B4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7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3. Tarde (12:00 a 17:59)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88:B9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7. Áreas verdes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name="TablaDinámica5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56:B35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8"/>
  </rowFields>
  <rowItems count="3">
    <i>
      <x/>
    </i>
    <i>
      <x v="1"/>
    </i>
    <i t="grand">
      <x/>
    </i>
  </rowItems>
  <colItems count="1">
    <i/>
  </colItems>
  <dataFields count="1">
    <dataField name="Cuenta de PA.1 Excluyendo a militares y policías en servicio activo, durante los últimos 6 meses. ¿Usted ha visto en el parque La Carolina a personas que porten armas? Enc. RE y RU." fld="16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name="TablaDinámica7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29:B43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9"/>
  </rowFields>
  <rowItems count="3">
    <i>
      <x/>
    </i>
    <i>
      <x v="1"/>
    </i>
    <i t="grand">
      <x/>
    </i>
  </rowItems>
  <colItems count="1">
    <i/>
  </colItems>
  <dataFields count="1">
    <dataField name="Cuenta de SSM.8 Policía Nacional (PN) - Garantizar el orden público y la protección de la ciudadania." fld="19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name="TablaDinámica9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52:H45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7"/>
  </rowFields>
  <rowItems count="3">
    <i>
      <x/>
    </i>
    <i>
      <x v="1"/>
    </i>
    <i t="grand">
      <x/>
    </i>
  </rowItems>
  <colItems count="1">
    <i/>
  </colItems>
  <dataFields count="1">
    <dataField name="Cuenta de SSM.10.2 ¿Cómo califica el servicio?" fld="20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76:B8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4. Pistas para correr" fld="4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name="TablaDiná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94:B9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8. Otro.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name="TablaDinámica8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24:E42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7"/>
  </rowFields>
  <rowItems count="3">
    <i>
      <x/>
    </i>
    <i>
      <x v="1"/>
    </i>
    <i t="grand">
      <x/>
    </i>
  </rowItems>
  <colItems count="1">
    <i/>
  </colItems>
  <dataFields count="1">
    <dataField name="Cuenta de SSM.7.1 ¿Se benefició de alguna manera del  trabajo de esta institución?" fld="19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name="TablaDinámica4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69:B27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7 Habitantes en situación de calle (mendicidad) ?" fld="142" subtotal="count" showDataAs="percentOfCol" baseField="1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name="TablaDinámica6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09:B41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7"/>
  </rowFields>
  <rowItems count="3">
    <i>
      <x/>
    </i>
    <i>
      <x v="1"/>
    </i>
    <i t="grand">
      <x/>
    </i>
  </rowItems>
  <colItems count="1">
    <i/>
  </colItems>
  <dataFields count="1">
    <dataField name="Cuenta de SSM.4 Cuerpo de Agentes de Control Metropolitano de Quito (CACMQ) - Mantener el orden y la seguridad." fld="18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name="TablaDinámica7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399:E40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2"/>
  </rowFields>
  <rowItems count="3">
    <i>
      <x/>
    </i>
    <i>
      <x v="1"/>
    </i>
    <i t="grand">
      <x/>
    </i>
  </rowItems>
  <colItems count="1">
    <i/>
  </colItems>
  <dataFields count="1">
    <dataField name="Cuenta de SSM.2.1 ¿Se benefició de alguna manera del  trabajo de esta institución?" fld="18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70:B7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3. Caminos de ciclismo" fld="4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name="TablaDinámica4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63:B26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6 Peleas o riñas ?" fld="140" subtotal="count" showDataAs="percentOfCol" baseField="13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name="TablaDinámica5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63:B36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0"/>
  </rowFields>
  <rowItems count="2">
    <i>
      <x v="1"/>
    </i>
    <i t="grand">
      <x/>
    </i>
  </rowItems>
  <colItems count="1">
    <i/>
  </colItems>
  <dataFields count="1">
    <dataField name="Suma de PA.2 ¿Qué tipo de armas? Enc. RE y RM/1. De fuego" fld="17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name="TablaDinámica6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04:B40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4"/>
  </rowFields>
  <rowItems count="3">
    <i>
      <x/>
    </i>
    <i>
      <x v="1"/>
    </i>
    <i t="grand">
      <x/>
    </i>
  </rowItems>
  <colItems count="1">
    <i/>
  </colItems>
  <dataFields count="1">
    <dataField name="Cuenta de SSM.3 Patronato San José (UPMSJ) - Atención a personas en situación de calle." fld="18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name="TablaDinámica7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39:B44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5"/>
  </rowFields>
  <rowItems count="3">
    <i>
      <x/>
    </i>
    <i>
      <x v="1"/>
    </i>
    <i t="grand">
      <x/>
    </i>
  </rowItems>
  <colItems count="1">
    <i/>
  </colItems>
  <dataFields count="1">
    <dataField name="Cuenta de SSM.10 Secretaría General de Seguridad Ciudadana y Gestión de Riesgos (SGSCGR) -  Coordinar políticas, estrategías y acciones de fortalecimiento de la seguridad ciudadana y gestión de riesgos." fld="20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name="TablaDiná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13:B11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AP. 5.1 ¿Cree que influye en su seguridad el estar acompañado/a dentro del parque? Enc. RE y RU" fld="50" subtotal="count" showDataAs="percentOfCol" baseField="4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name="TablaDinámica2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57:B16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1"/>
        <item x="2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5 En espectáculos públicos como conciertos y/o actividades recreativas en este parque?" fld="59" subtotal="count" showDataAs="percentOfCol" baseField="5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name="TablaDinámica8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01:H40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2.2 ¿Cómo califica el servicio?" fld="18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name="TablaDinámica8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34:E43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3"/>
  </rowFields>
  <rowItems count="3">
    <i>
      <x/>
    </i>
    <i>
      <x v="1"/>
    </i>
    <i t="grand">
      <x/>
    </i>
  </rowItems>
  <colItems count="1">
    <i/>
  </colItems>
  <dataFields count="1">
    <dataField name="Cuenta de SSM.9.1 ¿Se benefició de alguna manera del  trabajo de esta institución?" fld="20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name="TablaDinámica4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75:B27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4"/>
  </rowFields>
  <rowItems count="3">
    <i>
      <x/>
    </i>
    <i>
      <x v="1"/>
    </i>
    <i t="grand">
      <x/>
    </i>
  </rowItems>
  <colItems count="1">
    <i/>
  </colItems>
  <dataFields count="1">
    <dataField name="Cuenta de CC.8 Consumo de alcohol?" fld="144" subtotal="count" showDataAs="percentOfCol" baseField="14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name="TablaDinámica4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52:B25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6"/>
  </rowFields>
  <rowItems count="3">
    <i>
      <x/>
    </i>
    <i>
      <x v="1"/>
    </i>
    <i t="grand">
      <x/>
    </i>
  </rowItems>
  <colItems count="1">
    <i/>
  </colItems>
  <dataFields count="1">
    <dataField name="Cuenta de CC.4 Desechos de animales ?" fld="136" subtotal="count" showDataAs="percentOfCol" baseField="13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82:B8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6. Área para perros" fld="4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name="TablaDinámica6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99:B40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1"/>
  </rowFields>
  <rowItems count="3">
    <i>
      <x/>
    </i>
    <i>
      <x v="1"/>
    </i>
    <i t="grand">
      <x/>
    </i>
  </rowItems>
  <colItems count="1">
    <i/>
  </colItems>
  <dataFields count="1">
    <dataField name="Cuenta de SSM.2 Agencia Metropolitana de Control de Comercio (AMCC) - Encargados de regular y fortalecer el comercio de Quito." fld="18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name="TablaDinámica6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94:B39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8"/>
  </rowFields>
  <rowItems count="3">
    <i>
      <x/>
    </i>
    <i>
      <x v="1"/>
    </i>
    <i t="grand">
      <x/>
    </i>
  </rowItems>
  <colItems count="1">
    <i/>
  </colItems>
  <dataFields count="1">
    <dataField name="Cuenta de SSM.1 Agencia Metropolitana de Control (AMC) - Encargados de cumplir las normativas y regulaciones metropolitanas." fld="17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name="TablaDinámica4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57:B26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 Áreas sin iluminación ?" fld="138" subtotal="count" showDataAs="percentOfCol" baseField="137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name="TablaDinámica7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09:E41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8"/>
  </rowFields>
  <rowItems count="3">
    <i>
      <x/>
    </i>
    <i>
      <x v="1"/>
    </i>
    <i t="grand">
      <x/>
    </i>
  </rowItems>
  <colItems count="1">
    <i/>
  </colItems>
  <dataFields count="1">
    <dataField name="Cuenta de SSM.4.1 ¿Se benefició de alguna manera del  trabajo de esta institución?" fld="18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name="TablaDinámica2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48:B15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4 Transitando por sitios con basura en el parque?" fld="58" subtotal="count" showDataAs="percentOfCol" baseField="5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name="TablaDinámica3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29:B23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2"/>
  </rowFields>
  <rowItems count="3">
    <i>
      <x/>
    </i>
    <i>
      <x v="1"/>
    </i>
    <i t="grand">
      <x/>
    </i>
  </rowItems>
  <colItems count="1">
    <i/>
  </colItems>
  <dataFields count="1">
    <dataField name="Cuenta de VI.1 En los últimos 6 meses, es decir, de septiembre 2024 a la fecha. Ud. ha sido víctima de algún tipo de delito en este parque?. Enc. RE y RU" fld="82" subtotal="count" showDataAs="percentOfCol" baseField="8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name="TablaDinámica3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83:B19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8 Caminando sola/o en la noche por este parque?" fld="62" subtotal="count" showDataAs="percentOfCol" baseField="6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name="TablaDinámica5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49:B352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7"/>
  </rowFields>
  <rowItems count="3">
    <i>
      <x/>
    </i>
    <i>
      <x v="1"/>
    </i>
    <i t="grand">
      <x/>
    </i>
  </rowItems>
  <colItems count="1">
    <i/>
  </colItems>
  <pageFields count="1">
    <pageField fld="165" hier="-1"/>
  </pageFields>
  <dataFields count="1">
    <dataField name="Cuenta de PCA.1.1 Le molestan las ventas ambulantes en el parque? Enc. RE y RU." fld="167" subtotal="count" showDataAs="percentOfCol" baseField="16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name="TablaDinámica7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343:E347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axis="axisRow" dataField="1" showAll="0">
      <items count="5">
        <item x="2"/>
        <item x="0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6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65" hier="-1"/>
  </pageFields>
  <dataFields count="1">
    <dataField name="Cuenta de PCA.1.0 ¿Con qué frecuencia?" fld="166" subtotal="count" showDataAs="percentOfCol" baseField="16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name="TablaDinámica3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36:B23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0"/>
  </rowFields>
  <rowItems count="3">
    <i>
      <x/>
    </i>
    <i>
      <x v="1"/>
    </i>
    <i t="grand">
      <x/>
    </i>
  </rowItems>
  <colItems count="1">
    <i/>
  </colItems>
  <dataFields count="1">
    <dataField name="Cuenta de CC.1 Alguien puso música a un volumen excesivo o hizo mucho ruido y eso le molestó?" fld="130" subtotal="count" showDataAs="percentOfCol" baseField="12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name="TablaDinámica2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66:B17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6 En restaurantes/cafeterías/comedores del parque?" fld="60" subtotal="count" showDataAs="percentOfCol" baseField="5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51:B5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AP. 3 ¿Cuánto tiempo se queda en el parque cada vez que lo visita? Enc. Leer opciones y RU." fld="39" subtotal="count" showDataAs="percentOfCol" baseField="38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name="TablaDinámica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30:B13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2 Con la presencia de habitantes de calle (mendigos) en el parque?" fld="56" subtotal="count" showDataAs="percentOfCol" baseField="5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name="TablaDinámica8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19:E42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4"/>
  </rowFields>
  <rowItems count="3">
    <i>
      <x/>
    </i>
    <i>
      <x v="1"/>
    </i>
    <i t="grand">
      <x/>
    </i>
  </rowItems>
  <colItems count="1">
    <i/>
  </colItems>
  <dataFields count="1">
    <dataField name="Cuenta de SSM.6.1 ¿Se benefició de alguna manera del  trabajo de esta institución?" fld="19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6:B2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h="1" x="0"/>
        <item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6. Otra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name="TablaDinámica7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04:E40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5"/>
  </rowFields>
  <rowItems count="3">
    <i>
      <x/>
    </i>
    <i>
      <x v="1"/>
    </i>
    <i t="grand">
      <x/>
    </i>
  </rowItems>
  <colItems count="1">
    <i/>
  </colItems>
  <dataFields count="1">
    <dataField name="Cuenta de SSM.3.1 ¿Se benefició de alguna manera del  trabajo de esta institución?" fld="18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name="TablaDinámica8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19:H42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5.2 ¿Cómo califica el servicio?" fld="19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6:B4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8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4. Noche  (18:00 a 23:59)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3.xml><?xml version="1.0" encoding="utf-8"?>
<pivotTableDefinition xmlns="http://schemas.openxmlformats.org/spreadsheetml/2006/main" name="TablaDinámica5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27:B33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2"/>
  </rowFields>
  <rowItems count="3">
    <i>
      <x/>
    </i>
    <i>
      <x v="1"/>
    </i>
    <i t="grand">
      <x/>
    </i>
  </rowItems>
  <colItems count="1">
    <i/>
  </colItems>
  <dataFields count="1">
    <dataField name="Cuenta de CC.18 ¿Alguna otra que no le haya mencionado?" fld="162" subtotal="count" showDataAs="percentOfCol" baseField="16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4.xml><?xml version="1.0" encoding="utf-8"?>
<pivotTableDefinition xmlns="http://schemas.openxmlformats.org/spreadsheetml/2006/main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00:B10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9"/>
  </rowFields>
  <rowItems count="3">
    <i>
      <x/>
    </i>
    <i>
      <x v="1"/>
    </i>
    <i t="grand">
      <x/>
    </i>
  </rowItems>
  <colItems count="1">
    <i/>
  </colItems>
  <dataFields count="1">
    <dataField name="Cuenta de AP. 5 ¿Por lo general, viene acompañado/a al parque? Enc. RE y RU" fld="49" subtotal="count" showDataAs="percentOfCol" baseField="4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5.xml><?xml version="1.0" encoding="utf-8"?>
<pivotTableDefinition xmlns="http://schemas.openxmlformats.org/spreadsheetml/2006/main" name="TablaDinámica5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41:B344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7"/>
  </rowFields>
  <rowItems count="3">
    <i>
      <x/>
    </i>
    <i>
      <x v="1"/>
    </i>
    <i t="grand">
      <x/>
    </i>
  </rowItems>
  <colItems count="1">
    <i/>
  </colItems>
  <pageFields count="1">
    <pageField fld="165" hier="-1"/>
  </pageFields>
  <dataFields count="1">
    <dataField name="Cuenta de PCA.1.1 Le molestan las ventas ambulantes en el parque? Enc. RE y RU." fld="167" subtotal="count" showDataAs="percentOfCol" baseField="16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6.xml><?xml version="1.0" encoding="utf-8"?>
<pivotTableDefinition xmlns="http://schemas.openxmlformats.org/spreadsheetml/2006/main" name="TablaDinámica9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38:H44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8.2 ¿Cómo califica el servicio?" fld="20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7.xml><?xml version="1.0" encoding="utf-8"?>
<pivotTableDefinition xmlns="http://schemas.openxmlformats.org/spreadsheetml/2006/main" name="TablaDinámica4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98:B30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2 Daño a la propiedad pública y privada?" fld="152" subtotal="count" showDataAs="percentOfCol" baseField="15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8.xml><?xml version="1.0" encoding="utf-8"?>
<pivotTableDefinition xmlns="http://schemas.openxmlformats.org/spreadsheetml/2006/main" name="TablaDinámica4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92:B29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 Venta de drogas?" fld="150" subtotal="count" showDataAs="percentOfCol" baseField="14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9.xml><?xml version="1.0" encoding="utf-8"?>
<pivotTableDefinition xmlns="http://schemas.openxmlformats.org/spreadsheetml/2006/main" name="TablaDinámica6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419:B42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3"/>
  </rowFields>
  <rowItems count="3">
    <i>
      <x/>
    </i>
    <i>
      <x v="1"/>
    </i>
    <i t="grand">
      <x/>
    </i>
  </rowItems>
  <colItems count="1">
    <i/>
  </colItems>
  <dataFields count="1">
    <dataField name="Cuenta de SSM.6 Agencia Metropolitana de Tránsito (AMT) - Regular, gestionar y controlar el tránsito y la movilidad." fld="19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0.xml><?xml version="1.0" encoding="utf-8"?>
<pivotTableDefinition xmlns="http://schemas.openxmlformats.org/spreadsheetml/2006/main" name="TablaDinámica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22:B12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PSC.1 En los últimos 6 meses, es decir, de septiembre 2024 a la fecha. EN TÉRMINOS DE SU SEGURIDAD PERSONAL, ¿cómo se sintió usted en este parque? Enc. leer opciones y RU" fld="51" subtotal="count" showDataAs="percentOfCol" baseField="5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1.xml><?xml version="1.0" encoding="utf-8"?>
<pivotTableDefinition xmlns="http://schemas.openxmlformats.org/spreadsheetml/2006/main" name="TablaDinámica5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67:B36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1"/>
  </rowFields>
  <rowItems count="2">
    <i>
      <x v="1"/>
    </i>
    <i t="grand">
      <x/>
    </i>
  </rowItems>
  <colItems count="1">
    <i/>
  </colItems>
  <dataFields count="1">
    <dataField name="Suma de PA.2 ¿Qué tipo de armas? Enc. RE y RM/2. Blanca" fld="17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2.xml><?xml version="1.0" encoding="utf-8"?>
<pivotTableDefinition xmlns="http://schemas.openxmlformats.org/spreadsheetml/2006/main" name="TablaDinámica3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47:B25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4"/>
  </rowFields>
  <rowItems count="3">
    <i>
      <x/>
    </i>
    <i>
      <x v="1"/>
    </i>
    <i t="grand">
      <x/>
    </i>
  </rowItems>
  <colItems count="1">
    <i/>
  </colItems>
  <dataFields count="1">
    <dataField name="Cuenta de CC.3 Personas que orinan en el parque?" fld="134" subtotal="count" showDataAs="percentOfCol" baseField="13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3.xml><?xml version="1.0" encoding="utf-8"?>
<pivotTableDefinition xmlns="http://schemas.openxmlformats.org/spreadsheetml/2006/main" name="TablaDinámica3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08:B21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H.2 la frecuencia con la que asiste a espectáculos públicos del parque" fld="79" subtotal="count" showDataAs="percentOfCol" baseField="7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4.xml><?xml version="1.0" encoding="utf-8"?>
<pivotTableDefinition xmlns="http://schemas.openxmlformats.org/spreadsheetml/2006/main" name="TablaDinámica7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14:E41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1"/>
  </rowFields>
  <rowItems count="3">
    <i>
      <x/>
    </i>
    <i>
      <x v="1"/>
    </i>
    <i t="grand">
      <x/>
    </i>
  </rowItems>
  <colItems count="1">
    <i/>
  </colItems>
  <dataFields count="1">
    <dataField name="Cuenta de SSM.5.1 ¿Se benefició de alguna manera del  trabajo de esta institución?" fld="19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5.xml><?xml version="1.0" encoding="utf-8"?>
<pivotTableDefinition xmlns="http://schemas.openxmlformats.org/spreadsheetml/2006/main" name="TablaDinámica6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71:B37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2"/>
  </rowFields>
  <rowItems count="2">
    <i>
      <x v="1"/>
    </i>
    <i t="grand">
      <x/>
    </i>
  </rowItems>
  <colItems count="1">
    <i/>
  </colItems>
  <dataFields count="1">
    <dataField name="Suma de PA.2 ¿Qué tipo de armas? Enc. RE y RM/3. Contundente" fld="17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6.xml><?xml version="1.0" encoding="utf-8"?>
<pivotTableDefinition xmlns="http://schemas.openxmlformats.org/spreadsheetml/2006/main" name="TablaDinámica5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21:B32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7 Aglomeración de personas?" fld="160" subtotal="count" showDataAs="percentOfCol" baseField="15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7.xml><?xml version="1.0" encoding="utf-8"?>
<pivotTableDefinition xmlns="http://schemas.openxmlformats.org/spreadsheetml/2006/main" name="TablaDinámica8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07:H41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3.2 ¿Cómo califica el servicio?" fld="18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8.xml><?xml version="1.0" encoding="utf-8"?>
<pivotTableDefinition xmlns="http://schemas.openxmlformats.org/spreadsheetml/2006/main" name="TablaDinámica5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10:B31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6"/>
  </rowFields>
  <rowItems count="3">
    <i>
      <x/>
    </i>
    <i>
      <x v="1"/>
    </i>
    <i t="grand">
      <x/>
    </i>
  </rowItems>
  <colItems count="1">
    <i/>
  </colItems>
  <dataFields count="1">
    <dataField name="Cuenta de CC.14 Basura y suciedad?" fld="156" subtotal="count" showDataAs="percentOfCol" baseField="15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9.xml><?xml version="1.0" encoding="utf-8"?>
<pivotTableDefinition xmlns="http://schemas.openxmlformats.org/spreadsheetml/2006/main" name="TablaDinámica3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222:B22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1"/>
  </rowFields>
  <rowItems count="3">
    <i>
      <x/>
    </i>
    <i>
      <x v="1"/>
    </i>
    <i t="grand">
      <x/>
    </i>
  </rowItems>
  <colItems count="1">
    <i/>
  </colItems>
  <dataFields count="1">
    <dataField name="Cuenta de CH.4 Por motivos de seguridad, en los últimos 6 meses, ¿ha cambiado su horario de visita al parque?. Enc. RE y RU" fld="81" subtotal="count" showDataAs="percentOfCol" baseField="8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0.xml><?xml version="1.0" encoding="utf-8"?>
<pivotTableDefinition xmlns="http://schemas.openxmlformats.org/spreadsheetml/2006/main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07:B110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 t="grand">
      <x/>
    </i>
  </rowItems>
  <colItems count="1">
    <i/>
  </colItems>
  <pageFields count="1">
    <pageField fld="49" hier="-1"/>
  </pageFields>
  <dataFields count="1">
    <dataField name="Cuenta de AP. 5.1 ¿Cree que influye en su seguridad el estar acompañado/a dentro del parque? Enc. RE y RU" fld="50" subtotal="count" showDataAs="percentOfCol" baseField="4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1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16:B1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4. De paso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2.xml><?xml version="1.0" encoding="utf-8"?>
<pivotTableDefinition xmlns="http://schemas.openxmlformats.org/spreadsheetml/2006/main" name="TablaDinámica9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G431:H43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7.2 ¿Cómo califica el servicio?" fld="19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3.xml><?xml version="1.0" encoding="utf-8"?>
<pivotTableDefinition xmlns="http://schemas.openxmlformats.org/spreadsheetml/2006/main" name="TablaDinámica8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439:E44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6"/>
  </rowFields>
  <rowItems count="3">
    <i>
      <x/>
    </i>
    <i>
      <x v="1"/>
    </i>
    <i t="grand">
      <x/>
    </i>
  </rowItems>
  <colItems count="1">
    <i/>
  </colItems>
  <dataFields count="1">
    <dataField name="Cuenta de SSM.10.1 ¿Se benefició de alguna manera del  trabajo de esta institución?" fld="20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4.xml><?xml version="1.0" encoding="utf-8"?>
<pivotTableDefinition xmlns="http://schemas.openxmlformats.org/spreadsheetml/2006/main" name="TablaDinámica19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94:L39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2"/>
  </rowFields>
  <rowItems count="2">
    <i>
      <x v="1"/>
    </i>
    <i t="grand">
      <x/>
    </i>
  </rowItems>
  <colItems count="1">
    <i/>
  </colItems>
  <dataFields count="1">
    <dataField name="Suma de PA.2 ¿Qué tipo de armas? Enc. RE y RM/3. Contundente" fld="17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5.xml><?xml version="1.0" encoding="utf-8"?>
<pivotTableDefinition xmlns="http://schemas.openxmlformats.org/spreadsheetml/2006/main" name="TablaDinámica1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X113:AC119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80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rango_etario" fld="9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6.xml><?xml version="1.0" encoding="utf-8"?>
<pivotTableDefinition xmlns="http://schemas.openxmlformats.org/spreadsheetml/2006/main" name="TablaDinámica1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113:W117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80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DD. 1 Sexo" fld="16" subtotal="count" showDataAs="percentOfRow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7.xml><?xml version="1.0" encoding="utf-8"?>
<pivotTableDefinition xmlns="http://schemas.openxmlformats.org/spreadsheetml/2006/main" name="TablaDinámica10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60:M6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1"/>
        <item x="2"/>
        <item x="5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5 En espectáculos públicos como conciertos y/o actividades recreativas en este parque?" fld="59" subtotal="count" showDataAs="percentOfCol" baseField="5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8.xml><?xml version="1.0" encoding="utf-8"?>
<pivotTableDefinition xmlns="http://schemas.openxmlformats.org/spreadsheetml/2006/main" name="TablaDinámica10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69:M7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6 En restaurantes/cafeterías/comedores del parque?" fld="60" subtotal="count" showDataAs="percentOfCol" baseField="5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9.xml><?xml version="1.0" encoding="utf-8"?>
<pivotTableDefinition xmlns="http://schemas.openxmlformats.org/spreadsheetml/2006/main" name="TablaDinámica1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136:U142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81"/>
  </colFields>
  <colItems count="3">
    <i>
      <x/>
    </i>
    <i>
      <x v="1"/>
    </i>
    <i t="grand">
      <x/>
    </i>
  </colItems>
  <dataFields count="1">
    <dataField name="Cuenta de rango_etario" fld="9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0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72:J47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7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3. Tarde (12:00 a 17:59)" fld="3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1.xml><?xml version="1.0" encoding="utf-8"?>
<pivotTableDefinition xmlns="http://schemas.openxmlformats.org/spreadsheetml/2006/main" name="TablaDinámica1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X106:AC112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7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rango_etario" fld="9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2.xml><?xml version="1.0" encoding="utf-8"?>
<pivotTableDefinition xmlns="http://schemas.openxmlformats.org/spreadsheetml/2006/main" name="TablaDinámica15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98:L30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6.2 ¿Con qué frecuencia?" fld="159" subtotal="count" showDataAs="percentOfCol" baseField="15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3.xml><?xml version="1.0" encoding="utf-8"?>
<pivotTableDefinition xmlns="http://schemas.openxmlformats.org/spreadsheetml/2006/main" name="TablaDinámica9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B2:AG6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DD. 1 Sexo" fld="16" subtotal="count" showDataAs="percentOfRow" baseField="1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4.xml><?xml version="1.0" encoding="utf-8"?>
<pivotTableDefinition xmlns="http://schemas.openxmlformats.org/spreadsheetml/2006/main" name="TablaDinámica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H407:I41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3">
        <item x="0"/>
        <item x="1"/>
        <item t="default"/>
      </items>
    </pivotField>
    <pivotField showAll="0"/>
    <pivotField axis="axisRow" dataField="1" showAll="0">
      <items count="4">
        <item x="0"/>
        <item x="1"/>
        <item x="2"/>
        <item t="default"/>
      </items>
    </pivotField>
    <pivotField multipleItemSelectionAllowed="1" showAll="0"/>
    <pivotField showAll="0"/>
    <pivotField showAll="0"/>
    <pivotField showAll="0"/>
    <pivotField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PCA.1.1 Le molestan las ventas ambulantes en el parque? Enc. RE y RU." fld="167" subtotal="count" showDataAs="percentOfCol" baseField="16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5.xml><?xml version="1.0" encoding="utf-8"?>
<pivotTableDefinition xmlns="http://schemas.openxmlformats.org/spreadsheetml/2006/main" name="TablaDinámica18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37:M34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7"/>
  </rowFields>
  <rowItems count="3">
    <i>
      <x/>
    </i>
    <i>
      <x v="1"/>
    </i>
    <i t="grand">
      <x/>
    </i>
  </rowItems>
  <colItems count="1">
    <i/>
  </colItems>
  <dataFields count="1">
    <dataField name="Cuenta de SSM.4 Cuerpo de Agentes de Control Metropolitano de Quito (CACMQ) - Mantener el orden y la seguridad." fld="187" subtotal="count" showDataAs="percentOfCol" baseField="187" baseItem="0" numFmtId="10"/>
  </dataFields>
  <formats count="2">
    <format dxfId="1">
      <pivotArea dataOnly="0" outline="0" axis="axisValues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6.xml><?xml version="1.0" encoding="utf-8"?>
<pivotTableDefinition xmlns="http://schemas.openxmlformats.org/spreadsheetml/2006/main" name="TablaDinámica16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22:S32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4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1.2 ¿Cómo califica el servicio?" fld="180" subtotal="count" showDataAs="percentOfCol" baseField="180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7.xml><?xml version="1.0" encoding="utf-8"?>
<pivotTableDefinition xmlns="http://schemas.openxmlformats.org/spreadsheetml/2006/main" name="TablaDinámica16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66:S37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8.2 ¿Cómo califica el servicio?" fld="201" subtotal="count" showDataAs="percentOfCol" baseField="20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8.xml><?xml version="1.0" encoding="utf-8"?>
<pivotTableDefinition xmlns="http://schemas.openxmlformats.org/spreadsheetml/2006/main" name="TablaDinámica13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30:J23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4"/>
  </rowFields>
  <rowItems count="3">
    <i>
      <x/>
    </i>
    <i>
      <x v="1"/>
    </i>
    <i t="grand">
      <x/>
    </i>
  </rowItems>
  <colItems count="1">
    <i/>
  </colItems>
  <dataFields count="1">
    <dataField name="Cuenta de CC.3 Personas que orinan en el parque?" fld="134" subtotal="count" showDataAs="percentOfCol" baseField="13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9.xml><?xml version="1.0" encoding="utf-8"?>
<pivotTableDefinition xmlns="http://schemas.openxmlformats.org/spreadsheetml/2006/main" name="TablaDinámica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501:J50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3. Caminos de ciclismo" fld="4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0.xml><?xml version="1.0" encoding="utf-8"?>
<pivotTableDefinition xmlns="http://schemas.openxmlformats.org/spreadsheetml/2006/main" name="TablaDinámica10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42:M4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4"/>
        <item x="2"/>
        <item x="1"/>
        <item x="3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3 Con la presencia de vendedores ambulantes en el parque?" fld="57" subtotal="count" showDataAs="percentOfCol" baseField="5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1.xml><?xml version="1.0" encoding="utf-8"?>
<pivotTableDefinition xmlns="http://schemas.openxmlformats.org/spreadsheetml/2006/main" name="TablaDinámica10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78:M8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PSC.7 Caminando sola/o en el día por este parque?" fld="61" subtotal="count" showDataAs="percentOfCol" baseField="6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2.xml><?xml version="1.0" encoding="utf-8"?>
<pivotTableDefinition xmlns="http://schemas.openxmlformats.org/spreadsheetml/2006/main" name="TablaDinámica9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B16:AG25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8">
        <item x="6"/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DD. 5 ¿Cuál es su nivel de estudios aprobados? Enc. respuesta espontánea y RU." fld="21" subtotal="count" showDataAs="percentOfRow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3.xml><?xml version="1.0" encoding="utf-8"?>
<pivotTableDefinition xmlns="http://schemas.openxmlformats.org/spreadsheetml/2006/main" name="TablaDinámica14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40:L24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.1 ¿Con qué frecuencia?" fld="139" subtotal="count" showDataAs="percentOfCol" baseField="13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4.xml><?xml version="1.0" encoding="utf-8"?>
<pivotTableDefinition xmlns="http://schemas.openxmlformats.org/spreadsheetml/2006/main" name="TablaDinámica14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35:L23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4.1 ¿Con qué frecuencia?" fld="137" subtotal="count" showDataAs="percentOfCol" baseField="13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5.xml><?xml version="1.0" encoding="utf-8"?>
<pivotTableDefinition xmlns="http://schemas.openxmlformats.org/spreadsheetml/2006/main" name="TablaDiná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525:J52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8. Otro." fld="4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6.xml><?xml version="1.0" encoding="utf-8"?>
<pivotTableDefinition xmlns="http://schemas.openxmlformats.org/spreadsheetml/2006/main" name="TablaDinámica18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52:M35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6"/>
  </rowFields>
  <rowItems count="3">
    <i>
      <x/>
    </i>
    <i>
      <x v="1"/>
    </i>
    <i t="grand">
      <x/>
    </i>
  </rowItems>
  <colItems count="1">
    <i/>
  </colItems>
  <dataFields count="1">
    <dataField name="Cuenta de SSM.7 Empresa Metropolitana de Aseo (EMASEO) - Recolección, transporte y disposición de residuos." fld="196" subtotal="count" showDataAs="percentOfCol" baseField="196" baseItem="1" numFmtId="10"/>
  </dataFields>
  <formats count="2">
    <format dxfId="3">
      <pivotArea dataOnly="0" labelOnly="1" outline="0" axis="axisValues" fieldPosition="0"/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7.xml><?xml version="1.0" encoding="utf-8"?>
<pivotTableDefinition xmlns="http://schemas.openxmlformats.org/spreadsheetml/2006/main" name="TablaDinámica13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64:J26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9 Venta de alcohol?" fld="146" subtotal="count" showDataAs="percentOfCol" baseField="14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8.xml><?xml version="1.0" encoding="utf-8"?>
<pivotTableDefinition xmlns="http://schemas.openxmlformats.org/spreadsheetml/2006/main" name="TablaDinámica18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410:L413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6"/>
  </rowFields>
  <rowItems count="3">
    <i>
      <x/>
    </i>
    <i>
      <x v="1"/>
    </i>
    <i t="grand">
      <x/>
    </i>
  </rowItems>
  <colItems count="1">
    <i/>
  </colItems>
  <pageFields count="1">
    <pageField fld="168" hier="-1"/>
  </pageFields>
  <dataFields count="1">
    <dataField name="Cuenta de PA.3 Durante los últimos 6 meses. ¿Ud. ha presenciado alguna situación de violencia relacionada con armas en el parque? Enc. RE y RU." fld="176" subtotal="count" showDataAs="percentOfCol" baseField="17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9.xml><?xml version="1.0" encoding="utf-8"?>
<pivotTableDefinition xmlns="http://schemas.openxmlformats.org/spreadsheetml/2006/main" name="TablaDinámica15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04:L30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7.2 ¿Con qué frecuencia?" fld="161" subtotal="count" showDataAs="percentOfCol" baseField="16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0.xml><?xml version="1.0" encoding="utf-8"?>
<pivotTableDefinition xmlns="http://schemas.openxmlformats.org/spreadsheetml/2006/main" name="TablaDinámica18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27:M33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1"/>
  </rowFields>
  <rowItems count="3">
    <i>
      <x/>
    </i>
    <i>
      <x v="1"/>
    </i>
    <i t="grand">
      <x/>
    </i>
  </rowItems>
  <colItems count="1">
    <i/>
  </colItems>
  <dataFields count="1">
    <dataField name="Cuenta de SSM.2 Agencia Metropolitana de Control de Comercio (AMCC) - Encargados de regular y fortalecer el comercio de Quito." fld="181" subtotal="count" showDataAs="percentOfCol" baseField="181" baseItem="1" numFmtId="10"/>
  </dataFields>
  <formats count="2">
    <format dxfId="5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1.xml><?xml version="1.0" encoding="utf-8"?>
<pivotTableDefinition xmlns="http://schemas.openxmlformats.org/spreadsheetml/2006/main" name="TablaDinámica12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81:J28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2 Daño a la propiedad pública y privada?" fld="152" subtotal="count" showDataAs="percentOfCol" baseField="151" baseItem="0" numFmtId="10"/>
  </dataFields>
  <formats count="1"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2.xml><?xml version="1.0" encoding="utf-8"?>
<pivotTableDefinition xmlns="http://schemas.openxmlformats.org/spreadsheetml/2006/main" name="TablaDinámica1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136:O140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81"/>
  </colFields>
  <colItems count="3">
    <i>
      <x/>
    </i>
    <i>
      <x v="1"/>
    </i>
    <i t="grand">
      <x/>
    </i>
  </colItems>
  <dataFields count="1">
    <dataField name="Cuenta de DD. 1 Sexo" fld="16" subtotal="count" showDataAs="percentOfRow" baseField="1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3.xml><?xml version="1.0" encoding="utf-8"?>
<pivotTableDefinition xmlns="http://schemas.openxmlformats.org/spreadsheetml/2006/main" name="TablaDinámica19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86:L38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0"/>
  </rowFields>
  <rowItems count="2">
    <i>
      <x v="1"/>
    </i>
    <i t="grand">
      <x/>
    </i>
  </rowItems>
  <colItems count="1">
    <i/>
  </colItems>
  <dataFields count="1">
    <dataField name="Suma de PA.2 ¿Qué tipo de armas? Enc. RE y RM/1. De fuego" fld="17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4.xml><?xml version="1.0" encoding="utf-8"?>
<pivotTableDefinition xmlns="http://schemas.openxmlformats.org/spreadsheetml/2006/main" name="TablaDinámica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38:J44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2. Culturales y sociales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5.xml><?xml version="1.0" encoding="utf-8"?>
<pivotTableDefinition xmlns="http://schemas.openxmlformats.org/spreadsheetml/2006/main" name="TablaDinámica14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58:L26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8.1 ¿Con qué frecuencia?" fld="145" subtotal="count" showDataAs="percentOfCol" baseField="14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6.xml><?xml version="1.0" encoding="utf-8"?>
<pivotTableDefinition xmlns="http://schemas.openxmlformats.org/spreadsheetml/2006/main" name="TablaDinámica14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52:L25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dataField="1" showAll="0">
      <items count="5">
        <item x="0"/>
        <item x="2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7.1 ¿Con qué frecuencia?" fld="143" subtotal="count" showDataAs="percentOfCol" baseField="14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7.xml><?xml version="1.0" encoding="utf-8"?>
<pivotTableDefinition xmlns="http://schemas.openxmlformats.org/spreadsheetml/2006/main" name="TablaDinámica17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37:P34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8"/>
  </rowFields>
  <rowItems count="3">
    <i>
      <x/>
    </i>
    <i>
      <x v="1"/>
    </i>
    <i t="grand">
      <x/>
    </i>
  </rowItems>
  <colItems count="1">
    <i/>
  </colItems>
  <dataFields count="1">
    <dataField name="Cuenta de SSM.4.1 ¿Se benefició de alguna manera del  trabajo de esta institución?" fld="188" subtotal="count" showDataAs="percentOfCol" baseField="188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8.xml><?xml version="1.0" encoding="utf-8"?>
<pivotTableDefinition xmlns="http://schemas.openxmlformats.org/spreadsheetml/2006/main" name="TablaDinámica18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402:L40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4"/>
  </rowFields>
  <rowItems count="2">
    <i>
      <x v="1"/>
    </i>
    <i t="grand">
      <x/>
    </i>
  </rowItems>
  <colItems count="1">
    <i/>
  </colItems>
  <dataFields count="1">
    <dataField name="Suma de PA.2 ¿Qué tipo de armas? Enc. RE y RM/5. Otras" fld="17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9.xml><?xml version="1.0" encoding="utf-8"?>
<pivotTableDefinition xmlns="http://schemas.openxmlformats.org/spreadsheetml/2006/main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77:J47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8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4. Noche  (18:00 a 23:59)" fld="3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0.xml><?xml version="1.0" encoding="utf-8"?>
<pivotTableDefinition xmlns="http://schemas.openxmlformats.org/spreadsheetml/2006/main" name="TablaDinámica12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174:O183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dataField="1" showAll="0">
      <items count="8">
        <item x="6"/>
        <item x="5"/>
        <item x="1"/>
        <item x="3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2"/>
  </colFields>
  <colItems count="3">
    <i>
      <x/>
    </i>
    <i>
      <x v="1"/>
    </i>
    <i t="grand">
      <x/>
    </i>
  </colItems>
  <dataFields count="1">
    <dataField name="Cuenta de DD. 5 ¿Cuál es su nivel de estudios aprobados? Enc. respuesta espontánea y RU." fld="21" subtotal="count" showDataAs="percentOfRow" baseField="2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1.xml><?xml version="1.0" encoding="utf-8"?>
<pivotTableDefinition xmlns="http://schemas.openxmlformats.org/spreadsheetml/2006/main" name="TablaDinámica18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22:M32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8"/>
  </rowFields>
  <rowItems count="3">
    <i>
      <x/>
    </i>
    <i>
      <x v="1"/>
    </i>
    <i t="grand">
      <x/>
    </i>
  </rowItems>
  <colItems count="1">
    <i/>
  </colItems>
  <dataFields count="1">
    <dataField name="Cuenta de SSM.1 Agencia Metropolitana de Control (AMC) - Encargados de cumplir las normativas y regulaciones metropolitanas." fld="178" subtotal="count" showDataAs="percentOfCol" baseField="178" baseItem="1" numFmtId="10"/>
  </dataFields>
  <formats count="2">
    <format dxfId="8">
      <pivotArea dataOnly="0" labelOnly="1" outline="0" axis="axisValues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2.xml><?xml version="1.0" encoding="utf-8"?>
<pivotTableDefinition xmlns="http://schemas.openxmlformats.org/spreadsheetml/2006/main" name="TablaDinámica14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64:L26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2"/>
        <item x="3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9.1 ¿Con qué frecuencia?" fld="147" subtotal="count" showDataAs="percentOfCol" baseField="14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3.xml><?xml version="1.0" encoding="utf-8"?>
<pivotTableDefinition xmlns="http://schemas.openxmlformats.org/spreadsheetml/2006/main" name="TablaDinámica1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67:J46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6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2. Mañana  (06:00 a 11:59)" fld="3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4.xml><?xml version="1.0" encoding="utf-8"?>
<pivotTableDefinition xmlns="http://schemas.openxmlformats.org/spreadsheetml/2006/main" name="TablaDinámica11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99:W103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78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DD. 1 Sexo" fld="16" subtotal="count" showDataAs="percentOfRow" baseField="1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5.xml><?xml version="1.0" encoding="utf-8"?>
<pivotTableDefinition xmlns="http://schemas.openxmlformats.org/spreadsheetml/2006/main" name="TablaDinámica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">
  <location ref="L467:M47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9"/>
  </rowFields>
  <rowItems count="3">
    <i>
      <x/>
    </i>
    <i>
      <x v="1"/>
    </i>
    <i t="grand">
      <x/>
    </i>
  </rowItems>
  <colItems count="1">
    <i/>
  </colItems>
  <dataFields count="1">
    <dataField name="Cuenta de AP. 5 ¿Por lo general, viene acompañado/a al parque? Enc. RE y RU" fld="49" subtotal="count" showDataAs="percentOfCol" baseField="4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6.xml><?xml version="1.0" encoding="utf-8"?>
<pivotTableDefinition xmlns="http://schemas.openxmlformats.org/spreadsheetml/2006/main" name="TablaDinámica10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86:M9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4"/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8 Caminando sola/o en la noche por este parque?" fld="62" subtotal="count" showDataAs="percentOfCol" baseField="6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7.xml><?xml version="1.0" encoding="utf-8"?>
<pivotTableDefinition xmlns="http://schemas.openxmlformats.org/spreadsheetml/2006/main" name="TablaDinámica1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513:J51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6. Área para perros" fld="4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8.xml><?xml version="1.0" encoding="utf-8"?>
<pivotTableDefinition xmlns="http://schemas.openxmlformats.org/spreadsheetml/2006/main" name="TablaDiná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519:J52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7. Áreas verdes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9.xml><?xml version="1.0" encoding="utf-8"?>
<pivotTableDefinition xmlns="http://schemas.openxmlformats.org/spreadsheetml/2006/main" name="TablaDinámica80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K18:AL23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PSC.1 En los últimos 6 meses, es decir, de septiembre 2024 a la fecha. EN TÉRMINOS DE SU SEGURIDAD P" fld="1" subtotal="count" showDataAs="percentOfCol" baseField="0" baseItem="0" numFmtId="10"/>
  </dataFields>
  <pivotHierarchies count="4"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Z$1:$AZ$507">
        <x15:activeTabTopLevelEntity name="[Rang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0.xml><?xml version="1.0" encoding="utf-8"?>
<pivotTableDefinition xmlns="http://schemas.openxmlformats.org/spreadsheetml/2006/main" name="TablaDinámica18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32:M33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4"/>
  </rowFields>
  <rowItems count="3">
    <i>
      <x/>
    </i>
    <i>
      <x v="1"/>
    </i>
    <i t="grand">
      <x/>
    </i>
  </rowItems>
  <colItems count="1">
    <i/>
  </colItems>
  <dataFields count="1">
    <dataField name="Cuenta de SSM.3 Patronato San José (UPMSJ) - Atención a personas en situación de calle." fld="184" subtotal="count" showDataAs="percentOfCol" baseField="184" baseItem="0" numFmtId="10"/>
  </dataFields>
  <formats count="2">
    <format dxfId="10">
      <pivotArea dataOnly="0" labelOnly="1" outline="0" axis="axisValues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1.xml><?xml version="1.0" encoding="utf-8"?>
<pivotTableDefinition xmlns="http://schemas.openxmlformats.org/spreadsheetml/2006/main" name="TablaDinámica16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41:S34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4.2 ¿Cómo califica el servicio?" fld="189" subtotal="count" showDataAs="percentOfCol" baseField="18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2.xml><?xml version="1.0" encoding="utf-8"?>
<pivotTableDefinition xmlns="http://schemas.openxmlformats.org/spreadsheetml/2006/main" name="TablaDinámica15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73:S37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2"/>
        <item x="1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9.2 ¿Cómo califica el servicio?" fld="204" subtotal="count" showDataAs="percentOfCol" baseField="204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3.xml><?xml version="1.0" encoding="utf-8"?>
<pivotTableDefinition xmlns="http://schemas.openxmlformats.org/spreadsheetml/2006/main" name="TablaDinámica15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80:S38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7"/>
  </rowFields>
  <rowItems count="3">
    <i>
      <x/>
    </i>
    <i>
      <x v="1"/>
    </i>
    <i t="grand">
      <x/>
    </i>
  </rowItems>
  <colItems count="1">
    <i/>
  </colItems>
  <dataFields count="1">
    <dataField name="Cuenta de SSM.10.2 ¿Cómo califica el servicio?" fld="207" subtotal="count" showDataAs="percentOfCol" baseField="20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4.xml><?xml version="1.0" encoding="utf-8"?>
<pivotTableDefinition xmlns="http://schemas.openxmlformats.org/spreadsheetml/2006/main" name="TablaDinámica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J120:K12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1"/>
  </rowFields>
  <rowItems count="3">
    <i>
      <x/>
    </i>
    <i>
      <x v="1"/>
    </i>
    <i t="grand">
      <x/>
    </i>
  </rowItems>
  <colItems count="1">
    <i/>
  </colItems>
  <dataFields count="1">
    <dataField name="Cuenta de CH.4 Por motivos de seguridad, en los últimos 6 meses, ¿ha cambiado su horario de visita al parque?. Enc. RE y RU" fld="81" subtotal="count" showDataAs="percentOfCol" baseField="8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5.xml><?xml version="1.0" encoding="utf-8"?>
<pivotTableDefinition xmlns="http://schemas.openxmlformats.org/spreadsheetml/2006/main" name="TablaDinámica13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70:J27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8"/>
  </rowFields>
  <rowItems count="3">
    <i>
      <x/>
    </i>
    <i>
      <x v="1"/>
    </i>
    <i t="grand">
      <x/>
    </i>
  </rowItems>
  <colItems count="1">
    <i/>
  </colItems>
  <dataFields count="1">
    <dataField name="Cuenta de CC.10 Consumo de drogas?" fld="148" subtotal="count" showDataAs="percentOfCol" baseField="147" baseItem="0" numFmtId="10"/>
  </dataFields>
  <formats count="1">
    <format dxfId="1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6.xml><?xml version="1.0" encoding="utf-8"?>
<pivotTableDefinition xmlns="http://schemas.openxmlformats.org/spreadsheetml/2006/main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57:J45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h="1" x="0"/>
        <item x="1"/>
        <item h="1"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2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6. Otra" fld="3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7.xml><?xml version="1.0" encoding="utf-8"?>
<pivotTableDefinition xmlns="http://schemas.openxmlformats.org/spreadsheetml/2006/main" name="TablaDinámica18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57:M36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9"/>
  </rowFields>
  <rowItems count="3">
    <i>
      <x/>
    </i>
    <i>
      <x v="1"/>
    </i>
    <i t="grand">
      <x/>
    </i>
  </rowItems>
  <colItems count="1">
    <i/>
  </colItems>
  <dataFields count="1">
    <dataField name="Cuenta de SSM.8 Policía Nacional (PN) - Garantizar el orden público y la protección de la ciudadania." fld="199" subtotal="count" showDataAs="percentOfCol" baseField="199" baseItem="1" numFmtId="10"/>
  </dataFields>
  <formats count="2">
    <format dxfId="13">
      <pivotArea dataOnly="0" labelOnly="1" outline="0" axis="axisValues" fieldPosition="0"/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8.xml><?xml version="1.0" encoding="utf-8"?>
<pivotTableDefinition xmlns="http://schemas.openxmlformats.org/spreadsheetml/2006/main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34:J43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7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1. Deporte / ejercicio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9.xml><?xml version="1.0" encoding="utf-8"?>
<pivotTableDefinition xmlns="http://schemas.openxmlformats.org/spreadsheetml/2006/main" name="TablaDinámica10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51:M5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2"/>
        <item x="1"/>
        <item x="3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4 Transitando por sitios con basura en el parque?" fld="58" subtotal="count" showDataAs="percentOfCol" baseField="5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0.xml><?xml version="1.0" encoding="utf-8"?>
<pivotTableDefinition xmlns="http://schemas.openxmlformats.org/spreadsheetml/2006/main" name="TablaDinámica9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B8:AG14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51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rango_etario" fld="9" subtotal="count" showDataAs="percentOfRow" baseField="9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1.xml><?xml version="1.0" encoding="utf-8"?>
<pivotTableDefinition xmlns="http://schemas.openxmlformats.org/spreadsheetml/2006/main" name="TablaDinámica19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79:L38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8"/>
  </rowFields>
  <rowItems count="3">
    <i>
      <x/>
    </i>
    <i>
      <x v="1"/>
    </i>
    <i t="grand">
      <x/>
    </i>
  </rowItems>
  <colItems count="1">
    <i/>
  </colItems>
  <dataFields count="1">
    <dataField name="Cuenta de PA.1 Excluyendo a militares y policías en servicio activo, durante los últimos 6 meses. ¿Usted ha visto en el parque La Carolina a personas que porten armas? Enc. RE y RU." fld="168" subtotal="count" showDataAs="percentOfCol" baseField="16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2.xml><?xml version="1.0" encoding="utf-8"?>
<pivotTableDefinition xmlns="http://schemas.openxmlformats.org/spreadsheetml/2006/main" name="TablaDiná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52:J45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1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5. Recreación/Ocio" fld="3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3.xml><?xml version="1.0" encoding="utf-8"?>
<pivotTableDefinition xmlns="http://schemas.openxmlformats.org/spreadsheetml/2006/main" name="TablaDinámica12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190:S20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13">
        <item x="6"/>
        <item x="4"/>
        <item x="1"/>
        <item x="5"/>
        <item x="10"/>
        <item x="7"/>
        <item x="3"/>
        <item x="9"/>
        <item x="2"/>
        <item x="11"/>
        <item x="8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uenta de ¿De qué delitos fue víctima? Enc. respuesta espontáne. RM" fld="8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4.xml><?xml version="1.0" encoding="utf-8"?>
<pivotTableDefinition xmlns="http://schemas.openxmlformats.org/spreadsheetml/2006/main" name="TablaDinámica13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46:J25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6 Peleas o riñas ?" fld="140" subtotal="count" showDataAs="percentOfCol" baseField="13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5.xml><?xml version="1.0" encoding="utf-8"?>
<pivotTableDefinition xmlns="http://schemas.openxmlformats.org/spreadsheetml/2006/main" name="TablaDinámica15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75:L27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.1 ¿Con qué frecuencia?" fld="151" subtotal="count" showDataAs="percentOfCol" baseField="15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6.xml><?xml version="1.0" encoding="utf-8"?>
<pivotTableDefinition xmlns="http://schemas.openxmlformats.org/spreadsheetml/2006/main" name="TablaDinámica15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70:L27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0.1 ¿Con qué frecuencia?" fld="149" subtotal="count" showDataAs="percentOfCol" baseField="14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7.xml><?xml version="1.0" encoding="utf-8"?>
<pivotTableDefinition xmlns="http://schemas.openxmlformats.org/spreadsheetml/2006/main" name="TablaDinámica1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42:J44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9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3. Compra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8.xml><?xml version="1.0" encoding="utf-8"?>
<pivotTableDefinition xmlns="http://schemas.openxmlformats.org/spreadsheetml/2006/main" name="TablaDinámica12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H174:K178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82"/>
  </colFields>
  <colItems count="3">
    <i>
      <x/>
    </i>
    <i>
      <x v="1"/>
    </i>
    <i t="grand">
      <x/>
    </i>
  </colItems>
  <dataFields count="1">
    <dataField name="Cuenta de DD. 1 Sexo" fld="16" subtotal="count" showDataAs="percentOfRow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9.xml><?xml version="1.0" encoding="utf-8"?>
<pivotTableDefinition xmlns="http://schemas.openxmlformats.org/spreadsheetml/2006/main" name="TablaDiná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89:J49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1. Canchas de fútbol y basquet" fld="4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0.xml><?xml version="1.0" encoding="utf-8"?>
<pivotTableDefinition xmlns="http://schemas.openxmlformats.org/spreadsheetml/2006/main" name="TablaDinámica10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J99:K10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H.1 la frecuencia con la que transita solo/a por el parque" fld="78" subtotal="count" showDataAs="percentOfCol" baseField="77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1.xml><?xml version="1.0" encoding="utf-8"?>
<pivotTableDefinition xmlns="http://schemas.openxmlformats.org/spreadsheetml/2006/main" name="TablaDinámica10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J106:K11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H.2 la frecuencia con la que asiste a espectáculos públicos del parque" fld="79" subtotal="count" showDataAs="percentOfCol" baseField="7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2.xml><?xml version="1.0" encoding="utf-8"?>
<pivotTableDefinition xmlns="http://schemas.openxmlformats.org/spreadsheetml/2006/main" name="TablaDinámica10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J113:K11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CH.3  la frecuencia con la que visita restaurantes, cafeterías y comedores del parque" fld="80" subtotal="count" showDataAs="percentOfCol" baseField="7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3.xml><?xml version="1.0" encoding="utf-8"?>
<pivotTableDefinition xmlns="http://schemas.openxmlformats.org/spreadsheetml/2006/main" name="TablaDinámica19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98:L40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axis="axisRow" dataField="1" showAll="0">
      <items count="4">
        <item h="1"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3"/>
  </rowFields>
  <rowItems count="2">
    <i>
      <x v="1"/>
    </i>
    <i t="grand">
      <x/>
    </i>
  </rowItems>
  <colItems count="1">
    <i/>
  </colItems>
  <dataFields count="1">
    <dataField name="Suma de PA.2 ¿Qué tipo de armas? Enc. RE y RM/4. Constrictora" fld="17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4.xml><?xml version="1.0" encoding="utf-8"?>
<pivotTableDefinition xmlns="http://schemas.openxmlformats.org/spreadsheetml/2006/main" name="TablaDinámica16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67:P37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6"/>
  </rowFields>
  <rowItems count="3">
    <i>
      <x/>
    </i>
    <i>
      <x v="1"/>
    </i>
    <i t="grand">
      <x/>
    </i>
  </rowItems>
  <colItems count="1">
    <i/>
  </colItems>
  <dataFields count="1">
    <dataField name="Cuenta de SSM.10.1 ¿Se benefició de alguna manera del  trabajo de esta institución?" fld="206" subtotal="count" showDataAs="percentOfCol" baseField="20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5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">
  <location ref="L450:M45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n="menos a 1 hora" x="1"/>
        <item n="de 1 a 2 horas" x="3"/>
        <item n="de 2 hora a 3 horas" x="0"/>
        <item n="más de 4 horas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AP. 3 ¿Cuánto tiempo se queda en el parque cada vez que lo visita? Enc. Leer opciones y RU." fld="39" subtotal="count" showDataAs="percentOfCol" baseField="3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6.xml><?xml version="1.0" encoding="utf-8"?>
<pivotTableDefinition xmlns="http://schemas.openxmlformats.org/spreadsheetml/2006/main" name="TablaDinámica17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62:M36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2"/>
  </rowFields>
  <rowItems count="3">
    <i>
      <x/>
    </i>
    <i>
      <x v="1"/>
    </i>
    <i t="grand">
      <x/>
    </i>
  </rowItems>
  <colItems count="1">
    <i/>
  </colItems>
  <dataFields count="1">
    <dataField name="Cuenta de SSM.9 Fuerzas Armadas del Ecuador (FFAA) - Defensa de la soberanía e integridad territorial del país." fld="202" subtotal="count" showDataAs="percentOfCol" baseField="202" baseItem="1" numFmtId="10"/>
  </dataFields>
  <formats count="2">
    <format dxfId="15">
      <pivotArea dataOnly="0" labelOnly="1" outline="0" axis="axisValues" fieldPosition="0"/>
    </format>
    <format dxfId="1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7.xml><?xml version="1.0" encoding="utf-8"?>
<pivotTableDefinition xmlns="http://schemas.openxmlformats.org/spreadsheetml/2006/main" name="TablaDinámica14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24:L22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2.1 ¿Con qué frecuencia?" fld="133" subtotal="count" showDataAs="percentOfCol" baseField="1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8.xml><?xml version="1.0" encoding="utf-8"?>
<pivotTableDefinition xmlns="http://schemas.openxmlformats.org/spreadsheetml/2006/main" name="TablaDiná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62:J46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5"/>
  </rowFields>
  <rowItems count="2">
    <i>
      <x v="1"/>
    </i>
    <i t="grand">
      <x/>
    </i>
  </rowItems>
  <colItems count="1">
    <i/>
  </colItems>
  <dataFields count="1">
    <dataField name="Suma de AP. 2 Por lo general, ¿en qué horarios visita este parque? Enc. RE y RM/1. Madrugada (00:00 a 05:59)" fld="3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9.xml><?xml version="1.0" encoding="utf-8"?>
<pivotTableDefinition xmlns="http://schemas.openxmlformats.org/spreadsheetml/2006/main" name="TablaDinámica13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75:J27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1 Venta de drogas?" fld="150" subtotal="count" showDataAs="percentOfCol" baseField="149" baseItem="0" numFmtId="10"/>
  </dataFields>
  <formats count="1"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0.xml><?xml version="1.0" encoding="utf-8"?>
<pivotTableDefinition xmlns="http://schemas.openxmlformats.org/spreadsheetml/2006/main" name="TablaDinámica16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29:S33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2.2 ¿Cómo califica el servicio?" fld="183" subtotal="count" showDataAs="percentOfCol" baseField="18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1.xml><?xml version="1.0" encoding="utf-8"?>
<pivotTableDefinition xmlns="http://schemas.openxmlformats.org/spreadsheetml/2006/main" name="TablaDinámica14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30:L23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3.1 ¿Con qué frecuencia?" fld="135" subtotal="count" showDataAs="percentOfCol" baseField="13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2.xml><?xml version="1.0" encoding="utf-8"?>
<pivotTableDefinition xmlns="http://schemas.openxmlformats.org/spreadsheetml/2006/main" name="TablaDinámica1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H180:K186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82"/>
  </colFields>
  <colItems count="3">
    <i>
      <x/>
    </i>
    <i>
      <x v="1"/>
    </i>
    <i t="grand">
      <x/>
    </i>
  </colItems>
  <dataFields count="1">
    <dataField name="Cuenta de rango_etario" fld="9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3.xml><?xml version="1.0" encoding="utf-8"?>
<pivotTableDefinition xmlns="http://schemas.openxmlformats.org/spreadsheetml/2006/main" name="TablaDinámica14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19:J22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0"/>
  </rowFields>
  <rowItems count="3">
    <i>
      <x/>
    </i>
    <i>
      <x v="1"/>
    </i>
    <i t="grand">
      <x/>
    </i>
  </rowItems>
  <colItems count="1">
    <i/>
  </colItems>
  <dataFields count="1">
    <dataField name="Cuenta de CC.1 Alguien puso música a un volumen excesivo o hizo mucho ruido y eso le molestó?" fld="130" subtotal="count" showDataAs="percentOfCol" baseField="12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4.xml><?xml version="1.0" encoding="utf-8"?>
<pivotTableDefinition xmlns="http://schemas.openxmlformats.org/spreadsheetml/2006/main" name="TablaDinámica17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67:M37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5"/>
  </rowFields>
  <rowItems count="3">
    <i>
      <x/>
    </i>
    <i>
      <x v="1"/>
    </i>
    <i t="grand">
      <x/>
    </i>
  </rowItems>
  <colItems count="1">
    <i/>
  </colItems>
  <dataFields count="1">
    <dataField name="Cuenta de SSM.10 Secretaría General de Seguridad Ciudadana y Gestión de Riesgos (SGSCGR) -  Coordinar políticas, estrategías y acciones de fortalecimiento de la seguridad ciudadana y gestión de riesgos." fld="205" subtotal="count" showDataAs="percentOfCol" baseField="205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5.xml><?xml version="1.0" encoding="utf-8"?>
<pivotTableDefinition xmlns="http://schemas.openxmlformats.org/spreadsheetml/2006/main" name="TablaDinámica19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90:L39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axis="axisRow" dataField="1" showAll="0">
      <items count="4">
        <item h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1"/>
  </rowFields>
  <rowItems count="2">
    <i>
      <x v="1"/>
    </i>
    <i t="grand">
      <x/>
    </i>
  </rowItems>
  <colItems count="1">
    <i/>
  </colItems>
  <dataFields count="1">
    <dataField name="Suma de PA.2 ¿Qué tipo de armas? Enc. RE y RM/2. Blanca" fld="17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6.xml><?xml version="1.0" encoding="utf-8"?>
<pivotTableDefinition xmlns="http://schemas.openxmlformats.org/spreadsheetml/2006/main" name="TablaDinámica16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35:S33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3.2 ¿Cómo califica el servicio?" fld="186" subtotal="count" showDataAs="percentOfCol" baseField="186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7.xml><?xml version="1.0" encoding="utf-8"?>
<pivotTableDefinition xmlns="http://schemas.openxmlformats.org/spreadsheetml/2006/main" name="TablaDinámica18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42:M34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0"/>
  </rowFields>
  <rowItems count="3">
    <i>
      <x/>
    </i>
    <i>
      <x v="1"/>
    </i>
    <i t="grand">
      <x/>
    </i>
  </rowItems>
  <colItems count="1">
    <i/>
  </colItems>
  <dataFields count="1">
    <dataField name="Cuenta de SSM.5 Cuerpo de Bombero de Quito (CBQ) - Prevención, control y respuesta de emergencias a incendios, rescates y desastres." fld="190" subtotal="count" showDataAs="percentOfCol" baseField="190" baseItem="1" numFmtId="10"/>
  </dataFields>
  <formats count="2">
    <format dxfId="18">
      <pivotArea dataOnly="0" labelOnly="1" outline="0" axis="axisValues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8.xml><?xml version="1.0" encoding="utf-8"?>
<pivotTableDefinition xmlns="http://schemas.openxmlformats.org/spreadsheetml/2006/main" name="TablaDinámica1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106:W110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79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DD. 1 Sexo" fld="16" subtotal="count" showDataAs="percentOfRow" baseField="1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9.xml><?xml version="1.0" encoding="utf-8"?>
<pivotTableDefinition xmlns="http://schemas.openxmlformats.org/spreadsheetml/2006/main" name="TablaDinámica12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93:J29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6"/>
  </rowFields>
  <rowItems count="3">
    <i>
      <x/>
    </i>
    <i>
      <x v="1"/>
    </i>
    <i t="grand">
      <x/>
    </i>
  </rowItems>
  <colItems count="1">
    <i/>
  </colItems>
  <dataFields count="1">
    <dataField name="Cuenta de CC.14 Basura y suciedad?" fld="156" subtotal="count" showDataAs="percentOfCol" baseField="155" baseItem="0" numFmtId="10"/>
  </dataFields>
  <formats count="1">
    <format dxfId="1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0.xml><?xml version="1.0" encoding="utf-8"?>
<pivotTableDefinition xmlns="http://schemas.openxmlformats.org/spreadsheetml/2006/main" name="TablaDinámica16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59:S36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1"/>
        <item x="2"/>
        <item x="3"/>
        <item x="4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uenta de SSM.7.2 ¿Cómo califica el servicio?" fld="198" subtotal="count" showDataAs="percentOfCol" baseField="198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1.xml><?xml version="1.0" encoding="utf-8"?>
<pivotTableDefinition xmlns="http://schemas.openxmlformats.org/spreadsheetml/2006/main" name="TablaDinámica15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87:L29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dataField="1" showAll="0">
      <items count="5">
        <item x="0"/>
        <item x="1"/>
        <item x="3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3.2 ¿Con qué frecuencia?" fld="155" subtotal="count" showDataAs="percentOfCol" baseField="15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2.xml><?xml version="1.0" encoding="utf-8"?>
<pivotTableDefinition xmlns="http://schemas.openxmlformats.org/spreadsheetml/2006/main" name="TablaDinámica12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310:J31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2"/>
  </rowFields>
  <rowItems count="3">
    <i>
      <x/>
    </i>
    <i>
      <x v="1"/>
    </i>
    <i t="grand">
      <x/>
    </i>
  </rowItems>
  <colItems count="1">
    <i/>
  </colItems>
  <dataFields count="1">
    <dataField name="Cuenta de CC.18 ¿Alguna otra que no le haya mencionado?" fld="162" subtotal="count" showDataAs="percentOfCol" baseField="16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3.xml><?xml version="1.0" encoding="utf-8"?>
<pivotTableDefinition xmlns="http://schemas.openxmlformats.org/spreadsheetml/2006/main" name="TablaDinámica14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19:L223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dataField="1" showAll="0">
      <items count="5">
        <item x="0"/>
        <item x="2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.1 ¿Con qué frecuencia?" fld="131" subtotal="count" showDataAs="percentOfCol" baseField="13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4.xml><?xml version="1.0" encoding="utf-8"?>
<pivotTableDefinition xmlns="http://schemas.openxmlformats.org/spreadsheetml/2006/main" name="TablaDiná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507:J51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4. Pistas para correr" fld="4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5.xml><?xml version="1.0" encoding="utf-8"?>
<pivotTableDefinition xmlns="http://schemas.openxmlformats.org/spreadsheetml/2006/main" name="TablaDinámica17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52:P35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7"/>
  </rowFields>
  <rowItems count="3">
    <i>
      <x/>
    </i>
    <i>
      <x v="1"/>
    </i>
    <i t="grand">
      <x/>
    </i>
  </rowItems>
  <colItems count="1">
    <i/>
  </colItems>
  <dataFields count="1">
    <dataField name="Cuenta de SSM.7.1 ¿Se benefició de alguna manera del  trabajo de esta institución?" fld="197" subtotal="count" showDataAs="percentOfCol" baseField="19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6.xml><?xml version="1.0" encoding="utf-8"?>
<pivotTableDefinition xmlns="http://schemas.openxmlformats.org/spreadsheetml/2006/main" name="TablaDinámica16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53:S35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6.2 ¿Cómo califica el servicio?" fld="195" subtotal="count" showDataAs="percentOfCol" baseField="195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7.xml><?xml version="1.0" encoding="utf-8"?>
<pivotTableDefinition xmlns="http://schemas.openxmlformats.org/spreadsheetml/2006/main" name="TablaDinámica1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95:J49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a de AP. 4 ¿Qué instalaciones suele utilizar en el parque? Enc. RE y RM/2. Rampas para patineta" fld="4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8.xml><?xml version="1.0" encoding="utf-8"?>
<pivotTableDefinition xmlns="http://schemas.openxmlformats.org/spreadsheetml/2006/main" name="TablaDinámica13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52:J256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7 Habitantes en situación de calle (mendicidad) ?" fld="142" subtotal="count" showDataAs="percentOfCol" baseField="1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9.xml><?xml version="1.0" encoding="utf-8"?>
<pivotTableDefinition xmlns="http://schemas.openxmlformats.org/spreadsheetml/2006/main" name="TablaDinámica13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58:J26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4"/>
  </rowFields>
  <rowItems count="3">
    <i>
      <x/>
    </i>
    <i>
      <x v="1"/>
    </i>
    <i t="grand">
      <x/>
    </i>
  </rowItems>
  <colItems count="1">
    <i/>
  </colItems>
  <dataFields count="1">
    <dataField name="Cuenta de CC.8 Consumo de alcohol?" fld="144" subtotal="count" showDataAs="percentOfCol" baseField="14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0.xml><?xml version="1.0" encoding="utf-8"?>
<pivotTableDefinition xmlns="http://schemas.openxmlformats.org/spreadsheetml/2006/main" name="TablaDinámica170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57:P36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0"/>
  </rowFields>
  <rowItems count="3">
    <i>
      <x/>
    </i>
    <i>
      <x v="1"/>
    </i>
    <i t="grand">
      <x/>
    </i>
  </rowItems>
  <colItems count="1">
    <i/>
  </colItems>
  <dataFields count="1">
    <dataField name="Cuenta de SSM.8.1 ¿Se benefició de alguna manera del  trabajo de esta institución?" fld="200" subtotal="count" showDataAs="percentOfCol" baseField="20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1.xml><?xml version="1.0" encoding="utf-8"?>
<pivotTableDefinition xmlns="http://schemas.openxmlformats.org/spreadsheetml/2006/main" name="TablaDinámica17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32:P33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5"/>
  </rowFields>
  <rowItems count="3">
    <i>
      <x/>
    </i>
    <i>
      <x v="1"/>
    </i>
    <i t="grand">
      <x/>
    </i>
  </rowItems>
  <colItems count="1">
    <i/>
  </colItems>
  <dataFields count="1">
    <dataField name="Cuenta de SSM.3.1 ¿Se benefició de alguna manera del  trabajo de esta institución?" fld="185" subtotal="count" showDataAs="percentOfCol" baseField="18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2.xml><?xml version="1.0" encoding="utf-8"?>
<pivotTableDefinition xmlns="http://schemas.openxmlformats.org/spreadsheetml/2006/main" name="TablaDinámica15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93:L297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dataField="1" showAll="0">
      <items count="5">
        <item x="2"/>
        <item x="0"/>
        <item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4.2 ¿Con qué frecuencia?" fld="157" subtotal="count" showDataAs="percentOfCol" baseField="15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3.xml><?xml version="1.0" encoding="utf-8"?>
<pivotTableDefinition xmlns="http://schemas.openxmlformats.org/spreadsheetml/2006/main" name="TablaDinámica15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310:L31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8.2 ¿Con qué frecuencia?" fld="164" subtotal="count" showDataAs="percentOfCol" baseField="16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4.xml><?xml version="1.0" encoding="utf-8"?>
<pivotTableDefinition xmlns="http://schemas.openxmlformats.org/spreadsheetml/2006/main" name="TablaDinámica17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42:P34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1"/>
  </rowFields>
  <rowItems count="3">
    <i>
      <x/>
    </i>
    <i>
      <x v="1"/>
    </i>
    <i t="grand">
      <x/>
    </i>
  </rowItems>
  <colItems count="1">
    <i/>
  </colItems>
  <dataFields count="1">
    <dataField name="Cuenta de SSM.5.1 ¿Se benefició de alguna manera del  trabajo de esta institución?" fld="191" subtotal="count" showDataAs="percentOfCol" baseField="191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5.xml><?xml version="1.0" encoding="utf-8"?>
<pivotTableDefinition xmlns="http://schemas.openxmlformats.org/spreadsheetml/2006/main" name="TablaDinámica12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98:J30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6 Trabajo sexual (prostitución)?" fld="158" subtotal="count" showDataAs="percentOfCol" baseField="157" baseItem="0" numFmtId="10"/>
  </dataFields>
  <formats count="1">
    <format dxfId="20">
      <pivotArea dataOnly="0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6.xml><?xml version="1.0" encoding="utf-8"?>
<pivotTableDefinition xmlns="http://schemas.openxmlformats.org/spreadsheetml/2006/main" name="TablaDinámica11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131:M13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1"/>
  </rowFields>
  <rowItems count="3">
    <i>
      <x/>
    </i>
    <i>
      <x v="1"/>
    </i>
    <i t="grand">
      <x/>
    </i>
  </rowItems>
  <colItems count="1">
    <i/>
  </colItems>
  <dataFields count="1">
    <dataField name="Cuenta de CH.4 Por motivos de seguridad, en los últimos 6 meses, ¿ha cambiado su horario de visita al parque?. Enc. RE y RU" fld="81" subtotal="count" showDataAs="percentOfCol" baseField="8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7.xml><?xml version="1.0" encoding="utf-8"?>
<pivotTableDefinition xmlns="http://schemas.openxmlformats.org/spreadsheetml/2006/main" name="TablaDinámica13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40:J244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5 Áreas sin iluminación ?" fld="138" subtotal="count" showDataAs="percentOfCol" baseField="137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8.xml><?xml version="1.0" encoding="utf-8"?>
<pivotTableDefinition xmlns="http://schemas.openxmlformats.org/spreadsheetml/2006/main" name="TablaDinámica16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62:P36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03"/>
  </rowFields>
  <rowItems count="3">
    <i>
      <x/>
    </i>
    <i>
      <x v="1"/>
    </i>
    <i t="grand">
      <x/>
    </i>
  </rowItems>
  <colItems count="1">
    <i/>
  </colItems>
  <dataFields count="1">
    <dataField name="Cuenta de SSM.9.1 ¿Se benefició de alguna manera del  trabajo de esta institución?" fld="203" subtotal="count" showDataAs="percentOfCol" baseField="203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9.xml><?xml version="1.0" encoding="utf-8"?>
<pivotTableDefinition xmlns="http://schemas.openxmlformats.org/spreadsheetml/2006/main" name="TablaDinámica2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447:J449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0"/>
  </rowFields>
  <rowItems count="2">
    <i>
      <x v="1"/>
    </i>
    <i t="grand">
      <x/>
    </i>
  </rowItems>
  <colItems count="1">
    <i/>
  </colItems>
  <dataFields count="1">
    <dataField name="Suma de AP. 1 ¿Cuáles son las actividades que realiza en el parque Enc. RE y RM/4. De paso" fld="3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0.xml><?xml version="1.0" encoding="utf-8"?>
<pivotTableDefinition xmlns="http://schemas.openxmlformats.org/spreadsheetml/2006/main" name="TablaDinámica17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47:P35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4"/>
  </rowFields>
  <rowItems count="3">
    <i>
      <x/>
    </i>
    <i>
      <x v="1"/>
    </i>
    <i t="grand">
      <x/>
    </i>
  </rowItems>
  <colItems count="1">
    <i/>
  </colItems>
  <dataFields count="1">
    <dataField name="Cuenta de SSM.6.1 ¿Se benefició de alguna manera del  trabajo de esta institución?" fld="194" subtotal="count" showDataAs="percentOfCol" baseField="194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1.xml><?xml version="1.0" encoding="utf-8"?>
<pivotTableDefinition xmlns="http://schemas.openxmlformats.org/spreadsheetml/2006/main" name="TablaDinámica11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H169:I172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2"/>
  </rowFields>
  <rowItems count="3">
    <i>
      <x/>
    </i>
    <i>
      <x v="1"/>
    </i>
    <i t="grand">
      <x/>
    </i>
  </rowItems>
  <colItems count="1">
    <i/>
  </colItems>
  <dataFields count="1">
    <dataField name="Cuenta de VI.1 En los últimos 6 meses, es decir, de septiembre 2024 a la fecha. Ud. ha sido víctima de algún tipo de delito en este parque?. Enc. RE y RU" fld="82" subtotal="count" showDataAs="percentOfCol" baseField="8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2.xml><?xml version="1.0" encoding="utf-8"?>
<pivotTableDefinition xmlns="http://schemas.openxmlformats.org/spreadsheetml/2006/main" name="TablaDinámica15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81:L28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2.1 ¿Con qué frecuencia?" fld="153" subtotal="count" showDataAs="percentOfCol" baseField="15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3.xml><?xml version="1.0" encoding="utf-8"?>
<pivotTableDefinition xmlns="http://schemas.openxmlformats.org/spreadsheetml/2006/main" name="TablaDinámica1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X99:AC105" firstHeaderRow="1" firstDataRow="2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axis="axisRow" dataField="1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78"/>
  </colFields>
  <colItems count="5">
    <i>
      <x/>
    </i>
    <i>
      <x v="1"/>
    </i>
    <i>
      <x v="2"/>
    </i>
    <i>
      <x v="3"/>
    </i>
    <i t="grand">
      <x/>
    </i>
  </colItems>
  <dataFields count="1">
    <dataField name="Cuenta de rango_etario" fld="9" subtotal="count" showDataAs="percentOfRow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4.xml><?xml version="1.0" encoding="utf-8"?>
<pivotTableDefinition xmlns="http://schemas.openxmlformats.org/spreadsheetml/2006/main" name="TablaDinámica17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22:P325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9"/>
  </rowFields>
  <rowItems count="3">
    <i>
      <x/>
    </i>
    <i>
      <x v="1"/>
    </i>
    <i t="grand">
      <x/>
    </i>
  </rowItems>
  <colItems count="1">
    <i/>
  </colItems>
  <dataFields count="1">
    <dataField name="Cuenta de SSM.1.1 ¿Se benefició de alguna manera del  trabajo de esta institución?" fld="179" subtotal="count" showDataAs="percentOfCol" baseField="17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5.xml><?xml version="1.0" encoding="utf-8"?>
<pivotTableDefinition xmlns="http://schemas.openxmlformats.org/spreadsheetml/2006/main" name="TablaDinámica10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3:M4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5"/>
        <item x="0"/>
        <item x="1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uenta de PSC.2 Con la presencia de habitantes de calle (mendigos) en el parque?" fld="56" subtotal="count" showDataAs="percentOfCol" baseField="5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6.xml><?xml version="1.0" encoding="utf-8"?>
<pivotTableDefinition xmlns="http://schemas.openxmlformats.org/spreadsheetml/2006/main" name="TablaDinámica17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O327:P33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2"/>
  </rowFields>
  <rowItems count="3">
    <i>
      <x/>
    </i>
    <i>
      <x v="1"/>
    </i>
    <i t="grand">
      <x/>
    </i>
  </rowItems>
  <colItems count="1">
    <i/>
  </colItems>
  <dataFields count="1">
    <dataField name="Cuenta de SSM.2.1 ¿Se benefició de alguna manera del  trabajo de esta institución?" fld="182" subtotal="count" showDataAs="percentOfCol" baseField="182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7.xml><?xml version="1.0" encoding="utf-8"?>
<pivotTableDefinition xmlns="http://schemas.openxmlformats.org/spreadsheetml/2006/main" name="TablaDinámica12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87:J29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3 Fauna Urbana? (animales sin hogar)" fld="154" subtotal="count" showDataAs="percentOfCol" baseField="153" baseItem="0" numFmtId="10"/>
  </dataFields>
  <formats count="1"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8.xml><?xml version="1.0" encoding="utf-8"?>
<pivotTableDefinition xmlns="http://schemas.openxmlformats.org/spreadsheetml/2006/main" name="TablaDinámica16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R347:S351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1"/>
        <item x="2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SSM.5.2 ¿Cómo califica el servicio?" fld="192" subtotal="count" showDataAs="percentOfCol" baseField="19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9.xml><?xml version="1.0" encoding="utf-8"?>
<pivotTableDefinition xmlns="http://schemas.openxmlformats.org/spreadsheetml/2006/main" name="TablaDinámica14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K246:L25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>
      <items count="5">
        <item x="2"/>
        <item x="1"/>
        <item x="3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4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6.1 ¿Con qué frecuencia?" fld="141" subtotal="count" showDataAs="percentOfCol" baseField="14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0.xml><?xml version="1.0" encoding="utf-8"?>
<pivotTableDefinition xmlns="http://schemas.openxmlformats.org/spreadsheetml/2006/main" name="TablaDinámica18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347:M350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3"/>
  </rowFields>
  <rowItems count="3">
    <i>
      <x/>
    </i>
    <i>
      <x v="1"/>
    </i>
    <i t="grand">
      <x/>
    </i>
  </rowItems>
  <colItems count="1">
    <i/>
  </colItems>
  <dataFields count="1">
    <dataField name="Cuenta de SSM.6 Agencia Metropolitana de Tránsito (AMT) - Regular, gestionar y controlar el tránsito y la movilidad." fld="193" subtotal="count" showDataAs="percentOfCol" baseField="193" baseItem="1" numFmtId="10"/>
  </dataFields>
  <formats count="2">
    <format dxfId="23">
      <pivotArea dataOnly="0" labelOnly="1" outline="0" axis="axisValues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1.xml><?xml version="1.0" encoding="utf-8"?>
<pivotTableDefinition xmlns="http://schemas.openxmlformats.org/spreadsheetml/2006/main" name="TablaDinámica13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24:J22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2 Grafitis no artisticos que le molestan?" fld="132" subtotal="count" showDataAs="percentOfCol" baseField="131" baseItem="2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2.xml><?xml version="1.0" encoding="utf-8"?>
<pivotTableDefinition xmlns="http://schemas.openxmlformats.org/spreadsheetml/2006/main" name="TablaDinámica12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304:J30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uenta de CC.17 Aglomeración de personas?" fld="160" subtotal="count" showDataAs="percentOfCol" baseField="159" baseItem="0" numFmtId="10"/>
  </dataFields>
  <formats count="1"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3.xml><?xml version="1.0" encoding="utf-8"?>
<pivotTableDefinition xmlns="http://schemas.openxmlformats.org/spreadsheetml/2006/main" name="TablaDiná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L474:M477" firstHeaderRow="1" firstDataRow="1" firstDataCol="1" rowPageCount="1" colPageCount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0"/>
  </rowFields>
  <rowItems count="3">
    <i>
      <x/>
    </i>
    <i>
      <x v="1"/>
    </i>
    <i t="grand">
      <x/>
    </i>
  </rowItems>
  <colItems count="1">
    <i/>
  </colItems>
  <pageFields count="1">
    <pageField fld="49" hier="-1"/>
  </pageFields>
  <dataFields count="1">
    <dataField name="Cuenta de AP. 5.1 ¿Cree que influye en su seguridad el estar acompañado/a dentro del parque? Enc. RE y RU" fld="50" subtotal="count" showDataAs="percentOfCol" baseField="49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4.xml><?xml version="1.0" encoding="utf-8"?>
<pivotTableDefinition xmlns="http://schemas.openxmlformats.org/spreadsheetml/2006/main" name="TablaDinámica13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235:J238" firstHeaderRow="1" firstDataRow="1" firstDataCol="1"/>
  <pivotFields count="222">
    <pivotField numFmtId="164" showAll="0"/>
    <pivotField numFmtId="164"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6"/>
  </rowFields>
  <rowItems count="3">
    <i>
      <x/>
    </i>
    <i>
      <x v="1"/>
    </i>
    <i t="grand">
      <x/>
    </i>
  </rowItems>
  <colItems count="1">
    <i/>
  </colItems>
  <dataFields count="1">
    <dataField name="Cuenta de CC.4 Desechos de animales ?" fld="136" subtotal="count" showDataAs="percentOfCol" baseField="13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26.xml"/><Relationship Id="rId21" Type="http://schemas.openxmlformats.org/officeDocument/2006/relationships/pivotTable" Target="../pivotTables/pivotTable21.xml"/><Relationship Id="rId42" Type="http://schemas.openxmlformats.org/officeDocument/2006/relationships/pivotTable" Target="../pivotTables/pivotTable42.xml"/><Relationship Id="rId47" Type="http://schemas.openxmlformats.org/officeDocument/2006/relationships/pivotTable" Target="../pivotTables/pivotTable47.xml"/><Relationship Id="rId63" Type="http://schemas.openxmlformats.org/officeDocument/2006/relationships/pivotTable" Target="../pivotTables/pivotTable63.xml"/><Relationship Id="rId68" Type="http://schemas.openxmlformats.org/officeDocument/2006/relationships/pivotTable" Target="../pivotTables/pivotTable68.xml"/><Relationship Id="rId84" Type="http://schemas.openxmlformats.org/officeDocument/2006/relationships/pivotTable" Target="../pivotTables/pivotTable84.xml"/><Relationship Id="rId89" Type="http://schemas.openxmlformats.org/officeDocument/2006/relationships/pivotTable" Target="../pivotTables/pivotTable89.xml"/><Relationship Id="rId16" Type="http://schemas.openxmlformats.org/officeDocument/2006/relationships/pivotTable" Target="../pivotTables/pivotTable16.xml"/><Relationship Id="rId11" Type="http://schemas.openxmlformats.org/officeDocument/2006/relationships/pivotTable" Target="../pivotTables/pivotTable11.xml"/><Relationship Id="rId32" Type="http://schemas.openxmlformats.org/officeDocument/2006/relationships/pivotTable" Target="../pivotTables/pivotTable32.xml"/><Relationship Id="rId37" Type="http://schemas.openxmlformats.org/officeDocument/2006/relationships/pivotTable" Target="../pivotTables/pivotTable37.xml"/><Relationship Id="rId53" Type="http://schemas.openxmlformats.org/officeDocument/2006/relationships/pivotTable" Target="../pivotTables/pivotTable53.xml"/><Relationship Id="rId58" Type="http://schemas.openxmlformats.org/officeDocument/2006/relationships/pivotTable" Target="../pivotTables/pivotTable58.xml"/><Relationship Id="rId74" Type="http://schemas.openxmlformats.org/officeDocument/2006/relationships/pivotTable" Target="../pivotTables/pivotTable74.xml"/><Relationship Id="rId79" Type="http://schemas.openxmlformats.org/officeDocument/2006/relationships/pivotTable" Target="../pivotTables/pivotTable79.xml"/><Relationship Id="rId5" Type="http://schemas.openxmlformats.org/officeDocument/2006/relationships/pivotTable" Target="../pivotTables/pivotTable5.xml"/><Relationship Id="rId90" Type="http://schemas.openxmlformats.org/officeDocument/2006/relationships/pivotTable" Target="../pivotTables/pivotTable90.xml"/><Relationship Id="rId22" Type="http://schemas.openxmlformats.org/officeDocument/2006/relationships/pivotTable" Target="../pivotTables/pivotTable22.xml"/><Relationship Id="rId27" Type="http://schemas.openxmlformats.org/officeDocument/2006/relationships/pivotTable" Target="../pivotTables/pivotTable27.xml"/><Relationship Id="rId43" Type="http://schemas.openxmlformats.org/officeDocument/2006/relationships/pivotTable" Target="../pivotTables/pivotTable43.xml"/><Relationship Id="rId48" Type="http://schemas.openxmlformats.org/officeDocument/2006/relationships/pivotTable" Target="../pivotTables/pivotTable48.xml"/><Relationship Id="rId64" Type="http://schemas.openxmlformats.org/officeDocument/2006/relationships/pivotTable" Target="../pivotTables/pivotTable64.xml"/><Relationship Id="rId69" Type="http://schemas.openxmlformats.org/officeDocument/2006/relationships/pivotTable" Target="../pivotTables/pivotTable69.xml"/><Relationship Id="rId8" Type="http://schemas.openxmlformats.org/officeDocument/2006/relationships/pivotTable" Target="../pivotTables/pivotTable8.xml"/><Relationship Id="rId51" Type="http://schemas.openxmlformats.org/officeDocument/2006/relationships/pivotTable" Target="../pivotTables/pivotTable51.xml"/><Relationship Id="rId72" Type="http://schemas.openxmlformats.org/officeDocument/2006/relationships/pivotTable" Target="../pivotTables/pivotTable72.xml"/><Relationship Id="rId80" Type="http://schemas.openxmlformats.org/officeDocument/2006/relationships/pivotTable" Target="../pivotTables/pivotTable80.xml"/><Relationship Id="rId85" Type="http://schemas.openxmlformats.org/officeDocument/2006/relationships/pivotTable" Target="../pivotTables/pivotTable85.xml"/><Relationship Id="rId93" Type="http://schemas.openxmlformats.org/officeDocument/2006/relationships/pivotTable" Target="../pivotTables/pivotTable93.xml"/><Relationship Id="rId3" Type="http://schemas.openxmlformats.org/officeDocument/2006/relationships/pivotTable" Target="../pivotTables/pivotTable3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33" Type="http://schemas.openxmlformats.org/officeDocument/2006/relationships/pivotTable" Target="../pivotTables/pivotTable33.xml"/><Relationship Id="rId38" Type="http://schemas.openxmlformats.org/officeDocument/2006/relationships/pivotTable" Target="../pivotTables/pivotTable38.xml"/><Relationship Id="rId46" Type="http://schemas.openxmlformats.org/officeDocument/2006/relationships/pivotTable" Target="../pivotTables/pivotTable46.xml"/><Relationship Id="rId59" Type="http://schemas.openxmlformats.org/officeDocument/2006/relationships/pivotTable" Target="../pivotTables/pivotTable59.xml"/><Relationship Id="rId67" Type="http://schemas.openxmlformats.org/officeDocument/2006/relationships/pivotTable" Target="../pivotTables/pivotTable67.xml"/><Relationship Id="rId20" Type="http://schemas.openxmlformats.org/officeDocument/2006/relationships/pivotTable" Target="../pivotTables/pivotTable20.xml"/><Relationship Id="rId41" Type="http://schemas.openxmlformats.org/officeDocument/2006/relationships/pivotTable" Target="../pivotTables/pivotTable41.xml"/><Relationship Id="rId54" Type="http://schemas.openxmlformats.org/officeDocument/2006/relationships/pivotTable" Target="../pivotTables/pivotTable54.xml"/><Relationship Id="rId62" Type="http://schemas.openxmlformats.org/officeDocument/2006/relationships/pivotTable" Target="../pivotTables/pivotTable62.xml"/><Relationship Id="rId70" Type="http://schemas.openxmlformats.org/officeDocument/2006/relationships/pivotTable" Target="../pivotTables/pivotTable70.xml"/><Relationship Id="rId75" Type="http://schemas.openxmlformats.org/officeDocument/2006/relationships/pivotTable" Target="../pivotTables/pivotTable75.xml"/><Relationship Id="rId83" Type="http://schemas.openxmlformats.org/officeDocument/2006/relationships/pivotTable" Target="../pivotTables/pivotTable83.xml"/><Relationship Id="rId88" Type="http://schemas.openxmlformats.org/officeDocument/2006/relationships/pivotTable" Target="../pivotTables/pivotTable88.xml"/><Relationship Id="rId91" Type="http://schemas.openxmlformats.org/officeDocument/2006/relationships/pivotTable" Target="../pivotTables/pivotTable91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28" Type="http://schemas.openxmlformats.org/officeDocument/2006/relationships/pivotTable" Target="../pivotTables/pivotTable28.xml"/><Relationship Id="rId36" Type="http://schemas.openxmlformats.org/officeDocument/2006/relationships/pivotTable" Target="../pivotTables/pivotTable36.xml"/><Relationship Id="rId49" Type="http://schemas.openxmlformats.org/officeDocument/2006/relationships/pivotTable" Target="../pivotTables/pivotTable49.xml"/><Relationship Id="rId57" Type="http://schemas.openxmlformats.org/officeDocument/2006/relationships/pivotTable" Target="../pivotTables/pivotTable57.xml"/><Relationship Id="rId10" Type="http://schemas.openxmlformats.org/officeDocument/2006/relationships/pivotTable" Target="../pivotTables/pivotTable10.xml"/><Relationship Id="rId31" Type="http://schemas.openxmlformats.org/officeDocument/2006/relationships/pivotTable" Target="../pivotTables/pivotTable31.xml"/><Relationship Id="rId44" Type="http://schemas.openxmlformats.org/officeDocument/2006/relationships/pivotTable" Target="../pivotTables/pivotTable44.xml"/><Relationship Id="rId52" Type="http://schemas.openxmlformats.org/officeDocument/2006/relationships/pivotTable" Target="../pivotTables/pivotTable52.xml"/><Relationship Id="rId60" Type="http://schemas.openxmlformats.org/officeDocument/2006/relationships/pivotTable" Target="../pivotTables/pivotTable60.xml"/><Relationship Id="rId65" Type="http://schemas.openxmlformats.org/officeDocument/2006/relationships/pivotTable" Target="../pivotTables/pivotTable65.xml"/><Relationship Id="rId73" Type="http://schemas.openxmlformats.org/officeDocument/2006/relationships/pivotTable" Target="../pivotTables/pivotTable73.xml"/><Relationship Id="rId78" Type="http://schemas.openxmlformats.org/officeDocument/2006/relationships/pivotTable" Target="../pivotTables/pivotTable78.xml"/><Relationship Id="rId81" Type="http://schemas.openxmlformats.org/officeDocument/2006/relationships/pivotTable" Target="../pivotTables/pivotTable81.xml"/><Relationship Id="rId86" Type="http://schemas.openxmlformats.org/officeDocument/2006/relationships/pivotTable" Target="../pivotTables/pivotTable86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9" Type="http://schemas.openxmlformats.org/officeDocument/2006/relationships/pivotTable" Target="../pivotTables/pivotTable39.xml"/><Relationship Id="rId34" Type="http://schemas.openxmlformats.org/officeDocument/2006/relationships/pivotTable" Target="../pivotTables/pivotTable34.xml"/><Relationship Id="rId50" Type="http://schemas.openxmlformats.org/officeDocument/2006/relationships/pivotTable" Target="../pivotTables/pivotTable50.xml"/><Relationship Id="rId55" Type="http://schemas.openxmlformats.org/officeDocument/2006/relationships/pivotTable" Target="../pivotTables/pivotTable55.xml"/><Relationship Id="rId76" Type="http://schemas.openxmlformats.org/officeDocument/2006/relationships/pivotTable" Target="../pivotTables/pivotTable76.xml"/><Relationship Id="rId7" Type="http://schemas.openxmlformats.org/officeDocument/2006/relationships/pivotTable" Target="../pivotTables/pivotTable7.xml"/><Relationship Id="rId71" Type="http://schemas.openxmlformats.org/officeDocument/2006/relationships/pivotTable" Target="../pivotTables/pivotTable71.xml"/><Relationship Id="rId92" Type="http://schemas.openxmlformats.org/officeDocument/2006/relationships/pivotTable" Target="../pivotTables/pivotTable92.xml"/><Relationship Id="rId2" Type="http://schemas.openxmlformats.org/officeDocument/2006/relationships/pivotTable" Target="../pivotTables/pivotTable2.xml"/><Relationship Id="rId29" Type="http://schemas.openxmlformats.org/officeDocument/2006/relationships/pivotTable" Target="../pivotTables/pivotTable29.xml"/><Relationship Id="rId24" Type="http://schemas.openxmlformats.org/officeDocument/2006/relationships/pivotTable" Target="../pivotTables/pivotTable24.xml"/><Relationship Id="rId40" Type="http://schemas.openxmlformats.org/officeDocument/2006/relationships/pivotTable" Target="../pivotTables/pivotTable40.xml"/><Relationship Id="rId45" Type="http://schemas.openxmlformats.org/officeDocument/2006/relationships/pivotTable" Target="../pivotTables/pivotTable45.xml"/><Relationship Id="rId66" Type="http://schemas.openxmlformats.org/officeDocument/2006/relationships/pivotTable" Target="../pivotTables/pivotTable66.xml"/><Relationship Id="rId87" Type="http://schemas.openxmlformats.org/officeDocument/2006/relationships/pivotTable" Target="../pivotTables/pivotTable87.xml"/><Relationship Id="rId61" Type="http://schemas.openxmlformats.org/officeDocument/2006/relationships/pivotTable" Target="../pivotTables/pivotTable61.xml"/><Relationship Id="rId82" Type="http://schemas.openxmlformats.org/officeDocument/2006/relationships/pivotTable" Target="../pivotTables/pivotTable82.xml"/><Relationship Id="rId19" Type="http://schemas.openxmlformats.org/officeDocument/2006/relationships/pivotTable" Target="../pivotTables/pivotTable19.xml"/><Relationship Id="rId14" Type="http://schemas.openxmlformats.org/officeDocument/2006/relationships/pivotTable" Target="../pivotTables/pivotTable14.xml"/><Relationship Id="rId30" Type="http://schemas.openxmlformats.org/officeDocument/2006/relationships/pivotTable" Target="../pivotTables/pivotTable30.xml"/><Relationship Id="rId35" Type="http://schemas.openxmlformats.org/officeDocument/2006/relationships/pivotTable" Target="../pivotTables/pivotTable35.xml"/><Relationship Id="rId56" Type="http://schemas.openxmlformats.org/officeDocument/2006/relationships/pivotTable" Target="../pivotTables/pivotTable56.xml"/><Relationship Id="rId77" Type="http://schemas.openxmlformats.org/officeDocument/2006/relationships/pivotTable" Target="../pivotTables/pivotTable77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pivotTable" Target="../pivotTables/pivotTable119.xml"/><Relationship Id="rId117" Type="http://schemas.openxmlformats.org/officeDocument/2006/relationships/pivotTable" Target="../pivotTables/pivotTable210.xml"/><Relationship Id="rId21" Type="http://schemas.openxmlformats.org/officeDocument/2006/relationships/pivotTable" Target="../pivotTables/pivotTable114.xml"/><Relationship Id="rId42" Type="http://schemas.openxmlformats.org/officeDocument/2006/relationships/pivotTable" Target="../pivotTables/pivotTable135.xml"/><Relationship Id="rId47" Type="http://schemas.openxmlformats.org/officeDocument/2006/relationships/pivotTable" Target="../pivotTables/pivotTable140.xml"/><Relationship Id="rId63" Type="http://schemas.openxmlformats.org/officeDocument/2006/relationships/pivotTable" Target="../pivotTables/pivotTable156.xml"/><Relationship Id="rId68" Type="http://schemas.openxmlformats.org/officeDocument/2006/relationships/pivotTable" Target="../pivotTables/pivotTable161.xml"/><Relationship Id="rId84" Type="http://schemas.openxmlformats.org/officeDocument/2006/relationships/pivotTable" Target="../pivotTables/pivotTable177.xml"/><Relationship Id="rId89" Type="http://schemas.openxmlformats.org/officeDocument/2006/relationships/pivotTable" Target="../pivotTables/pivotTable182.xml"/><Relationship Id="rId112" Type="http://schemas.openxmlformats.org/officeDocument/2006/relationships/pivotTable" Target="../pivotTables/pivotTable205.xml"/><Relationship Id="rId16" Type="http://schemas.openxmlformats.org/officeDocument/2006/relationships/pivotTable" Target="../pivotTables/pivotTable109.xml"/><Relationship Id="rId107" Type="http://schemas.openxmlformats.org/officeDocument/2006/relationships/pivotTable" Target="../pivotTables/pivotTable200.xml"/><Relationship Id="rId11" Type="http://schemas.openxmlformats.org/officeDocument/2006/relationships/pivotTable" Target="../pivotTables/pivotTable104.xml"/><Relationship Id="rId32" Type="http://schemas.openxmlformats.org/officeDocument/2006/relationships/pivotTable" Target="../pivotTables/pivotTable125.xml"/><Relationship Id="rId37" Type="http://schemas.openxmlformats.org/officeDocument/2006/relationships/pivotTable" Target="../pivotTables/pivotTable130.xml"/><Relationship Id="rId53" Type="http://schemas.openxmlformats.org/officeDocument/2006/relationships/pivotTable" Target="../pivotTables/pivotTable146.xml"/><Relationship Id="rId58" Type="http://schemas.openxmlformats.org/officeDocument/2006/relationships/pivotTable" Target="../pivotTables/pivotTable151.xml"/><Relationship Id="rId74" Type="http://schemas.openxmlformats.org/officeDocument/2006/relationships/pivotTable" Target="../pivotTables/pivotTable167.xml"/><Relationship Id="rId79" Type="http://schemas.openxmlformats.org/officeDocument/2006/relationships/pivotTable" Target="../pivotTables/pivotTable172.xml"/><Relationship Id="rId102" Type="http://schemas.openxmlformats.org/officeDocument/2006/relationships/pivotTable" Target="../pivotTables/pivotTable195.xml"/><Relationship Id="rId123" Type="http://schemas.openxmlformats.org/officeDocument/2006/relationships/drawing" Target="../drawings/drawing1.xml"/><Relationship Id="rId5" Type="http://schemas.openxmlformats.org/officeDocument/2006/relationships/pivotTable" Target="../pivotTables/pivotTable98.xml"/><Relationship Id="rId90" Type="http://schemas.openxmlformats.org/officeDocument/2006/relationships/pivotTable" Target="../pivotTables/pivotTable183.xml"/><Relationship Id="rId95" Type="http://schemas.openxmlformats.org/officeDocument/2006/relationships/pivotTable" Target="../pivotTables/pivotTable188.xml"/><Relationship Id="rId22" Type="http://schemas.openxmlformats.org/officeDocument/2006/relationships/pivotTable" Target="../pivotTables/pivotTable115.xml"/><Relationship Id="rId27" Type="http://schemas.openxmlformats.org/officeDocument/2006/relationships/pivotTable" Target="../pivotTables/pivotTable120.xml"/><Relationship Id="rId43" Type="http://schemas.openxmlformats.org/officeDocument/2006/relationships/pivotTable" Target="../pivotTables/pivotTable136.xml"/><Relationship Id="rId48" Type="http://schemas.openxmlformats.org/officeDocument/2006/relationships/pivotTable" Target="../pivotTables/pivotTable141.xml"/><Relationship Id="rId64" Type="http://schemas.openxmlformats.org/officeDocument/2006/relationships/pivotTable" Target="../pivotTables/pivotTable157.xml"/><Relationship Id="rId69" Type="http://schemas.openxmlformats.org/officeDocument/2006/relationships/pivotTable" Target="../pivotTables/pivotTable162.xml"/><Relationship Id="rId113" Type="http://schemas.openxmlformats.org/officeDocument/2006/relationships/pivotTable" Target="../pivotTables/pivotTable206.xml"/><Relationship Id="rId118" Type="http://schemas.openxmlformats.org/officeDocument/2006/relationships/pivotTable" Target="../pivotTables/pivotTable211.xml"/><Relationship Id="rId80" Type="http://schemas.openxmlformats.org/officeDocument/2006/relationships/pivotTable" Target="../pivotTables/pivotTable173.xml"/><Relationship Id="rId85" Type="http://schemas.openxmlformats.org/officeDocument/2006/relationships/pivotTable" Target="../pivotTables/pivotTable178.xml"/><Relationship Id="rId12" Type="http://schemas.openxmlformats.org/officeDocument/2006/relationships/pivotTable" Target="../pivotTables/pivotTable105.xml"/><Relationship Id="rId17" Type="http://schemas.openxmlformats.org/officeDocument/2006/relationships/pivotTable" Target="../pivotTables/pivotTable110.xml"/><Relationship Id="rId33" Type="http://schemas.openxmlformats.org/officeDocument/2006/relationships/pivotTable" Target="../pivotTables/pivotTable126.xml"/><Relationship Id="rId38" Type="http://schemas.openxmlformats.org/officeDocument/2006/relationships/pivotTable" Target="../pivotTables/pivotTable131.xml"/><Relationship Id="rId59" Type="http://schemas.openxmlformats.org/officeDocument/2006/relationships/pivotTable" Target="../pivotTables/pivotTable152.xml"/><Relationship Id="rId103" Type="http://schemas.openxmlformats.org/officeDocument/2006/relationships/pivotTable" Target="../pivotTables/pivotTable196.xml"/><Relationship Id="rId108" Type="http://schemas.openxmlformats.org/officeDocument/2006/relationships/pivotTable" Target="../pivotTables/pivotTable201.xml"/><Relationship Id="rId54" Type="http://schemas.openxmlformats.org/officeDocument/2006/relationships/pivotTable" Target="../pivotTables/pivotTable147.xml"/><Relationship Id="rId70" Type="http://schemas.openxmlformats.org/officeDocument/2006/relationships/pivotTable" Target="../pivotTables/pivotTable163.xml"/><Relationship Id="rId75" Type="http://schemas.openxmlformats.org/officeDocument/2006/relationships/pivotTable" Target="../pivotTables/pivotTable168.xml"/><Relationship Id="rId91" Type="http://schemas.openxmlformats.org/officeDocument/2006/relationships/pivotTable" Target="../pivotTables/pivotTable184.xml"/><Relationship Id="rId96" Type="http://schemas.openxmlformats.org/officeDocument/2006/relationships/pivotTable" Target="../pivotTables/pivotTable189.xml"/><Relationship Id="rId1" Type="http://schemas.openxmlformats.org/officeDocument/2006/relationships/pivotTable" Target="../pivotTables/pivotTable94.xml"/><Relationship Id="rId6" Type="http://schemas.openxmlformats.org/officeDocument/2006/relationships/pivotTable" Target="../pivotTables/pivotTable99.xml"/><Relationship Id="rId23" Type="http://schemas.openxmlformats.org/officeDocument/2006/relationships/pivotTable" Target="../pivotTables/pivotTable116.xml"/><Relationship Id="rId28" Type="http://schemas.openxmlformats.org/officeDocument/2006/relationships/pivotTable" Target="../pivotTables/pivotTable121.xml"/><Relationship Id="rId49" Type="http://schemas.openxmlformats.org/officeDocument/2006/relationships/pivotTable" Target="../pivotTables/pivotTable142.xml"/><Relationship Id="rId114" Type="http://schemas.openxmlformats.org/officeDocument/2006/relationships/pivotTable" Target="../pivotTables/pivotTable207.xml"/><Relationship Id="rId119" Type="http://schemas.openxmlformats.org/officeDocument/2006/relationships/pivotTable" Target="../pivotTables/pivotTable212.xml"/><Relationship Id="rId44" Type="http://schemas.openxmlformats.org/officeDocument/2006/relationships/pivotTable" Target="../pivotTables/pivotTable137.xml"/><Relationship Id="rId60" Type="http://schemas.openxmlformats.org/officeDocument/2006/relationships/pivotTable" Target="../pivotTables/pivotTable153.xml"/><Relationship Id="rId65" Type="http://schemas.openxmlformats.org/officeDocument/2006/relationships/pivotTable" Target="../pivotTables/pivotTable158.xml"/><Relationship Id="rId81" Type="http://schemas.openxmlformats.org/officeDocument/2006/relationships/pivotTable" Target="../pivotTables/pivotTable174.xml"/><Relationship Id="rId86" Type="http://schemas.openxmlformats.org/officeDocument/2006/relationships/pivotTable" Target="../pivotTables/pivotTable179.xml"/><Relationship Id="rId4" Type="http://schemas.openxmlformats.org/officeDocument/2006/relationships/pivotTable" Target="../pivotTables/pivotTable97.xml"/><Relationship Id="rId9" Type="http://schemas.openxmlformats.org/officeDocument/2006/relationships/pivotTable" Target="../pivotTables/pivotTable102.xml"/><Relationship Id="rId13" Type="http://schemas.openxmlformats.org/officeDocument/2006/relationships/pivotTable" Target="../pivotTables/pivotTable106.xml"/><Relationship Id="rId18" Type="http://schemas.openxmlformats.org/officeDocument/2006/relationships/pivotTable" Target="../pivotTables/pivotTable111.xml"/><Relationship Id="rId39" Type="http://schemas.openxmlformats.org/officeDocument/2006/relationships/pivotTable" Target="../pivotTables/pivotTable132.xml"/><Relationship Id="rId109" Type="http://schemas.openxmlformats.org/officeDocument/2006/relationships/pivotTable" Target="../pivotTables/pivotTable202.xml"/><Relationship Id="rId34" Type="http://schemas.openxmlformats.org/officeDocument/2006/relationships/pivotTable" Target="../pivotTables/pivotTable127.xml"/><Relationship Id="rId50" Type="http://schemas.openxmlformats.org/officeDocument/2006/relationships/pivotTable" Target="../pivotTables/pivotTable143.xml"/><Relationship Id="rId55" Type="http://schemas.openxmlformats.org/officeDocument/2006/relationships/pivotTable" Target="../pivotTables/pivotTable148.xml"/><Relationship Id="rId76" Type="http://schemas.openxmlformats.org/officeDocument/2006/relationships/pivotTable" Target="../pivotTables/pivotTable169.xml"/><Relationship Id="rId97" Type="http://schemas.openxmlformats.org/officeDocument/2006/relationships/pivotTable" Target="../pivotTables/pivotTable190.xml"/><Relationship Id="rId104" Type="http://schemas.openxmlformats.org/officeDocument/2006/relationships/pivotTable" Target="../pivotTables/pivotTable197.xml"/><Relationship Id="rId120" Type="http://schemas.openxmlformats.org/officeDocument/2006/relationships/pivotTable" Target="../pivotTables/pivotTable213.xml"/><Relationship Id="rId7" Type="http://schemas.openxmlformats.org/officeDocument/2006/relationships/pivotTable" Target="../pivotTables/pivotTable100.xml"/><Relationship Id="rId71" Type="http://schemas.openxmlformats.org/officeDocument/2006/relationships/pivotTable" Target="../pivotTables/pivotTable164.xml"/><Relationship Id="rId92" Type="http://schemas.openxmlformats.org/officeDocument/2006/relationships/pivotTable" Target="../pivotTables/pivotTable185.xml"/><Relationship Id="rId2" Type="http://schemas.openxmlformats.org/officeDocument/2006/relationships/pivotTable" Target="../pivotTables/pivotTable95.xml"/><Relationship Id="rId29" Type="http://schemas.openxmlformats.org/officeDocument/2006/relationships/pivotTable" Target="../pivotTables/pivotTable122.xml"/><Relationship Id="rId24" Type="http://schemas.openxmlformats.org/officeDocument/2006/relationships/pivotTable" Target="../pivotTables/pivotTable117.xml"/><Relationship Id="rId40" Type="http://schemas.openxmlformats.org/officeDocument/2006/relationships/pivotTable" Target="../pivotTables/pivotTable133.xml"/><Relationship Id="rId45" Type="http://schemas.openxmlformats.org/officeDocument/2006/relationships/pivotTable" Target="../pivotTables/pivotTable138.xml"/><Relationship Id="rId66" Type="http://schemas.openxmlformats.org/officeDocument/2006/relationships/pivotTable" Target="../pivotTables/pivotTable159.xml"/><Relationship Id="rId87" Type="http://schemas.openxmlformats.org/officeDocument/2006/relationships/pivotTable" Target="../pivotTables/pivotTable180.xml"/><Relationship Id="rId110" Type="http://schemas.openxmlformats.org/officeDocument/2006/relationships/pivotTable" Target="../pivotTables/pivotTable203.xml"/><Relationship Id="rId115" Type="http://schemas.openxmlformats.org/officeDocument/2006/relationships/pivotTable" Target="../pivotTables/pivotTable208.xml"/><Relationship Id="rId61" Type="http://schemas.openxmlformats.org/officeDocument/2006/relationships/pivotTable" Target="../pivotTables/pivotTable154.xml"/><Relationship Id="rId82" Type="http://schemas.openxmlformats.org/officeDocument/2006/relationships/pivotTable" Target="../pivotTables/pivotTable175.xml"/><Relationship Id="rId19" Type="http://schemas.openxmlformats.org/officeDocument/2006/relationships/pivotTable" Target="../pivotTables/pivotTable112.xml"/><Relationship Id="rId14" Type="http://schemas.openxmlformats.org/officeDocument/2006/relationships/pivotTable" Target="../pivotTables/pivotTable107.xml"/><Relationship Id="rId30" Type="http://schemas.openxmlformats.org/officeDocument/2006/relationships/pivotTable" Target="../pivotTables/pivotTable123.xml"/><Relationship Id="rId35" Type="http://schemas.openxmlformats.org/officeDocument/2006/relationships/pivotTable" Target="../pivotTables/pivotTable128.xml"/><Relationship Id="rId56" Type="http://schemas.openxmlformats.org/officeDocument/2006/relationships/pivotTable" Target="../pivotTables/pivotTable149.xml"/><Relationship Id="rId77" Type="http://schemas.openxmlformats.org/officeDocument/2006/relationships/pivotTable" Target="../pivotTables/pivotTable170.xml"/><Relationship Id="rId100" Type="http://schemas.openxmlformats.org/officeDocument/2006/relationships/pivotTable" Target="../pivotTables/pivotTable193.xml"/><Relationship Id="rId105" Type="http://schemas.openxmlformats.org/officeDocument/2006/relationships/pivotTable" Target="../pivotTables/pivotTable198.xml"/><Relationship Id="rId8" Type="http://schemas.openxmlformats.org/officeDocument/2006/relationships/pivotTable" Target="../pivotTables/pivotTable101.xml"/><Relationship Id="rId51" Type="http://schemas.openxmlformats.org/officeDocument/2006/relationships/pivotTable" Target="../pivotTables/pivotTable144.xml"/><Relationship Id="rId72" Type="http://schemas.openxmlformats.org/officeDocument/2006/relationships/pivotTable" Target="../pivotTables/pivotTable165.xml"/><Relationship Id="rId93" Type="http://schemas.openxmlformats.org/officeDocument/2006/relationships/pivotTable" Target="../pivotTables/pivotTable186.xml"/><Relationship Id="rId98" Type="http://schemas.openxmlformats.org/officeDocument/2006/relationships/pivotTable" Target="../pivotTables/pivotTable191.xml"/><Relationship Id="rId121" Type="http://schemas.openxmlformats.org/officeDocument/2006/relationships/pivotTable" Target="../pivotTables/pivotTable214.xml"/><Relationship Id="rId3" Type="http://schemas.openxmlformats.org/officeDocument/2006/relationships/pivotTable" Target="../pivotTables/pivotTable96.xml"/><Relationship Id="rId25" Type="http://schemas.openxmlformats.org/officeDocument/2006/relationships/pivotTable" Target="../pivotTables/pivotTable118.xml"/><Relationship Id="rId46" Type="http://schemas.openxmlformats.org/officeDocument/2006/relationships/pivotTable" Target="../pivotTables/pivotTable139.xml"/><Relationship Id="rId67" Type="http://schemas.openxmlformats.org/officeDocument/2006/relationships/pivotTable" Target="../pivotTables/pivotTable160.xml"/><Relationship Id="rId116" Type="http://schemas.openxmlformats.org/officeDocument/2006/relationships/pivotTable" Target="../pivotTables/pivotTable209.xml"/><Relationship Id="rId20" Type="http://schemas.openxmlformats.org/officeDocument/2006/relationships/pivotTable" Target="../pivotTables/pivotTable113.xml"/><Relationship Id="rId41" Type="http://schemas.openxmlformats.org/officeDocument/2006/relationships/pivotTable" Target="../pivotTables/pivotTable134.xml"/><Relationship Id="rId62" Type="http://schemas.openxmlformats.org/officeDocument/2006/relationships/pivotTable" Target="../pivotTables/pivotTable155.xml"/><Relationship Id="rId83" Type="http://schemas.openxmlformats.org/officeDocument/2006/relationships/pivotTable" Target="../pivotTables/pivotTable176.xml"/><Relationship Id="rId88" Type="http://schemas.openxmlformats.org/officeDocument/2006/relationships/pivotTable" Target="../pivotTables/pivotTable181.xml"/><Relationship Id="rId111" Type="http://schemas.openxmlformats.org/officeDocument/2006/relationships/pivotTable" Target="../pivotTables/pivotTable204.xml"/><Relationship Id="rId15" Type="http://schemas.openxmlformats.org/officeDocument/2006/relationships/pivotTable" Target="../pivotTables/pivotTable108.xml"/><Relationship Id="rId36" Type="http://schemas.openxmlformats.org/officeDocument/2006/relationships/pivotTable" Target="../pivotTables/pivotTable129.xml"/><Relationship Id="rId57" Type="http://schemas.openxmlformats.org/officeDocument/2006/relationships/pivotTable" Target="../pivotTables/pivotTable150.xml"/><Relationship Id="rId106" Type="http://schemas.openxmlformats.org/officeDocument/2006/relationships/pivotTable" Target="../pivotTables/pivotTable199.xml"/><Relationship Id="rId10" Type="http://schemas.openxmlformats.org/officeDocument/2006/relationships/pivotTable" Target="../pivotTables/pivotTable103.xml"/><Relationship Id="rId31" Type="http://schemas.openxmlformats.org/officeDocument/2006/relationships/pivotTable" Target="../pivotTables/pivotTable124.xml"/><Relationship Id="rId52" Type="http://schemas.openxmlformats.org/officeDocument/2006/relationships/pivotTable" Target="../pivotTables/pivotTable145.xml"/><Relationship Id="rId73" Type="http://schemas.openxmlformats.org/officeDocument/2006/relationships/pivotTable" Target="../pivotTables/pivotTable166.xml"/><Relationship Id="rId78" Type="http://schemas.openxmlformats.org/officeDocument/2006/relationships/pivotTable" Target="../pivotTables/pivotTable171.xml"/><Relationship Id="rId94" Type="http://schemas.openxmlformats.org/officeDocument/2006/relationships/pivotTable" Target="../pivotTables/pivotTable187.xml"/><Relationship Id="rId99" Type="http://schemas.openxmlformats.org/officeDocument/2006/relationships/pivotTable" Target="../pivotTables/pivotTable192.xml"/><Relationship Id="rId101" Type="http://schemas.openxmlformats.org/officeDocument/2006/relationships/pivotTable" Target="../pivotTables/pivotTable194.xml"/><Relationship Id="rId1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507"/>
  <sheetViews>
    <sheetView workbookViewId="0">
      <selection activeCell="E508" sqref="E508"/>
    </sheetView>
  </sheetViews>
  <sheetFormatPr baseColWidth="10" defaultColWidth="9.140625" defaultRowHeight="15" x14ac:dyDescent="0.25"/>
  <cols>
    <col min="1" max="1" width="17.85546875" customWidth="1"/>
    <col min="2" max="2" width="17" customWidth="1"/>
    <col min="3" max="3" width="11.28515625" customWidth="1"/>
    <col min="4" max="4" width="10.85546875" customWidth="1"/>
    <col min="5" max="5" width="25.7109375" customWidth="1"/>
    <col min="10" max="10" width="14.28515625" customWidth="1"/>
    <col min="19" max="19" width="19.140625" customWidth="1"/>
    <col min="25" max="25" width="19.7109375" customWidth="1"/>
    <col min="49" max="49" width="21.42578125" customWidth="1"/>
  </cols>
  <sheetData>
    <row r="1" spans="1:2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2275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7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</row>
    <row r="2" spans="1:222" x14ac:dyDescent="0.25">
      <c r="A2" s="2">
        <v>45749.49078521991</v>
      </c>
      <c r="B2" s="2">
        <v>45749.500327592592</v>
      </c>
      <c r="C2" t="s">
        <v>334</v>
      </c>
      <c r="D2">
        <v>160</v>
      </c>
      <c r="E2" s="2">
        <v>45730</v>
      </c>
      <c r="F2">
        <v>3</v>
      </c>
      <c r="G2" t="s">
        <v>486</v>
      </c>
      <c r="H2" t="s">
        <v>335</v>
      </c>
      <c r="I2">
        <v>60</v>
      </c>
      <c r="J2" t="str">
        <f t="shared" ref="J2:J65" si="0">IF(AND(I2&gt;=18,I2&lt;=25), "de 18 a 25 años",IF(AND(I2&gt;=26,I2&lt;=40),"de 26 a 40 años",IF(AND(I2&gt;=41,I2&lt;=55),"de 41 a 55 años","de 56 a más")))</f>
        <v>de 56 a más</v>
      </c>
      <c r="K2" t="s">
        <v>251</v>
      </c>
      <c r="L2">
        <v>0</v>
      </c>
      <c r="M2">
        <v>0</v>
      </c>
      <c r="N2">
        <v>0</v>
      </c>
      <c r="O2">
        <v>0</v>
      </c>
      <c r="P2">
        <v>0</v>
      </c>
      <c r="Q2" t="s">
        <v>225</v>
      </c>
      <c r="R2" t="s">
        <v>226</v>
      </c>
      <c r="T2" t="s">
        <v>227</v>
      </c>
      <c r="V2" t="s">
        <v>252</v>
      </c>
      <c r="W2" t="s">
        <v>229</v>
      </c>
      <c r="X2" t="s">
        <v>368</v>
      </c>
      <c r="Z2" t="s">
        <v>254</v>
      </c>
      <c r="AA2" t="s">
        <v>293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I2" t="s">
        <v>233</v>
      </c>
      <c r="AJ2">
        <v>0</v>
      </c>
      <c r="AK2">
        <v>1</v>
      </c>
      <c r="AL2">
        <v>0</v>
      </c>
      <c r="AM2">
        <v>0</v>
      </c>
      <c r="AN2" t="s">
        <v>300</v>
      </c>
      <c r="AO2" t="s">
        <v>353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X2" t="s">
        <v>226</v>
      </c>
      <c r="AY2" t="s">
        <v>226</v>
      </c>
      <c r="AZ2" t="s">
        <v>237</v>
      </c>
      <c r="BA2" t="s">
        <v>487</v>
      </c>
      <c r="BB2" t="s">
        <v>488</v>
      </c>
      <c r="BC2" t="s">
        <v>489</v>
      </c>
      <c r="BE2" t="s">
        <v>261</v>
      </c>
      <c r="BF2" t="s">
        <v>261</v>
      </c>
      <c r="BG2" t="s">
        <v>237</v>
      </c>
      <c r="BH2" t="s">
        <v>237</v>
      </c>
      <c r="BI2" t="s">
        <v>237</v>
      </c>
      <c r="BJ2" t="s">
        <v>237</v>
      </c>
      <c r="BK2" t="s">
        <v>261</v>
      </c>
      <c r="BL2" t="s">
        <v>262</v>
      </c>
      <c r="BM2" t="s">
        <v>490</v>
      </c>
      <c r="BN2">
        <v>1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 t="s">
        <v>242</v>
      </c>
      <c r="CB2" t="s">
        <v>243</v>
      </c>
      <c r="CC2" t="s">
        <v>264</v>
      </c>
      <c r="CD2" t="s">
        <v>236</v>
      </c>
      <c r="CE2" t="s">
        <v>236</v>
      </c>
      <c r="EA2" t="s">
        <v>226</v>
      </c>
      <c r="EB2" t="s">
        <v>265</v>
      </c>
      <c r="EC2" t="s">
        <v>236</v>
      </c>
      <c r="EE2" t="s">
        <v>226</v>
      </c>
      <c r="EF2" t="s">
        <v>245</v>
      </c>
      <c r="EG2" t="s">
        <v>236</v>
      </c>
      <c r="EI2" t="s">
        <v>236</v>
      </c>
      <c r="EK2" t="s">
        <v>236</v>
      </c>
      <c r="EM2" t="s">
        <v>226</v>
      </c>
      <c r="EN2" t="s">
        <v>245</v>
      </c>
      <c r="EO2" t="s">
        <v>236</v>
      </c>
      <c r="EQ2" t="s">
        <v>236</v>
      </c>
      <c r="ES2" t="s">
        <v>236</v>
      </c>
      <c r="EU2" t="s">
        <v>236</v>
      </c>
      <c r="EW2" t="s">
        <v>226</v>
      </c>
      <c r="EX2" t="s">
        <v>244</v>
      </c>
      <c r="EY2" t="s">
        <v>236</v>
      </c>
      <c r="FA2" t="s">
        <v>236</v>
      </c>
      <c r="FC2" t="s">
        <v>236</v>
      </c>
      <c r="FE2" t="s">
        <v>226</v>
      </c>
      <c r="FF2" t="s">
        <v>245</v>
      </c>
      <c r="FG2" t="s">
        <v>236</v>
      </c>
      <c r="FJ2" t="s">
        <v>236</v>
      </c>
      <c r="FM2" t="s">
        <v>236</v>
      </c>
      <c r="FW2" t="s">
        <v>226</v>
      </c>
      <c r="FX2" t="s">
        <v>236</v>
      </c>
      <c r="FZ2" t="s">
        <v>236</v>
      </c>
      <c r="GC2" t="s">
        <v>236</v>
      </c>
      <c r="GF2" t="s">
        <v>226</v>
      </c>
      <c r="GG2" t="s">
        <v>226</v>
      </c>
      <c r="GH2" t="s">
        <v>266</v>
      </c>
      <c r="GI2" t="s">
        <v>236</v>
      </c>
      <c r="GL2" t="s">
        <v>236</v>
      </c>
      <c r="GO2" t="s">
        <v>226</v>
      </c>
      <c r="GP2" t="s">
        <v>226</v>
      </c>
      <c r="GQ2" t="s">
        <v>267</v>
      </c>
      <c r="GR2" t="s">
        <v>236</v>
      </c>
      <c r="GU2" t="s">
        <v>236</v>
      </c>
      <c r="GX2" t="s">
        <v>236</v>
      </c>
      <c r="HB2" t="s">
        <v>491</v>
      </c>
      <c r="HC2" t="s">
        <v>492</v>
      </c>
      <c r="HD2" t="s">
        <v>493</v>
      </c>
      <c r="HE2">
        <v>82691186</v>
      </c>
      <c r="HF2" t="s">
        <v>494</v>
      </c>
      <c r="HG2" s="2">
        <v>45749.708587962959</v>
      </c>
      <c r="HJ2" t="s">
        <v>248</v>
      </c>
      <c r="HL2" t="s">
        <v>469</v>
      </c>
      <c r="HN2">
        <v>2</v>
      </c>
    </row>
    <row r="3" spans="1:222" x14ac:dyDescent="0.25">
      <c r="A3" s="2">
        <v>45749.491884768519</v>
      </c>
      <c r="B3" s="2">
        <v>45749.497412662036</v>
      </c>
      <c r="C3" t="s">
        <v>465</v>
      </c>
      <c r="D3">
        <v>44</v>
      </c>
      <c r="E3" s="2">
        <v>45732</v>
      </c>
      <c r="F3">
        <v>5</v>
      </c>
      <c r="G3" t="s">
        <v>271</v>
      </c>
      <c r="H3" t="s">
        <v>223</v>
      </c>
      <c r="I3">
        <v>29</v>
      </c>
      <c r="J3" t="str">
        <f t="shared" si="0"/>
        <v>de 26 a 40 años</v>
      </c>
      <c r="K3" t="s">
        <v>251</v>
      </c>
      <c r="L3">
        <v>0</v>
      </c>
      <c r="M3">
        <v>0</v>
      </c>
      <c r="N3">
        <v>0</v>
      </c>
      <c r="O3">
        <v>0</v>
      </c>
      <c r="P3">
        <v>0</v>
      </c>
      <c r="Q3" t="s">
        <v>291</v>
      </c>
      <c r="R3" t="s">
        <v>226</v>
      </c>
      <c r="T3" t="s">
        <v>659</v>
      </c>
      <c r="V3" t="s">
        <v>252</v>
      </c>
      <c r="W3" t="s">
        <v>229</v>
      </c>
      <c r="X3" t="s">
        <v>230</v>
      </c>
      <c r="Z3" t="s">
        <v>254</v>
      </c>
      <c r="AA3" t="s">
        <v>255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I3" t="s">
        <v>233</v>
      </c>
      <c r="AJ3">
        <v>0</v>
      </c>
      <c r="AK3">
        <v>1</v>
      </c>
      <c r="AL3">
        <v>0</v>
      </c>
      <c r="AM3">
        <v>0</v>
      </c>
      <c r="AN3" t="s">
        <v>274</v>
      </c>
      <c r="AO3" t="s">
        <v>275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X3" t="s">
        <v>226</v>
      </c>
      <c r="AY3" t="s">
        <v>226</v>
      </c>
      <c r="AZ3" t="s">
        <v>237</v>
      </c>
      <c r="BA3" t="s">
        <v>301</v>
      </c>
      <c r="BB3" t="s">
        <v>660</v>
      </c>
      <c r="BE3" t="s">
        <v>259</v>
      </c>
      <c r="BF3" t="s">
        <v>259</v>
      </c>
      <c r="BG3" t="s">
        <v>259</v>
      </c>
      <c r="BH3" t="s">
        <v>259</v>
      </c>
      <c r="BI3" t="s">
        <v>259</v>
      </c>
      <c r="BJ3" t="s">
        <v>259</v>
      </c>
      <c r="BK3" t="s">
        <v>259</v>
      </c>
      <c r="BL3" t="s">
        <v>262</v>
      </c>
      <c r="BM3" t="s">
        <v>451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 t="s">
        <v>264</v>
      </c>
      <c r="CB3" t="s">
        <v>264</v>
      </c>
      <c r="CC3" t="s">
        <v>264</v>
      </c>
      <c r="CD3" t="s">
        <v>236</v>
      </c>
      <c r="CE3" t="s">
        <v>236</v>
      </c>
      <c r="EA3" t="s">
        <v>236</v>
      </c>
      <c r="EC3" t="s">
        <v>236</v>
      </c>
      <c r="EE3" t="s">
        <v>236</v>
      </c>
      <c r="EG3" t="s">
        <v>226</v>
      </c>
      <c r="EH3" t="s">
        <v>244</v>
      </c>
      <c r="EI3" t="s">
        <v>236</v>
      </c>
      <c r="EK3" t="s">
        <v>236</v>
      </c>
      <c r="EM3" t="s">
        <v>236</v>
      </c>
      <c r="EO3" t="s">
        <v>226</v>
      </c>
      <c r="EP3" t="s">
        <v>244</v>
      </c>
      <c r="EQ3" t="s">
        <v>236</v>
      </c>
      <c r="ES3" t="s">
        <v>236</v>
      </c>
      <c r="EU3" t="s">
        <v>236</v>
      </c>
      <c r="EW3" t="s">
        <v>236</v>
      </c>
      <c r="EY3" t="s">
        <v>236</v>
      </c>
      <c r="FA3" t="s">
        <v>226</v>
      </c>
      <c r="FB3" t="s">
        <v>244</v>
      </c>
      <c r="FC3" t="s">
        <v>236</v>
      </c>
      <c r="FE3" t="s">
        <v>236</v>
      </c>
      <c r="FG3" t="s">
        <v>236</v>
      </c>
      <c r="FJ3" t="s">
        <v>236</v>
      </c>
      <c r="FM3" t="s">
        <v>236</v>
      </c>
      <c r="FW3" t="s">
        <v>236</v>
      </c>
      <c r="FZ3" t="s">
        <v>236</v>
      </c>
      <c r="GC3" t="s">
        <v>236</v>
      </c>
      <c r="GF3" t="s">
        <v>236</v>
      </c>
      <c r="GI3" t="s">
        <v>236</v>
      </c>
      <c r="GL3" t="s">
        <v>236</v>
      </c>
      <c r="GO3" t="s">
        <v>236</v>
      </c>
      <c r="GR3" t="s">
        <v>236</v>
      </c>
      <c r="GU3" t="s">
        <v>236</v>
      </c>
      <c r="GX3" t="s">
        <v>236</v>
      </c>
      <c r="HB3" t="s">
        <v>510</v>
      </c>
      <c r="HC3" t="s">
        <v>303</v>
      </c>
      <c r="HE3">
        <v>82691019</v>
      </c>
      <c r="HF3" t="s">
        <v>686</v>
      </c>
      <c r="HG3" s="2">
        <v>45749.705671296288</v>
      </c>
      <c r="HJ3" t="s">
        <v>248</v>
      </c>
      <c r="HL3" t="s">
        <v>469</v>
      </c>
      <c r="HN3">
        <v>1</v>
      </c>
    </row>
    <row r="4" spans="1:222" x14ac:dyDescent="0.25">
      <c r="A4" s="2">
        <v>45749.497413217592</v>
      </c>
      <c r="B4" s="2">
        <v>45749.520095254629</v>
      </c>
      <c r="C4" t="s">
        <v>465</v>
      </c>
      <c r="D4">
        <v>49</v>
      </c>
      <c r="E4" s="2">
        <v>45732</v>
      </c>
      <c r="F4">
        <v>5</v>
      </c>
      <c r="G4" t="s">
        <v>271</v>
      </c>
      <c r="H4" t="s">
        <v>223</v>
      </c>
      <c r="I4">
        <v>28</v>
      </c>
      <c r="J4" t="str">
        <f t="shared" si="0"/>
        <v>de 26 a 40 años</v>
      </c>
      <c r="K4" t="s">
        <v>224</v>
      </c>
      <c r="L4">
        <v>0</v>
      </c>
      <c r="M4">
        <v>0</v>
      </c>
      <c r="N4">
        <v>0</v>
      </c>
      <c r="O4">
        <v>0</v>
      </c>
      <c r="P4">
        <v>0</v>
      </c>
      <c r="Q4" t="s">
        <v>291</v>
      </c>
      <c r="R4" t="s">
        <v>226</v>
      </c>
      <c r="T4" t="s">
        <v>227</v>
      </c>
      <c r="V4" t="s">
        <v>252</v>
      </c>
      <c r="W4" t="s">
        <v>229</v>
      </c>
      <c r="X4" t="s">
        <v>230</v>
      </c>
      <c r="Z4" t="s">
        <v>231</v>
      </c>
      <c r="AA4" t="s">
        <v>293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I4" t="s">
        <v>233</v>
      </c>
      <c r="AJ4">
        <v>0</v>
      </c>
      <c r="AK4">
        <v>1</v>
      </c>
      <c r="AL4">
        <v>0</v>
      </c>
      <c r="AM4">
        <v>0</v>
      </c>
      <c r="AN4" t="s">
        <v>234</v>
      </c>
      <c r="AO4" t="s">
        <v>353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X4" t="s">
        <v>226</v>
      </c>
      <c r="AY4" t="s">
        <v>226</v>
      </c>
      <c r="AZ4" t="s">
        <v>237</v>
      </c>
      <c r="BA4" t="s">
        <v>466</v>
      </c>
      <c r="BB4" t="s">
        <v>336</v>
      </c>
      <c r="BE4" t="s">
        <v>259</v>
      </c>
      <c r="BF4" t="s">
        <v>259</v>
      </c>
      <c r="BG4" t="s">
        <v>259</v>
      </c>
      <c r="BH4" t="s">
        <v>259</v>
      </c>
      <c r="BI4" t="s">
        <v>259</v>
      </c>
      <c r="BJ4" t="s">
        <v>259</v>
      </c>
      <c r="BK4" t="s">
        <v>259</v>
      </c>
      <c r="BL4" t="s">
        <v>262</v>
      </c>
      <c r="BM4" t="s">
        <v>451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 t="s">
        <v>264</v>
      </c>
      <c r="CB4" t="s">
        <v>264</v>
      </c>
      <c r="CC4" t="s">
        <v>264</v>
      </c>
      <c r="CD4" t="s">
        <v>226</v>
      </c>
      <c r="CE4" t="s">
        <v>236</v>
      </c>
      <c r="EA4" t="s">
        <v>236</v>
      </c>
      <c r="EC4" t="s">
        <v>236</v>
      </c>
      <c r="EE4" t="s">
        <v>236</v>
      </c>
      <c r="EG4" t="s">
        <v>226</v>
      </c>
      <c r="EH4" t="s">
        <v>245</v>
      </c>
      <c r="EI4" t="s">
        <v>236</v>
      </c>
      <c r="EK4" t="s">
        <v>236</v>
      </c>
      <c r="EM4" t="s">
        <v>226</v>
      </c>
      <c r="EN4" t="s">
        <v>245</v>
      </c>
      <c r="EO4" t="s">
        <v>236</v>
      </c>
      <c r="EQ4" t="s">
        <v>236</v>
      </c>
      <c r="ES4" t="s">
        <v>236</v>
      </c>
      <c r="EU4" t="s">
        <v>236</v>
      </c>
      <c r="EW4" t="s">
        <v>226</v>
      </c>
      <c r="EX4" t="s">
        <v>244</v>
      </c>
      <c r="EY4" t="s">
        <v>226</v>
      </c>
      <c r="EZ4" t="s">
        <v>244</v>
      </c>
      <c r="FA4" t="s">
        <v>226</v>
      </c>
      <c r="FB4" t="s">
        <v>245</v>
      </c>
      <c r="FC4" t="s">
        <v>236</v>
      </c>
      <c r="FE4" t="s">
        <v>236</v>
      </c>
      <c r="FG4" t="s">
        <v>236</v>
      </c>
      <c r="FJ4" t="s">
        <v>226</v>
      </c>
      <c r="FK4" t="s">
        <v>245</v>
      </c>
      <c r="FL4" t="s">
        <v>236</v>
      </c>
      <c r="FM4" t="s">
        <v>236</v>
      </c>
      <c r="FW4" t="s">
        <v>236</v>
      </c>
      <c r="FZ4" t="s">
        <v>226</v>
      </c>
      <c r="GA4" t="s">
        <v>236</v>
      </c>
      <c r="GC4" t="s">
        <v>236</v>
      </c>
      <c r="GF4" t="s">
        <v>226</v>
      </c>
      <c r="GG4" t="s">
        <v>236</v>
      </c>
      <c r="GI4" t="s">
        <v>226</v>
      </c>
      <c r="GJ4" t="s">
        <v>236</v>
      </c>
      <c r="GL4" t="s">
        <v>226</v>
      </c>
      <c r="GM4" t="s">
        <v>236</v>
      </c>
      <c r="GO4" t="s">
        <v>226</v>
      </c>
      <c r="GP4" t="s">
        <v>236</v>
      </c>
      <c r="GR4" t="s">
        <v>226</v>
      </c>
      <c r="GS4" t="s">
        <v>236</v>
      </c>
      <c r="GU4" t="s">
        <v>236</v>
      </c>
      <c r="GX4" t="s">
        <v>236</v>
      </c>
      <c r="HB4" t="s">
        <v>338</v>
      </c>
      <c r="HC4" t="s">
        <v>467</v>
      </c>
      <c r="HE4">
        <v>82693115</v>
      </c>
      <c r="HF4" t="s">
        <v>468</v>
      </c>
      <c r="HG4" s="2">
        <v>45749.728344907409</v>
      </c>
      <c r="HJ4" t="s">
        <v>248</v>
      </c>
      <c r="HL4" t="s">
        <v>469</v>
      </c>
      <c r="HN4">
        <v>5</v>
      </c>
    </row>
    <row r="5" spans="1:222" x14ac:dyDescent="0.25">
      <c r="A5" s="2">
        <v>45749.500328194437</v>
      </c>
      <c r="B5" s="2">
        <v>45749.506112881943</v>
      </c>
      <c r="C5" t="s">
        <v>334</v>
      </c>
      <c r="D5">
        <v>159</v>
      </c>
      <c r="E5" s="2">
        <v>45730</v>
      </c>
      <c r="F5">
        <v>3</v>
      </c>
      <c r="G5" t="s">
        <v>306</v>
      </c>
      <c r="H5" t="s">
        <v>335</v>
      </c>
      <c r="I5">
        <v>26</v>
      </c>
      <c r="J5" t="str">
        <f t="shared" si="0"/>
        <v>de 26 a 40 años</v>
      </c>
      <c r="K5" t="s">
        <v>251</v>
      </c>
      <c r="L5">
        <v>0</v>
      </c>
      <c r="M5">
        <v>0</v>
      </c>
      <c r="N5">
        <v>0</v>
      </c>
      <c r="O5">
        <v>0</v>
      </c>
      <c r="P5">
        <v>0</v>
      </c>
      <c r="Q5" t="s">
        <v>225</v>
      </c>
      <c r="R5" t="s">
        <v>226</v>
      </c>
      <c r="T5" t="s">
        <v>227</v>
      </c>
      <c r="V5" t="s">
        <v>228</v>
      </c>
      <c r="W5" t="s">
        <v>229</v>
      </c>
      <c r="X5" t="s">
        <v>230</v>
      </c>
      <c r="Z5" t="s">
        <v>254</v>
      </c>
      <c r="AA5" t="s">
        <v>896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 t="s">
        <v>1096</v>
      </c>
      <c r="AI5" t="s">
        <v>256</v>
      </c>
      <c r="AJ5">
        <v>0</v>
      </c>
      <c r="AK5">
        <v>0</v>
      </c>
      <c r="AL5">
        <v>1</v>
      </c>
      <c r="AM5">
        <v>0</v>
      </c>
      <c r="AN5" t="s">
        <v>300</v>
      </c>
      <c r="AO5" t="s">
        <v>235</v>
      </c>
      <c r="AP5">
        <v>0</v>
      </c>
      <c r="AQ5">
        <v>0</v>
      </c>
      <c r="AR5">
        <v>0</v>
      </c>
      <c r="AS5">
        <v>1</v>
      </c>
      <c r="AT5">
        <v>0</v>
      </c>
      <c r="AU5">
        <v>0</v>
      </c>
      <c r="AV5">
        <v>0</v>
      </c>
      <c r="AX5" t="s">
        <v>226</v>
      </c>
      <c r="AY5" t="s">
        <v>226</v>
      </c>
      <c r="AZ5" t="s">
        <v>237</v>
      </c>
      <c r="BA5" t="s">
        <v>1097</v>
      </c>
      <c r="BE5" t="s">
        <v>259</v>
      </c>
      <c r="BF5" t="s">
        <v>259</v>
      </c>
      <c r="BG5" t="s">
        <v>259</v>
      </c>
      <c r="BH5" t="s">
        <v>237</v>
      </c>
      <c r="BI5" t="s">
        <v>237</v>
      </c>
      <c r="BJ5" t="s">
        <v>237</v>
      </c>
      <c r="BK5" t="s">
        <v>259</v>
      </c>
      <c r="BL5" t="s">
        <v>313</v>
      </c>
      <c r="BM5" t="s">
        <v>278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 t="s">
        <v>264</v>
      </c>
      <c r="CB5" t="s">
        <v>264</v>
      </c>
      <c r="CC5" t="s">
        <v>264</v>
      </c>
      <c r="CD5" t="s">
        <v>236</v>
      </c>
      <c r="CE5" t="s">
        <v>236</v>
      </c>
      <c r="EA5" t="s">
        <v>226</v>
      </c>
      <c r="EB5" t="s">
        <v>244</v>
      </c>
      <c r="EC5" t="s">
        <v>236</v>
      </c>
      <c r="EE5" t="s">
        <v>226</v>
      </c>
      <c r="EF5" t="s">
        <v>245</v>
      </c>
      <c r="EG5" t="s">
        <v>226</v>
      </c>
      <c r="EH5" t="s">
        <v>245</v>
      </c>
      <c r="EI5" t="s">
        <v>226</v>
      </c>
      <c r="EJ5" t="s">
        <v>245</v>
      </c>
      <c r="EK5" t="s">
        <v>226</v>
      </c>
      <c r="EL5" t="s">
        <v>244</v>
      </c>
      <c r="EM5" t="s">
        <v>226</v>
      </c>
      <c r="EN5" t="s">
        <v>245</v>
      </c>
      <c r="EO5" t="s">
        <v>226</v>
      </c>
      <c r="EP5" t="s">
        <v>244</v>
      </c>
      <c r="EQ5" t="s">
        <v>308</v>
      </c>
      <c r="ES5" t="s">
        <v>236</v>
      </c>
      <c r="EU5" t="s">
        <v>236</v>
      </c>
      <c r="EW5" t="s">
        <v>236</v>
      </c>
      <c r="EY5" t="s">
        <v>226</v>
      </c>
      <c r="EZ5" t="s">
        <v>245</v>
      </c>
      <c r="FA5" t="s">
        <v>226</v>
      </c>
      <c r="FB5" t="s">
        <v>245</v>
      </c>
      <c r="FC5" t="s">
        <v>236</v>
      </c>
      <c r="FE5" t="s">
        <v>226</v>
      </c>
      <c r="FF5" t="s">
        <v>245</v>
      </c>
      <c r="FG5" t="s">
        <v>236</v>
      </c>
      <c r="FJ5" t="s">
        <v>226</v>
      </c>
      <c r="FK5" t="s">
        <v>245</v>
      </c>
      <c r="FL5" t="s">
        <v>226</v>
      </c>
      <c r="FM5" t="s">
        <v>236</v>
      </c>
      <c r="FW5" t="s">
        <v>226</v>
      </c>
      <c r="FX5" t="s">
        <v>236</v>
      </c>
      <c r="FZ5" t="s">
        <v>236</v>
      </c>
      <c r="GC5" t="s">
        <v>236</v>
      </c>
      <c r="GF5" t="s">
        <v>226</v>
      </c>
      <c r="GG5" t="s">
        <v>226</v>
      </c>
      <c r="GH5" t="s">
        <v>266</v>
      </c>
      <c r="GI5" t="s">
        <v>236</v>
      </c>
      <c r="GL5" t="s">
        <v>236</v>
      </c>
      <c r="GO5" t="s">
        <v>226</v>
      </c>
      <c r="GP5" t="s">
        <v>226</v>
      </c>
      <c r="GQ5" t="s">
        <v>266</v>
      </c>
      <c r="GR5" t="s">
        <v>226</v>
      </c>
      <c r="GS5" t="s">
        <v>226</v>
      </c>
      <c r="GT5" t="s">
        <v>266</v>
      </c>
      <c r="GU5" t="s">
        <v>236</v>
      </c>
      <c r="GX5" t="s">
        <v>236</v>
      </c>
      <c r="HB5" t="s">
        <v>338</v>
      </c>
      <c r="HC5" t="s">
        <v>318</v>
      </c>
      <c r="HD5" t="s">
        <v>814</v>
      </c>
      <c r="HE5">
        <v>82691900</v>
      </c>
      <c r="HF5" t="s">
        <v>1098</v>
      </c>
      <c r="HG5" s="2">
        <v>45749.714363425926</v>
      </c>
      <c r="HJ5" t="s">
        <v>248</v>
      </c>
      <c r="HL5" t="s">
        <v>469</v>
      </c>
      <c r="HN5">
        <v>3</v>
      </c>
    </row>
    <row r="6" spans="1:222" x14ac:dyDescent="0.25">
      <c r="A6" s="2">
        <v>45749.5097297338</v>
      </c>
      <c r="B6" s="2">
        <v>45749.514637974527</v>
      </c>
      <c r="C6" t="s">
        <v>334</v>
      </c>
      <c r="D6">
        <v>157</v>
      </c>
      <c r="E6" s="2">
        <v>45730</v>
      </c>
      <c r="F6">
        <v>3</v>
      </c>
      <c r="G6" t="s">
        <v>472</v>
      </c>
      <c r="H6" t="s">
        <v>335</v>
      </c>
      <c r="I6">
        <v>26</v>
      </c>
      <c r="J6" t="str">
        <f t="shared" si="0"/>
        <v>de 26 a 40 años</v>
      </c>
      <c r="K6" t="s">
        <v>341</v>
      </c>
      <c r="L6">
        <v>0</v>
      </c>
      <c r="M6">
        <v>0</v>
      </c>
      <c r="N6">
        <v>0</v>
      </c>
      <c r="O6">
        <v>0</v>
      </c>
      <c r="P6">
        <v>0</v>
      </c>
      <c r="Q6" t="s">
        <v>225</v>
      </c>
      <c r="R6" t="s">
        <v>226</v>
      </c>
      <c r="T6" t="s">
        <v>227</v>
      </c>
      <c r="V6" t="s">
        <v>252</v>
      </c>
      <c r="W6" t="s">
        <v>229</v>
      </c>
      <c r="X6" t="s">
        <v>480</v>
      </c>
      <c r="Z6" t="s">
        <v>273</v>
      </c>
      <c r="AA6" t="s">
        <v>481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I6" t="s">
        <v>233</v>
      </c>
      <c r="AJ6">
        <v>0</v>
      </c>
      <c r="AK6">
        <v>1</v>
      </c>
      <c r="AL6">
        <v>0</v>
      </c>
      <c r="AM6">
        <v>0</v>
      </c>
      <c r="AN6" t="s">
        <v>234</v>
      </c>
      <c r="AO6" t="s">
        <v>275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X6" t="s">
        <v>226</v>
      </c>
      <c r="AY6" t="s">
        <v>226</v>
      </c>
      <c r="AZ6" t="s">
        <v>237</v>
      </c>
      <c r="BA6" t="s">
        <v>482</v>
      </c>
      <c r="BB6" t="s">
        <v>483</v>
      </c>
      <c r="BE6" t="s">
        <v>259</v>
      </c>
      <c r="BF6" t="s">
        <v>237</v>
      </c>
      <c r="BG6" t="s">
        <v>259</v>
      </c>
      <c r="BH6" t="s">
        <v>362</v>
      </c>
      <c r="BI6" t="s">
        <v>362</v>
      </c>
      <c r="BJ6" t="s">
        <v>237</v>
      </c>
      <c r="BK6" t="s">
        <v>261</v>
      </c>
      <c r="BL6" t="s">
        <v>262</v>
      </c>
      <c r="BM6" t="s">
        <v>296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 t="s">
        <v>243</v>
      </c>
      <c r="CB6" t="s">
        <v>243</v>
      </c>
      <c r="CC6" t="s">
        <v>264</v>
      </c>
      <c r="CD6" t="s">
        <v>236</v>
      </c>
      <c r="CE6" t="s">
        <v>236</v>
      </c>
      <c r="EA6" t="s">
        <v>236</v>
      </c>
      <c r="EC6" t="s">
        <v>236</v>
      </c>
      <c r="EE6" t="s">
        <v>226</v>
      </c>
      <c r="EF6" t="s">
        <v>245</v>
      </c>
      <c r="EG6" t="s">
        <v>236</v>
      </c>
      <c r="EI6" t="s">
        <v>236</v>
      </c>
      <c r="EK6" t="s">
        <v>226</v>
      </c>
      <c r="EL6" t="s">
        <v>244</v>
      </c>
      <c r="EM6" t="s">
        <v>226</v>
      </c>
      <c r="EN6" t="s">
        <v>245</v>
      </c>
      <c r="EO6" t="s">
        <v>236</v>
      </c>
      <c r="EQ6" t="s">
        <v>236</v>
      </c>
      <c r="ES6" t="s">
        <v>236</v>
      </c>
      <c r="EU6" t="s">
        <v>236</v>
      </c>
      <c r="EW6" t="s">
        <v>236</v>
      </c>
      <c r="EY6" t="s">
        <v>226</v>
      </c>
      <c r="EZ6" t="s">
        <v>244</v>
      </c>
      <c r="FA6" t="s">
        <v>236</v>
      </c>
      <c r="FC6" t="s">
        <v>236</v>
      </c>
      <c r="FE6" t="s">
        <v>236</v>
      </c>
      <c r="FG6" t="s">
        <v>236</v>
      </c>
      <c r="FJ6" t="s">
        <v>226</v>
      </c>
      <c r="FK6" t="s">
        <v>245</v>
      </c>
      <c r="FL6" t="s">
        <v>236</v>
      </c>
      <c r="FM6" t="s">
        <v>236</v>
      </c>
      <c r="FW6" t="s">
        <v>226</v>
      </c>
      <c r="FX6" t="s">
        <v>236</v>
      </c>
      <c r="FZ6" t="s">
        <v>236</v>
      </c>
      <c r="GC6" t="s">
        <v>236</v>
      </c>
      <c r="GF6" t="s">
        <v>236</v>
      </c>
      <c r="GI6" t="s">
        <v>236</v>
      </c>
      <c r="GL6" t="s">
        <v>226</v>
      </c>
      <c r="GM6" t="s">
        <v>236</v>
      </c>
      <c r="GO6" t="s">
        <v>236</v>
      </c>
      <c r="GR6" t="s">
        <v>236</v>
      </c>
      <c r="GU6" t="s">
        <v>236</v>
      </c>
      <c r="GX6" t="s">
        <v>236</v>
      </c>
      <c r="HB6" t="s">
        <v>323</v>
      </c>
      <c r="HC6" t="s">
        <v>484</v>
      </c>
      <c r="HE6">
        <v>82692806</v>
      </c>
      <c r="HF6" t="s">
        <v>485</v>
      </c>
      <c r="HG6" s="2">
        <v>45749.722893518519</v>
      </c>
      <c r="HJ6" t="s">
        <v>248</v>
      </c>
      <c r="HL6" t="s">
        <v>469</v>
      </c>
      <c r="HN6">
        <v>4</v>
      </c>
    </row>
    <row r="7" spans="1:222" x14ac:dyDescent="0.25">
      <c r="A7" s="2">
        <v>45749.514600057868</v>
      </c>
      <c r="B7" s="2">
        <v>45749.520609583327</v>
      </c>
      <c r="C7" t="s">
        <v>305</v>
      </c>
      <c r="D7">
        <v>81</v>
      </c>
      <c r="E7" s="2">
        <v>45731</v>
      </c>
      <c r="F7">
        <v>2</v>
      </c>
      <c r="G7" t="s">
        <v>271</v>
      </c>
      <c r="H7" t="s">
        <v>391</v>
      </c>
      <c r="I7">
        <v>42</v>
      </c>
      <c r="J7" t="str">
        <f t="shared" si="0"/>
        <v>de 41 a 55 años</v>
      </c>
      <c r="K7" t="s">
        <v>251</v>
      </c>
      <c r="L7">
        <v>0</v>
      </c>
      <c r="M7">
        <v>0</v>
      </c>
      <c r="N7">
        <v>0</v>
      </c>
      <c r="O7">
        <v>0</v>
      </c>
      <c r="P7">
        <v>0</v>
      </c>
      <c r="Q7" t="s">
        <v>291</v>
      </c>
      <c r="R7" t="s">
        <v>226</v>
      </c>
      <c r="T7" t="s">
        <v>227</v>
      </c>
      <c r="V7" t="s">
        <v>252</v>
      </c>
      <c r="W7" t="s">
        <v>229</v>
      </c>
      <c r="X7" t="s">
        <v>350</v>
      </c>
      <c r="Z7" t="s">
        <v>231</v>
      </c>
      <c r="AA7" t="s">
        <v>255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I7" t="s">
        <v>233</v>
      </c>
      <c r="AJ7">
        <v>0</v>
      </c>
      <c r="AK7">
        <v>1</v>
      </c>
      <c r="AL7">
        <v>0</v>
      </c>
      <c r="AM7">
        <v>0</v>
      </c>
      <c r="AN7" t="s">
        <v>300</v>
      </c>
      <c r="AO7" t="s">
        <v>353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X7" t="s">
        <v>226</v>
      </c>
      <c r="AY7" t="s">
        <v>226</v>
      </c>
      <c r="AZ7" t="s">
        <v>237</v>
      </c>
      <c r="BA7" t="s">
        <v>786</v>
      </c>
      <c r="BB7" t="s">
        <v>787</v>
      </c>
      <c r="BE7" t="s">
        <v>259</v>
      </c>
      <c r="BF7" t="s">
        <v>259</v>
      </c>
      <c r="BG7" t="s">
        <v>259</v>
      </c>
      <c r="BH7" t="s">
        <v>259</v>
      </c>
      <c r="BI7" t="s">
        <v>237</v>
      </c>
      <c r="BJ7" t="s">
        <v>237</v>
      </c>
      <c r="BK7" t="s">
        <v>237</v>
      </c>
      <c r="BL7" t="s">
        <v>262</v>
      </c>
      <c r="BM7" t="s">
        <v>451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 t="s">
        <v>264</v>
      </c>
      <c r="CB7" t="s">
        <v>264</v>
      </c>
      <c r="CC7" t="s">
        <v>264</v>
      </c>
      <c r="CD7" t="s">
        <v>236</v>
      </c>
      <c r="CE7" t="s">
        <v>236</v>
      </c>
      <c r="EA7" t="s">
        <v>226</v>
      </c>
      <c r="EB7" t="s">
        <v>244</v>
      </c>
      <c r="EC7" t="s">
        <v>226</v>
      </c>
      <c r="ED7" t="s">
        <v>245</v>
      </c>
      <c r="EE7" t="s">
        <v>226</v>
      </c>
      <c r="EF7" t="s">
        <v>245</v>
      </c>
      <c r="EG7" t="s">
        <v>226</v>
      </c>
      <c r="EH7" t="s">
        <v>245</v>
      </c>
      <c r="EI7" t="s">
        <v>236</v>
      </c>
      <c r="EK7" t="s">
        <v>308</v>
      </c>
      <c r="EM7" t="s">
        <v>226</v>
      </c>
      <c r="EN7" t="s">
        <v>245</v>
      </c>
      <c r="EO7" t="s">
        <v>236</v>
      </c>
      <c r="EQ7" t="s">
        <v>236</v>
      </c>
      <c r="ES7" t="s">
        <v>236</v>
      </c>
      <c r="EU7" t="s">
        <v>236</v>
      </c>
      <c r="EW7" t="s">
        <v>236</v>
      </c>
      <c r="EY7" t="s">
        <v>236</v>
      </c>
      <c r="FA7" t="s">
        <v>226</v>
      </c>
      <c r="FB7" t="s">
        <v>244</v>
      </c>
      <c r="FC7" t="s">
        <v>236</v>
      </c>
      <c r="FE7" t="s">
        <v>226</v>
      </c>
      <c r="FF7" t="s">
        <v>244</v>
      </c>
      <c r="FG7" t="s">
        <v>236</v>
      </c>
      <c r="FJ7" t="s">
        <v>236</v>
      </c>
      <c r="FM7" t="s">
        <v>236</v>
      </c>
      <c r="FW7" t="s">
        <v>226</v>
      </c>
      <c r="FX7" t="s">
        <v>236</v>
      </c>
      <c r="FZ7" t="s">
        <v>236</v>
      </c>
      <c r="GC7" t="s">
        <v>236</v>
      </c>
      <c r="GF7" t="s">
        <v>226</v>
      </c>
      <c r="GG7" t="s">
        <v>236</v>
      </c>
      <c r="GI7" t="s">
        <v>236</v>
      </c>
      <c r="GL7" t="s">
        <v>236</v>
      </c>
      <c r="GO7" t="s">
        <v>226</v>
      </c>
      <c r="GP7" t="s">
        <v>236</v>
      </c>
      <c r="GR7" t="s">
        <v>226</v>
      </c>
      <c r="GS7" t="s">
        <v>226</v>
      </c>
      <c r="GT7" t="s">
        <v>570</v>
      </c>
      <c r="GU7" t="s">
        <v>236</v>
      </c>
      <c r="GX7" t="s">
        <v>236</v>
      </c>
      <c r="HB7" t="s">
        <v>788</v>
      </c>
      <c r="HC7" t="s">
        <v>789</v>
      </c>
      <c r="HD7" t="s">
        <v>279</v>
      </c>
      <c r="HE7">
        <v>82693145</v>
      </c>
      <c r="HF7" t="s">
        <v>790</v>
      </c>
      <c r="HG7" s="2">
        <v>45749.728877314818</v>
      </c>
      <c r="HJ7" t="s">
        <v>248</v>
      </c>
      <c r="HL7" t="s">
        <v>697</v>
      </c>
      <c r="HN7">
        <v>6</v>
      </c>
    </row>
    <row r="8" spans="1:222" x14ac:dyDescent="0.25">
      <c r="A8" s="2">
        <v>45749.519502951392</v>
      </c>
      <c r="B8" s="2">
        <v>45749.523851689817</v>
      </c>
      <c r="C8" t="s">
        <v>334</v>
      </c>
      <c r="D8">
        <v>155</v>
      </c>
      <c r="E8" s="2">
        <v>45730</v>
      </c>
      <c r="F8">
        <v>3</v>
      </c>
      <c r="G8" t="s">
        <v>1084</v>
      </c>
      <c r="H8" t="s">
        <v>335</v>
      </c>
      <c r="I8">
        <v>32</v>
      </c>
      <c r="J8" t="str">
        <f t="shared" si="0"/>
        <v>de 26 a 40 años</v>
      </c>
      <c r="K8" t="s">
        <v>341</v>
      </c>
      <c r="L8">
        <v>1</v>
      </c>
      <c r="M8">
        <v>0</v>
      </c>
      <c r="N8">
        <v>0</v>
      </c>
      <c r="O8">
        <v>0</v>
      </c>
      <c r="P8">
        <v>0</v>
      </c>
      <c r="Q8" t="s">
        <v>291</v>
      </c>
      <c r="R8" t="s">
        <v>226</v>
      </c>
      <c r="T8" t="s">
        <v>1085</v>
      </c>
      <c r="V8" t="s">
        <v>252</v>
      </c>
      <c r="W8" t="s">
        <v>292</v>
      </c>
      <c r="X8" t="s">
        <v>230</v>
      </c>
      <c r="Z8" t="s">
        <v>231</v>
      </c>
      <c r="AA8" t="s">
        <v>293</v>
      </c>
      <c r="AB8">
        <v>0</v>
      </c>
      <c r="AC8">
        <v>0</v>
      </c>
      <c r="AD8">
        <v>0</v>
      </c>
      <c r="AE8">
        <v>0</v>
      </c>
      <c r="AF8">
        <v>1</v>
      </c>
      <c r="AG8">
        <v>0</v>
      </c>
      <c r="AI8" t="s">
        <v>256</v>
      </c>
      <c r="AJ8">
        <v>0</v>
      </c>
      <c r="AK8">
        <v>0</v>
      </c>
      <c r="AL8">
        <v>1</v>
      </c>
      <c r="AM8">
        <v>0</v>
      </c>
      <c r="AN8" t="s">
        <v>234</v>
      </c>
      <c r="AO8" t="s">
        <v>606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0</v>
      </c>
      <c r="AX8" t="s">
        <v>236</v>
      </c>
      <c r="AZ8" t="s">
        <v>237</v>
      </c>
      <c r="BA8" t="s">
        <v>1086</v>
      </c>
      <c r="BE8" t="s">
        <v>259</v>
      </c>
      <c r="BF8" t="s">
        <v>237</v>
      </c>
      <c r="BG8" t="s">
        <v>237</v>
      </c>
      <c r="BH8" t="s">
        <v>237</v>
      </c>
      <c r="BI8" t="s">
        <v>237</v>
      </c>
      <c r="BJ8" t="s">
        <v>259</v>
      </c>
      <c r="BK8" t="s">
        <v>259</v>
      </c>
      <c r="BL8" t="s">
        <v>240</v>
      </c>
      <c r="BM8" t="s">
        <v>278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 t="s">
        <v>264</v>
      </c>
      <c r="CB8" t="s">
        <v>264</v>
      </c>
      <c r="CC8" t="s">
        <v>264</v>
      </c>
      <c r="CD8" t="s">
        <v>236</v>
      </c>
      <c r="CE8" t="s">
        <v>236</v>
      </c>
      <c r="EA8" t="s">
        <v>236</v>
      </c>
      <c r="EC8" t="s">
        <v>236</v>
      </c>
      <c r="EE8" t="s">
        <v>236</v>
      </c>
      <c r="EG8" t="s">
        <v>226</v>
      </c>
      <c r="EH8" t="s">
        <v>245</v>
      </c>
      <c r="EI8" t="s">
        <v>236</v>
      </c>
      <c r="EK8" t="s">
        <v>236</v>
      </c>
      <c r="EM8" t="s">
        <v>226</v>
      </c>
      <c r="EN8" t="s">
        <v>244</v>
      </c>
      <c r="EO8" t="s">
        <v>236</v>
      </c>
      <c r="EQ8" t="s">
        <v>236</v>
      </c>
      <c r="ES8" t="s">
        <v>236</v>
      </c>
      <c r="EU8" t="s">
        <v>236</v>
      </c>
      <c r="EW8" t="s">
        <v>236</v>
      </c>
      <c r="EY8" t="s">
        <v>236</v>
      </c>
      <c r="FA8" t="s">
        <v>236</v>
      </c>
      <c r="FC8" t="s">
        <v>236</v>
      </c>
      <c r="FE8" t="s">
        <v>226</v>
      </c>
      <c r="FF8" t="s">
        <v>245</v>
      </c>
      <c r="FG8" t="s">
        <v>236</v>
      </c>
      <c r="FJ8" t="s">
        <v>226</v>
      </c>
      <c r="FK8" t="s">
        <v>245</v>
      </c>
      <c r="FL8" t="s">
        <v>226</v>
      </c>
      <c r="FM8" t="s">
        <v>236</v>
      </c>
      <c r="FW8" t="s">
        <v>226</v>
      </c>
      <c r="FX8" t="s">
        <v>236</v>
      </c>
      <c r="FZ8" t="s">
        <v>236</v>
      </c>
      <c r="GC8" t="s">
        <v>236</v>
      </c>
      <c r="GF8" t="s">
        <v>226</v>
      </c>
      <c r="GG8" t="s">
        <v>236</v>
      </c>
      <c r="GI8" t="s">
        <v>236</v>
      </c>
      <c r="GL8" t="s">
        <v>226</v>
      </c>
      <c r="GM8" t="s">
        <v>236</v>
      </c>
      <c r="GO8" t="s">
        <v>226</v>
      </c>
      <c r="GP8" t="s">
        <v>226</v>
      </c>
      <c r="GQ8" t="s">
        <v>266</v>
      </c>
      <c r="GR8" t="s">
        <v>226</v>
      </c>
      <c r="GS8" t="s">
        <v>236</v>
      </c>
      <c r="GU8" t="s">
        <v>236</v>
      </c>
      <c r="GX8" t="s">
        <v>236</v>
      </c>
      <c r="HB8" t="s">
        <v>303</v>
      </c>
      <c r="HC8" t="s">
        <v>537</v>
      </c>
      <c r="HD8" t="s">
        <v>1087</v>
      </c>
      <c r="HE8">
        <v>82693407</v>
      </c>
      <c r="HF8" t="s">
        <v>1088</v>
      </c>
      <c r="HG8" s="2">
        <v>45749.732106481482</v>
      </c>
      <c r="HJ8" t="s">
        <v>248</v>
      </c>
      <c r="HL8" t="s">
        <v>469</v>
      </c>
      <c r="HN8">
        <v>7</v>
      </c>
    </row>
    <row r="9" spans="1:222" x14ac:dyDescent="0.25">
      <c r="A9" s="2">
        <v>45749.520610092593</v>
      </c>
      <c r="B9" s="2">
        <v>45749.527153495372</v>
      </c>
      <c r="C9" t="s">
        <v>305</v>
      </c>
      <c r="D9">
        <v>82</v>
      </c>
      <c r="E9" s="2">
        <v>45731</v>
      </c>
      <c r="F9">
        <v>2</v>
      </c>
      <c r="G9" t="s">
        <v>271</v>
      </c>
      <c r="H9" t="s">
        <v>391</v>
      </c>
      <c r="I9">
        <v>39</v>
      </c>
      <c r="J9" t="str">
        <f t="shared" si="0"/>
        <v>de 26 a 40 años</v>
      </c>
      <c r="K9" t="s">
        <v>251</v>
      </c>
      <c r="L9">
        <v>0</v>
      </c>
      <c r="M9">
        <v>0</v>
      </c>
      <c r="N9">
        <v>0</v>
      </c>
      <c r="O9">
        <v>0</v>
      </c>
      <c r="P9">
        <v>0</v>
      </c>
      <c r="Q9" t="s">
        <v>291</v>
      </c>
      <c r="R9" t="s">
        <v>226</v>
      </c>
      <c r="T9" t="s">
        <v>227</v>
      </c>
      <c r="V9" t="s">
        <v>612</v>
      </c>
      <c r="W9" t="s">
        <v>229</v>
      </c>
      <c r="X9" t="s">
        <v>230</v>
      </c>
      <c r="Z9" t="s">
        <v>254</v>
      </c>
      <c r="AA9" t="s">
        <v>255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I9" t="s">
        <v>256</v>
      </c>
      <c r="AJ9">
        <v>0</v>
      </c>
      <c r="AK9">
        <v>0</v>
      </c>
      <c r="AL9">
        <v>1</v>
      </c>
      <c r="AM9">
        <v>0</v>
      </c>
      <c r="AN9" t="s">
        <v>234</v>
      </c>
      <c r="AO9" t="s">
        <v>275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X9" t="s">
        <v>236</v>
      </c>
      <c r="AZ9" t="s">
        <v>237</v>
      </c>
      <c r="BA9" t="s">
        <v>791</v>
      </c>
      <c r="BB9" t="s">
        <v>687</v>
      </c>
      <c r="BE9" t="s">
        <v>259</v>
      </c>
      <c r="BF9" t="s">
        <v>259</v>
      </c>
      <c r="BG9" t="s">
        <v>259</v>
      </c>
      <c r="BH9" t="s">
        <v>259</v>
      </c>
      <c r="BI9" t="s">
        <v>237</v>
      </c>
      <c r="BJ9" t="s">
        <v>237</v>
      </c>
      <c r="BK9" t="s">
        <v>237</v>
      </c>
      <c r="BL9" t="s">
        <v>262</v>
      </c>
      <c r="BM9" t="s">
        <v>241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1</v>
      </c>
      <c r="BZ9">
        <v>0</v>
      </c>
      <c r="CA9" t="s">
        <v>264</v>
      </c>
      <c r="CB9" t="s">
        <v>264</v>
      </c>
      <c r="CC9" t="s">
        <v>264</v>
      </c>
      <c r="CD9" t="s">
        <v>236</v>
      </c>
      <c r="CE9" t="s">
        <v>236</v>
      </c>
      <c r="EA9" t="s">
        <v>236</v>
      </c>
      <c r="EC9" t="s">
        <v>236</v>
      </c>
      <c r="EE9" t="s">
        <v>236</v>
      </c>
      <c r="EG9" t="s">
        <v>236</v>
      </c>
      <c r="EI9" t="s">
        <v>236</v>
      </c>
      <c r="EK9" t="s">
        <v>236</v>
      </c>
      <c r="EM9" t="s">
        <v>236</v>
      </c>
      <c r="EO9" t="s">
        <v>236</v>
      </c>
      <c r="EQ9" t="s">
        <v>236</v>
      </c>
      <c r="ES9" t="s">
        <v>236</v>
      </c>
      <c r="EU9" t="s">
        <v>236</v>
      </c>
      <c r="EW9" t="s">
        <v>236</v>
      </c>
      <c r="EY9" t="s">
        <v>236</v>
      </c>
      <c r="FA9" t="s">
        <v>236</v>
      </c>
      <c r="FC9" t="s">
        <v>236</v>
      </c>
      <c r="FE9" t="s">
        <v>226</v>
      </c>
      <c r="FF9" t="s">
        <v>244</v>
      </c>
      <c r="FG9" t="s">
        <v>236</v>
      </c>
      <c r="FJ9" t="s">
        <v>236</v>
      </c>
      <c r="FM9" t="s">
        <v>236</v>
      </c>
      <c r="FW9" t="s">
        <v>226</v>
      </c>
      <c r="FX9" t="s">
        <v>236</v>
      </c>
      <c r="FZ9" t="s">
        <v>236</v>
      </c>
      <c r="GC9" t="s">
        <v>236</v>
      </c>
      <c r="GF9" t="s">
        <v>226</v>
      </c>
      <c r="GG9" t="s">
        <v>236</v>
      </c>
      <c r="GI9" t="s">
        <v>236</v>
      </c>
      <c r="GL9" t="s">
        <v>226</v>
      </c>
      <c r="GM9" t="s">
        <v>236</v>
      </c>
      <c r="GO9" t="s">
        <v>236</v>
      </c>
      <c r="GR9" t="s">
        <v>226</v>
      </c>
      <c r="GS9" t="s">
        <v>236</v>
      </c>
      <c r="GU9" t="s">
        <v>236</v>
      </c>
      <c r="GX9" t="s">
        <v>236</v>
      </c>
      <c r="HB9" t="s">
        <v>339</v>
      </c>
      <c r="HC9" t="s">
        <v>288</v>
      </c>
      <c r="HE9">
        <v>82693777</v>
      </c>
      <c r="HF9" t="s">
        <v>792</v>
      </c>
      <c r="HG9" s="2">
        <v>45749.735405092593</v>
      </c>
      <c r="HJ9" t="s">
        <v>248</v>
      </c>
      <c r="HL9" t="s">
        <v>249</v>
      </c>
      <c r="HN9">
        <v>8</v>
      </c>
    </row>
    <row r="10" spans="1:222" x14ac:dyDescent="0.25">
      <c r="A10" s="2">
        <v>45749.521520682873</v>
      </c>
      <c r="B10" s="2">
        <v>45749.530994953697</v>
      </c>
      <c r="C10" t="s">
        <v>465</v>
      </c>
      <c r="D10">
        <v>48</v>
      </c>
      <c r="E10" s="2">
        <v>45732</v>
      </c>
      <c r="F10">
        <v>5</v>
      </c>
      <c r="G10" t="s">
        <v>250</v>
      </c>
      <c r="H10" t="s">
        <v>223</v>
      </c>
      <c r="I10">
        <v>36</v>
      </c>
      <c r="J10" t="str">
        <f t="shared" si="0"/>
        <v>de 26 a 40 años</v>
      </c>
      <c r="K10" t="s">
        <v>251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291</v>
      </c>
      <c r="R10" t="s">
        <v>226</v>
      </c>
      <c r="T10" t="s">
        <v>227</v>
      </c>
      <c r="V10" t="s">
        <v>228</v>
      </c>
      <c r="W10" t="s">
        <v>229</v>
      </c>
      <c r="X10" t="s">
        <v>230</v>
      </c>
      <c r="Z10" t="s">
        <v>254</v>
      </c>
      <c r="AA10" t="s">
        <v>293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0</v>
      </c>
      <c r="AI10" t="s">
        <v>233</v>
      </c>
      <c r="AJ10">
        <v>0</v>
      </c>
      <c r="AK10">
        <v>1</v>
      </c>
      <c r="AL10">
        <v>0</v>
      </c>
      <c r="AM10">
        <v>0</v>
      </c>
      <c r="AN10" t="s">
        <v>300</v>
      </c>
      <c r="AO10" t="s">
        <v>275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X10" t="s">
        <v>226</v>
      </c>
      <c r="AY10" t="s">
        <v>226</v>
      </c>
      <c r="AZ10" t="s">
        <v>259</v>
      </c>
      <c r="BA10" t="s">
        <v>694</v>
      </c>
      <c r="BE10" t="s">
        <v>259</v>
      </c>
      <c r="BF10" t="s">
        <v>237</v>
      </c>
      <c r="BG10" t="s">
        <v>259</v>
      </c>
      <c r="BH10" t="s">
        <v>259</v>
      </c>
      <c r="BI10" t="s">
        <v>259</v>
      </c>
      <c r="BJ10" t="s">
        <v>237</v>
      </c>
      <c r="BK10" t="s">
        <v>261</v>
      </c>
      <c r="BL10" t="s">
        <v>240</v>
      </c>
      <c r="BM10" t="s">
        <v>263</v>
      </c>
      <c r="BN10">
        <v>0</v>
      </c>
      <c r="BO10">
        <v>1</v>
      </c>
      <c r="BP10">
        <v>0</v>
      </c>
      <c r="BQ10">
        <v>0</v>
      </c>
      <c r="BR10">
        <v>0</v>
      </c>
      <c r="BS10">
        <v>0</v>
      </c>
      <c r="BT10">
        <v>1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 t="s">
        <v>264</v>
      </c>
      <c r="CB10" t="s">
        <v>243</v>
      </c>
      <c r="CC10" t="s">
        <v>243</v>
      </c>
      <c r="CD10" t="s">
        <v>226</v>
      </c>
      <c r="CE10" t="s">
        <v>236</v>
      </c>
      <c r="EA10" t="s">
        <v>236</v>
      </c>
      <c r="EC10" t="s">
        <v>236</v>
      </c>
      <c r="EE10" t="s">
        <v>236</v>
      </c>
      <c r="EG10" t="s">
        <v>226</v>
      </c>
      <c r="EH10" t="s">
        <v>244</v>
      </c>
      <c r="EI10" t="s">
        <v>236</v>
      </c>
      <c r="EK10" t="s">
        <v>226</v>
      </c>
      <c r="EL10" t="s">
        <v>244</v>
      </c>
      <c r="EM10" t="s">
        <v>226</v>
      </c>
      <c r="EN10" t="s">
        <v>244</v>
      </c>
      <c r="EO10" t="s">
        <v>226</v>
      </c>
      <c r="EP10" t="s">
        <v>244</v>
      </c>
      <c r="EQ10" t="s">
        <v>236</v>
      </c>
      <c r="ES10" t="s">
        <v>236</v>
      </c>
      <c r="EU10" t="s">
        <v>236</v>
      </c>
      <c r="EW10" t="s">
        <v>236</v>
      </c>
      <c r="EY10" t="s">
        <v>226</v>
      </c>
      <c r="EZ10" t="s">
        <v>244</v>
      </c>
      <c r="FA10" t="s">
        <v>226</v>
      </c>
      <c r="FB10" t="s">
        <v>244</v>
      </c>
      <c r="FC10" t="s">
        <v>236</v>
      </c>
      <c r="FE10" t="s">
        <v>226</v>
      </c>
      <c r="FF10" t="s">
        <v>245</v>
      </c>
      <c r="FG10" t="s">
        <v>236</v>
      </c>
      <c r="FJ10" t="s">
        <v>226</v>
      </c>
      <c r="FK10" t="s">
        <v>245</v>
      </c>
      <c r="FL10" t="s">
        <v>236</v>
      </c>
      <c r="FM10" t="s">
        <v>236</v>
      </c>
      <c r="FW10" t="s">
        <v>226</v>
      </c>
      <c r="FX10" t="s">
        <v>226</v>
      </c>
      <c r="FY10" t="s">
        <v>266</v>
      </c>
      <c r="FZ10" t="s">
        <v>226</v>
      </c>
      <c r="GA10" t="s">
        <v>226</v>
      </c>
      <c r="GB10" t="s">
        <v>266</v>
      </c>
      <c r="GC10" t="s">
        <v>236</v>
      </c>
      <c r="GF10" t="s">
        <v>226</v>
      </c>
      <c r="GG10" t="s">
        <v>226</v>
      </c>
      <c r="GH10" t="s">
        <v>266</v>
      </c>
      <c r="GI10" t="s">
        <v>236</v>
      </c>
      <c r="GL10" t="s">
        <v>226</v>
      </c>
      <c r="GM10" t="s">
        <v>236</v>
      </c>
      <c r="GO10" t="s">
        <v>226</v>
      </c>
      <c r="GP10" t="s">
        <v>226</v>
      </c>
      <c r="GQ10" t="s">
        <v>266</v>
      </c>
      <c r="GR10" t="s">
        <v>226</v>
      </c>
      <c r="GS10" t="s">
        <v>226</v>
      </c>
      <c r="GT10" t="s">
        <v>266</v>
      </c>
      <c r="GU10" t="s">
        <v>236</v>
      </c>
      <c r="GX10" t="s">
        <v>236</v>
      </c>
      <c r="HB10" t="s">
        <v>695</v>
      </c>
      <c r="HE10">
        <v>82694189</v>
      </c>
      <c r="HF10" t="s">
        <v>696</v>
      </c>
      <c r="HG10" s="2">
        <v>45749.739259259259</v>
      </c>
      <c r="HJ10" t="s">
        <v>248</v>
      </c>
      <c r="HL10" t="s">
        <v>697</v>
      </c>
      <c r="HN10">
        <v>9</v>
      </c>
    </row>
    <row r="11" spans="1:222" x14ac:dyDescent="0.25">
      <c r="A11" s="2">
        <v>45749.523852233797</v>
      </c>
      <c r="B11" s="2">
        <v>45749.585166701392</v>
      </c>
      <c r="C11" t="s">
        <v>334</v>
      </c>
      <c r="D11">
        <v>153</v>
      </c>
      <c r="E11" s="2">
        <v>45730</v>
      </c>
      <c r="F11">
        <v>3</v>
      </c>
      <c r="G11" t="s">
        <v>1075</v>
      </c>
      <c r="H11" t="s">
        <v>335</v>
      </c>
      <c r="I11">
        <v>51</v>
      </c>
      <c r="J11" t="str">
        <f t="shared" si="0"/>
        <v>de 41 a 55 años</v>
      </c>
      <c r="K11" t="s">
        <v>341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291</v>
      </c>
      <c r="R11" t="s">
        <v>226</v>
      </c>
      <c r="T11" t="s">
        <v>227</v>
      </c>
      <c r="V11" t="s">
        <v>228</v>
      </c>
      <c r="W11" t="s">
        <v>229</v>
      </c>
      <c r="X11" t="s">
        <v>350</v>
      </c>
      <c r="Z11" t="s">
        <v>231</v>
      </c>
      <c r="AA11" t="s">
        <v>616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 t="s">
        <v>1076</v>
      </c>
      <c r="AI11" t="s">
        <v>1077</v>
      </c>
      <c r="AJ11">
        <v>1</v>
      </c>
      <c r="AK11">
        <v>1</v>
      </c>
      <c r="AL11">
        <v>1</v>
      </c>
      <c r="AM11">
        <v>1</v>
      </c>
      <c r="AN11" t="s">
        <v>274</v>
      </c>
      <c r="AO11" t="s">
        <v>369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 t="s">
        <v>1078</v>
      </c>
      <c r="AX11" t="s">
        <v>226</v>
      </c>
      <c r="AY11" t="s">
        <v>226</v>
      </c>
      <c r="AZ11" t="s">
        <v>362</v>
      </c>
      <c r="BA11" t="s">
        <v>1079</v>
      </c>
      <c r="BB11" t="s">
        <v>1080</v>
      </c>
      <c r="BC11" t="s">
        <v>1081</v>
      </c>
      <c r="BE11" t="s">
        <v>261</v>
      </c>
      <c r="BF11" t="s">
        <v>261</v>
      </c>
      <c r="BG11" t="s">
        <v>261</v>
      </c>
      <c r="BH11" t="s">
        <v>261</v>
      </c>
      <c r="BI11" t="s">
        <v>237</v>
      </c>
      <c r="BJ11" t="s">
        <v>237</v>
      </c>
      <c r="BK11" t="s">
        <v>261</v>
      </c>
      <c r="BL11" t="s">
        <v>240</v>
      </c>
      <c r="BM11" t="s">
        <v>1082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0</v>
      </c>
      <c r="CA11" t="s">
        <v>264</v>
      </c>
      <c r="CB11" t="s">
        <v>243</v>
      </c>
      <c r="CC11" t="s">
        <v>243</v>
      </c>
      <c r="CD11" t="s">
        <v>236</v>
      </c>
      <c r="CE11" t="s">
        <v>236</v>
      </c>
      <c r="EA11" t="s">
        <v>226</v>
      </c>
      <c r="EB11" t="s">
        <v>244</v>
      </c>
      <c r="EC11" t="s">
        <v>236</v>
      </c>
      <c r="EE11" t="s">
        <v>236</v>
      </c>
      <c r="EG11" t="s">
        <v>236</v>
      </c>
      <c r="EI11" t="s">
        <v>226</v>
      </c>
      <c r="EJ11" t="s">
        <v>245</v>
      </c>
      <c r="EK11" t="s">
        <v>226</v>
      </c>
      <c r="EL11" t="s">
        <v>244</v>
      </c>
      <c r="EM11" t="s">
        <v>226</v>
      </c>
      <c r="EN11" t="s">
        <v>265</v>
      </c>
      <c r="EO11" t="s">
        <v>236</v>
      </c>
      <c r="EQ11" t="s">
        <v>236</v>
      </c>
      <c r="ES11" t="s">
        <v>236</v>
      </c>
      <c r="EU11" t="s">
        <v>236</v>
      </c>
      <c r="EW11" t="s">
        <v>236</v>
      </c>
      <c r="EY11" t="s">
        <v>226</v>
      </c>
      <c r="EZ11" t="s">
        <v>244</v>
      </c>
      <c r="FA11" t="s">
        <v>226</v>
      </c>
      <c r="FB11" t="s">
        <v>265</v>
      </c>
      <c r="FC11" t="s">
        <v>236</v>
      </c>
      <c r="FE11" t="s">
        <v>226</v>
      </c>
      <c r="FF11" t="s">
        <v>244</v>
      </c>
      <c r="FG11" t="s">
        <v>236</v>
      </c>
      <c r="FJ11" t="s">
        <v>226</v>
      </c>
      <c r="FK11" t="s">
        <v>265</v>
      </c>
      <c r="FL11" t="s">
        <v>236</v>
      </c>
      <c r="FM11" t="s">
        <v>236</v>
      </c>
      <c r="FW11" t="s">
        <v>226</v>
      </c>
      <c r="FX11" t="s">
        <v>226</v>
      </c>
      <c r="FY11" t="s">
        <v>266</v>
      </c>
      <c r="FZ11" t="s">
        <v>236</v>
      </c>
      <c r="GC11" t="s">
        <v>236</v>
      </c>
      <c r="GF11" t="s">
        <v>226</v>
      </c>
      <c r="GG11" t="s">
        <v>236</v>
      </c>
      <c r="GI11" t="s">
        <v>236</v>
      </c>
      <c r="GL11" t="s">
        <v>236</v>
      </c>
      <c r="GO11" t="s">
        <v>226</v>
      </c>
      <c r="GP11" t="s">
        <v>226</v>
      </c>
      <c r="GQ11" t="s">
        <v>266</v>
      </c>
      <c r="GR11" t="s">
        <v>226</v>
      </c>
      <c r="GS11" t="s">
        <v>226</v>
      </c>
      <c r="GT11" t="s">
        <v>266</v>
      </c>
      <c r="GU11" t="s">
        <v>226</v>
      </c>
      <c r="GV11" t="s">
        <v>226</v>
      </c>
      <c r="GW11" t="s">
        <v>266</v>
      </c>
      <c r="GX11" t="s">
        <v>236</v>
      </c>
      <c r="HB11" t="s">
        <v>338</v>
      </c>
      <c r="HC11" t="s">
        <v>339</v>
      </c>
      <c r="HD11" t="s">
        <v>288</v>
      </c>
      <c r="HE11">
        <v>82697510</v>
      </c>
      <c r="HF11" t="s">
        <v>1083</v>
      </c>
      <c r="HG11" s="2">
        <v>45749.793425925927</v>
      </c>
      <c r="HJ11" t="s">
        <v>248</v>
      </c>
      <c r="HL11" t="s">
        <v>469</v>
      </c>
      <c r="HN11">
        <v>13</v>
      </c>
    </row>
    <row r="12" spans="1:222" x14ac:dyDescent="0.25">
      <c r="A12" s="2">
        <v>45749.527153946758</v>
      </c>
      <c r="B12" s="2">
        <v>45749.538174502311</v>
      </c>
      <c r="C12" t="s">
        <v>305</v>
      </c>
      <c r="D12">
        <v>83</v>
      </c>
      <c r="E12" s="2">
        <v>45731</v>
      </c>
      <c r="F12">
        <v>2</v>
      </c>
      <c r="G12" t="s">
        <v>290</v>
      </c>
      <c r="H12" t="s">
        <v>391</v>
      </c>
      <c r="I12">
        <v>60</v>
      </c>
      <c r="J12" t="str">
        <f t="shared" si="0"/>
        <v>de 56 a más</v>
      </c>
      <c r="K12" t="s">
        <v>251</v>
      </c>
      <c r="L12">
        <v>1</v>
      </c>
      <c r="M12">
        <v>0</v>
      </c>
      <c r="N12">
        <v>0</v>
      </c>
      <c r="O12">
        <v>0</v>
      </c>
      <c r="P12">
        <v>0</v>
      </c>
      <c r="Q12" t="s">
        <v>291</v>
      </c>
      <c r="R12" t="s">
        <v>226</v>
      </c>
      <c r="T12" t="s">
        <v>227</v>
      </c>
      <c r="V12" t="s">
        <v>612</v>
      </c>
      <c r="W12" t="s">
        <v>292</v>
      </c>
      <c r="X12" t="s">
        <v>299</v>
      </c>
      <c r="Z12" t="s">
        <v>308</v>
      </c>
      <c r="AA12" t="s">
        <v>293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I12" t="s">
        <v>233</v>
      </c>
      <c r="AJ12">
        <v>0</v>
      </c>
      <c r="AK12">
        <v>1</v>
      </c>
      <c r="AL12">
        <v>0</v>
      </c>
      <c r="AM12">
        <v>0</v>
      </c>
      <c r="AN12" t="s">
        <v>300</v>
      </c>
      <c r="AO12" t="s">
        <v>275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</v>
      </c>
      <c r="AX12" t="s">
        <v>226</v>
      </c>
      <c r="AY12" t="s">
        <v>236</v>
      </c>
      <c r="AZ12" t="s">
        <v>237</v>
      </c>
      <c r="BA12" t="s">
        <v>793</v>
      </c>
      <c r="BE12" t="s">
        <v>261</v>
      </c>
      <c r="BF12" t="s">
        <v>259</v>
      </c>
      <c r="BG12" t="s">
        <v>237</v>
      </c>
      <c r="BH12" t="s">
        <v>237</v>
      </c>
      <c r="BI12" t="s">
        <v>237</v>
      </c>
      <c r="BJ12" t="s">
        <v>237</v>
      </c>
      <c r="BK12" t="s">
        <v>259</v>
      </c>
      <c r="BL12" t="s">
        <v>262</v>
      </c>
      <c r="BM12" t="s">
        <v>296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 t="s">
        <v>264</v>
      </c>
      <c r="CB12" t="s">
        <v>264</v>
      </c>
      <c r="CC12" t="s">
        <v>264</v>
      </c>
      <c r="CD12" t="s">
        <v>236</v>
      </c>
      <c r="CE12" t="s">
        <v>236</v>
      </c>
      <c r="EA12" t="s">
        <v>226</v>
      </c>
      <c r="EB12" t="s">
        <v>244</v>
      </c>
      <c r="EC12" t="s">
        <v>236</v>
      </c>
      <c r="EE12" t="s">
        <v>236</v>
      </c>
      <c r="EG12" t="s">
        <v>226</v>
      </c>
      <c r="EH12" t="s">
        <v>245</v>
      </c>
      <c r="EI12" t="s">
        <v>236</v>
      </c>
      <c r="EK12" t="s">
        <v>236</v>
      </c>
      <c r="EM12" t="s">
        <v>226</v>
      </c>
      <c r="EN12" t="s">
        <v>245</v>
      </c>
      <c r="EO12" t="s">
        <v>236</v>
      </c>
      <c r="EQ12" t="s">
        <v>236</v>
      </c>
      <c r="ES12" t="s">
        <v>236</v>
      </c>
      <c r="EU12" t="s">
        <v>236</v>
      </c>
      <c r="EW12" t="s">
        <v>236</v>
      </c>
      <c r="EY12" t="s">
        <v>236</v>
      </c>
      <c r="FA12" t="s">
        <v>236</v>
      </c>
      <c r="FC12" t="s">
        <v>236</v>
      </c>
      <c r="FE12" t="s">
        <v>226</v>
      </c>
      <c r="FF12" t="s">
        <v>244</v>
      </c>
      <c r="FG12" t="s">
        <v>236</v>
      </c>
      <c r="FJ12" t="s">
        <v>226</v>
      </c>
      <c r="FK12" t="s">
        <v>265</v>
      </c>
      <c r="FL12" t="s">
        <v>226</v>
      </c>
      <c r="FM12" t="s">
        <v>236</v>
      </c>
      <c r="FW12" t="s">
        <v>236</v>
      </c>
      <c r="FZ12" t="s">
        <v>236</v>
      </c>
      <c r="GC12" t="s">
        <v>236</v>
      </c>
      <c r="GF12" t="s">
        <v>226</v>
      </c>
      <c r="GG12" t="s">
        <v>226</v>
      </c>
      <c r="GH12" t="s">
        <v>266</v>
      </c>
      <c r="GI12" t="s">
        <v>236</v>
      </c>
      <c r="GL12" t="s">
        <v>236</v>
      </c>
      <c r="GO12" t="s">
        <v>226</v>
      </c>
      <c r="GP12" t="s">
        <v>236</v>
      </c>
      <c r="GR12" t="s">
        <v>226</v>
      </c>
      <c r="GS12" t="s">
        <v>226</v>
      </c>
      <c r="GT12" t="s">
        <v>267</v>
      </c>
      <c r="GU12" t="s">
        <v>236</v>
      </c>
      <c r="GX12" t="s">
        <v>236</v>
      </c>
      <c r="HB12" t="s">
        <v>794</v>
      </c>
      <c r="HE12">
        <v>82694721</v>
      </c>
      <c r="HF12" t="s">
        <v>795</v>
      </c>
      <c r="HG12" s="2">
        <v>45749.746435185189</v>
      </c>
      <c r="HJ12" t="s">
        <v>248</v>
      </c>
      <c r="HL12" t="s">
        <v>249</v>
      </c>
      <c r="HN12">
        <v>10</v>
      </c>
    </row>
    <row r="13" spans="1:222" x14ac:dyDescent="0.25">
      <c r="A13" s="2">
        <v>45749.532071828697</v>
      </c>
      <c r="B13" s="2">
        <v>45749.540110266207</v>
      </c>
      <c r="C13" t="s">
        <v>465</v>
      </c>
      <c r="D13">
        <v>51</v>
      </c>
      <c r="E13" s="2">
        <v>45731</v>
      </c>
      <c r="F13">
        <v>2</v>
      </c>
      <c r="G13" t="s">
        <v>701</v>
      </c>
      <c r="H13" t="s">
        <v>391</v>
      </c>
      <c r="I13">
        <v>63</v>
      </c>
      <c r="J13" t="str">
        <f t="shared" si="0"/>
        <v>de 56 a más</v>
      </c>
      <c r="K13" t="s">
        <v>251</v>
      </c>
      <c r="L13">
        <v>0</v>
      </c>
      <c r="M13">
        <v>1</v>
      </c>
      <c r="N13">
        <v>0</v>
      </c>
      <c r="O13">
        <v>0</v>
      </c>
      <c r="P13">
        <v>0</v>
      </c>
      <c r="Q13" t="s">
        <v>291</v>
      </c>
      <c r="R13" t="s">
        <v>226</v>
      </c>
      <c r="T13" t="s">
        <v>227</v>
      </c>
      <c r="V13" t="s">
        <v>612</v>
      </c>
      <c r="W13" t="s">
        <v>229</v>
      </c>
      <c r="X13" t="s">
        <v>368</v>
      </c>
      <c r="Z13" t="s">
        <v>231</v>
      </c>
      <c r="AA13" t="s">
        <v>293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0</v>
      </c>
      <c r="AI13" t="s">
        <v>233</v>
      </c>
      <c r="AJ13">
        <v>0</v>
      </c>
      <c r="AK13">
        <v>1</v>
      </c>
      <c r="AL13">
        <v>0</v>
      </c>
      <c r="AM13">
        <v>0</v>
      </c>
      <c r="AN13" t="s">
        <v>300</v>
      </c>
      <c r="AO13" t="s">
        <v>294</v>
      </c>
      <c r="AP13">
        <v>1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X13" t="s">
        <v>226</v>
      </c>
      <c r="AY13" t="s">
        <v>226</v>
      </c>
      <c r="AZ13" t="s">
        <v>237</v>
      </c>
      <c r="BA13" t="s">
        <v>438</v>
      </c>
      <c r="BE13" t="s">
        <v>237</v>
      </c>
      <c r="BF13" t="s">
        <v>237</v>
      </c>
      <c r="BG13" t="s">
        <v>237</v>
      </c>
      <c r="BH13" t="s">
        <v>259</v>
      </c>
      <c r="BI13" t="s">
        <v>237</v>
      </c>
      <c r="BJ13" t="s">
        <v>259</v>
      </c>
      <c r="BK13" t="s">
        <v>261</v>
      </c>
      <c r="BL13" t="s">
        <v>262</v>
      </c>
      <c r="BM13" t="s">
        <v>439</v>
      </c>
      <c r="BN13">
        <v>0</v>
      </c>
      <c r="BO13">
        <v>1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1</v>
      </c>
      <c r="BX13">
        <v>0</v>
      </c>
      <c r="BY13">
        <v>0</v>
      </c>
      <c r="BZ13">
        <v>0</v>
      </c>
      <c r="CA13" t="s">
        <v>264</v>
      </c>
      <c r="CB13" t="s">
        <v>243</v>
      </c>
      <c r="CC13" t="s">
        <v>243</v>
      </c>
      <c r="CD13" t="s">
        <v>236</v>
      </c>
      <c r="CE13" t="s">
        <v>236</v>
      </c>
      <c r="EA13" t="s">
        <v>236</v>
      </c>
      <c r="EC13" t="s">
        <v>226</v>
      </c>
      <c r="ED13" t="s">
        <v>265</v>
      </c>
      <c r="EE13" t="s">
        <v>236</v>
      </c>
      <c r="EG13" t="s">
        <v>236</v>
      </c>
      <c r="EI13" t="s">
        <v>236</v>
      </c>
      <c r="EK13" t="s">
        <v>236</v>
      </c>
      <c r="EM13" t="s">
        <v>236</v>
      </c>
      <c r="EO13" t="s">
        <v>236</v>
      </c>
      <c r="EQ13" t="s">
        <v>236</v>
      </c>
      <c r="ES13" t="s">
        <v>236</v>
      </c>
      <c r="EU13" t="s">
        <v>236</v>
      </c>
      <c r="EW13" t="s">
        <v>226</v>
      </c>
      <c r="EX13" t="s">
        <v>245</v>
      </c>
      <c r="EY13" t="s">
        <v>236</v>
      </c>
      <c r="FA13" t="s">
        <v>236</v>
      </c>
      <c r="FC13" t="s">
        <v>236</v>
      </c>
      <c r="FE13" t="s">
        <v>236</v>
      </c>
      <c r="FG13" t="s">
        <v>236</v>
      </c>
      <c r="FJ13" t="s">
        <v>226</v>
      </c>
      <c r="FK13" t="s">
        <v>245</v>
      </c>
      <c r="FL13" t="s">
        <v>226</v>
      </c>
      <c r="FM13" t="s">
        <v>236</v>
      </c>
      <c r="FW13" t="s">
        <v>226</v>
      </c>
      <c r="FX13" t="s">
        <v>226</v>
      </c>
      <c r="FY13" t="s">
        <v>267</v>
      </c>
      <c r="FZ13" t="s">
        <v>226</v>
      </c>
      <c r="GA13" t="s">
        <v>226</v>
      </c>
      <c r="GB13" t="s">
        <v>267</v>
      </c>
      <c r="GC13" t="s">
        <v>226</v>
      </c>
      <c r="GD13" t="s">
        <v>226</v>
      </c>
      <c r="GE13" t="s">
        <v>266</v>
      </c>
      <c r="GF13" t="s">
        <v>226</v>
      </c>
      <c r="GG13" t="s">
        <v>226</v>
      </c>
      <c r="GH13" t="s">
        <v>267</v>
      </c>
      <c r="GI13" t="s">
        <v>236</v>
      </c>
      <c r="GL13" t="s">
        <v>226</v>
      </c>
      <c r="GM13" t="s">
        <v>226</v>
      </c>
      <c r="GN13" t="s">
        <v>267</v>
      </c>
      <c r="GO13" t="s">
        <v>226</v>
      </c>
      <c r="GP13" t="s">
        <v>226</v>
      </c>
      <c r="GQ13" t="s">
        <v>267</v>
      </c>
      <c r="GR13" t="s">
        <v>226</v>
      </c>
      <c r="GS13" t="s">
        <v>226</v>
      </c>
      <c r="GT13" t="s">
        <v>267</v>
      </c>
      <c r="GU13" t="s">
        <v>226</v>
      </c>
      <c r="GV13" t="s">
        <v>226</v>
      </c>
      <c r="GW13" t="s">
        <v>266</v>
      </c>
      <c r="GX13" t="s">
        <v>226</v>
      </c>
      <c r="GY13" t="s">
        <v>226</v>
      </c>
      <c r="GZ13" t="s">
        <v>267</v>
      </c>
      <c r="HB13" t="s">
        <v>537</v>
      </c>
      <c r="HC13" t="s">
        <v>280</v>
      </c>
      <c r="HE13">
        <v>82694777</v>
      </c>
      <c r="HF13" t="s">
        <v>702</v>
      </c>
      <c r="HG13" s="2">
        <v>45749.748368055552</v>
      </c>
      <c r="HJ13" t="s">
        <v>248</v>
      </c>
      <c r="HL13" t="s">
        <v>697</v>
      </c>
      <c r="HN13">
        <v>11</v>
      </c>
    </row>
    <row r="14" spans="1:222" x14ac:dyDescent="0.25">
      <c r="A14" s="2">
        <v>45749.538175011578</v>
      </c>
      <c r="B14" s="2">
        <v>45749.546102916669</v>
      </c>
      <c r="C14" t="s">
        <v>305</v>
      </c>
      <c r="D14">
        <v>85</v>
      </c>
      <c r="E14" s="2">
        <v>45732</v>
      </c>
      <c r="F14">
        <v>3</v>
      </c>
      <c r="G14" t="s">
        <v>306</v>
      </c>
      <c r="H14" t="s">
        <v>307</v>
      </c>
      <c r="I14">
        <v>31</v>
      </c>
      <c r="J14" t="str">
        <f t="shared" si="0"/>
        <v>de 26 a 40 años</v>
      </c>
      <c r="K14" t="s">
        <v>251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225</v>
      </c>
      <c r="R14" t="s">
        <v>226</v>
      </c>
      <c r="T14" t="s">
        <v>227</v>
      </c>
      <c r="V14" t="s">
        <v>228</v>
      </c>
      <c r="W14" t="s">
        <v>229</v>
      </c>
      <c r="X14" t="s">
        <v>230</v>
      </c>
      <c r="Z14" t="s">
        <v>308</v>
      </c>
      <c r="AA14" t="s">
        <v>309</v>
      </c>
      <c r="AB14">
        <v>1</v>
      </c>
      <c r="AC14">
        <v>0</v>
      </c>
      <c r="AD14">
        <v>1</v>
      </c>
      <c r="AE14">
        <v>0</v>
      </c>
      <c r="AF14">
        <v>0</v>
      </c>
      <c r="AG14">
        <v>1</v>
      </c>
      <c r="AH14" t="s">
        <v>310</v>
      </c>
      <c r="AI14" t="s">
        <v>311</v>
      </c>
      <c r="AJ14">
        <v>0</v>
      </c>
      <c r="AK14">
        <v>1</v>
      </c>
      <c r="AL14">
        <v>1</v>
      </c>
      <c r="AM14">
        <v>0</v>
      </c>
      <c r="AN14" t="s">
        <v>274</v>
      </c>
      <c r="AO14" t="s">
        <v>235</v>
      </c>
      <c r="AP14">
        <v>0</v>
      </c>
      <c r="AQ14">
        <v>0</v>
      </c>
      <c r="AR14">
        <v>0</v>
      </c>
      <c r="AS14">
        <v>1</v>
      </c>
      <c r="AT14">
        <v>0</v>
      </c>
      <c r="AU14">
        <v>0</v>
      </c>
      <c r="AV14">
        <v>0</v>
      </c>
      <c r="AX14" t="s">
        <v>226</v>
      </c>
      <c r="AY14" t="s">
        <v>226</v>
      </c>
      <c r="AZ14" t="s">
        <v>259</v>
      </c>
      <c r="BA14" t="s">
        <v>312</v>
      </c>
      <c r="BE14" t="s">
        <v>259</v>
      </c>
      <c r="BF14" t="s">
        <v>237</v>
      </c>
      <c r="BG14" t="s">
        <v>259</v>
      </c>
      <c r="BH14" t="s">
        <v>237</v>
      </c>
      <c r="BI14" t="s">
        <v>237</v>
      </c>
      <c r="BJ14" t="s">
        <v>259</v>
      </c>
      <c r="BK14" t="s">
        <v>259</v>
      </c>
      <c r="BL14" t="s">
        <v>313</v>
      </c>
      <c r="BM14" t="s">
        <v>314</v>
      </c>
      <c r="BN14">
        <v>0</v>
      </c>
      <c r="BO14">
        <v>0</v>
      </c>
      <c r="BP14">
        <v>0</v>
      </c>
      <c r="BQ14">
        <v>1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 t="s">
        <v>243</v>
      </c>
      <c r="CB14" t="s">
        <v>243</v>
      </c>
      <c r="CC14" t="s">
        <v>243</v>
      </c>
      <c r="CD14" t="s">
        <v>226</v>
      </c>
      <c r="CE14" t="s">
        <v>226</v>
      </c>
      <c r="CF14" t="s">
        <v>315</v>
      </c>
      <c r="CG14">
        <v>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S14" t="s">
        <v>226</v>
      </c>
      <c r="DD14" t="s">
        <v>316</v>
      </c>
      <c r="EA14" t="s">
        <v>226</v>
      </c>
      <c r="EB14" t="s">
        <v>244</v>
      </c>
      <c r="EC14" t="s">
        <v>226</v>
      </c>
      <c r="ED14" t="s">
        <v>244</v>
      </c>
      <c r="EE14" t="s">
        <v>226</v>
      </c>
      <c r="EF14" t="s">
        <v>245</v>
      </c>
      <c r="EG14" t="s">
        <v>226</v>
      </c>
      <c r="EH14" t="s">
        <v>244</v>
      </c>
      <c r="EI14" t="s">
        <v>226</v>
      </c>
      <c r="EJ14" t="s">
        <v>244</v>
      </c>
      <c r="EK14" t="s">
        <v>226</v>
      </c>
      <c r="EL14" t="s">
        <v>244</v>
      </c>
      <c r="EM14" t="s">
        <v>226</v>
      </c>
      <c r="EN14" t="s">
        <v>245</v>
      </c>
      <c r="EO14" t="s">
        <v>226</v>
      </c>
      <c r="EP14" t="s">
        <v>244</v>
      </c>
      <c r="EQ14" t="s">
        <v>236</v>
      </c>
      <c r="ES14" t="s">
        <v>226</v>
      </c>
      <c r="ET14" t="s">
        <v>245</v>
      </c>
      <c r="EU14" t="s">
        <v>236</v>
      </c>
      <c r="EW14" t="s">
        <v>226</v>
      </c>
      <c r="EX14" t="s">
        <v>244</v>
      </c>
      <c r="EY14" t="s">
        <v>226</v>
      </c>
      <c r="EZ14" t="s">
        <v>244</v>
      </c>
      <c r="FA14" t="s">
        <v>226</v>
      </c>
      <c r="FB14" t="s">
        <v>244</v>
      </c>
      <c r="FC14" t="s">
        <v>236</v>
      </c>
      <c r="FE14" t="s">
        <v>226</v>
      </c>
      <c r="FF14" t="s">
        <v>244</v>
      </c>
      <c r="FG14" t="s">
        <v>236</v>
      </c>
      <c r="FJ14" t="s">
        <v>226</v>
      </c>
      <c r="FK14" t="s">
        <v>245</v>
      </c>
      <c r="FL14" t="s">
        <v>236</v>
      </c>
      <c r="FM14" t="s">
        <v>236</v>
      </c>
      <c r="FW14" t="s">
        <v>226</v>
      </c>
      <c r="FX14" t="s">
        <v>226</v>
      </c>
      <c r="FY14" t="s">
        <v>266</v>
      </c>
      <c r="FZ14" t="s">
        <v>226</v>
      </c>
      <c r="GA14" t="s">
        <v>226</v>
      </c>
      <c r="GB14" t="s">
        <v>266</v>
      </c>
      <c r="GC14" t="s">
        <v>236</v>
      </c>
      <c r="GF14" t="s">
        <v>226</v>
      </c>
      <c r="GG14" t="s">
        <v>226</v>
      </c>
      <c r="GH14" t="s">
        <v>266</v>
      </c>
      <c r="GI14" t="s">
        <v>236</v>
      </c>
      <c r="GL14" t="s">
        <v>236</v>
      </c>
      <c r="GO14" t="s">
        <v>226</v>
      </c>
      <c r="GP14" t="s">
        <v>226</v>
      </c>
      <c r="GQ14" t="s">
        <v>266</v>
      </c>
      <c r="GR14" t="s">
        <v>226</v>
      </c>
      <c r="GS14" t="s">
        <v>226</v>
      </c>
      <c r="GT14" t="s">
        <v>266</v>
      </c>
      <c r="GU14" t="s">
        <v>236</v>
      </c>
      <c r="GX14" t="s">
        <v>236</v>
      </c>
      <c r="HB14" t="s">
        <v>317</v>
      </c>
      <c r="HC14" t="s">
        <v>318</v>
      </c>
      <c r="HD14" t="s">
        <v>288</v>
      </c>
      <c r="HE14">
        <v>82695109</v>
      </c>
      <c r="HF14" t="s">
        <v>319</v>
      </c>
      <c r="HG14" s="2">
        <v>45749.754363425927</v>
      </c>
      <c r="HJ14" t="s">
        <v>248</v>
      </c>
      <c r="HL14" t="s">
        <v>249</v>
      </c>
      <c r="HN14">
        <v>12</v>
      </c>
    </row>
    <row r="15" spans="1:222" x14ac:dyDescent="0.25">
      <c r="A15" s="2">
        <v>45749.540110821763</v>
      </c>
      <c r="B15" s="2">
        <v>45749.591921458326</v>
      </c>
      <c r="C15" t="s">
        <v>465</v>
      </c>
      <c r="D15">
        <v>52</v>
      </c>
      <c r="E15" s="2">
        <v>45731</v>
      </c>
      <c r="F15">
        <v>2</v>
      </c>
      <c r="G15" t="s">
        <v>271</v>
      </c>
      <c r="H15" t="s">
        <v>391</v>
      </c>
      <c r="I15">
        <v>27</v>
      </c>
      <c r="J15" t="str">
        <f t="shared" si="0"/>
        <v>de 26 a 40 años</v>
      </c>
      <c r="K15" t="s">
        <v>251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291</v>
      </c>
      <c r="R15" t="s">
        <v>226</v>
      </c>
      <c r="T15" t="s">
        <v>227</v>
      </c>
      <c r="V15" t="s">
        <v>228</v>
      </c>
      <c r="W15" t="s">
        <v>229</v>
      </c>
      <c r="X15" t="s">
        <v>230</v>
      </c>
      <c r="Z15" t="s">
        <v>231</v>
      </c>
      <c r="AA15" t="s">
        <v>232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I15" t="s">
        <v>233</v>
      </c>
      <c r="AJ15">
        <v>0</v>
      </c>
      <c r="AK15">
        <v>1</v>
      </c>
      <c r="AL15">
        <v>0</v>
      </c>
      <c r="AM15">
        <v>0</v>
      </c>
      <c r="AN15" t="s">
        <v>234</v>
      </c>
      <c r="AO15" t="s">
        <v>294</v>
      </c>
      <c r="AP15">
        <v>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X15" t="s">
        <v>226</v>
      </c>
      <c r="AY15" t="s">
        <v>226</v>
      </c>
      <c r="AZ15" t="s">
        <v>237</v>
      </c>
      <c r="BA15" t="s">
        <v>703</v>
      </c>
      <c r="BB15" t="s">
        <v>634</v>
      </c>
      <c r="BE15" t="s">
        <v>259</v>
      </c>
      <c r="BF15" t="s">
        <v>259</v>
      </c>
      <c r="BG15" t="s">
        <v>259</v>
      </c>
      <c r="BH15" t="s">
        <v>259</v>
      </c>
      <c r="BI15" t="s">
        <v>237</v>
      </c>
      <c r="BJ15" t="s">
        <v>259</v>
      </c>
      <c r="BK15" t="s">
        <v>259</v>
      </c>
      <c r="BL15" t="s">
        <v>262</v>
      </c>
      <c r="BM15" t="s">
        <v>608</v>
      </c>
      <c r="BN15">
        <v>1</v>
      </c>
      <c r="BO15">
        <v>0</v>
      </c>
      <c r="BP15">
        <v>1</v>
      </c>
      <c r="BQ15">
        <v>1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 t="s">
        <v>243</v>
      </c>
      <c r="CB15" t="s">
        <v>243</v>
      </c>
      <c r="CC15" t="s">
        <v>264</v>
      </c>
      <c r="CD15" t="s">
        <v>226</v>
      </c>
      <c r="CE15" t="s">
        <v>236</v>
      </c>
      <c r="EA15" t="s">
        <v>236</v>
      </c>
      <c r="EC15" t="s">
        <v>236</v>
      </c>
      <c r="EE15" t="s">
        <v>236</v>
      </c>
      <c r="EG15" t="s">
        <v>226</v>
      </c>
      <c r="EH15" t="s">
        <v>245</v>
      </c>
      <c r="EI15" t="s">
        <v>236</v>
      </c>
      <c r="EK15" t="s">
        <v>236</v>
      </c>
      <c r="EM15" t="s">
        <v>236</v>
      </c>
      <c r="EO15" t="s">
        <v>236</v>
      </c>
      <c r="EQ15" t="s">
        <v>236</v>
      </c>
      <c r="ES15" t="s">
        <v>236</v>
      </c>
      <c r="EU15" t="s">
        <v>236</v>
      </c>
      <c r="EW15" t="s">
        <v>226</v>
      </c>
      <c r="EX15" t="s">
        <v>244</v>
      </c>
      <c r="EY15" t="s">
        <v>226</v>
      </c>
      <c r="EZ15" t="s">
        <v>244</v>
      </c>
      <c r="FA15" t="s">
        <v>226</v>
      </c>
      <c r="FB15" t="s">
        <v>244</v>
      </c>
      <c r="FC15" t="s">
        <v>236</v>
      </c>
      <c r="FE15" t="s">
        <v>236</v>
      </c>
      <c r="FG15" t="s">
        <v>236</v>
      </c>
      <c r="FJ15" t="s">
        <v>226</v>
      </c>
      <c r="FK15" t="s">
        <v>245</v>
      </c>
      <c r="FL15" t="s">
        <v>226</v>
      </c>
      <c r="FM15" t="s">
        <v>236</v>
      </c>
      <c r="FW15" t="s">
        <v>226</v>
      </c>
      <c r="FX15" t="s">
        <v>236</v>
      </c>
      <c r="FZ15" t="s">
        <v>226</v>
      </c>
      <c r="GA15" t="s">
        <v>236</v>
      </c>
      <c r="GC15" t="s">
        <v>236</v>
      </c>
      <c r="GF15" t="s">
        <v>226</v>
      </c>
      <c r="GG15" t="s">
        <v>236</v>
      </c>
      <c r="GI15" t="s">
        <v>236</v>
      </c>
      <c r="GL15" t="s">
        <v>236</v>
      </c>
      <c r="GO15" t="s">
        <v>226</v>
      </c>
      <c r="GP15" t="s">
        <v>226</v>
      </c>
      <c r="GQ15" t="s">
        <v>266</v>
      </c>
      <c r="GR15" t="s">
        <v>236</v>
      </c>
      <c r="GU15" t="s">
        <v>236</v>
      </c>
      <c r="GX15" t="s">
        <v>236</v>
      </c>
      <c r="HB15" t="s">
        <v>288</v>
      </c>
      <c r="HC15" t="s">
        <v>338</v>
      </c>
      <c r="HE15">
        <v>82697834</v>
      </c>
      <c r="HF15" t="s">
        <v>704</v>
      </c>
      <c r="HG15" s="2">
        <v>45749.800185185188</v>
      </c>
      <c r="HJ15" t="s">
        <v>248</v>
      </c>
      <c r="HL15" t="s">
        <v>697</v>
      </c>
      <c r="HN15">
        <v>14</v>
      </c>
    </row>
    <row r="16" spans="1:222" x14ac:dyDescent="0.25">
      <c r="A16" s="2">
        <v>45749.546103460649</v>
      </c>
      <c r="B16" s="2">
        <v>45749.607853553243</v>
      </c>
      <c r="C16" t="s">
        <v>305</v>
      </c>
      <c r="D16">
        <v>86</v>
      </c>
      <c r="E16" s="2">
        <v>45732</v>
      </c>
      <c r="F16">
        <v>3</v>
      </c>
      <c r="G16" t="s">
        <v>306</v>
      </c>
      <c r="H16" t="s">
        <v>307</v>
      </c>
      <c r="I16">
        <v>30</v>
      </c>
      <c r="J16" t="str">
        <f t="shared" si="0"/>
        <v>de 26 a 40 años</v>
      </c>
      <c r="K16" t="s">
        <v>251</v>
      </c>
      <c r="L16">
        <v>0</v>
      </c>
      <c r="M16">
        <v>0</v>
      </c>
      <c r="N16">
        <v>0</v>
      </c>
      <c r="O16">
        <v>0</v>
      </c>
      <c r="P16">
        <v>0</v>
      </c>
      <c r="Q16" t="s">
        <v>225</v>
      </c>
      <c r="R16" t="s">
        <v>226</v>
      </c>
      <c r="T16" t="s">
        <v>284</v>
      </c>
      <c r="V16" t="s">
        <v>612</v>
      </c>
      <c r="W16" t="s">
        <v>229</v>
      </c>
      <c r="X16" t="s">
        <v>230</v>
      </c>
      <c r="Z16" t="s">
        <v>231</v>
      </c>
      <c r="AA16" t="s">
        <v>801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1</v>
      </c>
      <c r="AH16" t="s">
        <v>543</v>
      </c>
      <c r="AI16" t="s">
        <v>256</v>
      </c>
      <c r="AJ16">
        <v>0</v>
      </c>
      <c r="AK16">
        <v>0</v>
      </c>
      <c r="AL16">
        <v>1</v>
      </c>
      <c r="AM16">
        <v>0</v>
      </c>
      <c r="AN16" t="s">
        <v>234</v>
      </c>
      <c r="AO16" t="s">
        <v>802</v>
      </c>
      <c r="AP16">
        <v>0</v>
      </c>
      <c r="AQ16">
        <v>0</v>
      </c>
      <c r="AR16">
        <v>0</v>
      </c>
      <c r="AS16">
        <v>1</v>
      </c>
      <c r="AT16">
        <v>0</v>
      </c>
      <c r="AU16">
        <v>0</v>
      </c>
      <c r="AV16">
        <v>1</v>
      </c>
      <c r="AW16" t="s">
        <v>310</v>
      </c>
      <c r="AX16" t="s">
        <v>226</v>
      </c>
      <c r="AY16" t="s">
        <v>236</v>
      </c>
      <c r="AZ16" t="s">
        <v>259</v>
      </c>
      <c r="BA16" t="s">
        <v>312</v>
      </c>
      <c r="BE16" t="s">
        <v>259</v>
      </c>
      <c r="BF16" t="s">
        <v>259</v>
      </c>
      <c r="BG16" t="s">
        <v>259</v>
      </c>
      <c r="BH16" t="s">
        <v>237</v>
      </c>
      <c r="BI16" t="s">
        <v>237</v>
      </c>
      <c r="BJ16" t="s">
        <v>259</v>
      </c>
      <c r="BK16" t="s">
        <v>239</v>
      </c>
      <c r="BL16" t="s">
        <v>262</v>
      </c>
      <c r="BM16" t="s">
        <v>365</v>
      </c>
      <c r="BN16">
        <v>0</v>
      </c>
      <c r="BO16">
        <v>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 t="s">
        <v>264</v>
      </c>
      <c r="CB16" t="s">
        <v>264</v>
      </c>
      <c r="CC16" t="s">
        <v>264</v>
      </c>
      <c r="CD16" t="s">
        <v>236</v>
      </c>
      <c r="CE16" t="s">
        <v>236</v>
      </c>
      <c r="EA16" t="s">
        <v>226</v>
      </c>
      <c r="EB16" t="s">
        <v>244</v>
      </c>
      <c r="EC16" t="s">
        <v>226</v>
      </c>
      <c r="ED16" t="s">
        <v>245</v>
      </c>
      <c r="EE16" t="s">
        <v>226</v>
      </c>
      <c r="EF16" t="s">
        <v>245</v>
      </c>
      <c r="EG16" t="s">
        <v>236</v>
      </c>
      <c r="EI16" t="s">
        <v>226</v>
      </c>
      <c r="EJ16" t="s">
        <v>245</v>
      </c>
      <c r="EK16" t="s">
        <v>226</v>
      </c>
      <c r="EL16" t="s">
        <v>245</v>
      </c>
      <c r="EM16" t="s">
        <v>226</v>
      </c>
      <c r="EN16" t="s">
        <v>245</v>
      </c>
      <c r="EO16" t="s">
        <v>236</v>
      </c>
      <c r="EQ16" t="s">
        <v>236</v>
      </c>
      <c r="ES16" t="s">
        <v>236</v>
      </c>
      <c r="EU16" t="s">
        <v>236</v>
      </c>
      <c r="EW16" t="s">
        <v>226</v>
      </c>
      <c r="EX16" t="s">
        <v>245</v>
      </c>
      <c r="EY16" t="s">
        <v>226</v>
      </c>
      <c r="EZ16" t="s">
        <v>245</v>
      </c>
      <c r="FA16" t="s">
        <v>226</v>
      </c>
      <c r="FB16" t="s">
        <v>245</v>
      </c>
      <c r="FC16" t="s">
        <v>236</v>
      </c>
      <c r="FE16" t="s">
        <v>226</v>
      </c>
      <c r="FF16" t="s">
        <v>245</v>
      </c>
      <c r="FG16" t="s">
        <v>226</v>
      </c>
      <c r="FH16" t="s">
        <v>803</v>
      </c>
      <c r="FI16" t="s">
        <v>245</v>
      </c>
      <c r="FJ16" t="s">
        <v>226</v>
      </c>
      <c r="FK16" t="s">
        <v>245</v>
      </c>
      <c r="FL16" t="s">
        <v>236</v>
      </c>
      <c r="FM16" t="s">
        <v>236</v>
      </c>
      <c r="FW16" t="s">
        <v>226</v>
      </c>
      <c r="FX16" t="s">
        <v>236</v>
      </c>
      <c r="FZ16" t="s">
        <v>226</v>
      </c>
      <c r="GA16" t="s">
        <v>236</v>
      </c>
      <c r="GC16" t="s">
        <v>226</v>
      </c>
      <c r="GD16" t="s">
        <v>236</v>
      </c>
      <c r="GF16" t="s">
        <v>226</v>
      </c>
      <c r="GG16" t="s">
        <v>236</v>
      </c>
      <c r="GI16" t="s">
        <v>226</v>
      </c>
      <c r="GJ16" t="s">
        <v>236</v>
      </c>
      <c r="GL16" t="s">
        <v>226</v>
      </c>
      <c r="GM16" t="s">
        <v>236</v>
      </c>
      <c r="GO16" t="s">
        <v>226</v>
      </c>
      <c r="GP16" t="s">
        <v>236</v>
      </c>
      <c r="GR16" t="s">
        <v>226</v>
      </c>
      <c r="GS16" t="s">
        <v>236</v>
      </c>
      <c r="GU16" t="s">
        <v>226</v>
      </c>
      <c r="GV16" t="s">
        <v>236</v>
      </c>
      <c r="GX16" t="s">
        <v>236</v>
      </c>
      <c r="HB16" t="s">
        <v>345</v>
      </c>
      <c r="HC16" t="s">
        <v>338</v>
      </c>
      <c r="HD16" t="s">
        <v>804</v>
      </c>
      <c r="HE16">
        <v>82698330</v>
      </c>
      <c r="HF16" t="s">
        <v>805</v>
      </c>
      <c r="HG16" s="2">
        <v>45749.816111111111</v>
      </c>
      <c r="HJ16" t="s">
        <v>248</v>
      </c>
      <c r="HL16" t="s">
        <v>249</v>
      </c>
      <c r="HN16">
        <v>19</v>
      </c>
    </row>
    <row r="17" spans="1:222" x14ac:dyDescent="0.25">
      <c r="A17" s="2">
        <v>45749.585167233803</v>
      </c>
      <c r="B17" s="2">
        <v>45749.595690567126</v>
      </c>
      <c r="C17" t="s">
        <v>334</v>
      </c>
      <c r="D17">
        <v>152</v>
      </c>
      <c r="E17" s="2">
        <v>45729</v>
      </c>
      <c r="F17">
        <v>3</v>
      </c>
      <c r="G17" t="s">
        <v>472</v>
      </c>
      <c r="H17" t="s">
        <v>335</v>
      </c>
      <c r="I17">
        <v>41</v>
      </c>
      <c r="J17" t="str">
        <f t="shared" si="0"/>
        <v>de 41 a 55 años</v>
      </c>
      <c r="K17" t="s">
        <v>341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225</v>
      </c>
      <c r="R17" t="s">
        <v>226</v>
      </c>
      <c r="T17" t="s">
        <v>227</v>
      </c>
      <c r="V17" t="s">
        <v>228</v>
      </c>
      <c r="W17" t="s">
        <v>229</v>
      </c>
      <c r="X17" t="s">
        <v>230</v>
      </c>
      <c r="Z17" t="s">
        <v>231</v>
      </c>
      <c r="AA17" t="s">
        <v>232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I17" t="s">
        <v>311</v>
      </c>
      <c r="AJ17">
        <v>0</v>
      </c>
      <c r="AK17">
        <v>1</v>
      </c>
      <c r="AL17">
        <v>1</v>
      </c>
      <c r="AM17">
        <v>0</v>
      </c>
      <c r="AN17" t="s">
        <v>274</v>
      </c>
      <c r="AO17" t="s">
        <v>235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X17" t="s">
        <v>226</v>
      </c>
      <c r="AY17" t="s">
        <v>226</v>
      </c>
      <c r="AZ17" t="s">
        <v>259</v>
      </c>
      <c r="BA17" t="s">
        <v>312</v>
      </c>
      <c r="BB17" t="s">
        <v>473</v>
      </c>
      <c r="BC17" t="s">
        <v>474</v>
      </c>
      <c r="BE17" t="s">
        <v>259</v>
      </c>
      <c r="BF17" t="s">
        <v>259</v>
      </c>
      <c r="BG17" t="s">
        <v>237</v>
      </c>
      <c r="BH17" t="s">
        <v>237</v>
      </c>
      <c r="BI17" t="s">
        <v>259</v>
      </c>
      <c r="BJ17" t="s">
        <v>237</v>
      </c>
      <c r="BK17" t="s">
        <v>259</v>
      </c>
      <c r="BL17" t="s">
        <v>262</v>
      </c>
      <c r="BM17" t="s">
        <v>475</v>
      </c>
      <c r="BN17">
        <v>0</v>
      </c>
      <c r="BO17">
        <v>1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 t="s">
        <v>264</v>
      </c>
      <c r="CB17" t="s">
        <v>264</v>
      </c>
      <c r="CC17" t="s">
        <v>264</v>
      </c>
      <c r="CD17" t="s">
        <v>236</v>
      </c>
      <c r="CE17" t="s">
        <v>236</v>
      </c>
      <c r="EA17" t="s">
        <v>226</v>
      </c>
      <c r="EB17" t="s">
        <v>265</v>
      </c>
      <c r="EC17" t="s">
        <v>236</v>
      </c>
      <c r="EE17" t="s">
        <v>226</v>
      </c>
      <c r="EF17" t="s">
        <v>245</v>
      </c>
      <c r="EG17" t="s">
        <v>226</v>
      </c>
      <c r="EH17" t="s">
        <v>245</v>
      </c>
      <c r="EI17" t="s">
        <v>226</v>
      </c>
      <c r="EJ17" t="s">
        <v>265</v>
      </c>
      <c r="EK17" t="s">
        <v>226</v>
      </c>
      <c r="EL17" t="s">
        <v>244</v>
      </c>
      <c r="EM17" t="s">
        <v>226</v>
      </c>
      <c r="EN17" t="s">
        <v>265</v>
      </c>
      <c r="EO17" t="s">
        <v>226</v>
      </c>
      <c r="EP17" t="s">
        <v>245</v>
      </c>
      <c r="EQ17" t="s">
        <v>236</v>
      </c>
      <c r="ES17" t="s">
        <v>226</v>
      </c>
      <c r="ET17" t="s">
        <v>265</v>
      </c>
      <c r="EU17" t="s">
        <v>226</v>
      </c>
      <c r="EV17" t="s">
        <v>265</v>
      </c>
      <c r="EW17" t="s">
        <v>226</v>
      </c>
      <c r="EX17" t="s">
        <v>265</v>
      </c>
      <c r="EY17" t="s">
        <v>226</v>
      </c>
      <c r="EZ17" t="s">
        <v>265</v>
      </c>
      <c r="FA17" t="s">
        <v>226</v>
      </c>
      <c r="FB17" t="s">
        <v>244</v>
      </c>
      <c r="FC17" t="s">
        <v>236</v>
      </c>
      <c r="FE17" t="s">
        <v>226</v>
      </c>
      <c r="FF17" t="s">
        <v>265</v>
      </c>
      <c r="FG17" t="s">
        <v>236</v>
      </c>
      <c r="FJ17" t="s">
        <v>226</v>
      </c>
      <c r="FK17" t="s">
        <v>265</v>
      </c>
      <c r="FL17" t="s">
        <v>226</v>
      </c>
      <c r="FM17" t="s">
        <v>226</v>
      </c>
      <c r="FN17" t="s">
        <v>476</v>
      </c>
      <c r="FO17">
        <v>1</v>
      </c>
      <c r="FP17">
        <v>1</v>
      </c>
      <c r="FQ17">
        <v>0</v>
      </c>
      <c r="FR17">
        <v>0</v>
      </c>
      <c r="FS17">
        <v>0</v>
      </c>
      <c r="FU17" t="s">
        <v>226</v>
      </c>
      <c r="FW17" t="s">
        <v>226</v>
      </c>
      <c r="FX17" t="s">
        <v>236</v>
      </c>
      <c r="FZ17" t="s">
        <v>236</v>
      </c>
      <c r="GC17" t="s">
        <v>236</v>
      </c>
      <c r="GF17" t="s">
        <v>236</v>
      </c>
      <c r="GI17" t="s">
        <v>236</v>
      </c>
      <c r="GL17" t="s">
        <v>236</v>
      </c>
      <c r="GO17" t="s">
        <v>226</v>
      </c>
      <c r="GP17" t="s">
        <v>226</v>
      </c>
      <c r="GQ17" t="s">
        <v>267</v>
      </c>
      <c r="GR17" t="s">
        <v>226</v>
      </c>
      <c r="GS17" t="s">
        <v>226</v>
      </c>
      <c r="GT17" t="s">
        <v>267</v>
      </c>
      <c r="GU17" t="s">
        <v>236</v>
      </c>
      <c r="GX17" t="s">
        <v>236</v>
      </c>
      <c r="HB17" t="s">
        <v>477</v>
      </c>
      <c r="HC17" t="s">
        <v>452</v>
      </c>
      <c r="HD17" t="s">
        <v>478</v>
      </c>
      <c r="HE17">
        <v>82697957</v>
      </c>
      <c r="HF17" t="s">
        <v>479</v>
      </c>
      <c r="HG17" s="2">
        <v>45749.803946759261</v>
      </c>
      <c r="HJ17" t="s">
        <v>248</v>
      </c>
      <c r="HL17" t="s">
        <v>249</v>
      </c>
      <c r="HN17">
        <v>15</v>
      </c>
    </row>
    <row r="18" spans="1:222" x14ac:dyDescent="0.25">
      <c r="A18" s="2">
        <v>45749.591922037027</v>
      </c>
      <c r="B18" s="2">
        <v>45749.604057037039</v>
      </c>
      <c r="C18" t="s">
        <v>465</v>
      </c>
      <c r="D18">
        <v>54</v>
      </c>
      <c r="E18" s="2">
        <v>45731</v>
      </c>
      <c r="F18">
        <v>2</v>
      </c>
      <c r="G18" t="s">
        <v>271</v>
      </c>
      <c r="H18" t="s">
        <v>391</v>
      </c>
      <c r="I18">
        <v>48</v>
      </c>
      <c r="J18" t="str">
        <f t="shared" si="0"/>
        <v>de 41 a 55 años</v>
      </c>
      <c r="K18" t="s">
        <v>341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225</v>
      </c>
      <c r="R18" t="s">
        <v>226</v>
      </c>
      <c r="T18" t="s">
        <v>227</v>
      </c>
      <c r="V18" t="s">
        <v>612</v>
      </c>
      <c r="W18" t="s">
        <v>292</v>
      </c>
      <c r="X18" t="s">
        <v>230</v>
      </c>
      <c r="Z18" t="s">
        <v>254</v>
      </c>
      <c r="AA18" t="s">
        <v>255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0</v>
      </c>
      <c r="AI18" t="s">
        <v>233</v>
      </c>
      <c r="AJ18">
        <v>0</v>
      </c>
      <c r="AK18">
        <v>1</v>
      </c>
      <c r="AL18">
        <v>0</v>
      </c>
      <c r="AM18">
        <v>0</v>
      </c>
      <c r="AN18" t="s">
        <v>257</v>
      </c>
      <c r="AO18" t="s">
        <v>275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X18" t="s">
        <v>236</v>
      </c>
      <c r="AZ18" t="s">
        <v>237</v>
      </c>
      <c r="BA18" t="s">
        <v>708</v>
      </c>
      <c r="BB18" t="s">
        <v>660</v>
      </c>
      <c r="BE18" t="s">
        <v>259</v>
      </c>
      <c r="BF18" t="s">
        <v>259</v>
      </c>
      <c r="BG18" t="s">
        <v>259</v>
      </c>
      <c r="BH18" t="s">
        <v>259</v>
      </c>
      <c r="BI18" t="s">
        <v>259</v>
      </c>
      <c r="BJ18" t="s">
        <v>237</v>
      </c>
      <c r="BK18" t="s">
        <v>237</v>
      </c>
      <c r="BL18" t="s">
        <v>262</v>
      </c>
      <c r="BM18" t="s">
        <v>451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 t="s">
        <v>264</v>
      </c>
      <c r="CB18" t="s">
        <v>264</v>
      </c>
      <c r="CC18" t="s">
        <v>264</v>
      </c>
      <c r="CD18" t="s">
        <v>236</v>
      </c>
      <c r="CE18" t="s">
        <v>236</v>
      </c>
      <c r="EA18" t="s">
        <v>236</v>
      </c>
      <c r="EC18" t="s">
        <v>236</v>
      </c>
      <c r="EE18" t="s">
        <v>236</v>
      </c>
      <c r="EG18" t="s">
        <v>236</v>
      </c>
      <c r="EI18" t="s">
        <v>236</v>
      </c>
      <c r="EK18" t="s">
        <v>236</v>
      </c>
      <c r="EM18" t="s">
        <v>236</v>
      </c>
      <c r="EO18" t="s">
        <v>236</v>
      </c>
      <c r="EQ18" t="s">
        <v>236</v>
      </c>
      <c r="ES18" t="s">
        <v>236</v>
      </c>
      <c r="EU18" t="s">
        <v>236</v>
      </c>
      <c r="EW18" t="s">
        <v>236</v>
      </c>
      <c r="EY18" t="s">
        <v>236</v>
      </c>
      <c r="FA18" t="s">
        <v>236</v>
      </c>
      <c r="FC18" t="s">
        <v>236</v>
      </c>
      <c r="FE18" t="s">
        <v>236</v>
      </c>
      <c r="FG18" t="s">
        <v>236</v>
      </c>
      <c r="FJ18" t="s">
        <v>226</v>
      </c>
      <c r="FK18" t="s">
        <v>245</v>
      </c>
      <c r="FL18" t="s">
        <v>236</v>
      </c>
      <c r="FM18" t="s">
        <v>236</v>
      </c>
      <c r="FW18" t="s">
        <v>236</v>
      </c>
      <c r="FZ18" t="s">
        <v>236</v>
      </c>
      <c r="GC18" t="s">
        <v>236</v>
      </c>
      <c r="GF18" t="s">
        <v>226</v>
      </c>
      <c r="GG18" t="s">
        <v>236</v>
      </c>
      <c r="GI18" t="s">
        <v>236</v>
      </c>
      <c r="GL18" t="s">
        <v>236</v>
      </c>
      <c r="GO18" t="s">
        <v>236</v>
      </c>
      <c r="GR18" t="s">
        <v>226</v>
      </c>
      <c r="GS18" t="s">
        <v>236</v>
      </c>
      <c r="GU18" t="s">
        <v>236</v>
      </c>
      <c r="GX18" t="s">
        <v>236</v>
      </c>
      <c r="HB18" t="s">
        <v>510</v>
      </c>
      <c r="HC18" t="s">
        <v>338</v>
      </c>
      <c r="HE18">
        <v>82698186</v>
      </c>
      <c r="HF18" t="s">
        <v>709</v>
      </c>
      <c r="HG18" s="2">
        <v>45749.812314814822</v>
      </c>
      <c r="HJ18" t="s">
        <v>248</v>
      </c>
      <c r="HL18" t="s">
        <v>249</v>
      </c>
      <c r="HN18">
        <v>17</v>
      </c>
    </row>
    <row r="19" spans="1:222" x14ac:dyDescent="0.25">
      <c r="A19" s="2">
        <v>45749.595691064816</v>
      </c>
      <c r="B19" s="2">
        <v>45749.601992476863</v>
      </c>
      <c r="C19" t="s">
        <v>334</v>
      </c>
      <c r="D19">
        <v>150</v>
      </c>
      <c r="E19" s="2">
        <v>45729</v>
      </c>
      <c r="F19">
        <v>3</v>
      </c>
      <c r="G19" t="s">
        <v>306</v>
      </c>
      <c r="H19" t="s">
        <v>335</v>
      </c>
      <c r="I19">
        <v>35</v>
      </c>
      <c r="J19" t="str">
        <f t="shared" si="0"/>
        <v>de 26 a 40 años</v>
      </c>
      <c r="K19" t="s">
        <v>341</v>
      </c>
      <c r="L19">
        <v>1</v>
      </c>
      <c r="M19">
        <v>0</v>
      </c>
      <c r="N19">
        <v>0</v>
      </c>
      <c r="O19">
        <v>0</v>
      </c>
      <c r="P19">
        <v>0</v>
      </c>
      <c r="Q19" t="s">
        <v>291</v>
      </c>
      <c r="R19" t="s">
        <v>226</v>
      </c>
      <c r="T19" t="s">
        <v>227</v>
      </c>
      <c r="V19" t="s">
        <v>228</v>
      </c>
      <c r="W19" t="s">
        <v>292</v>
      </c>
      <c r="X19" t="s">
        <v>350</v>
      </c>
      <c r="Z19" t="s">
        <v>231</v>
      </c>
      <c r="AA19" t="s">
        <v>232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I19" t="s">
        <v>233</v>
      </c>
      <c r="AJ19">
        <v>0</v>
      </c>
      <c r="AK19">
        <v>1</v>
      </c>
      <c r="AL19">
        <v>0</v>
      </c>
      <c r="AM19">
        <v>0</v>
      </c>
      <c r="AN19" t="s">
        <v>300</v>
      </c>
      <c r="AO19" t="s">
        <v>326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X19" t="s">
        <v>226</v>
      </c>
      <c r="AY19" t="s">
        <v>236</v>
      </c>
      <c r="AZ19" t="s">
        <v>237</v>
      </c>
      <c r="BA19" t="s">
        <v>338</v>
      </c>
      <c r="BB19" t="s">
        <v>1065</v>
      </c>
      <c r="BC19" t="s">
        <v>1066</v>
      </c>
      <c r="BE19" t="s">
        <v>237</v>
      </c>
      <c r="BF19" t="s">
        <v>237</v>
      </c>
      <c r="BG19" t="s">
        <v>259</v>
      </c>
      <c r="BH19" t="s">
        <v>237</v>
      </c>
      <c r="BI19" t="s">
        <v>237</v>
      </c>
      <c r="BJ19" t="s">
        <v>237</v>
      </c>
      <c r="BK19" t="s">
        <v>259</v>
      </c>
      <c r="BL19" t="s">
        <v>262</v>
      </c>
      <c r="BM19" t="s">
        <v>415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1</v>
      </c>
      <c r="BZ19">
        <v>0</v>
      </c>
      <c r="CA19" t="s">
        <v>264</v>
      </c>
      <c r="CB19" t="s">
        <v>264</v>
      </c>
      <c r="CC19" t="s">
        <v>264</v>
      </c>
      <c r="CD19" t="s">
        <v>236</v>
      </c>
      <c r="CE19" t="s">
        <v>236</v>
      </c>
      <c r="EA19" t="s">
        <v>236</v>
      </c>
      <c r="EC19" t="s">
        <v>236</v>
      </c>
      <c r="EE19" t="s">
        <v>226</v>
      </c>
      <c r="EF19" t="s">
        <v>245</v>
      </c>
      <c r="EG19" t="s">
        <v>226</v>
      </c>
      <c r="EH19" t="s">
        <v>245</v>
      </c>
      <c r="EI19" t="s">
        <v>226</v>
      </c>
      <c r="EJ19" t="s">
        <v>245</v>
      </c>
      <c r="EK19" t="s">
        <v>236</v>
      </c>
      <c r="EM19" t="s">
        <v>226</v>
      </c>
      <c r="EN19" t="s">
        <v>245</v>
      </c>
      <c r="EO19" t="s">
        <v>226</v>
      </c>
      <c r="EP19" t="s">
        <v>244</v>
      </c>
      <c r="EQ19" t="s">
        <v>236</v>
      </c>
      <c r="ES19" t="s">
        <v>236</v>
      </c>
      <c r="EU19" t="s">
        <v>236</v>
      </c>
      <c r="EW19" t="s">
        <v>236</v>
      </c>
      <c r="EY19" t="s">
        <v>226</v>
      </c>
      <c r="EZ19" t="s">
        <v>244</v>
      </c>
      <c r="FA19" t="s">
        <v>226</v>
      </c>
      <c r="FB19" t="s">
        <v>244</v>
      </c>
      <c r="FC19" t="s">
        <v>236</v>
      </c>
      <c r="FE19" t="s">
        <v>236</v>
      </c>
      <c r="FG19" t="s">
        <v>226</v>
      </c>
      <c r="FH19" t="s">
        <v>1067</v>
      </c>
      <c r="FI19" t="s">
        <v>245</v>
      </c>
      <c r="FJ19" t="s">
        <v>226</v>
      </c>
      <c r="FK19" t="s">
        <v>245</v>
      </c>
      <c r="FL19" t="s">
        <v>236</v>
      </c>
      <c r="FM19" t="s">
        <v>236</v>
      </c>
      <c r="FW19" t="s">
        <v>226</v>
      </c>
      <c r="FX19" t="s">
        <v>236</v>
      </c>
      <c r="FZ19" t="s">
        <v>236</v>
      </c>
      <c r="GC19" t="s">
        <v>236</v>
      </c>
      <c r="GF19" t="s">
        <v>226</v>
      </c>
      <c r="GG19" t="s">
        <v>236</v>
      </c>
      <c r="GI19" t="s">
        <v>226</v>
      </c>
      <c r="GJ19" t="s">
        <v>226</v>
      </c>
      <c r="GK19" t="s">
        <v>266</v>
      </c>
      <c r="GL19" t="s">
        <v>226</v>
      </c>
      <c r="GM19" t="s">
        <v>236</v>
      </c>
      <c r="GO19" t="s">
        <v>226</v>
      </c>
      <c r="GP19" t="s">
        <v>226</v>
      </c>
      <c r="GQ19" t="s">
        <v>267</v>
      </c>
      <c r="GR19" t="s">
        <v>226</v>
      </c>
      <c r="GS19" t="s">
        <v>226</v>
      </c>
      <c r="GT19" t="s">
        <v>266</v>
      </c>
      <c r="GU19" t="s">
        <v>236</v>
      </c>
      <c r="GX19" t="s">
        <v>236</v>
      </c>
      <c r="HB19" t="s">
        <v>288</v>
      </c>
      <c r="HC19" t="s">
        <v>338</v>
      </c>
      <c r="HD19" t="s">
        <v>1068</v>
      </c>
      <c r="HE19">
        <v>82698144</v>
      </c>
      <c r="HF19" t="s">
        <v>1069</v>
      </c>
      <c r="HG19" s="2">
        <v>45749.810254629629</v>
      </c>
      <c r="HJ19" t="s">
        <v>248</v>
      </c>
      <c r="HL19" t="s">
        <v>249</v>
      </c>
      <c r="HN19">
        <v>16</v>
      </c>
    </row>
    <row r="20" spans="1:222" x14ac:dyDescent="0.25">
      <c r="A20" s="2">
        <v>45749.597227199083</v>
      </c>
      <c r="B20" s="2">
        <v>45749.60463736111</v>
      </c>
      <c r="C20" t="s">
        <v>221</v>
      </c>
      <c r="D20">
        <v>1</v>
      </c>
      <c r="E20" s="2">
        <v>45732</v>
      </c>
      <c r="F20">
        <v>5</v>
      </c>
      <c r="G20" t="s">
        <v>250</v>
      </c>
      <c r="H20" t="s">
        <v>223</v>
      </c>
      <c r="I20">
        <v>19</v>
      </c>
      <c r="J20" t="str">
        <f t="shared" si="0"/>
        <v>de 18 a 25 años</v>
      </c>
      <c r="K20" t="s">
        <v>224</v>
      </c>
      <c r="L20">
        <v>0</v>
      </c>
      <c r="M20">
        <v>0</v>
      </c>
      <c r="N20">
        <v>0</v>
      </c>
      <c r="O20">
        <v>0</v>
      </c>
      <c r="P20">
        <v>0</v>
      </c>
      <c r="Q20" t="s">
        <v>225</v>
      </c>
      <c r="R20" t="s">
        <v>226</v>
      </c>
      <c r="T20" t="s">
        <v>227</v>
      </c>
      <c r="V20" t="s">
        <v>252</v>
      </c>
      <c r="W20" t="s">
        <v>229</v>
      </c>
      <c r="X20" t="s">
        <v>253</v>
      </c>
      <c r="Z20" t="s">
        <v>351</v>
      </c>
      <c r="AA20" t="s">
        <v>557</v>
      </c>
      <c r="AB20">
        <v>1</v>
      </c>
      <c r="AC20">
        <v>1</v>
      </c>
      <c r="AD20">
        <v>0</v>
      </c>
      <c r="AE20">
        <v>0</v>
      </c>
      <c r="AF20">
        <v>1</v>
      </c>
      <c r="AG20">
        <v>0</v>
      </c>
      <c r="AI20" t="s">
        <v>311</v>
      </c>
      <c r="AJ20">
        <v>0</v>
      </c>
      <c r="AK20">
        <v>1</v>
      </c>
      <c r="AL20">
        <v>1</v>
      </c>
      <c r="AM20">
        <v>0</v>
      </c>
      <c r="AN20" t="s">
        <v>234</v>
      </c>
      <c r="AO20" t="s">
        <v>275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X20" t="s">
        <v>226</v>
      </c>
      <c r="AY20" t="s">
        <v>226</v>
      </c>
      <c r="AZ20" t="s">
        <v>237</v>
      </c>
      <c r="BA20" t="s">
        <v>558</v>
      </c>
      <c r="BE20" t="s">
        <v>237</v>
      </c>
      <c r="BF20" t="s">
        <v>259</v>
      </c>
      <c r="BG20" t="s">
        <v>237</v>
      </c>
      <c r="BH20" t="s">
        <v>237</v>
      </c>
      <c r="BI20" t="s">
        <v>237</v>
      </c>
      <c r="BJ20" t="s">
        <v>237</v>
      </c>
      <c r="BK20" t="s">
        <v>237</v>
      </c>
      <c r="BL20" t="s">
        <v>262</v>
      </c>
      <c r="BM20" t="s">
        <v>241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1</v>
      </c>
      <c r="BZ20">
        <v>0</v>
      </c>
      <c r="CA20" t="s">
        <v>264</v>
      </c>
      <c r="CB20" t="s">
        <v>264</v>
      </c>
      <c r="CC20" t="s">
        <v>264</v>
      </c>
      <c r="CD20" t="s">
        <v>226</v>
      </c>
      <c r="CE20" t="s">
        <v>236</v>
      </c>
      <c r="EA20" t="s">
        <v>236</v>
      </c>
      <c r="EC20" t="s">
        <v>236</v>
      </c>
      <c r="EE20" t="s">
        <v>236</v>
      </c>
      <c r="EG20" t="s">
        <v>226</v>
      </c>
      <c r="EH20" t="s">
        <v>244</v>
      </c>
      <c r="EI20" t="s">
        <v>226</v>
      </c>
      <c r="EJ20" t="s">
        <v>244</v>
      </c>
      <c r="EK20" t="s">
        <v>236</v>
      </c>
      <c r="EM20" t="s">
        <v>226</v>
      </c>
      <c r="EN20" t="s">
        <v>244</v>
      </c>
      <c r="EO20" t="s">
        <v>226</v>
      </c>
      <c r="EP20" t="s">
        <v>244</v>
      </c>
      <c r="EQ20" t="s">
        <v>236</v>
      </c>
      <c r="ES20" t="s">
        <v>236</v>
      </c>
      <c r="EU20" t="s">
        <v>236</v>
      </c>
      <c r="EW20" t="s">
        <v>236</v>
      </c>
      <c r="EY20" t="s">
        <v>236</v>
      </c>
      <c r="FA20" t="s">
        <v>236</v>
      </c>
      <c r="FC20" t="s">
        <v>236</v>
      </c>
      <c r="FE20" t="s">
        <v>236</v>
      </c>
      <c r="FG20" t="s">
        <v>236</v>
      </c>
      <c r="FJ20" t="s">
        <v>226</v>
      </c>
      <c r="FK20" t="s">
        <v>245</v>
      </c>
      <c r="FL20" t="s">
        <v>236</v>
      </c>
      <c r="FM20" t="s">
        <v>236</v>
      </c>
      <c r="FW20" t="s">
        <v>226</v>
      </c>
      <c r="FX20" t="s">
        <v>236</v>
      </c>
      <c r="FZ20" t="s">
        <v>226</v>
      </c>
      <c r="GA20" t="s">
        <v>236</v>
      </c>
      <c r="GC20" t="s">
        <v>236</v>
      </c>
      <c r="GF20" t="s">
        <v>226</v>
      </c>
      <c r="GG20" t="s">
        <v>236</v>
      </c>
      <c r="GI20" t="s">
        <v>236</v>
      </c>
      <c r="GL20" t="s">
        <v>226</v>
      </c>
      <c r="GM20" t="s">
        <v>236</v>
      </c>
      <c r="GO20" t="s">
        <v>226</v>
      </c>
      <c r="GP20" t="s">
        <v>226</v>
      </c>
      <c r="GQ20" t="s">
        <v>266</v>
      </c>
      <c r="GR20" t="s">
        <v>226</v>
      </c>
      <c r="GS20" t="s">
        <v>236</v>
      </c>
      <c r="GU20" t="s">
        <v>236</v>
      </c>
      <c r="GX20" t="s">
        <v>236</v>
      </c>
      <c r="HB20" t="s">
        <v>559</v>
      </c>
      <c r="HC20" t="s">
        <v>560</v>
      </c>
      <c r="HE20">
        <v>82698220</v>
      </c>
      <c r="HF20" t="s">
        <v>561</v>
      </c>
      <c r="HG20" s="2">
        <v>45749.812893518523</v>
      </c>
      <c r="HJ20" t="s">
        <v>248</v>
      </c>
      <c r="HL20" t="s">
        <v>249</v>
      </c>
      <c r="HN20">
        <v>18</v>
      </c>
    </row>
    <row r="21" spans="1:222" x14ac:dyDescent="0.25">
      <c r="A21" s="2">
        <v>45749.601992951393</v>
      </c>
      <c r="B21" s="2">
        <v>45749.63606271991</v>
      </c>
      <c r="C21" t="s">
        <v>334</v>
      </c>
      <c r="D21">
        <v>149</v>
      </c>
      <c r="E21" s="2">
        <v>45729</v>
      </c>
      <c r="F21">
        <v>3</v>
      </c>
      <c r="G21" t="s">
        <v>472</v>
      </c>
      <c r="H21" t="s">
        <v>335</v>
      </c>
      <c r="I21">
        <v>19</v>
      </c>
      <c r="J21" t="str">
        <f t="shared" si="0"/>
        <v>de 18 a 25 años</v>
      </c>
      <c r="K21" t="s">
        <v>224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291</v>
      </c>
      <c r="R21" t="s">
        <v>226</v>
      </c>
      <c r="T21" t="s">
        <v>227</v>
      </c>
      <c r="V21" t="s">
        <v>252</v>
      </c>
      <c r="W21" t="s">
        <v>229</v>
      </c>
      <c r="X21" t="s">
        <v>253</v>
      </c>
      <c r="Z21" t="s">
        <v>351</v>
      </c>
      <c r="AA21" t="s">
        <v>376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I21" t="s">
        <v>256</v>
      </c>
      <c r="AJ21">
        <v>0</v>
      </c>
      <c r="AK21">
        <v>0</v>
      </c>
      <c r="AL21">
        <v>1</v>
      </c>
      <c r="AM21">
        <v>0</v>
      </c>
      <c r="AN21" t="s">
        <v>234</v>
      </c>
      <c r="AO21" t="s">
        <v>275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X21" t="s">
        <v>226</v>
      </c>
      <c r="AY21" t="s">
        <v>236</v>
      </c>
      <c r="AZ21" t="s">
        <v>237</v>
      </c>
      <c r="BA21" t="s">
        <v>338</v>
      </c>
      <c r="BB21" t="s">
        <v>276</v>
      </c>
      <c r="BE21" t="s">
        <v>237</v>
      </c>
      <c r="BF21" t="s">
        <v>259</v>
      </c>
      <c r="BG21" t="s">
        <v>259</v>
      </c>
      <c r="BH21" t="s">
        <v>259</v>
      </c>
      <c r="BI21" t="s">
        <v>237</v>
      </c>
      <c r="BJ21" t="s">
        <v>237</v>
      </c>
      <c r="BK21" t="s">
        <v>259</v>
      </c>
      <c r="BL21" t="s">
        <v>262</v>
      </c>
      <c r="BM21" t="s">
        <v>451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 t="s">
        <v>264</v>
      </c>
      <c r="CB21" t="s">
        <v>264</v>
      </c>
      <c r="CC21" t="s">
        <v>264</v>
      </c>
      <c r="CD21" t="s">
        <v>236</v>
      </c>
      <c r="CE21" t="s">
        <v>236</v>
      </c>
      <c r="EA21" t="s">
        <v>236</v>
      </c>
      <c r="EC21" t="s">
        <v>236</v>
      </c>
      <c r="EE21" t="s">
        <v>236</v>
      </c>
      <c r="EG21" t="s">
        <v>226</v>
      </c>
      <c r="EH21" t="s">
        <v>244</v>
      </c>
      <c r="EI21" t="s">
        <v>226</v>
      </c>
      <c r="EJ21" t="s">
        <v>244</v>
      </c>
      <c r="EK21" t="s">
        <v>236</v>
      </c>
      <c r="EM21" t="s">
        <v>236</v>
      </c>
      <c r="EO21" t="s">
        <v>236</v>
      </c>
      <c r="EQ21" t="s">
        <v>236</v>
      </c>
      <c r="ES21" t="s">
        <v>236</v>
      </c>
      <c r="EU21" t="s">
        <v>236</v>
      </c>
      <c r="EW21" t="s">
        <v>236</v>
      </c>
      <c r="EY21" t="s">
        <v>236</v>
      </c>
      <c r="FA21" t="s">
        <v>226</v>
      </c>
      <c r="FB21" t="s">
        <v>245</v>
      </c>
      <c r="FC21" t="s">
        <v>236</v>
      </c>
      <c r="FE21" t="s">
        <v>236</v>
      </c>
      <c r="FG21" t="s">
        <v>236</v>
      </c>
      <c r="FJ21" t="s">
        <v>226</v>
      </c>
      <c r="FK21" t="s">
        <v>245</v>
      </c>
      <c r="FL21" t="s">
        <v>226</v>
      </c>
      <c r="FM21" t="s">
        <v>236</v>
      </c>
      <c r="FW21" t="s">
        <v>226</v>
      </c>
      <c r="FX21" t="s">
        <v>236</v>
      </c>
      <c r="FZ21" t="s">
        <v>236</v>
      </c>
      <c r="GC21" t="s">
        <v>236</v>
      </c>
      <c r="GF21" t="s">
        <v>226</v>
      </c>
      <c r="GG21" t="s">
        <v>236</v>
      </c>
      <c r="GI21" t="s">
        <v>236</v>
      </c>
      <c r="GL21" t="s">
        <v>236</v>
      </c>
      <c r="GO21" t="s">
        <v>236</v>
      </c>
      <c r="GR21" t="s">
        <v>226</v>
      </c>
      <c r="GS21" t="s">
        <v>236</v>
      </c>
      <c r="GU21" t="s">
        <v>236</v>
      </c>
      <c r="GX21" t="s">
        <v>236</v>
      </c>
      <c r="HB21" t="s">
        <v>510</v>
      </c>
      <c r="HC21" t="s">
        <v>338</v>
      </c>
      <c r="HD21" t="s">
        <v>339</v>
      </c>
      <c r="HE21">
        <v>82699720</v>
      </c>
      <c r="HF21" t="s">
        <v>1064</v>
      </c>
      <c r="HG21" s="2">
        <v>45749.844305555547</v>
      </c>
      <c r="HJ21" t="s">
        <v>248</v>
      </c>
      <c r="HL21" t="s">
        <v>249</v>
      </c>
      <c r="HN21">
        <v>27</v>
      </c>
    </row>
    <row r="22" spans="1:222" x14ac:dyDescent="0.25">
      <c r="A22" s="2">
        <v>45749.604637824072</v>
      </c>
      <c r="B22" s="2">
        <v>45749.610205266203</v>
      </c>
      <c r="C22" t="s">
        <v>221</v>
      </c>
      <c r="D22">
        <v>2</v>
      </c>
      <c r="E22" s="2">
        <v>45732</v>
      </c>
      <c r="F22">
        <v>5</v>
      </c>
      <c r="G22" t="s">
        <v>250</v>
      </c>
      <c r="H22" t="s">
        <v>223</v>
      </c>
      <c r="I22">
        <v>40</v>
      </c>
      <c r="J22" t="str">
        <f t="shared" si="0"/>
        <v>de 26 a 40 años</v>
      </c>
      <c r="K22" t="s">
        <v>224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225</v>
      </c>
      <c r="R22" t="s">
        <v>226</v>
      </c>
      <c r="T22" t="s">
        <v>227</v>
      </c>
      <c r="V22" t="s">
        <v>272</v>
      </c>
      <c r="W22" t="s">
        <v>229</v>
      </c>
      <c r="X22" t="s">
        <v>230</v>
      </c>
      <c r="Z22" t="s">
        <v>273</v>
      </c>
      <c r="AA22" t="s">
        <v>232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I22" t="s">
        <v>233</v>
      </c>
      <c r="AJ22">
        <v>0</v>
      </c>
      <c r="AK22">
        <v>1</v>
      </c>
      <c r="AL22">
        <v>0</v>
      </c>
      <c r="AM22">
        <v>0</v>
      </c>
      <c r="AN22" t="s">
        <v>234</v>
      </c>
      <c r="AO22" t="s">
        <v>235</v>
      </c>
      <c r="AP22">
        <v>0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X22" t="s">
        <v>236</v>
      </c>
      <c r="AZ22" t="s">
        <v>237</v>
      </c>
      <c r="BA22" t="s">
        <v>562</v>
      </c>
      <c r="BE22" t="s">
        <v>259</v>
      </c>
      <c r="BF22" t="s">
        <v>237</v>
      </c>
      <c r="BG22" t="s">
        <v>259</v>
      </c>
      <c r="BH22" t="s">
        <v>237</v>
      </c>
      <c r="BI22" t="s">
        <v>237</v>
      </c>
      <c r="BJ22" t="s">
        <v>237</v>
      </c>
      <c r="BK22" t="s">
        <v>261</v>
      </c>
      <c r="BL22" t="s">
        <v>262</v>
      </c>
      <c r="BM22" t="s">
        <v>415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 t="s">
        <v>264</v>
      </c>
      <c r="CB22" t="s">
        <v>264</v>
      </c>
      <c r="CC22" t="s">
        <v>264</v>
      </c>
      <c r="CD22" t="s">
        <v>236</v>
      </c>
      <c r="CE22" t="s">
        <v>236</v>
      </c>
      <c r="EA22" t="s">
        <v>226</v>
      </c>
      <c r="EB22" t="s">
        <v>244</v>
      </c>
      <c r="EC22" t="s">
        <v>236</v>
      </c>
      <c r="EE22" t="s">
        <v>226</v>
      </c>
      <c r="EF22" t="s">
        <v>245</v>
      </c>
      <c r="EG22" t="s">
        <v>226</v>
      </c>
      <c r="EH22" t="s">
        <v>265</v>
      </c>
      <c r="EI22" t="s">
        <v>226</v>
      </c>
      <c r="EJ22" t="s">
        <v>245</v>
      </c>
      <c r="EK22" t="s">
        <v>236</v>
      </c>
      <c r="EM22" t="s">
        <v>226</v>
      </c>
      <c r="EN22" t="s">
        <v>245</v>
      </c>
      <c r="EO22" t="s">
        <v>226</v>
      </c>
      <c r="EP22" t="s">
        <v>245</v>
      </c>
      <c r="EQ22" t="s">
        <v>236</v>
      </c>
      <c r="ES22" t="s">
        <v>226</v>
      </c>
      <c r="ET22" t="s">
        <v>245</v>
      </c>
      <c r="EU22" t="s">
        <v>236</v>
      </c>
      <c r="EW22" t="s">
        <v>226</v>
      </c>
      <c r="EX22" t="s">
        <v>245</v>
      </c>
      <c r="EY22" t="s">
        <v>226</v>
      </c>
      <c r="EZ22" t="s">
        <v>245</v>
      </c>
      <c r="FA22" t="s">
        <v>226</v>
      </c>
      <c r="FB22" t="s">
        <v>244</v>
      </c>
      <c r="FC22" t="s">
        <v>236</v>
      </c>
      <c r="FE22" t="s">
        <v>236</v>
      </c>
      <c r="FG22" t="s">
        <v>236</v>
      </c>
      <c r="FJ22" t="s">
        <v>226</v>
      </c>
      <c r="FK22" t="s">
        <v>245</v>
      </c>
      <c r="FL22" t="s">
        <v>236</v>
      </c>
      <c r="FM22" t="s">
        <v>236</v>
      </c>
      <c r="FW22" t="s">
        <v>226</v>
      </c>
      <c r="FX22" t="s">
        <v>236</v>
      </c>
      <c r="FZ22" t="s">
        <v>226</v>
      </c>
      <c r="GA22" t="s">
        <v>236</v>
      </c>
      <c r="GC22" t="s">
        <v>236</v>
      </c>
      <c r="GF22" t="s">
        <v>226</v>
      </c>
      <c r="GG22" t="s">
        <v>236</v>
      </c>
      <c r="GI22" t="s">
        <v>236</v>
      </c>
      <c r="GL22" t="s">
        <v>226</v>
      </c>
      <c r="GM22" t="s">
        <v>226</v>
      </c>
      <c r="GN22" t="s">
        <v>266</v>
      </c>
      <c r="GO22" t="s">
        <v>226</v>
      </c>
      <c r="GP22" t="s">
        <v>236</v>
      </c>
      <c r="GR22" t="s">
        <v>226</v>
      </c>
      <c r="GS22" t="s">
        <v>226</v>
      </c>
      <c r="GT22" t="s">
        <v>266</v>
      </c>
      <c r="GU22" t="s">
        <v>226</v>
      </c>
      <c r="GV22" t="s">
        <v>226</v>
      </c>
      <c r="GW22" t="s">
        <v>266</v>
      </c>
      <c r="GX22" t="s">
        <v>236</v>
      </c>
      <c r="HB22" t="s">
        <v>563</v>
      </c>
      <c r="HE22">
        <v>82698420</v>
      </c>
      <c r="HF22" t="s">
        <v>564</v>
      </c>
      <c r="HG22" s="2">
        <v>45749.818472222221</v>
      </c>
      <c r="HJ22" t="s">
        <v>248</v>
      </c>
      <c r="HL22" t="s">
        <v>249</v>
      </c>
      <c r="HN22">
        <v>20</v>
      </c>
    </row>
    <row r="23" spans="1:222" x14ac:dyDescent="0.25">
      <c r="A23" s="2">
        <v>45749.607854155103</v>
      </c>
      <c r="B23" s="2">
        <v>45749.61512224537</v>
      </c>
      <c r="C23" t="s">
        <v>305</v>
      </c>
      <c r="D23">
        <v>88</v>
      </c>
      <c r="E23" s="2">
        <v>45732</v>
      </c>
      <c r="F23">
        <v>3</v>
      </c>
      <c r="G23" t="s">
        <v>306</v>
      </c>
      <c r="H23" t="s">
        <v>307</v>
      </c>
      <c r="I23">
        <v>76</v>
      </c>
      <c r="J23" t="str">
        <f t="shared" si="0"/>
        <v>de 56 a más</v>
      </c>
      <c r="K23" t="s">
        <v>251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291</v>
      </c>
      <c r="R23" t="s">
        <v>226</v>
      </c>
      <c r="T23" t="s">
        <v>227</v>
      </c>
      <c r="V23" t="s">
        <v>252</v>
      </c>
      <c r="W23" t="s">
        <v>229</v>
      </c>
      <c r="X23" t="s">
        <v>350</v>
      </c>
      <c r="Z23" t="s">
        <v>308</v>
      </c>
      <c r="AA23" t="s">
        <v>810</v>
      </c>
      <c r="AB23">
        <v>0</v>
      </c>
      <c r="AC23">
        <v>1</v>
      </c>
      <c r="AD23">
        <v>1</v>
      </c>
      <c r="AE23">
        <v>0</v>
      </c>
      <c r="AF23">
        <v>1</v>
      </c>
      <c r="AG23">
        <v>0</v>
      </c>
      <c r="AI23" t="s">
        <v>233</v>
      </c>
      <c r="AJ23">
        <v>0</v>
      </c>
      <c r="AK23">
        <v>1</v>
      </c>
      <c r="AL23">
        <v>0</v>
      </c>
      <c r="AM23">
        <v>0</v>
      </c>
      <c r="AN23" t="s">
        <v>257</v>
      </c>
      <c r="AO23" t="s">
        <v>369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</v>
      </c>
      <c r="AW23" t="s">
        <v>811</v>
      </c>
      <c r="AX23" t="s">
        <v>226</v>
      </c>
      <c r="AY23" t="s">
        <v>226</v>
      </c>
      <c r="AZ23" t="s">
        <v>237</v>
      </c>
      <c r="BA23" t="s">
        <v>812</v>
      </c>
      <c r="BE23" t="s">
        <v>259</v>
      </c>
      <c r="BF23" t="s">
        <v>259</v>
      </c>
      <c r="BG23" t="s">
        <v>259</v>
      </c>
      <c r="BH23" t="s">
        <v>239</v>
      </c>
      <c r="BI23" t="s">
        <v>237</v>
      </c>
      <c r="BJ23" t="s">
        <v>237</v>
      </c>
      <c r="BK23" t="s">
        <v>239</v>
      </c>
      <c r="BL23" t="s">
        <v>313</v>
      </c>
      <c r="BM23" t="s">
        <v>278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 t="s">
        <v>242</v>
      </c>
      <c r="CB23" t="s">
        <v>328</v>
      </c>
      <c r="CC23" t="s">
        <v>328</v>
      </c>
      <c r="CD23" t="s">
        <v>226</v>
      </c>
      <c r="CE23" t="s">
        <v>236</v>
      </c>
      <c r="EA23" t="s">
        <v>226</v>
      </c>
      <c r="EB23" t="s">
        <v>244</v>
      </c>
      <c r="EC23" t="s">
        <v>226</v>
      </c>
      <c r="ED23" t="s">
        <v>244</v>
      </c>
      <c r="EE23" t="s">
        <v>226</v>
      </c>
      <c r="EF23" t="s">
        <v>245</v>
      </c>
      <c r="EG23" t="s">
        <v>236</v>
      </c>
      <c r="EI23" t="s">
        <v>236</v>
      </c>
      <c r="EK23" t="s">
        <v>236</v>
      </c>
      <c r="EM23" t="s">
        <v>236</v>
      </c>
      <c r="EO23" t="s">
        <v>236</v>
      </c>
      <c r="EQ23" t="s">
        <v>236</v>
      </c>
      <c r="ES23" t="s">
        <v>236</v>
      </c>
      <c r="EU23" t="s">
        <v>236</v>
      </c>
      <c r="EW23" t="s">
        <v>236</v>
      </c>
      <c r="EY23" t="s">
        <v>236</v>
      </c>
      <c r="FA23" t="s">
        <v>236</v>
      </c>
      <c r="FC23" t="s">
        <v>236</v>
      </c>
      <c r="FE23" t="s">
        <v>226</v>
      </c>
      <c r="FF23" t="s">
        <v>244</v>
      </c>
      <c r="FG23" t="s">
        <v>226</v>
      </c>
      <c r="FH23" t="s">
        <v>813</v>
      </c>
      <c r="FI23" t="s">
        <v>244</v>
      </c>
      <c r="FJ23" t="s">
        <v>226</v>
      </c>
      <c r="FK23" t="s">
        <v>244</v>
      </c>
      <c r="FL23" t="s">
        <v>236</v>
      </c>
      <c r="FM23" t="s">
        <v>236</v>
      </c>
      <c r="FW23" t="s">
        <v>226</v>
      </c>
      <c r="FX23" t="s">
        <v>226</v>
      </c>
      <c r="FY23" t="s">
        <v>266</v>
      </c>
      <c r="FZ23" t="s">
        <v>226</v>
      </c>
      <c r="GA23" t="s">
        <v>226</v>
      </c>
      <c r="GB23" t="s">
        <v>266</v>
      </c>
      <c r="GC23" t="s">
        <v>226</v>
      </c>
      <c r="GD23" t="s">
        <v>226</v>
      </c>
      <c r="GE23" t="s">
        <v>266</v>
      </c>
      <c r="GF23" t="s">
        <v>226</v>
      </c>
      <c r="GG23" t="s">
        <v>226</v>
      </c>
      <c r="GH23" t="s">
        <v>266</v>
      </c>
      <c r="GI23" t="s">
        <v>226</v>
      </c>
      <c r="GJ23" t="s">
        <v>226</v>
      </c>
      <c r="GK23" t="s">
        <v>266</v>
      </c>
      <c r="GL23" t="s">
        <v>226</v>
      </c>
      <c r="GM23" t="s">
        <v>226</v>
      </c>
      <c r="GN23" t="s">
        <v>266</v>
      </c>
      <c r="GO23" t="s">
        <v>226</v>
      </c>
      <c r="GP23" t="s">
        <v>226</v>
      </c>
      <c r="GQ23" t="s">
        <v>266</v>
      </c>
      <c r="GR23" t="s">
        <v>226</v>
      </c>
      <c r="GS23" t="s">
        <v>226</v>
      </c>
      <c r="GT23" t="s">
        <v>266</v>
      </c>
      <c r="GU23" t="s">
        <v>226</v>
      </c>
      <c r="GV23" t="s">
        <v>226</v>
      </c>
      <c r="GW23" t="s">
        <v>266</v>
      </c>
      <c r="GX23" t="s">
        <v>226</v>
      </c>
      <c r="GY23" t="s">
        <v>226</v>
      </c>
      <c r="GZ23" t="s">
        <v>266</v>
      </c>
      <c r="HB23" t="s">
        <v>279</v>
      </c>
      <c r="HC23" t="s">
        <v>814</v>
      </c>
      <c r="HD23" t="s">
        <v>815</v>
      </c>
      <c r="HE23">
        <v>82698618</v>
      </c>
      <c r="HF23" t="s">
        <v>816</v>
      </c>
      <c r="HG23" s="2">
        <v>45749.823379629634</v>
      </c>
      <c r="HJ23" t="s">
        <v>248</v>
      </c>
      <c r="HL23" t="s">
        <v>249</v>
      </c>
      <c r="HN23">
        <v>21</v>
      </c>
    </row>
    <row r="24" spans="1:222" x14ac:dyDescent="0.25">
      <c r="A24" s="2">
        <v>45749.610205856479</v>
      </c>
      <c r="B24" s="2">
        <v>45749.634028449073</v>
      </c>
      <c r="C24" t="s">
        <v>221</v>
      </c>
      <c r="D24">
        <v>3</v>
      </c>
      <c r="E24" s="2">
        <v>45732</v>
      </c>
      <c r="F24">
        <v>5</v>
      </c>
      <c r="G24" t="s">
        <v>222</v>
      </c>
      <c r="H24" t="s">
        <v>223</v>
      </c>
      <c r="I24">
        <v>27</v>
      </c>
      <c r="J24" t="str">
        <f t="shared" si="0"/>
        <v>de 26 a 40 años</v>
      </c>
      <c r="K24" t="s">
        <v>224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225</v>
      </c>
      <c r="R24" t="s">
        <v>226</v>
      </c>
      <c r="T24" t="s">
        <v>227</v>
      </c>
      <c r="V24" t="s">
        <v>228</v>
      </c>
      <c r="W24" t="s">
        <v>229</v>
      </c>
      <c r="X24" t="s">
        <v>230</v>
      </c>
      <c r="Z24" t="s">
        <v>231</v>
      </c>
      <c r="AA24" t="s">
        <v>232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I24" t="s">
        <v>233</v>
      </c>
      <c r="AJ24">
        <v>0</v>
      </c>
      <c r="AK24">
        <v>1</v>
      </c>
      <c r="AL24">
        <v>0</v>
      </c>
      <c r="AM24">
        <v>0</v>
      </c>
      <c r="AN24" t="s">
        <v>234</v>
      </c>
      <c r="AO24" t="s">
        <v>235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X24" t="s">
        <v>236</v>
      </c>
      <c r="AZ24" t="s">
        <v>237</v>
      </c>
      <c r="BA24" t="s">
        <v>238</v>
      </c>
      <c r="BE24" t="s">
        <v>237</v>
      </c>
      <c r="BF24" t="s">
        <v>239</v>
      </c>
      <c r="BG24" t="s">
        <v>239</v>
      </c>
      <c r="BH24" t="s">
        <v>239</v>
      </c>
      <c r="BI24" t="s">
        <v>237</v>
      </c>
      <c r="BJ24" t="s">
        <v>239</v>
      </c>
      <c r="BK24" t="s">
        <v>239</v>
      </c>
      <c r="BL24" t="s">
        <v>240</v>
      </c>
      <c r="BM24" t="s">
        <v>241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1</v>
      </c>
      <c r="BZ24">
        <v>0</v>
      </c>
      <c r="CA24" t="s">
        <v>242</v>
      </c>
      <c r="CB24" t="s">
        <v>243</v>
      </c>
      <c r="CC24" t="s">
        <v>243</v>
      </c>
      <c r="CD24" t="s">
        <v>236</v>
      </c>
      <c r="CE24" t="s">
        <v>236</v>
      </c>
      <c r="EA24" t="s">
        <v>226</v>
      </c>
      <c r="EB24" t="s">
        <v>244</v>
      </c>
      <c r="EC24" t="s">
        <v>236</v>
      </c>
      <c r="EE24" t="s">
        <v>236</v>
      </c>
      <c r="EG24" t="s">
        <v>226</v>
      </c>
      <c r="EH24" t="s">
        <v>245</v>
      </c>
      <c r="EI24" t="s">
        <v>236</v>
      </c>
      <c r="EK24" t="s">
        <v>236</v>
      </c>
      <c r="EM24" t="s">
        <v>226</v>
      </c>
      <c r="EN24" t="s">
        <v>244</v>
      </c>
      <c r="EO24" t="s">
        <v>236</v>
      </c>
      <c r="EQ24" t="s">
        <v>236</v>
      </c>
      <c r="ES24" t="s">
        <v>236</v>
      </c>
      <c r="EU24" t="s">
        <v>236</v>
      </c>
      <c r="EW24" t="s">
        <v>236</v>
      </c>
      <c r="EY24" t="s">
        <v>226</v>
      </c>
      <c r="EZ24" t="s">
        <v>244</v>
      </c>
      <c r="FA24" t="s">
        <v>226</v>
      </c>
      <c r="FB24" t="s">
        <v>245</v>
      </c>
      <c r="FC24" t="s">
        <v>236</v>
      </c>
      <c r="FE24" t="s">
        <v>226</v>
      </c>
      <c r="FF24" t="s">
        <v>245</v>
      </c>
      <c r="FG24" t="s">
        <v>236</v>
      </c>
      <c r="FJ24" t="s">
        <v>226</v>
      </c>
      <c r="FK24" t="s">
        <v>245</v>
      </c>
      <c r="FL24" t="s">
        <v>226</v>
      </c>
      <c r="FM24" t="s">
        <v>236</v>
      </c>
      <c r="FW24" t="s">
        <v>226</v>
      </c>
      <c r="FX24" t="s">
        <v>236</v>
      </c>
      <c r="FZ24" t="s">
        <v>226</v>
      </c>
      <c r="GA24" t="s">
        <v>236</v>
      </c>
      <c r="GC24" t="s">
        <v>236</v>
      </c>
      <c r="GF24" t="s">
        <v>226</v>
      </c>
      <c r="GG24" t="s">
        <v>236</v>
      </c>
      <c r="GI24" t="s">
        <v>226</v>
      </c>
      <c r="GJ24" t="s">
        <v>236</v>
      </c>
      <c r="GL24" t="s">
        <v>226</v>
      </c>
      <c r="GM24" t="s">
        <v>236</v>
      </c>
      <c r="GO24" t="s">
        <v>236</v>
      </c>
      <c r="GR24" t="s">
        <v>236</v>
      </c>
      <c r="GU24" t="s">
        <v>236</v>
      </c>
      <c r="GX24" t="s">
        <v>236</v>
      </c>
      <c r="HB24" t="s">
        <v>246</v>
      </c>
      <c r="HE24">
        <v>82699672</v>
      </c>
      <c r="HF24" t="s">
        <v>247</v>
      </c>
      <c r="HG24" s="2">
        <v>45749.842291666668</v>
      </c>
      <c r="HJ24" t="s">
        <v>248</v>
      </c>
      <c r="HL24" t="s">
        <v>249</v>
      </c>
      <c r="HN24">
        <v>26</v>
      </c>
    </row>
    <row r="25" spans="1:222" x14ac:dyDescent="0.25">
      <c r="A25" s="2">
        <v>45749.615122743053</v>
      </c>
      <c r="B25" s="2">
        <v>45749.618142557869</v>
      </c>
      <c r="C25" t="s">
        <v>305</v>
      </c>
      <c r="D25">
        <v>89</v>
      </c>
      <c r="E25" s="2">
        <v>45732</v>
      </c>
      <c r="F25">
        <v>3</v>
      </c>
      <c r="G25" t="s">
        <v>507</v>
      </c>
      <c r="H25" t="s">
        <v>307</v>
      </c>
      <c r="I25">
        <v>67</v>
      </c>
      <c r="J25" t="str">
        <f t="shared" si="0"/>
        <v>de 56 a más</v>
      </c>
      <c r="K25" t="s">
        <v>251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291</v>
      </c>
      <c r="R25" t="s">
        <v>226</v>
      </c>
      <c r="T25" t="s">
        <v>227</v>
      </c>
      <c r="V25" t="s">
        <v>228</v>
      </c>
      <c r="W25" t="s">
        <v>292</v>
      </c>
      <c r="X25" t="s">
        <v>368</v>
      </c>
      <c r="Z25" t="s">
        <v>231</v>
      </c>
      <c r="AA25" t="s">
        <v>817</v>
      </c>
      <c r="AB25">
        <v>0</v>
      </c>
      <c r="AC25">
        <v>0</v>
      </c>
      <c r="AD25">
        <v>1</v>
      </c>
      <c r="AE25">
        <v>1</v>
      </c>
      <c r="AF25">
        <v>0</v>
      </c>
      <c r="AG25">
        <v>0</v>
      </c>
      <c r="AI25" t="s">
        <v>256</v>
      </c>
      <c r="AJ25">
        <v>0</v>
      </c>
      <c r="AK25">
        <v>0</v>
      </c>
      <c r="AL25">
        <v>1</v>
      </c>
      <c r="AM25">
        <v>0</v>
      </c>
      <c r="AN25" t="s">
        <v>300</v>
      </c>
      <c r="AO25" t="s">
        <v>818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0</v>
      </c>
      <c r="AV25">
        <v>0</v>
      </c>
      <c r="AX25" t="s">
        <v>226</v>
      </c>
      <c r="AY25" t="s">
        <v>226</v>
      </c>
      <c r="AZ25" t="s">
        <v>259</v>
      </c>
      <c r="BA25" t="s">
        <v>312</v>
      </c>
      <c r="BB25" t="s">
        <v>819</v>
      </c>
      <c r="BE25" t="s">
        <v>259</v>
      </c>
      <c r="BF25" t="s">
        <v>259</v>
      </c>
      <c r="BG25" t="s">
        <v>237</v>
      </c>
      <c r="BH25" t="s">
        <v>239</v>
      </c>
      <c r="BI25" t="s">
        <v>239</v>
      </c>
      <c r="BJ25" t="s">
        <v>237</v>
      </c>
      <c r="BK25" t="s">
        <v>239</v>
      </c>
      <c r="BL25" t="s">
        <v>313</v>
      </c>
      <c r="BM25" t="s">
        <v>314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 t="s">
        <v>243</v>
      </c>
      <c r="CB25" t="s">
        <v>243</v>
      </c>
      <c r="CC25" t="s">
        <v>243</v>
      </c>
      <c r="CD25" t="s">
        <v>236</v>
      </c>
      <c r="CE25" t="s">
        <v>236</v>
      </c>
      <c r="EA25" t="s">
        <v>226</v>
      </c>
      <c r="EB25" t="s">
        <v>245</v>
      </c>
      <c r="EC25" t="s">
        <v>236</v>
      </c>
      <c r="EE25" t="s">
        <v>226</v>
      </c>
      <c r="EF25" t="s">
        <v>265</v>
      </c>
      <c r="EG25" t="s">
        <v>236</v>
      </c>
      <c r="EI25" t="s">
        <v>236</v>
      </c>
      <c r="EK25" t="s">
        <v>236</v>
      </c>
      <c r="EM25" t="s">
        <v>226</v>
      </c>
      <c r="EN25" t="s">
        <v>244</v>
      </c>
      <c r="EO25" t="s">
        <v>236</v>
      </c>
      <c r="EQ25" t="s">
        <v>236</v>
      </c>
      <c r="ES25" t="s">
        <v>236</v>
      </c>
      <c r="EU25" t="s">
        <v>236</v>
      </c>
      <c r="EW25" t="s">
        <v>236</v>
      </c>
      <c r="EY25" t="s">
        <v>236</v>
      </c>
      <c r="FA25" t="s">
        <v>226</v>
      </c>
      <c r="FB25" t="s">
        <v>244</v>
      </c>
      <c r="FC25" t="s">
        <v>236</v>
      </c>
      <c r="FE25" t="s">
        <v>226</v>
      </c>
      <c r="FF25" t="s">
        <v>244</v>
      </c>
      <c r="FG25" t="s">
        <v>236</v>
      </c>
      <c r="FJ25" t="s">
        <v>226</v>
      </c>
      <c r="FK25" t="s">
        <v>265</v>
      </c>
      <c r="FL25" t="s">
        <v>236</v>
      </c>
      <c r="FM25" t="s">
        <v>236</v>
      </c>
      <c r="FW25" t="s">
        <v>236</v>
      </c>
      <c r="FZ25" t="s">
        <v>236</v>
      </c>
      <c r="GC25" t="s">
        <v>236</v>
      </c>
      <c r="GF25" t="s">
        <v>236</v>
      </c>
      <c r="GI25" t="s">
        <v>236</v>
      </c>
      <c r="GL25" t="s">
        <v>236</v>
      </c>
      <c r="GO25" t="s">
        <v>236</v>
      </c>
      <c r="GR25" t="s">
        <v>236</v>
      </c>
      <c r="GU25" t="s">
        <v>236</v>
      </c>
      <c r="GX25" t="s">
        <v>236</v>
      </c>
      <c r="HB25" t="s">
        <v>417</v>
      </c>
      <c r="HC25" t="s">
        <v>378</v>
      </c>
      <c r="HE25">
        <v>82698719</v>
      </c>
      <c r="HF25" t="s">
        <v>820</v>
      </c>
      <c r="HG25" s="2">
        <v>45749.82640046296</v>
      </c>
      <c r="HJ25" t="s">
        <v>248</v>
      </c>
      <c r="HL25" t="s">
        <v>249</v>
      </c>
      <c r="HN25">
        <v>22</v>
      </c>
    </row>
    <row r="26" spans="1:222" x14ac:dyDescent="0.25">
      <c r="A26" s="2">
        <v>45749.618143206018</v>
      </c>
      <c r="B26" s="2">
        <v>45749.621465428238</v>
      </c>
      <c r="C26" t="s">
        <v>305</v>
      </c>
      <c r="D26">
        <v>90</v>
      </c>
      <c r="E26" s="2">
        <v>45732</v>
      </c>
      <c r="F26">
        <v>3</v>
      </c>
      <c r="G26" t="s">
        <v>507</v>
      </c>
      <c r="H26" t="s">
        <v>307</v>
      </c>
      <c r="I26">
        <v>27</v>
      </c>
      <c r="J26" t="str">
        <f t="shared" si="0"/>
        <v>de 26 a 40 años</v>
      </c>
      <c r="K26" t="s">
        <v>224</v>
      </c>
      <c r="L26">
        <v>6</v>
      </c>
      <c r="M26">
        <v>0</v>
      </c>
      <c r="N26">
        <v>0</v>
      </c>
      <c r="O26">
        <v>0</v>
      </c>
      <c r="P26">
        <v>0</v>
      </c>
      <c r="Q26" t="s">
        <v>225</v>
      </c>
      <c r="R26" t="s">
        <v>226</v>
      </c>
      <c r="T26" t="s">
        <v>227</v>
      </c>
      <c r="V26" t="s">
        <v>228</v>
      </c>
      <c r="W26" t="s">
        <v>292</v>
      </c>
      <c r="X26" t="s">
        <v>253</v>
      </c>
      <c r="Z26" t="s">
        <v>254</v>
      </c>
      <c r="AA26" t="s">
        <v>381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I26" t="s">
        <v>233</v>
      </c>
      <c r="AJ26">
        <v>0</v>
      </c>
      <c r="AK26">
        <v>1</v>
      </c>
      <c r="AL26">
        <v>0</v>
      </c>
      <c r="AM26">
        <v>0</v>
      </c>
      <c r="AN26" t="s">
        <v>300</v>
      </c>
      <c r="AO26" t="s">
        <v>326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0</v>
      </c>
      <c r="AV26">
        <v>0</v>
      </c>
      <c r="AX26" t="s">
        <v>236</v>
      </c>
      <c r="AZ26" t="s">
        <v>237</v>
      </c>
      <c r="BA26" t="s">
        <v>512</v>
      </c>
      <c r="BB26" t="s">
        <v>821</v>
      </c>
      <c r="BE26" t="s">
        <v>237</v>
      </c>
      <c r="BF26" t="s">
        <v>237</v>
      </c>
      <c r="BG26" t="s">
        <v>237</v>
      </c>
      <c r="BH26" t="s">
        <v>237</v>
      </c>
      <c r="BI26" t="s">
        <v>237</v>
      </c>
      <c r="BJ26" t="s">
        <v>237</v>
      </c>
      <c r="BK26" t="s">
        <v>308</v>
      </c>
      <c r="BL26" t="s">
        <v>313</v>
      </c>
      <c r="BM26" t="s">
        <v>415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1</v>
      </c>
      <c r="BZ26">
        <v>0</v>
      </c>
      <c r="CA26" t="s">
        <v>264</v>
      </c>
      <c r="CB26" t="s">
        <v>243</v>
      </c>
      <c r="CC26" t="s">
        <v>243</v>
      </c>
      <c r="CD26" t="s">
        <v>236</v>
      </c>
      <c r="CE26" t="s">
        <v>236</v>
      </c>
      <c r="EA26" t="s">
        <v>236</v>
      </c>
      <c r="EC26" t="s">
        <v>236</v>
      </c>
      <c r="EE26" t="s">
        <v>236</v>
      </c>
      <c r="EG26" t="s">
        <v>236</v>
      </c>
      <c r="EI26" t="s">
        <v>226</v>
      </c>
      <c r="EJ26" t="s">
        <v>244</v>
      </c>
      <c r="EK26" t="s">
        <v>236</v>
      </c>
      <c r="EM26" t="s">
        <v>226</v>
      </c>
      <c r="EN26" t="s">
        <v>244</v>
      </c>
      <c r="EO26" t="s">
        <v>236</v>
      </c>
      <c r="EQ26" t="s">
        <v>236</v>
      </c>
      <c r="ES26" t="s">
        <v>236</v>
      </c>
      <c r="EU26" t="s">
        <v>236</v>
      </c>
      <c r="EW26" t="s">
        <v>236</v>
      </c>
      <c r="EY26" t="s">
        <v>236</v>
      </c>
      <c r="FA26" t="s">
        <v>226</v>
      </c>
      <c r="FB26" t="s">
        <v>244</v>
      </c>
      <c r="FC26" t="s">
        <v>236</v>
      </c>
      <c r="FE26" t="s">
        <v>236</v>
      </c>
      <c r="FG26" t="s">
        <v>236</v>
      </c>
      <c r="FJ26" t="s">
        <v>226</v>
      </c>
      <c r="FK26" t="s">
        <v>245</v>
      </c>
      <c r="FL26" t="s">
        <v>236</v>
      </c>
      <c r="FM26" t="s">
        <v>236</v>
      </c>
      <c r="FW26" t="s">
        <v>226</v>
      </c>
      <c r="FX26" t="s">
        <v>236</v>
      </c>
      <c r="FZ26" t="s">
        <v>236</v>
      </c>
      <c r="GC26" t="s">
        <v>236</v>
      </c>
      <c r="GF26" t="s">
        <v>226</v>
      </c>
      <c r="GG26" t="s">
        <v>236</v>
      </c>
      <c r="GI26" t="s">
        <v>236</v>
      </c>
      <c r="GL26" t="s">
        <v>236</v>
      </c>
      <c r="GO26" t="s">
        <v>226</v>
      </c>
      <c r="GP26" t="s">
        <v>226</v>
      </c>
      <c r="GQ26" t="s">
        <v>267</v>
      </c>
      <c r="GR26" t="s">
        <v>226</v>
      </c>
      <c r="GS26" t="s">
        <v>226</v>
      </c>
      <c r="GT26" t="s">
        <v>570</v>
      </c>
      <c r="GU26" t="s">
        <v>236</v>
      </c>
      <c r="GX26" t="s">
        <v>236</v>
      </c>
      <c r="HB26" t="s">
        <v>788</v>
      </c>
      <c r="HC26" t="s">
        <v>280</v>
      </c>
      <c r="HD26" t="s">
        <v>408</v>
      </c>
      <c r="HE26">
        <v>82698929</v>
      </c>
      <c r="HF26" t="s">
        <v>822</v>
      </c>
      <c r="HG26" s="2">
        <v>45749.829722222217</v>
      </c>
      <c r="HJ26" t="s">
        <v>248</v>
      </c>
      <c r="HL26" t="s">
        <v>249</v>
      </c>
      <c r="HN26">
        <v>23</v>
      </c>
    </row>
    <row r="27" spans="1:222" x14ac:dyDescent="0.25">
      <c r="A27" s="2">
        <v>45749.621465902783</v>
      </c>
      <c r="B27" s="2">
        <v>45749.625029699077</v>
      </c>
      <c r="C27" t="s">
        <v>305</v>
      </c>
      <c r="D27">
        <v>91</v>
      </c>
      <c r="E27" s="2">
        <v>45732</v>
      </c>
      <c r="F27">
        <v>3</v>
      </c>
      <c r="G27" t="s">
        <v>507</v>
      </c>
      <c r="H27" t="s">
        <v>307</v>
      </c>
      <c r="I27">
        <v>28</v>
      </c>
      <c r="J27" t="str">
        <f t="shared" si="0"/>
        <v>de 26 a 40 años</v>
      </c>
      <c r="K27" t="s">
        <v>251</v>
      </c>
      <c r="L27">
        <v>3</v>
      </c>
      <c r="M27">
        <v>0</v>
      </c>
      <c r="N27">
        <v>0</v>
      </c>
      <c r="O27">
        <v>0</v>
      </c>
      <c r="P27">
        <v>0</v>
      </c>
      <c r="Q27" t="s">
        <v>225</v>
      </c>
      <c r="R27" t="s">
        <v>226</v>
      </c>
      <c r="T27" t="s">
        <v>284</v>
      </c>
      <c r="V27" t="s">
        <v>612</v>
      </c>
      <c r="W27" t="s">
        <v>229</v>
      </c>
      <c r="X27" t="s">
        <v>350</v>
      </c>
      <c r="Z27" t="s">
        <v>231</v>
      </c>
      <c r="AA27" t="s">
        <v>823</v>
      </c>
      <c r="AB27">
        <v>1</v>
      </c>
      <c r="AC27">
        <v>0</v>
      </c>
      <c r="AD27">
        <v>0</v>
      </c>
      <c r="AE27">
        <v>1</v>
      </c>
      <c r="AF27">
        <v>0</v>
      </c>
      <c r="AG27">
        <v>0</v>
      </c>
      <c r="AI27" t="s">
        <v>233</v>
      </c>
      <c r="AJ27">
        <v>0</v>
      </c>
      <c r="AK27">
        <v>1</v>
      </c>
      <c r="AL27">
        <v>0</v>
      </c>
      <c r="AM27">
        <v>0</v>
      </c>
      <c r="AN27" t="s">
        <v>234</v>
      </c>
      <c r="AO27" t="s">
        <v>824</v>
      </c>
      <c r="AP27">
        <v>1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0</v>
      </c>
      <c r="AX27" t="s">
        <v>236</v>
      </c>
      <c r="AZ27" t="s">
        <v>237</v>
      </c>
      <c r="BA27" t="s">
        <v>825</v>
      </c>
      <c r="BB27" t="s">
        <v>438</v>
      </c>
      <c r="BE27" t="s">
        <v>259</v>
      </c>
      <c r="BF27" t="s">
        <v>237</v>
      </c>
      <c r="BG27" t="s">
        <v>259</v>
      </c>
      <c r="BH27" t="s">
        <v>237</v>
      </c>
      <c r="BI27" t="s">
        <v>237</v>
      </c>
      <c r="BJ27" t="s">
        <v>237</v>
      </c>
      <c r="BK27" t="s">
        <v>239</v>
      </c>
      <c r="BL27" t="s">
        <v>262</v>
      </c>
      <c r="BM27" t="s">
        <v>415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</v>
      </c>
      <c r="BZ27">
        <v>0</v>
      </c>
      <c r="CA27" t="s">
        <v>264</v>
      </c>
      <c r="CB27" t="s">
        <v>328</v>
      </c>
      <c r="CC27" t="s">
        <v>328</v>
      </c>
      <c r="CD27" t="s">
        <v>236</v>
      </c>
      <c r="CE27" t="s">
        <v>236</v>
      </c>
      <c r="EA27" t="s">
        <v>236</v>
      </c>
      <c r="EC27" t="s">
        <v>236</v>
      </c>
      <c r="EE27" t="s">
        <v>226</v>
      </c>
      <c r="EF27" t="s">
        <v>245</v>
      </c>
      <c r="EG27" t="s">
        <v>226</v>
      </c>
      <c r="EH27" t="s">
        <v>245</v>
      </c>
      <c r="EI27" t="s">
        <v>236</v>
      </c>
      <c r="EK27" t="s">
        <v>236</v>
      </c>
      <c r="EM27" t="s">
        <v>226</v>
      </c>
      <c r="EN27" t="s">
        <v>244</v>
      </c>
      <c r="EO27" t="s">
        <v>226</v>
      </c>
      <c r="EP27" t="s">
        <v>244</v>
      </c>
      <c r="EQ27" t="s">
        <v>236</v>
      </c>
      <c r="ES27" t="s">
        <v>236</v>
      </c>
      <c r="EU27" t="s">
        <v>236</v>
      </c>
      <c r="EW27" t="s">
        <v>226</v>
      </c>
      <c r="EX27" t="s">
        <v>244</v>
      </c>
      <c r="EY27" t="s">
        <v>226</v>
      </c>
      <c r="EZ27" t="s">
        <v>244</v>
      </c>
      <c r="FA27" t="s">
        <v>226</v>
      </c>
      <c r="FB27" t="s">
        <v>245</v>
      </c>
      <c r="FC27" t="s">
        <v>236</v>
      </c>
      <c r="FE27" t="s">
        <v>226</v>
      </c>
      <c r="FF27" t="s">
        <v>244</v>
      </c>
      <c r="FG27" t="s">
        <v>236</v>
      </c>
      <c r="FJ27" t="s">
        <v>226</v>
      </c>
      <c r="FK27" t="s">
        <v>245</v>
      </c>
      <c r="FL27" t="s">
        <v>236</v>
      </c>
      <c r="FM27" t="s">
        <v>236</v>
      </c>
      <c r="FW27" t="s">
        <v>236</v>
      </c>
      <c r="FZ27" t="s">
        <v>226</v>
      </c>
      <c r="GA27" t="s">
        <v>236</v>
      </c>
      <c r="GC27" t="s">
        <v>236</v>
      </c>
      <c r="GF27" t="s">
        <v>226</v>
      </c>
      <c r="GG27" t="s">
        <v>236</v>
      </c>
      <c r="GI27" t="s">
        <v>236</v>
      </c>
      <c r="GL27" t="s">
        <v>236</v>
      </c>
      <c r="GO27" t="s">
        <v>226</v>
      </c>
      <c r="GP27" t="s">
        <v>226</v>
      </c>
      <c r="GQ27" t="s">
        <v>267</v>
      </c>
      <c r="GR27" t="s">
        <v>226</v>
      </c>
      <c r="GS27" t="s">
        <v>236</v>
      </c>
      <c r="GU27" t="s">
        <v>236</v>
      </c>
      <c r="GX27" t="s">
        <v>236</v>
      </c>
      <c r="HB27" t="s">
        <v>788</v>
      </c>
      <c r="HC27" t="s">
        <v>323</v>
      </c>
      <c r="HD27" t="s">
        <v>280</v>
      </c>
      <c r="HE27">
        <v>82699139</v>
      </c>
      <c r="HF27" t="s">
        <v>826</v>
      </c>
      <c r="HG27" s="2">
        <v>45749.833287037043</v>
      </c>
      <c r="HJ27" t="s">
        <v>248</v>
      </c>
      <c r="HL27" t="s">
        <v>249</v>
      </c>
      <c r="HN27">
        <v>24</v>
      </c>
    </row>
    <row r="28" spans="1:222" x14ac:dyDescent="0.25">
      <c r="A28" s="2">
        <v>45749.625030312498</v>
      </c>
      <c r="B28" s="2">
        <v>45749.63229199074</v>
      </c>
      <c r="C28" t="s">
        <v>305</v>
      </c>
      <c r="D28">
        <v>92</v>
      </c>
      <c r="E28" s="2">
        <v>45731</v>
      </c>
      <c r="F28">
        <v>3</v>
      </c>
      <c r="G28" t="s">
        <v>827</v>
      </c>
      <c r="H28" t="s">
        <v>307</v>
      </c>
      <c r="I28">
        <v>58</v>
      </c>
      <c r="J28" t="str">
        <f t="shared" si="0"/>
        <v>de 56 a más</v>
      </c>
      <c r="K28" t="s">
        <v>251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291</v>
      </c>
      <c r="R28" t="s">
        <v>226</v>
      </c>
      <c r="T28" t="s">
        <v>227</v>
      </c>
      <c r="V28" t="s">
        <v>321</v>
      </c>
      <c r="W28" t="s">
        <v>229</v>
      </c>
      <c r="X28" t="s">
        <v>368</v>
      </c>
      <c r="Z28" t="s">
        <v>231</v>
      </c>
      <c r="AA28" t="s">
        <v>796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1</v>
      </c>
      <c r="AH28" t="s">
        <v>310</v>
      </c>
      <c r="AI28" t="s">
        <v>233</v>
      </c>
      <c r="AJ28">
        <v>0</v>
      </c>
      <c r="AK28">
        <v>1</v>
      </c>
      <c r="AL28">
        <v>0</v>
      </c>
      <c r="AM28">
        <v>0</v>
      </c>
      <c r="AN28" t="s">
        <v>234</v>
      </c>
      <c r="AO28" t="s">
        <v>550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1</v>
      </c>
      <c r="AW28" t="s">
        <v>828</v>
      </c>
      <c r="AX28" t="s">
        <v>226</v>
      </c>
      <c r="AY28" t="s">
        <v>226</v>
      </c>
      <c r="AZ28" t="s">
        <v>259</v>
      </c>
      <c r="BA28" t="s">
        <v>312</v>
      </c>
      <c r="BB28" t="s">
        <v>829</v>
      </c>
      <c r="BE28" t="s">
        <v>259</v>
      </c>
      <c r="BF28" t="s">
        <v>259</v>
      </c>
      <c r="BG28" t="s">
        <v>259</v>
      </c>
      <c r="BH28" t="s">
        <v>308</v>
      </c>
      <c r="BI28" t="s">
        <v>237</v>
      </c>
      <c r="BJ28" t="s">
        <v>259</v>
      </c>
      <c r="BK28" t="s">
        <v>261</v>
      </c>
      <c r="BL28" t="s">
        <v>313</v>
      </c>
      <c r="BM28" t="s">
        <v>278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 t="s">
        <v>328</v>
      </c>
      <c r="CB28" t="s">
        <v>243</v>
      </c>
      <c r="CC28" t="s">
        <v>243</v>
      </c>
      <c r="CD28" t="s">
        <v>236</v>
      </c>
      <c r="CE28" t="s">
        <v>236</v>
      </c>
      <c r="EA28" t="s">
        <v>226</v>
      </c>
      <c r="EB28" t="s">
        <v>244</v>
      </c>
      <c r="EC28" t="s">
        <v>236</v>
      </c>
      <c r="EE28" t="s">
        <v>226</v>
      </c>
      <c r="EF28" t="s">
        <v>245</v>
      </c>
      <c r="EG28" t="s">
        <v>226</v>
      </c>
      <c r="EH28" t="s">
        <v>265</v>
      </c>
      <c r="EI28" t="s">
        <v>236</v>
      </c>
      <c r="EK28" t="s">
        <v>236</v>
      </c>
      <c r="EM28" t="s">
        <v>226</v>
      </c>
      <c r="EN28" t="s">
        <v>244</v>
      </c>
      <c r="EO28" t="s">
        <v>236</v>
      </c>
      <c r="EQ28" t="s">
        <v>236</v>
      </c>
      <c r="ES28" t="s">
        <v>236</v>
      </c>
      <c r="EU28" t="s">
        <v>236</v>
      </c>
      <c r="EW28" t="s">
        <v>236</v>
      </c>
      <c r="EY28" t="s">
        <v>236</v>
      </c>
      <c r="FA28" t="s">
        <v>226</v>
      </c>
      <c r="FB28" t="s">
        <v>265</v>
      </c>
      <c r="FC28" t="s">
        <v>236</v>
      </c>
      <c r="FE28" t="s">
        <v>226</v>
      </c>
      <c r="FF28" t="s">
        <v>244</v>
      </c>
      <c r="FG28" t="s">
        <v>236</v>
      </c>
      <c r="FJ28" t="s">
        <v>226</v>
      </c>
      <c r="FK28" t="s">
        <v>245</v>
      </c>
      <c r="FL28" t="s">
        <v>226</v>
      </c>
      <c r="FM28" t="s">
        <v>236</v>
      </c>
      <c r="FW28" t="s">
        <v>236</v>
      </c>
      <c r="FZ28" t="s">
        <v>236</v>
      </c>
      <c r="GC28" t="s">
        <v>236</v>
      </c>
      <c r="GF28" t="s">
        <v>226</v>
      </c>
      <c r="GG28" t="s">
        <v>226</v>
      </c>
      <c r="GH28" t="s">
        <v>266</v>
      </c>
      <c r="GI28" t="s">
        <v>236</v>
      </c>
      <c r="GL28" t="s">
        <v>236</v>
      </c>
      <c r="GO28" t="s">
        <v>226</v>
      </c>
      <c r="GP28" t="s">
        <v>226</v>
      </c>
      <c r="GQ28" t="s">
        <v>266</v>
      </c>
      <c r="GR28" t="s">
        <v>226</v>
      </c>
      <c r="GS28" t="s">
        <v>226</v>
      </c>
      <c r="GT28" t="s">
        <v>266</v>
      </c>
      <c r="GU28" t="s">
        <v>236</v>
      </c>
      <c r="GX28" t="s">
        <v>236</v>
      </c>
      <c r="HB28" t="s">
        <v>409</v>
      </c>
      <c r="HC28" t="s">
        <v>378</v>
      </c>
      <c r="HD28" t="s">
        <v>303</v>
      </c>
      <c r="HE28">
        <v>82699574</v>
      </c>
      <c r="HF28" t="s">
        <v>830</v>
      </c>
      <c r="HG28" s="2">
        <v>45749.840543981481</v>
      </c>
      <c r="HJ28" t="s">
        <v>248</v>
      </c>
      <c r="HL28" t="s">
        <v>249</v>
      </c>
      <c r="HN28">
        <v>25</v>
      </c>
    </row>
    <row r="29" spans="1:222" x14ac:dyDescent="0.25">
      <c r="A29" s="2">
        <v>45749.632292615737</v>
      </c>
      <c r="B29" s="2">
        <v>45749.651503194436</v>
      </c>
      <c r="C29" t="s">
        <v>305</v>
      </c>
      <c r="D29">
        <v>93</v>
      </c>
      <c r="E29" s="2">
        <v>45732</v>
      </c>
      <c r="F29">
        <v>3</v>
      </c>
      <c r="G29" t="s">
        <v>320</v>
      </c>
      <c r="H29" t="s">
        <v>307</v>
      </c>
      <c r="I29">
        <v>71</v>
      </c>
      <c r="J29" t="str">
        <f t="shared" si="0"/>
        <v>de 56 a más</v>
      </c>
      <c r="K29" t="s">
        <v>251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291</v>
      </c>
      <c r="R29" t="s">
        <v>226</v>
      </c>
      <c r="T29" t="s">
        <v>227</v>
      </c>
      <c r="V29" t="s">
        <v>228</v>
      </c>
      <c r="W29" t="s">
        <v>229</v>
      </c>
      <c r="X29" t="s">
        <v>368</v>
      </c>
      <c r="Z29" t="s">
        <v>273</v>
      </c>
      <c r="AA29" t="s">
        <v>817</v>
      </c>
      <c r="AB29">
        <v>0</v>
      </c>
      <c r="AC29">
        <v>0</v>
      </c>
      <c r="AD29">
        <v>1</v>
      </c>
      <c r="AE29">
        <v>1</v>
      </c>
      <c r="AF29">
        <v>0</v>
      </c>
      <c r="AG29">
        <v>0</v>
      </c>
      <c r="AI29" t="s">
        <v>233</v>
      </c>
      <c r="AJ29">
        <v>0</v>
      </c>
      <c r="AK29">
        <v>1</v>
      </c>
      <c r="AL29">
        <v>0</v>
      </c>
      <c r="AM29">
        <v>0</v>
      </c>
      <c r="AN29" t="s">
        <v>234</v>
      </c>
      <c r="AO29" t="s">
        <v>831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1</v>
      </c>
      <c r="AV29">
        <v>1</v>
      </c>
      <c r="AW29" t="s">
        <v>828</v>
      </c>
      <c r="AX29" t="s">
        <v>226</v>
      </c>
      <c r="AY29" t="s">
        <v>226</v>
      </c>
      <c r="AZ29" t="s">
        <v>237</v>
      </c>
      <c r="BA29" t="s">
        <v>276</v>
      </c>
      <c r="BB29" t="s">
        <v>277</v>
      </c>
      <c r="BE29" t="s">
        <v>237</v>
      </c>
      <c r="BF29" t="s">
        <v>237</v>
      </c>
      <c r="BG29" t="s">
        <v>259</v>
      </c>
      <c r="BH29" t="s">
        <v>259</v>
      </c>
      <c r="BI29" t="s">
        <v>237</v>
      </c>
      <c r="BJ29" t="s">
        <v>237</v>
      </c>
      <c r="BK29" t="s">
        <v>259</v>
      </c>
      <c r="BL29" t="s">
        <v>313</v>
      </c>
      <c r="BM29" t="s">
        <v>365</v>
      </c>
      <c r="BN29">
        <v>0</v>
      </c>
      <c r="BO29">
        <v>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 t="s">
        <v>264</v>
      </c>
      <c r="CB29" t="s">
        <v>264</v>
      </c>
      <c r="CC29" t="s">
        <v>264</v>
      </c>
      <c r="CD29" t="s">
        <v>226</v>
      </c>
      <c r="CE29" t="s">
        <v>236</v>
      </c>
      <c r="EA29" t="s">
        <v>236</v>
      </c>
      <c r="EC29" t="s">
        <v>226</v>
      </c>
      <c r="ED29" t="s">
        <v>244</v>
      </c>
      <c r="EE29" t="s">
        <v>226</v>
      </c>
      <c r="EF29" t="s">
        <v>245</v>
      </c>
      <c r="EG29" t="s">
        <v>226</v>
      </c>
      <c r="EH29" t="s">
        <v>245</v>
      </c>
      <c r="EI29" t="s">
        <v>236</v>
      </c>
      <c r="EK29" t="s">
        <v>236</v>
      </c>
      <c r="EM29" t="s">
        <v>226</v>
      </c>
      <c r="EN29" t="s">
        <v>244</v>
      </c>
      <c r="EO29" t="s">
        <v>236</v>
      </c>
      <c r="EQ29" t="s">
        <v>236</v>
      </c>
      <c r="ES29" t="s">
        <v>236</v>
      </c>
      <c r="EU29" t="s">
        <v>236</v>
      </c>
      <c r="EW29" t="s">
        <v>236</v>
      </c>
      <c r="EY29" t="s">
        <v>226</v>
      </c>
      <c r="EZ29" t="s">
        <v>245</v>
      </c>
      <c r="FA29" t="s">
        <v>226</v>
      </c>
      <c r="FB29" t="s">
        <v>245</v>
      </c>
      <c r="FC29" t="s">
        <v>236</v>
      </c>
      <c r="FE29" t="s">
        <v>236</v>
      </c>
      <c r="FG29" t="s">
        <v>236</v>
      </c>
      <c r="FJ29" t="s">
        <v>226</v>
      </c>
      <c r="FK29" t="s">
        <v>265</v>
      </c>
      <c r="FL29" t="s">
        <v>236</v>
      </c>
      <c r="FM29" t="s">
        <v>236</v>
      </c>
      <c r="FW29" t="s">
        <v>236</v>
      </c>
      <c r="FZ29" t="s">
        <v>236</v>
      </c>
      <c r="GC29" t="s">
        <v>236</v>
      </c>
      <c r="GF29" t="s">
        <v>226</v>
      </c>
      <c r="GG29" t="s">
        <v>226</v>
      </c>
      <c r="GH29" t="s">
        <v>266</v>
      </c>
      <c r="GI29" t="s">
        <v>236</v>
      </c>
      <c r="GL29" t="s">
        <v>236</v>
      </c>
      <c r="GO29" t="s">
        <v>236</v>
      </c>
      <c r="GR29" t="s">
        <v>236</v>
      </c>
      <c r="GU29" t="s">
        <v>236</v>
      </c>
      <c r="GX29" t="s">
        <v>236</v>
      </c>
      <c r="HB29" t="s">
        <v>378</v>
      </c>
      <c r="HC29" t="s">
        <v>832</v>
      </c>
      <c r="HD29" t="s">
        <v>280</v>
      </c>
      <c r="HE29">
        <v>82700962</v>
      </c>
      <c r="HF29" t="s">
        <v>833</v>
      </c>
      <c r="HG29" s="2">
        <v>45749.859768518523</v>
      </c>
      <c r="HJ29" t="s">
        <v>248</v>
      </c>
      <c r="HL29" t="s">
        <v>249</v>
      </c>
      <c r="HN29">
        <v>29</v>
      </c>
    </row>
    <row r="30" spans="1:222" x14ac:dyDescent="0.25">
      <c r="A30" s="2">
        <v>45749.634028935187</v>
      </c>
      <c r="B30" s="2">
        <v>45749.658031782397</v>
      </c>
      <c r="C30" t="s">
        <v>221</v>
      </c>
      <c r="D30">
        <v>5</v>
      </c>
      <c r="E30" s="2">
        <v>45732</v>
      </c>
      <c r="F30">
        <v>5</v>
      </c>
      <c r="G30" t="s">
        <v>250</v>
      </c>
      <c r="H30" t="s">
        <v>223</v>
      </c>
      <c r="I30">
        <v>32</v>
      </c>
      <c r="J30" t="str">
        <f t="shared" si="0"/>
        <v>de 26 a 40 años</v>
      </c>
      <c r="K30" t="s">
        <v>224</v>
      </c>
      <c r="L30">
        <v>1</v>
      </c>
      <c r="M30">
        <v>0</v>
      </c>
      <c r="N30">
        <v>0</v>
      </c>
      <c r="O30">
        <v>0</v>
      </c>
      <c r="P30">
        <v>1</v>
      </c>
      <c r="Q30" t="s">
        <v>225</v>
      </c>
      <c r="R30" t="s">
        <v>226</v>
      </c>
      <c r="T30" t="s">
        <v>227</v>
      </c>
      <c r="V30" t="s">
        <v>228</v>
      </c>
      <c r="W30" t="s">
        <v>292</v>
      </c>
      <c r="X30" t="s">
        <v>230</v>
      </c>
      <c r="Z30" t="s">
        <v>231</v>
      </c>
      <c r="AA30" t="s">
        <v>232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I30" t="s">
        <v>311</v>
      </c>
      <c r="AJ30">
        <v>0</v>
      </c>
      <c r="AK30">
        <v>1</v>
      </c>
      <c r="AL30">
        <v>1</v>
      </c>
      <c r="AM30">
        <v>0</v>
      </c>
      <c r="AN30" t="s">
        <v>274</v>
      </c>
      <c r="AO30" t="s">
        <v>235</v>
      </c>
      <c r="AP30">
        <v>0</v>
      </c>
      <c r="AQ30">
        <v>0</v>
      </c>
      <c r="AR30">
        <v>0</v>
      </c>
      <c r="AS30">
        <v>1</v>
      </c>
      <c r="AT30">
        <v>0</v>
      </c>
      <c r="AU30">
        <v>0</v>
      </c>
      <c r="AV30">
        <v>0</v>
      </c>
      <c r="AX30" t="s">
        <v>226</v>
      </c>
      <c r="AY30" t="s">
        <v>236</v>
      </c>
      <c r="AZ30" t="s">
        <v>237</v>
      </c>
      <c r="BA30" t="s">
        <v>569</v>
      </c>
      <c r="BE30" t="s">
        <v>237</v>
      </c>
      <c r="BF30" t="s">
        <v>237</v>
      </c>
      <c r="BG30" t="s">
        <v>237</v>
      </c>
      <c r="BH30" t="s">
        <v>237</v>
      </c>
      <c r="BI30" t="s">
        <v>237</v>
      </c>
      <c r="BJ30" t="s">
        <v>237</v>
      </c>
      <c r="BK30" t="s">
        <v>237</v>
      </c>
      <c r="BL30" t="s">
        <v>262</v>
      </c>
      <c r="BM30" t="s">
        <v>241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1</v>
      </c>
      <c r="BZ30">
        <v>0</v>
      </c>
      <c r="CA30" t="s">
        <v>264</v>
      </c>
      <c r="CB30" t="s">
        <v>264</v>
      </c>
      <c r="CC30" t="s">
        <v>264</v>
      </c>
      <c r="CD30" t="s">
        <v>236</v>
      </c>
      <c r="CE30" t="s">
        <v>236</v>
      </c>
      <c r="EA30" t="s">
        <v>236</v>
      </c>
      <c r="EC30" t="s">
        <v>236</v>
      </c>
      <c r="EE30" t="s">
        <v>236</v>
      </c>
      <c r="EG30" t="s">
        <v>226</v>
      </c>
      <c r="EH30" t="s">
        <v>245</v>
      </c>
      <c r="EI30" t="s">
        <v>308</v>
      </c>
      <c r="EK30" t="s">
        <v>236</v>
      </c>
      <c r="EM30" t="s">
        <v>236</v>
      </c>
      <c r="EO30" t="s">
        <v>236</v>
      </c>
      <c r="EQ30" t="s">
        <v>236</v>
      </c>
      <c r="ES30" t="s">
        <v>236</v>
      </c>
      <c r="EU30" t="s">
        <v>236</v>
      </c>
      <c r="EW30" t="s">
        <v>236</v>
      </c>
      <c r="EY30" t="s">
        <v>236</v>
      </c>
      <c r="FA30" t="s">
        <v>236</v>
      </c>
      <c r="FC30" t="s">
        <v>236</v>
      </c>
      <c r="FE30" t="s">
        <v>236</v>
      </c>
      <c r="FG30" t="s">
        <v>236</v>
      </c>
      <c r="FJ30" t="s">
        <v>226</v>
      </c>
      <c r="FK30" t="s">
        <v>244</v>
      </c>
      <c r="FL30" t="s">
        <v>226</v>
      </c>
      <c r="FM30" t="s">
        <v>236</v>
      </c>
      <c r="FW30" t="s">
        <v>226</v>
      </c>
      <c r="FX30" t="s">
        <v>226</v>
      </c>
      <c r="FY30" t="s">
        <v>266</v>
      </c>
      <c r="FZ30" t="s">
        <v>226</v>
      </c>
      <c r="GA30" t="s">
        <v>226</v>
      </c>
      <c r="GB30" t="s">
        <v>266</v>
      </c>
      <c r="GC30" t="s">
        <v>236</v>
      </c>
      <c r="GF30" t="s">
        <v>226</v>
      </c>
      <c r="GG30" t="s">
        <v>226</v>
      </c>
      <c r="GH30" t="s">
        <v>266</v>
      </c>
      <c r="GI30" t="s">
        <v>236</v>
      </c>
      <c r="GL30" t="s">
        <v>226</v>
      </c>
      <c r="GM30" t="s">
        <v>226</v>
      </c>
      <c r="GN30" t="s">
        <v>266</v>
      </c>
      <c r="GO30" t="s">
        <v>226</v>
      </c>
      <c r="GP30" t="s">
        <v>226</v>
      </c>
      <c r="GQ30" t="s">
        <v>570</v>
      </c>
      <c r="GR30" t="s">
        <v>226</v>
      </c>
      <c r="GS30" t="s">
        <v>226</v>
      </c>
      <c r="GT30" t="s">
        <v>267</v>
      </c>
      <c r="GU30" t="s">
        <v>226</v>
      </c>
      <c r="GV30" t="s">
        <v>226</v>
      </c>
      <c r="GW30" t="s">
        <v>266</v>
      </c>
      <c r="GX30" t="s">
        <v>236</v>
      </c>
      <c r="HB30" t="s">
        <v>280</v>
      </c>
      <c r="HE30">
        <v>82701485</v>
      </c>
      <c r="HF30" t="s">
        <v>571</v>
      </c>
      <c r="HG30" s="2">
        <v>45749.866296296299</v>
      </c>
      <c r="HJ30" t="s">
        <v>248</v>
      </c>
      <c r="HL30" t="s">
        <v>249</v>
      </c>
      <c r="HN30">
        <v>32</v>
      </c>
    </row>
    <row r="31" spans="1:222" x14ac:dyDescent="0.25">
      <c r="A31" s="2">
        <v>45749.636063206017</v>
      </c>
      <c r="B31" s="2">
        <v>45749.639804664352</v>
      </c>
      <c r="C31" t="s">
        <v>334</v>
      </c>
      <c r="D31">
        <v>148</v>
      </c>
      <c r="E31" s="2">
        <v>45730</v>
      </c>
      <c r="F31">
        <v>3</v>
      </c>
      <c r="G31" t="s">
        <v>1058</v>
      </c>
      <c r="H31" t="s">
        <v>335</v>
      </c>
      <c r="I31">
        <v>48</v>
      </c>
      <c r="J31" t="str">
        <f t="shared" si="0"/>
        <v>de 41 a 55 años</v>
      </c>
      <c r="K31" t="s">
        <v>341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225</v>
      </c>
      <c r="R31" t="s">
        <v>226</v>
      </c>
      <c r="T31" t="s">
        <v>227</v>
      </c>
      <c r="V31" t="s">
        <v>252</v>
      </c>
      <c r="W31" t="s">
        <v>292</v>
      </c>
      <c r="X31" t="s">
        <v>230</v>
      </c>
      <c r="Z31" t="s">
        <v>231</v>
      </c>
      <c r="AA31" t="s">
        <v>293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I31" t="s">
        <v>233</v>
      </c>
      <c r="AJ31">
        <v>0</v>
      </c>
      <c r="AK31">
        <v>1</v>
      </c>
      <c r="AL31">
        <v>0</v>
      </c>
      <c r="AM31">
        <v>0</v>
      </c>
      <c r="AN31" t="s">
        <v>300</v>
      </c>
      <c r="AO31" t="s">
        <v>369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 t="s">
        <v>1059</v>
      </c>
      <c r="AX31" t="s">
        <v>226</v>
      </c>
      <c r="AY31" t="s">
        <v>226</v>
      </c>
      <c r="AZ31" t="s">
        <v>237</v>
      </c>
      <c r="BA31" t="s">
        <v>1060</v>
      </c>
      <c r="BB31" t="s">
        <v>1061</v>
      </c>
      <c r="BC31" t="s">
        <v>1062</v>
      </c>
      <c r="BE31" t="s">
        <v>259</v>
      </c>
      <c r="BF31" t="s">
        <v>237</v>
      </c>
      <c r="BG31" t="s">
        <v>259</v>
      </c>
      <c r="BH31" t="s">
        <v>237</v>
      </c>
      <c r="BI31" t="s">
        <v>237</v>
      </c>
      <c r="BJ31" t="s">
        <v>237</v>
      </c>
      <c r="BK31" t="s">
        <v>261</v>
      </c>
      <c r="BL31" t="s">
        <v>262</v>
      </c>
      <c r="BM31" t="s">
        <v>365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 t="s">
        <v>264</v>
      </c>
      <c r="CB31" t="s">
        <v>264</v>
      </c>
      <c r="CC31" t="s">
        <v>242</v>
      </c>
      <c r="CD31" t="s">
        <v>226</v>
      </c>
      <c r="CE31" t="s">
        <v>236</v>
      </c>
      <c r="EA31" t="s">
        <v>236</v>
      </c>
      <c r="EC31" t="s">
        <v>236</v>
      </c>
      <c r="EE31" t="s">
        <v>226</v>
      </c>
      <c r="EF31" t="s">
        <v>244</v>
      </c>
      <c r="EG31" t="s">
        <v>226</v>
      </c>
      <c r="EH31" t="s">
        <v>244</v>
      </c>
      <c r="EI31" t="s">
        <v>236</v>
      </c>
      <c r="EK31" t="s">
        <v>236</v>
      </c>
      <c r="EM31" t="s">
        <v>226</v>
      </c>
      <c r="EN31" t="s">
        <v>244</v>
      </c>
      <c r="EO31" t="s">
        <v>236</v>
      </c>
      <c r="EQ31" t="s">
        <v>236</v>
      </c>
      <c r="ES31" t="s">
        <v>236</v>
      </c>
      <c r="EU31" t="s">
        <v>236</v>
      </c>
      <c r="EW31" t="s">
        <v>236</v>
      </c>
      <c r="EY31" t="s">
        <v>236</v>
      </c>
      <c r="FA31" t="s">
        <v>226</v>
      </c>
      <c r="FB31" t="s">
        <v>244</v>
      </c>
      <c r="FC31" t="s">
        <v>236</v>
      </c>
      <c r="FE31" t="s">
        <v>236</v>
      </c>
      <c r="FG31" t="s">
        <v>236</v>
      </c>
      <c r="FJ31" t="s">
        <v>226</v>
      </c>
      <c r="FK31" t="s">
        <v>244</v>
      </c>
      <c r="FL31" t="s">
        <v>236</v>
      </c>
      <c r="FM31" t="s">
        <v>236</v>
      </c>
      <c r="FW31" t="s">
        <v>226</v>
      </c>
      <c r="FX31" t="s">
        <v>226</v>
      </c>
      <c r="FY31" t="s">
        <v>266</v>
      </c>
      <c r="FZ31" t="s">
        <v>226</v>
      </c>
      <c r="GA31" t="s">
        <v>226</v>
      </c>
      <c r="GB31" t="s">
        <v>266</v>
      </c>
      <c r="GC31" t="s">
        <v>236</v>
      </c>
      <c r="GF31" t="s">
        <v>236</v>
      </c>
      <c r="GI31" t="s">
        <v>236</v>
      </c>
      <c r="GL31" t="s">
        <v>236</v>
      </c>
      <c r="GO31" t="s">
        <v>226</v>
      </c>
      <c r="GP31" t="s">
        <v>226</v>
      </c>
      <c r="GQ31" t="s">
        <v>266</v>
      </c>
      <c r="GR31" t="s">
        <v>226</v>
      </c>
      <c r="GS31" t="s">
        <v>226</v>
      </c>
      <c r="GT31" t="s">
        <v>267</v>
      </c>
      <c r="GU31" t="s">
        <v>236</v>
      </c>
      <c r="GX31" t="s">
        <v>236</v>
      </c>
      <c r="HB31" t="s">
        <v>338</v>
      </c>
      <c r="HC31" t="s">
        <v>555</v>
      </c>
      <c r="HD31" t="s">
        <v>345</v>
      </c>
      <c r="HE31">
        <v>82700056</v>
      </c>
      <c r="HF31" t="s">
        <v>1063</v>
      </c>
      <c r="HG31" s="2">
        <v>45749.848067129627</v>
      </c>
      <c r="HJ31" t="s">
        <v>248</v>
      </c>
      <c r="HL31" t="s">
        <v>249</v>
      </c>
      <c r="HN31">
        <v>28</v>
      </c>
    </row>
    <row r="32" spans="1:222" x14ac:dyDescent="0.25">
      <c r="A32" s="2">
        <v>45749.645932361113</v>
      </c>
      <c r="B32" s="2">
        <v>45749.654116770827</v>
      </c>
      <c r="C32" t="s">
        <v>334</v>
      </c>
      <c r="D32">
        <v>146</v>
      </c>
      <c r="E32" s="2">
        <v>45730</v>
      </c>
      <c r="F32">
        <v>3</v>
      </c>
      <c r="G32" t="s">
        <v>306</v>
      </c>
      <c r="H32" t="s">
        <v>335</v>
      </c>
      <c r="I32">
        <v>63</v>
      </c>
      <c r="J32" t="str">
        <f t="shared" si="0"/>
        <v>de 56 a más</v>
      </c>
      <c r="K32" t="s">
        <v>224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291</v>
      </c>
      <c r="R32" t="s">
        <v>226</v>
      </c>
      <c r="T32" t="s">
        <v>227</v>
      </c>
      <c r="V32" t="s">
        <v>272</v>
      </c>
      <c r="W32" t="s">
        <v>229</v>
      </c>
      <c r="X32" t="s">
        <v>368</v>
      </c>
      <c r="Z32" t="s">
        <v>398</v>
      </c>
      <c r="AA32" t="s">
        <v>232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I32" t="s">
        <v>233</v>
      </c>
      <c r="AJ32">
        <v>0</v>
      </c>
      <c r="AK32">
        <v>1</v>
      </c>
      <c r="AL32">
        <v>0</v>
      </c>
      <c r="AM32">
        <v>0</v>
      </c>
      <c r="AN32" t="s">
        <v>234</v>
      </c>
      <c r="AO32" t="s">
        <v>235</v>
      </c>
      <c r="AP32">
        <v>0</v>
      </c>
      <c r="AQ32">
        <v>0</v>
      </c>
      <c r="AR32">
        <v>0</v>
      </c>
      <c r="AS32">
        <v>1</v>
      </c>
      <c r="AT32">
        <v>0</v>
      </c>
      <c r="AU32">
        <v>0</v>
      </c>
      <c r="AV32">
        <v>0</v>
      </c>
      <c r="AX32" t="s">
        <v>236</v>
      </c>
      <c r="AZ32" t="s">
        <v>237</v>
      </c>
      <c r="BA32" t="s">
        <v>1051</v>
      </c>
      <c r="BE32" t="s">
        <v>261</v>
      </c>
      <c r="BF32" t="s">
        <v>259</v>
      </c>
      <c r="BG32" t="s">
        <v>237</v>
      </c>
      <c r="BH32" t="s">
        <v>237</v>
      </c>
      <c r="BI32" t="s">
        <v>259</v>
      </c>
      <c r="BJ32" t="s">
        <v>237</v>
      </c>
      <c r="BK32" t="s">
        <v>261</v>
      </c>
      <c r="BL32" t="s">
        <v>262</v>
      </c>
      <c r="BM32" t="s">
        <v>415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 t="s">
        <v>242</v>
      </c>
      <c r="CB32" t="s">
        <v>264</v>
      </c>
      <c r="CC32" t="s">
        <v>328</v>
      </c>
      <c r="CD32" t="s">
        <v>226</v>
      </c>
      <c r="CE32" t="s">
        <v>236</v>
      </c>
      <c r="EA32" t="s">
        <v>236</v>
      </c>
      <c r="EC32" t="s">
        <v>236</v>
      </c>
      <c r="EE32" t="s">
        <v>226</v>
      </c>
      <c r="EF32" t="s">
        <v>244</v>
      </c>
      <c r="EG32" t="s">
        <v>236</v>
      </c>
      <c r="EI32" t="s">
        <v>236</v>
      </c>
      <c r="EK32" t="s">
        <v>226</v>
      </c>
      <c r="EL32" t="s">
        <v>244</v>
      </c>
      <c r="EM32" t="s">
        <v>226</v>
      </c>
      <c r="EN32" t="s">
        <v>244</v>
      </c>
      <c r="EO32" t="s">
        <v>236</v>
      </c>
      <c r="EQ32" t="s">
        <v>236</v>
      </c>
      <c r="ES32" t="s">
        <v>236</v>
      </c>
      <c r="EU32" t="s">
        <v>236</v>
      </c>
      <c r="EW32" t="s">
        <v>236</v>
      </c>
      <c r="EY32" t="s">
        <v>236</v>
      </c>
      <c r="FA32" t="s">
        <v>236</v>
      </c>
      <c r="FC32" t="s">
        <v>236</v>
      </c>
      <c r="FE32" t="s">
        <v>236</v>
      </c>
      <c r="FG32" t="s">
        <v>226</v>
      </c>
      <c r="FH32" t="s">
        <v>1052</v>
      </c>
      <c r="FI32" t="s">
        <v>245</v>
      </c>
      <c r="FJ32" t="s">
        <v>226</v>
      </c>
      <c r="FK32" t="s">
        <v>245</v>
      </c>
      <c r="FL32" t="s">
        <v>236</v>
      </c>
      <c r="FM32" t="s">
        <v>236</v>
      </c>
      <c r="FW32" t="s">
        <v>226</v>
      </c>
      <c r="FX32" t="s">
        <v>226</v>
      </c>
      <c r="FY32" t="s">
        <v>266</v>
      </c>
      <c r="FZ32" t="s">
        <v>236</v>
      </c>
      <c r="GC32" t="s">
        <v>236</v>
      </c>
      <c r="GF32" t="s">
        <v>236</v>
      </c>
      <c r="GI32" t="s">
        <v>226</v>
      </c>
      <c r="GJ32" t="s">
        <v>226</v>
      </c>
      <c r="GK32" t="s">
        <v>267</v>
      </c>
      <c r="GL32" t="s">
        <v>226</v>
      </c>
      <c r="GM32" t="s">
        <v>236</v>
      </c>
      <c r="GO32" t="s">
        <v>226</v>
      </c>
      <c r="GP32" t="s">
        <v>226</v>
      </c>
      <c r="GQ32" t="s">
        <v>266</v>
      </c>
      <c r="GR32" t="s">
        <v>226</v>
      </c>
      <c r="GS32" t="s">
        <v>236</v>
      </c>
      <c r="GU32" t="s">
        <v>226</v>
      </c>
      <c r="GV32" t="s">
        <v>236</v>
      </c>
      <c r="GX32" t="s">
        <v>226</v>
      </c>
      <c r="GY32" t="s">
        <v>226</v>
      </c>
      <c r="GZ32" t="s">
        <v>266</v>
      </c>
      <c r="HB32" t="s">
        <v>338</v>
      </c>
      <c r="HC32" t="s">
        <v>1053</v>
      </c>
      <c r="HD32" t="s">
        <v>288</v>
      </c>
      <c r="HE32">
        <v>82701077</v>
      </c>
      <c r="HF32" t="s">
        <v>1054</v>
      </c>
      <c r="HG32" s="2">
        <v>45749.862372685187</v>
      </c>
      <c r="HJ32" t="s">
        <v>248</v>
      </c>
      <c r="HL32" t="s">
        <v>249</v>
      </c>
      <c r="HN32">
        <v>30</v>
      </c>
    </row>
    <row r="33" spans="1:222" x14ac:dyDescent="0.25">
      <c r="A33" s="2">
        <v>45749.651503796304</v>
      </c>
      <c r="B33" s="2">
        <v>45749.671490729168</v>
      </c>
      <c r="C33" t="s">
        <v>305</v>
      </c>
      <c r="D33">
        <v>95</v>
      </c>
      <c r="E33" s="2">
        <v>45732</v>
      </c>
      <c r="F33">
        <v>3</v>
      </c>
      <c r="G33" t="s">
        <v>834</v>
      </c>
      <c r="H33" t="s">
        <v>307</v>
      </c>
      <c r="I33">
        <v>54</v>
      </c>
      <c r="J33" t="str">
        <f t="shared" si="0"/>
        <v>de 41 a 55 años</v>
      </c>
      <c r="K33" t="s">
        <v>251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225</v>
      </c>
      <c r="R33" t="s">
        <v>226</v>
      </c>
      <c r="T33" t="s">
        <v>227</v>
      </c>
      <c r="V33" t="s">
        <v>612</v>
      </c>
      <c r="W33" t="s">
        <v>229</v>
      </c>
      <c r="X33" t="s">
        <v>230</v>
      </c>
      <c r="Z33" t="s">
        <v>254</v>
      </c>
      <c r="AA33" t="s">
        <v>293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I33" t="s">
        <v>233</v>
      </c>
      <c r="AJ33">
        <v>0</v>
      </c>
      <c r="AK33">
        <v>1</v>
      </c>
      <c r="AL33">
        <v>0</v>
      </c>
      <c r="AM33">
        <v>0</v>
      </c>
      <c r="AN33" t="s">
        <v>234</v>
      </c>
      <c r="AO33" t="s">
        <v>275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0</v>
      </c>
      <c r="AX33" t="s">
        <v>226</v>
      </c>
      <c r="AY33" t="s">
        <v>226</v>
      </c>
      <c r="AZ33" t="s">
        <v>259</v>
      </c>
      <c r="BA33" t="s">
        <v>545</v>
      </c>
      <c r="BB33" t="s">
        <v>835</v>
      </c>
      <c r="BC33" t="s">
        <v>836</v>
      </c>
      <c r="BE33" t="s">
        <v>259</v>
      </c>
      <c r="BF33" t="s">
        <v>259</v>
      </c>
      <c r="BG33" t="s">
        <v>259</v>
      </c>
      <c r="BH33" t="s">
        <v>259</v>
      </c>
      <c r="BI33" t="s">
        <v>237</v>
      </c>
      <c r="BJ33" t="s">
        <v>259</v>
      </c>
      <c r="BK33" t="s">
        <v>261</v>
      </c>
      <c r="BL33" t="s">
        <v>262</v>
      </c>
      <c r="BM33" t="s">
        <v>837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 t="s">
        <v>264</v>
      </c>
      <c r="CB33" t="s">
        <v>243</v>
      </c>
      <c r="CC33" t="s">
        <v>243</v>
      </c>
      <c r="CD33" t="s">
        <v>226</v>
      </c>
      <c r="CE33" t="s">
        <v>236</v>
      </c>
      <c r="EA33" t="s">
        <v>226</v>
      </c>
      <c r="EB33" t="s">
        <v>244</v>
      </c>
      <c r="EC33" t="s">
        <v>226</v>
      </c>
      <c r="ED33" t="s">
        <v>244</v>
      </c>
      <c r="EE33" t="s">
        <v>226</v>
      </c>
      <c r="EF33" t="s">
        <v>244</v>
      </c>
      <c r="EG33" t="s">
        <v>226</v>
      </c>
      <c r="EH33" t="s">
        <v>244</v>
      </c>
      <c r="EI33" t="s">
        <v>226</v>
      </c>
      <c r="EJ33" t="s">
        <v>244</v>
      </c>
      <c r="EK33" t="s">
        <v>226</v>
      </c>
      <c r="EL33" t="s">
        <v>244</v>
      </c>
      <c r="EM33" t="s">
        <v>226</v>
      </c>
      <c r="EN33" t="s">
        <v>244</v>
      </c>
      <c r="EO33" t="s">
        <v>226</v>
      </c>
      <c r="EP33" t="s">
        <v>244</v>
      </c>
      <c r="EQ33" t="s">
        <v>236</v>
      </c>
      <c r="ES33" t="s">
        <v>236</v>
      </c>
      <c r="EU33" t="s">
        <v>236</v>
      </c>
      <c r="EW33" t="s">
        <v>236</v>
      </c>
      <c r="EY33" t="s">
        <v>226</v>
      </c>
      <c r="EZ33" t="s">
        <v>244</v>
      </c>
      <c r="FA33" t="s">
        <v>226</v>
      </c>
      <c r="FB33" t="s">
        <v>244</v>
      </c>
      <c r="FC33" t="s">
        <v>236</v>
      </c>
      <c r="FE33" t="s">
        <v>226</v>
      </c>
      <c r="FF33" t="s">
        <v>245</v>
      </c>
      <c r="FG33" t="s">
        <v>236</v>
      </c>
      <c r="FJ33" t="s">
        <v>226</v>
      </c>
      <c r="FK33" t="s">
        <v>245</v>
      </c>
      <c r="FL33" t="s">
        <v>226</v>
      </c>
      <c r="FM33" t="s">
        <v>236</v>
      </c>
      <c r="FW33" t="s">
        <v>236</v>
      </c>
      <c r="FZ33" t="s">
        <v>236</v>
      </c>
      <c r="GC33" t="s">
        <v>236</v>
      </c>
      <c r="GF33" t="s">
        <v>226</v>
      </c>
      <c r="GG33" t="s">
        <v>226</v>
      </c>
      <c r="GH33" t="s">
        <v>266</v>
      </c>
      <c r="GI33" t="s">
        <v>226</v>
      </c>
      <c r="GJ33" t="s">
        <v>236</v>
      </c>
      <c r="GL33" t="s">
        <v>236</v>
      </c>
      <c r="GO33" t="s">
        <v>226</v>
      </c>
      <c r="GP33" t="s">
        <v>226</v>
      </c>
      <c r="GQ33" t="s">
        <v>267</v>
      </c>
      <c r="GR33" t="s">
        <v>226</v>
      </c>
      <c r="GS33" t="s">
        <v>236</v>
      </c>
      <c r="GU33" t="s">
        <v>236</v>
      </c>
      <c r="GX33" t="s">
        <v>226</v>
      </c>
      <c r="GY33" t="s">
        <v>236</v>
      </c>
      <c r="HB33" t="s">
        <v>378</v>
      </c>
      <c r="HC33" t="s">
        <v>838</v>
      </c>
      <c r="HD33" t="s">
        <v>839</v>
      </c>
      <c r="HE33">
        <v>82702463</v>
      </c>
      <c r="HF33" t="s">
        <v>840</v>
      </c>
      <c r="HG33" s="2">
        <v>45749.879745370366</v>
      </c>
      <c r="HJ33" t="s">
        <v>248</v>
      </c>
      <c r="HL33" t="s">
        <v>249</v>
      </c>
      <c r="HN33">
        <v>36</v>
      </c>
    </row>
    <row r="34" spans="1:222" x14ac:dyDescent="0.25">
      <c r="A34" s="2">
        <v>45749.654117268517</v>
      </c>
      <c r="B34" s="2">
        <v>45749.657842627312</v>
      </c>
      <c r="C34" t="s">
        <v>334</v>
      </c>
      <c r="D34">
        <v>145</v>
      </c>
      <c r="E34" s="2">
        <v>45730</v>
      </c>
      <c r="F34">
        <v>3</v>
      </c>
      <c r="G34" t="s">
        <v>306</v>
      </c>
      <c r="H34" t="s">
        <v>335</v>
      </c>
      <c r="I34">
        <v>47</v>
      </c>
      <c r="J34" t="str">
        <f t="shared" si="0"/>
        <v>de 41 a 55 años</v>
      </c>
      <c r="K34" t="s">
        <v>224</v>
      </c>
      <c r="L34">
        <v>0</v>
      </c>
      <c r="M34">
        <v>0</v>
      </c>
      <c r="N34">
        <v>0</v>
      </c>
      <c r="O34">
        <v>0</v>
      </c>
      <c r="P34">
        <v>1</v>
      </c>
      <c r="Q34" t="s">
        <v>291</v>
      </c>
      <c r="R34" t="s">
        <v>226</v>
      </c>
      <c r="T34" t="s">
        <v>227</v>
      </c>
      <c r="V34" t="s">
        <v>272</v>
      </c>
      <c r="W34" t="s">
        <v>229</v>
      </c>
      <c r="X34" t="s">
        <v>230</v>
      </c>
      <c r="Z34" t="s">
        <v>231</v>
      </c>
      <c r="AA34" t="s">
        <v>232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I34" t="s">
        <v>233</v>
      </c>
      <c r="AJ34">
        <v>0</v>
      </c>
      <c r="AK34">
        <v>1</v>
      </c>
      <c r="AL34">
        <v>0</v>
      </c>
      <c r="AM34">
        <v>0</v>
      </c>
      <c r="AN34" t="s">
        <v>257</v>
      </c>
      <c r="AO34" t="s">
        <v>235</v>
      </c>
      <c r="AP34">
        <v>0</v>
      </c>
      <c r="AQ34">
        <v>0</v>
      </c>
      <c r="AR34">
        <v>0</v>
      </c>
      <c r="AS34">
        <v>1</v>
      </c>
      <c r="AT34">
        <v>0</v>
      </c>
      <c r="AU34">
        <v>0</v>
      </c>
      <c r="AV34">
        <v>0</v>
      </c>
      <c r="AX34" t="s">
        <v>226</v>
      </c>
      <c r="AY34" t="s">
        <v>236</v>
      </c>
      <c r="AZ34" t="s">
        <v>259</v>
      </c>
      <c r="BA34" t="s">
        <v>1048</v>
      </c>
      <c r="BB34" t="s">
        <v>1049</v>
      </c>
      <c r="BE34" t="s">
        <v>239</v>
      </c>
      <c r="BF34" t="s">
        <v>237</v>
      </c>
      <c r="BG34" t="s">
        <v>239</v>
      </c>
      <c r="BH34" t="s">
        <v>237</v>
      </c>
      <c r="BI34" t="s">
        <v>237</v>
      </c>
      <c r="BJ34" t="s">
        <v>237</v>
      </c>
      <c r="BK34" t="s">
        <v>239</v>
      </c>
      <c r="BL34" t="s">
        <v>313</v>
      </c>
      <c r="BM34" t="s">
        <v>415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1</v>
      </c>
      <c r="BZ34">
        <v>0</v>
      </c>
      <c r="CA34" t="s">
        <v>243</v>
      </c>
      <c r="CB34" t="s">
        <v>243</v>
      </c>
      <c r="CC34" t="s">
        <v>243</v>
      </c>
      <c r="CD34" t="s">
        <v>236</v>
      </c>
      <c r="CE34" t="s">
        <v>236</v>
      </c>
      <c r="EA34" t="s">
        <v>236</v>
      </c>
      <c r="EC34" t="s">
        <v>236</v>
      </c>
      <c r="EE34" t="s">
        <v>236</v>
      </c>
      <c r="EG34" t="s">
        <v>236</v>
      </c>
      <c r="EI34" t="s">
        <v>308</v>
      </c>
      <c r="EK34" t="s">
        <v>236</v>
      </c>
      <c r="EM34" t="s">
        <v>236</v>
      </c>
      <c r="EO34" t="s">
        <v>236</v>
      </c>
      <c r="EQ34" t="s">
        <v>236</v>
      </c>
      <c r="ES34" t="s">
        <v>236</v>
      </c>
      <c r="EU34" t="s">
        <v>236</v>
      </c>
      <c r="EW34" t="s">
        <v>236</v>
      </c>
      <c r="EY34" t="s">
        <v>236</v>
      </c>
      <c r="FA34" t="s">
        <v>236</v>
      </c>
      <c r="FC34" t="s">
        <v>236</v>
      </c>
      <c r="FE34" t="s">
        <v>236</v>
      </c>
      <c r="FG34" t="s">
        <v>236</v>
      </c>
      <c r="FJ34" t="s">
        <v>226</v>
      </c>
      <c r="FK34" t="s">
        <v>244</v>
      </c>
      <c r="FL34" t="s">
        <v>236</v>
      </c>
      <c r="FM34" t="s">
        <v>236</v>
      </c>
      <c r="FW34" t="s">
        <v>226</v>
      </c>
      <c r="FX34" t="s">
        <v>236</v>
      </c>
      <c r="FZ34" t="s">
        <v>226</v>
      </c>
      <c r="GA34" t="s">
        <v>236</v>
      </c>
      <c r="GC34" t="s">
        <v>236</v>
      </c>
      <c r="GF34" t="s">
        <v>236</v>
      </c>
      <c r="GI34" t="s">
        <v>236</v>
      </c>
      <c r="GL34" t="s">
        <v>236</v>
      </c>
      <c r="GO34" t="s">
        <v>226</v>
      </c>
      <c r="GP34" t="s">
        <v>226</v>
      </c>
      <c r="GQ34" t="s">
        <v>267</v>
      </c>
      <c r="GR34" t="s">
        <v>236</v>
      </c>
      <c r="GU34" t="s">
        <v>236</v>
      </c>
      <c r="GX34" t="s">
        <v>236</v>
      </c>
      <c r="HB34" t="s">
        <v>288</v>
      </c>
      <c r="HC34" t="s">
        <v>338</v>
      </c>
      <c r="HD34" t="s">
        <v>510</v>
      </c>
      <c r="HE34">
        <v>82701451</v>
      </c>
      <c r="HF34" t="s">
        <v>1050</v>
      </c>
      <c r="HG34" s="2">
        <v>45749.866099537037</v>
      </c>
      <c r="HJ34" t="s">
        <v>248</v>
      </c>
      <c r="HL34" t="s">
        <v>249</v>
      </c>
      <c r="HN34">
        <v>31</v>
      </c>
    </row>
    <row r="35" spans="1:222" x14ac:dyDescent="0.25">
      <c r="A35" s="2">
        <v>45749.657843090281</v>
      </c>
      <c r="B35" s="2">
        <v>45749.661185069453</v>
      </c>
      <c r="C35" t="s">
        <v>334</v>
      </c>
      <c r="D35">
        <v>144</v>
      </c>
      <c r="E35" s="2">
        <v>45730</v>
      </c>
      <c r="F35">
        <v>3</v>
      </c>
      <c r="G35" t="s">
        <v>306</v>
      </c>
      <c r="H35" t="s">
        <v>335</v>
      </c>
      <c r="I35">
        <v>31</v>
      </c>
      <c r="J35" t="str">
        <f t="shared" si="0"/>
        <v>de 26 a 40 años</v>
      </c>
      <c r="K35" t="s">
        <v>251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291</v>
      </c>
      <c r="R35" t="s">
        <v>226</v>
      </c>
      <c r="T35" t="s">
        <v>227</v>
      </c>
      <c r="V35" t="s">
        <v>252</v>
      </c>
      <c r="W35" t="s">
        <v>229</v>
      </c>
      <c r="X35" t="s">
        <v>230</v>
      </c>
      <c r="Z35" t="s">
        <v>254</v>
      </c>
      <c r="AA35" t="s">
        <v>565</v>
      </c>
      <c r="AB35">
        <v>1</v>
      </c>
      <c r="AC35">
        <v>0</v>
      </c>
      <c r="AD35">
        <v>1</v>
      </c>
      <c r="AE35">
        <v>0</v>
      </c>
      <c r="AF35">
        <v>0</v>
      </c>
      <c r="AG35">
        <v>0</v>
      </c>
      <c r="AI35" t="s">
        <v>256</v>
      </c>
      <c r="AJ35">
        <v>0</v>
      </c>
      <c r="AK35">
        <v>0</v>
      </c>
      <c r="AL35">
        <v>1</v>
      </c>
      <c r="AM35">
        <v>0</v>
      </c>
      <c r="AN35" t="s">
        <v>257</v>
      </c>
      <c r="AO35" t="s">
        <v>294</v>
      </c>
      <c r="AP35">
        <v>1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X35" t="s">
        <v>226</v>
      </c>
      <c r="AY35" t="s">
        <v>226</v>
      </c>
      <c r="AZ35" t="s">
        <v>237</v>
      </c>
      <c r="BA35" t="s">
        <v>1046</v>
      </c>
      <c r="BE35" t="s">
        <v>259</v>
      </c>
      <c r="BF35" t="s">
        <v>259</v>
      </c>
      <c r="BG35" t="s">
        <v>259</v>
      </c>
      <c r="BH35" t="s">
        <v>259</v>
      </c>
      <c r="BI35" t="s">
        <v>259</v>
      </c>
      <c r="BJ35" t="s">
        <v>239</v>
      </c>
      <c r="BK35" t="s">
        <v>239</v>
      </c>
      <c r="BL35" t="s">
        <v>313</v>
      </c>
      <c r="BM35" t="s">
        <v>415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1</v>
      </c>
      <c r="BZ35">
        <v>0</v>
      </c>
      <c r="CA35" t="s">
        <v>264</v>
      </c>
      <c r="CB35" t="s">
        <v>243</v>
      </c>
      <c r="CC35" t="s">
        <v>242</v>
      </c>
      <c r="CD35" t="s">
        <v>236</v>
      </c>
      <c r="CE35" t="s">
        <v>236</v>
      </c>
      <c r="EA35" t="s">
        <v>236</v>
      </c>
      <c r="EC35" t="s">
        <v>236</v>
      </c>
      <c r="EE35" t="s">
        <v>236</v>
      </c>
      <c r="EG35" t="s">
        <v>226</v>
      </c>
      <c r="EH35" t="s">
        <v>245</v>
      </c>
      <c r="EI35" t="s">
        <v>308</v>
      </c>
      <c r="EK35" t="s">
        <v>236</v>
      </c>
      <c r="EM35" t="s">
        <v>226</v>
      </c>
      <c r="EN35" t="s">
        <v>245</v>
      </c>
      <c r="EO35" t="s">
        <v>236</v>
      </c>
      <c r="EQ35" t="s">
        <v>236</v>
      </c>
      <c r="ES35" t="s">
        <v>236</v>
      </c>
      <c r="EU35" t="s">
        <v>236</v>
      </c>
      <c r="EW35" t="s">
        <v>236</v>
      </c>
      <c r="EY35" t="s">
        <v>236</v>
      </c>
      <c r="FA35" t="s">
        <v>226</v>
      </c>
      <c r="FB35" t="s">
        <v>245</v>
      </c>
      <c r="FC35" t="s">
        <v>236</v>
      </c>
      <c r="FE35" t="s">
        <v>236</v>
      </c>
      <c r="FG35" t="s">
        <v>236</v>
      </c>
      <c r="FJ35" t="s">
        <v>226</v>
      </c>
      <c r="FK35" t="s">
        <v>245</v>
      </c>
      <c r="FL35" t="s">
        <v>236</v>
      </c>
      <c r="FM35" t="s">
        <v>236</v>
      </c>
      <c r="FW35" t="s">
        <v>226</v>
      </c>
      <c r="FX35" t="s">
        <v>236</v>
      </c>
      <c r="FZ35" t="s">
        <v>226</v>
      </c>
      <c r="GA35" t="s">
        <v>236</v>
      </c>
      <c r="GC35" t="s">
        <v>236</v>
      </c>
      <c r="GF35" t="s">
        <v>226</v>
      </c>
      <c r="GG35" t="s">
        <v>236</v>
      </c>
      <c r="GI35" t="s">
        <v>236</v>
      </c>
      <c r="GL35" t="s">
        <v>236</v>
      </c>
      <c r="GO35" t="s">
        <v>236</v>
      </c>
      <c r="GR35" t="s">
        <v>226</v>
      </c>
      <c r="GS35" t="s">
        <v>236</v>
      </c>
      <c r="GU35" t="s">
        <v>226</v>
      </c>
      <c r="GV35" t="s">
        <v>236</v>
      </c>
      <c r="GX35" t="s">
        <v>236</v>
      </c>
      <c r="HB35" t="s">
        <v>338</v>
      </c>
      <c r="HC35" t="s">
        <v>288</v>
      </c>
      <c r="HE35">
        <v>82701631</v>
      </c>
      <c r="HF35" t="s">
        <v>1047</v>
      </c>
      <c r="HG35" s="2">
        <v>45749.869432870371</v>
      </c>
      <c r="HJ35" t="s">
        <v>248</v>
      </c>
      <c r="HL35" t="s">
        <v>249</v>
      </c>
      <c r="HN35">
        <v>33</v>
      </c>
    </row>
    <row r="36" spans="1:222" x14ac:dyDescent="0.25">
      <c r="A36" s="2">
        <v>45749.65803233796</v>
      </c>
      <c r="B36" s="2">
        <v>45749.66662314815</v>
      </c>
      <c r="C36" t="s">
        <v>221</v>
      </c>
      <c r="D36">
        <v>6</v>
      </c>
      <c r="E36" s="2">
        <v>45732</v>
      </c>
      <c r="F36">
        <v>5</v>
      </c>
      <c r="G36" t="s">
        <v>250</v>
      </c>
      <c r="H36" t="s">
        <v>223</v>
      </c>
      <c r="I36">
        <v>28</v>
      </c>
      <c r="J36" t="str">
        <f t="shared" si="0"/>
        <v>de 26 a 40 años</v>
      </c>
      <c r="K36" t="s">
        <v>251</v>
      </c>
      <c r="L36">
        <v>2</v>
      </c>
      <c r="M36">
        <v>0</v>
      </c>
      <c r="N36">
        <v>0</v>
      </c>
      <c r="O36">
        <v>0</v>
      </c>
      <c r="P36">
        <v>0</v>
      </c>
      <c r="Q36" t="s">
        <v>225</v>
      </c>
      <c r="R36" t="s">
        <v>226</v>
      </c>
      <c r="T36" t="s">
        <v>227</v>
      </c>
      <c r="V36" t="s">
        <v>252</v>
      </c>
      <c r="W36" t="s">
        <v>229</v>
      </c>
      <c r="X36" t="s">
        <v>253</v>
      </c>
      <c r="Z36" t="s">
        <v>254</v>
      </c>
      <c r="AA36" t="s">
        <v>255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I36" t="s">
        <v>256</v>
      </c>
      <c r="AJ36">
        <v>0</v>
      </c>
      <c r="AK36">
        <v>0</v>
      </c>
      <c r="AL36">
        <v>1</v>
      </c>
      <c r="AM36">
        <v>0</v>
      </c>
      <c r="AN36" t="s">
        <v>257</v>
      </c>
      <c r="AO36" t="s">
        <v>258</v>
      </c>
      <c r="AP36">
        <v>1</v>
      </c>
      <c r="AQ36">
        <v>0</v>
      </c>
      <c r="AR36">
        <v>0</v>
      </c>
      <c r="AS36">
        <v>0</v>
      </c>
      <c r="AT36">
        <v>0</v>
      </c>
      <c r="AU36">
        <v>1</v>
      </c>
      <c r="AV36">
        <v>0</v>
      </c>
      <c r="AX36" t="s">
        <v>226</v>
      </c>
      <c r="AY36" t="s">
        <v>226</v>
      </c>
      <c r="AZ36" t="s">
        <v>259</v>
      </c>
      <c r="BA36" t="s">
        <v>260</v>
      </c>
      <c r="BE36" t="s">
        <v>259</v>
      </c>
      <c r="BF36" t="s">
        <v>259</v>
      </c>
      <c r="BG36" t="s">
        <v>259</v>
      </c>
      <c r="BH36" t="s">
        <v>237</v>
      </c>
      <c r="BI36" t="s">
        <v>237</v>
      </c>
      <c r="BJ36" t="s">
        <v>261</v>
      </c>
      <c r="BK36" t="s">
        <v>261</v>
      </c>
      <c r="BL36" t="s">
        <v>262</v>
      </c>
      <c r="BM36" t="s">
        <v>263</v>
      </c>
      <c r="BN36">
        <v>0</v>
      </c>
      <c r="BO36">
        <v>1</v>
      </c>
      <c r="BP36">
        <v>0</v>
      </c>
      <c r="BQ36">
        <v>0</v>
      </c>
      <c r="BR36">
        <v>0</v>
      </c>
      <c r="BS36">
        <v>0</v>
      </c>
      <c r="BT36">
        <v>1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 t="s">
        <v>243</v>
      </c>
      <c r="CB36" t="s">
        <v>242</v>
      </c>
      <c r="CC36" t="s">
        <v>264</v>
      </c>
      <c r="CD36" t="s">
        <v>226</v>
      </c>
      <c r="CE36" t="s">
        <v>236</v>
      </c>
      <c r="EA36" t="s">
        <v>236</v>
      </c>
      <c r="EC36" t="s">
        <v>226</v>
      </c>
      <c r="ED36" t="s">
        <v>244</v>
      </c>
      <c r="EE36" t="s">
        <v>226</v>
      </c>
      <c r="EF36" t="s">
        <v>245</v>
      </c>
      <c r="EG36" t="s">
        <v>226</v>
      </c>
      <c r="EH36" t="s">
        <v>245</v>
      </c>
      <c r="EI36" t="s">
        <v>236</v>
      </c>
      <c r="EK36" t="s">
        <v>226</v>
      </c>
      <c r="EL36" t="s">
        <v>245</v>
      </c>
      <c r="EM36" t="s">
        <v>226</v>
      </c>
      <c r="EN36" t="s">
        <v>244</v>
      </c>
      <c r="EO36" t="s">
        <v>226</v>
      </c>
      <c r="EP36" t="s">
        <v>245</v>
      </c>
      <c r="EQ36" t="s">
        <v>226</v>
      </c>
      <c r="ER36" t="s">
        <v>265</v>
      </c>
      <c r="ES36" t="s">
        <v>236</v>
      </c>
      <c r="EU36" t="s">
        <v>236</v>
      </c>
      <c r="EW36" t="s">
        <v>236</v>
      </c>
      <c r="EY36" t="s">
        <v>226</v>
      </c>
      <c r="EZ36" t="s">
        <v>245</v>
      </c>
      <c r="FA36" t="s">
        <v>226</v>
      </c>
      <c r="FB36" t="s">
        <v>245</v>
      </c>
      <c r="FC36" t="s">
        <v>236</v>
      </c>
      <c r="FE36" t="s">
        <v>236</v>
      </c>
      <c r="FG36" t="s">
        <v>236</v>
      </c>
      <c r="FJ36" t="s">
        <v>226</v>
      </c>
      <c r="FK36" t="s">
        <v>245</v>
      </c>
      <c r="FL36" t="s">
        <v>226</v>
      </c>
      <c r="FM36" t="s">
        <v>236</v>
      </c>
      <c r="FW36" t="s">
        <v>226</v>
      </c>
      <c r="FX36" t="s">
        <v>236</v>
      </c>
      <c r="FZ36" t="s">
        <v>226</v>
      </c>
      <c r="GA36" t="s">
        <v>236</v>
      </c>
      <c r="GC36" t="s">
        <v>236</v>
      </c>
      <c r="GF36" t="s">
        <v>226</v>
      </c>
      <c r="GG36" t="s">
        <v>226</v>
      </c>
      <c r="GH36" t="s">
        <v>266</v>
      </c>
      <c r="GI36" t="s">
        <v>236</v>
      </c>
      <c r="GL36" t="s">
        <v>226</v>
      </c>
      <c r="GM36" t="s">
        <v>226</v>
      </c>
      <c r="GN36" t="s">
        <v>266</v>
      </c>
      <c r="GO36" t="s">
        <v>226</v>
      </c>
      <c r="GP36" t="s">
        <v>226</v>
      </c>
      <c r="GQ36" t="s">
        <v>267</v>
      </c>
      <c r="GR36" t="s">
        <v>226</v>
      </c>
      <c r="GS36" t="s">
        <v>226</v>
      </c>
      <c r="GT36" t="s">
        <v>266</v>
      </c>
      <c r="GU36" t="s">
        <v>236</v>
      </c>
      <c r="GX36" t="s">
        <v>236</v>
      </c>
      <c r="HB36" t="s">
        <v>268</v>
      </c>
      <c r="HE36">
        <v>82702107</v>
      </c>
      <c r="HF36" t="s">
        <v>269</v>
      </c>
      <c r="HG36" s="2">
        <v>45749.874884259261</v>
      </c>
      <c r="HJ36" t="s">
        <v>248</v>
      </c>
      <c r="HL36" t="s">
        <v>249</v>
      </c>
      <c r="HN36">
        <v>35</v>
      </c>
    </row>
    <row r="37" spans="1:222" x14ac:dyDescent="0.25">
      <c r="A37" s="2">
        <v>45749.661185567129</v>
      </c>
      <c r="B37" s="2">
        <v>45749.666307037027</v>
      </c>
      <c r="C37" t="s">
        <v>334</v>
      </c>
      <c r="D37">
        <v>143</v>
      </c>
      <c r="E37" s="2">
        <v>45730</v>
      </c>
      <c r="F37">
        <v>3</v>
      </c>
      <c r="G37" t="s">
        <v>528</v>
      </c>
      <c r="H37" t="s">
        <v>335</v>
      </c>
      <c r="I37">
        <v>48</v>
      </c>
      <c r="J37" t="str">
        <f t="shared" si="0"/>
        <v>de 41 a 55 años</v>
      </c>
      <c r="K37" t="s">
        <v>224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291</v>
      </c>
      <c r="R37" t="s">
        <v>226</v>
      </c>
      <c r="T37" t="s">
        <v>227</v>
      </c>
      <c r="V37" t="s">
        <v>252</v>
      </c>
      <c r="W37" t="s">
        <v>292</v>
      </c>
      <c r="X37" t="s">
        <v>230</v>
      </c>
      <c r="Z37" t="s">
        <v>231</v>
      </c>
      <c r="AA37" t="s">
        <v>352</v>
      </c>
      <c r="AB37">
        <v>1</v>
      </c>
      <c r="AC37">
        <v>0</v>
      </c>
      <c r="AD37">
        <v>0</v>
      </c>
      <c r="AE37">
        <v>0</v>
      </c>
      <c r="AF37">
        <v>1</v>
      </c>
      <c r="AG37">
        <v>0</v>
      </c>
      <c r="AI37" t="s">
        <v>256</v>
      </c>
      <c r="AJ37">
        <v>0</v>
      </c>
      <c r="AK37">
        <v>0</v>
      </c>
      <c r="AL37">
        <v>1</v>
      </c>
      <c r="AM37">
        <v>0</v>
      </c>
      <c r="AN37" t="s">
        <v>234</v>
      </c>
      <c r="AO37" t="s">
        <v>929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1</v>
      </c>
      <c r="AV37">
        <v>0</v>
      </c>
      <c r="AX37" t="s">
        <v>236</v>
      </c>
      <c r="AZ37" t="s">
        <v>237</v>
      </c>
      <c r="BA37" t="s">
        <v>1044</v>
      </c>
      <c r="BE37" t="s">
        <v>308</v>
      </c>
      <c r="BF37" t="s">
        <v>237</v>
      </c>
      <c r="BG37" t="s">
        <v>259</v>
      </c>
      <c r="BH37" t="s">
        <v>259</v>
      </c>
      <c r="BI37" t="s">
        <v>237</v>
      </c>
      <c r="BJ37" t="s">
        <v>237</v>
      </c>
      <c r="BK37" t="s">
        <v>237</v>
      </c>
      <c r="BL37" t="s">
        <v>262</v>
      </c>
      <c r="BM37" t="s">
        <v>415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1</v>
      </c>
      <c r="BZ37">
        <v>0</v>
      </c>
      <c r="CA37" t="s">
        <v>264</v>
      </c>
      <c r="CB37" t="s">
        <v>264</v>
      </c>
      <c r="CC37" t="s">
        <v>264</v>
      </c>
      <c r="CD37" t="s">
        <v>236</v>
      </c>
      <c r="CE37" t="s">
        <v>236</v>
      </c>
      <c r="EA37" t="s">
        <v>236</v>
      </c>
      <c r="EC37" t="s">
        <v>236</v>
      </c>
      <c r="EE37" t="s">
        <v>226</v>
      </c>
      <c r="EF37" t="s">
        <v>244</v>
      </c>
      <c r="EG37" t="s">
        <v>226</v>
      </c>
      <c r="EH37" t="s">
        <v>244</v>
      </c>
      <c r="EI37" t="s">
        <v>236</v>
      </c>
      <c r="EK37" t="s">
        <v>236</v>
      </c>
      <c r="EM37" t="s">
        <v>236</v>
      </c>
      <c r="EO37" t="s">
        <v>236</v>
      </c>
      <c r="EQ37" t="s">
        <v>236</v>
      </c>
      <c r="ES37" t="s">
        <v>236</v>
      </c>
      <c r="EU37" t="s">
        <v>236</v>
      </c>
      <c r="EW37" t="s">
        <v>236</v>
      </c>
      <c r="EY37" t="s">
        <v>226</v>
      </c>
      <c r="EZ37" t="s">
        <v>244</v>
      </c>
      <c r="FA37" t="s">
        <v>226</v>
      </c>
      <c r="FB37" t="s">
        <v>245</v>
      </c>
      <c r="FC37" t="s">
        <v>236</v>
      </c>
      <c r="FE37" t="s">
        <v>236</v>
      </c>
      <c r="FG37" t="s">
        <v>236</v>
      </c>
      <c r="FJ37" t="s">
        <v>226</v>
      </c>
      <c r="FK37" t="s">
        <v>245</v>
      </c>
      <c r="FL37" t="s">
        <v>236</v>
      </c>
      <c r="FM37" t="s">
        <v>236</v>
      </c>
      <c r="FW37" t="s">
        <v>236</v>
      </c>
      <c r="FZ37" t="s">
        <v>236</v>
      </c>
      <c r="GC37" t="s">
        <v>236</v>
      </c>
      <c r="GF37" t="s">
        <v>236</v>
      </c>
      <c r="GI37" t="s">
        <v>236</v>
      </c>
      <c r="GL37" t="s">
        <v>236</v>
      </c>
      <c r="GO37" t="s">
        <v>226</v>
      </c>
      <c r="GP37" t="s">
        <v>236</v>
      </c>
      <c r="GR37" t="s">
        <v>226</v>
      </c>
      <c r="GS37" t="s">
        <v>226</v>
      </c>
      <c r="GT37" t="s">
        <v>266</v>
      </c>
      <c r="GU37" t="s">
        <v>236</v>
      </c>
      <c r="GX37" t="s">
        <v>236</v>
      </c>
      <c r="HB37" t="s">
        <v>338</v>
      </c>
      <c r="HC37" t="s">
        <v>339</v>
      </c>
      <c r="HE37">
        <v>82702072</v>
      </c>
      <c r="HF37" t="s">
        <v>1045</v>
      </c>
      <c r="HG37" s="2">
        <v>45749.874560185177</v>
      </c>
      <c r="HJ37" t="s">
        <v>248</v>
      </c>
      <c r="HL37" t="s">
        <v>249</v>
      </c>
      <c r="HN37">
        <v>34</v>
      </c>
    </row>
    <row r="38" spans="1:222" x14ac:dyDescent="0.25">
      <c r="A38" s="2">
        <v>45749.666307511572</v>
      </c>
      <c r="B38" s="2">
        <v>45749.671878865738</v>
      </c>
      <c r="C38" t="s">
        <v>334</v>
      </c>
      <c r="D38">
        <v>142</v>
      </c>
      <c r="E38" s="2">
        <v>45730</v>
      </c>
      <c r="F38">
        <v>3</v>
      </c>
      <c r="G38" t="s">
        <v>450</v>
      </c>
      <c r="H38" t="s">
        <v>335</v>
      </c>
      <c r="I38">
        <v>69</v>
      </c>
      <c r="J38" t="str">
        <f t="shared" si="0"/>
        <v>de 56 a más</v>
      </c>
      <c r="K38" t="s">
        <v>251</v>
      </c>
      <c r="L38">
        <v>0</v>
      </c>
      <c r="M38">
        <v>0</v>
      </c>
      <c r="N38">
        <v>0</v>
      </c>
      <c r="O38">
        <v>0</v>
      </c>
      <c r="P38">
        <v>0</v>
      </c>
      <c r="Q38" t="s">
        <v>225</v>
      </c>
      <c r="R38" t="s">
        <v>226</v>
      </c>
      <c r="T38" t="s">
        <v>227</v>
      </c>
      <c r="V38" t="s">
        <v>272</v>
      </c>
      <c r="W38" t="s">
        <v>229</v>
      </c>
      <c r="X38" t="s">
        <v>230</v>
      </c>
      <c r="Z38" t="s">
        <v>273</v>
      </c>
      <c r="AA38" t="s">
        <v>232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I38" t="s">
        <v>233</v>
      </c>
      <c r="AJ38">
        <v>0</v>
      </c>
      <c r="AK38">
        <v>1</v>
      </c>
      <c r="AL38">
        <v>0</v>
      </c>
      <c r="AM38">
        <v>0</v>
      </c>
      <c r="AN38" t="s">
        <v>234</v>
      </c>
      <c r="AO38" t="s">
        <v>369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 t="s">
        <v>404</v>
      </c>
      <c r="AX38" t="s">
        <v>226</v>
      </c>
      <c r="AY38" t="s">
        <v>226</v>
      </c>
      <c r="AZ38" t="s">
        <v>237</v>
      </c>
      <c r="BA38" t="s">
        <v>1041</v>
      </c>
      <c r="BB38" t="s">
        <v>339</v>
      </c>
      <c r="BE38" t="s">
        <v>259</v>
      </c>
      <c r="BF38" t="s">
        <v>237</v>
      </c>
      <c r="BG38" t="s">
        <v>237</v>
      </c>
      <c r="BH38" t="s">
        <v>239</v>
      </c>
      <c r="BI38" t="s">
        <v>239</v>
      </c>
      <c r="BJ38" t="s">
        <v>237</v>
      </c>
      <c r="BK38" t="s">
        <v>259</v>
      </c>
      <c r="BL38" t="s">
        <v>240</v>
      </c>
      <c r="BM38" t="s">
        <v>278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 t="s">
        <v>243</v>
      </c>
      <c r="CB38" t="s">
        <v>243</v>
      </c>
      <c r="CC38" t="s">
        <v>264</v>
      </c>
      <c r="CD38" t="s">
        <v>236</v>
      </c>
      <c r="CE38" t="s">
        <v>236</v>
      </c>
      <c r="EA38" t="s">
        <v>226</v>
      </c>
      <c r="EB38" t="s">
        <v>244</v>
      </c>
      <c r="EC38" t="s">
        <v>226</v>
      </c>
      <c r="ED38" t="s">
        <v>244</v>
      </c>
      <c r="EE38" t="s">
        <v>226</v>
      </c>
      <c r="EF38" t="s">
        <v>245</v>
      </c>
      <c r="EG38" t="s">
        <v>226</v>
      </c>
      <c r="EH38" t="s">
        <v>245</v>
      </c>
      <c r="EI38" t="s">
        <v>236</v>
      </c>
      <c r="EK38" t="s">
        <v>236</v>
      </c>
      <c r="EM38" t="s">
        <v>226</v>
      </c>
      <c r="EN38" t="s">
        <v>244</v>
      </c>
      <c r="EO38" t="s">
        <v>236</v>
      </c>
      <c r="EQ38" t="s">
        <v>226</v>
      </c>
      <c r="ER38" t="s">
        <v>265</v>
      </c>
      <c r="ES38" t="s">
        <v>236</v>
      </c>
      <c r="EU38" t="s">
        <v>236</v>
      </c>
      <c r="EW38" t="s">
        <v>226</v>
      </c>
      <c r="EX38" t="s">
        <v>244</v>
      </c>
      <c r="EY38" t="s">
        <v>226</v>
      </c>
      <c r="EZ38" t="s">
        <v>244</v>
      </c>
      <c r="FA38" t="s">
        <v>236</v>
      </c>
      <c r="FC38" t="s">
        <v>236</v>
      </c>
      <c r="FE38" t="s">
        <v>226</v>
      </c>
      <c r="FF38" t="s">
        <v>245</v>
      </c>
      <c r="FG38" t="s">
        <v>236</v>
      </c>
      <c r="FJ38" t="s">
        <v>226</v>
      </c>
      <c r="FK38" t="s">
        <v>245</v>
      </c>
      <c r="FL38" t="s">
        <v>236</v>
      </c>
      <c r="FM38" t="s">
        <v>226</v>
      </c>
      <c r="FN38" t="s">
        <v>1042</v>
      </c>
      <c r="FO38">
        <v>0</v>
      </c>
      <c r="FP38">
        <v>0</v>
      </c>
      <c r="FQ38">
        <v>0</v>
      </c>
      <c r="FR38">
        <v>1</v>
      </c>
      <c r="FS38">
        <v>0</v>
      </c>
      <c r="FU38" t="s">
        <v>236</v>
      </c>
      <c r="FW38" t="s">
        <v>226</v>
      </c>
      <c r="FX38" t="s">
        <v>236</v>
      </c>
      <c r="FZ38" t="s">
        <v>236</v>
      </c>
      <c r="GC38" t="s">
        <v>236</v>
      </c>
      <c r="GF38" t="s">
        <v>226</v>
      </c>
      <c r="GG38" t="s">
        <v>236</v>
      </c>
      <c r="GI38" t="s">
        <v>236</v>
      </c>
      <c r="GL38" t="s">
        <v>236</v>
      </c>
      <c r="GO38" t="s">
        <v>226</v>
      </c>
      <c r="GP38" t="s">
        <v>236</v>
      </c>
      <c r="GR38" t="s">
        <v>226</v>
      </c>
      <c r="GS38" t="s">
        <v>236</v>
      </c>
      <c r="GU38" t="s">
        <v>236</v>
      </c>
      <c r="GX38" t="s">
        <v>236</v>
      </c>
      <c r="HB38" t="s">
        <v>452</v>
      </c>
      <c r="HC38" t="s">
        <v>280</v>
      </c>
      <c r="HE38">
        <v>82702526</v>
      </c>
      <c r="HF38" t="s">
        <v>1043</v>
      </c>
      <c r="HG38" s="2">
        <v>45749.880127314813</v>
      </c>
      <c r="HJ38" t="s">
        <v>248</v>
      </c>
      <c r="HL38" t="s">
        <v>249</v>
      </c>
      <c r="HN38">
        <v>37</v>
      </c>
    </row>
    <row r="39" spans="1:222" x14ac:dyDescent="0.25">
      <c r="A39" s="2">
        <v>45749.671491435183</v>
      </c>
      <c r="B39" s="2">
        <v>45749.674213622682</v>
      </c>
      <c r="C39" t="s">
        <v>305</v>
      </c>
      <c r="D39">
        <v>96</v>
      </c>
      <c r="E39" s="2">
        <v>45732</v>
      </c>
      <c r="F39">
        <v>3</v>
      </c>
      <c r="G39" t="s">
        <v>834</v>
      </c>
      <c r="H39" t="s">
        <v>307</v>
      </c>
      <c r="I39">
        <v>66</v>
      </c>
      <c r="J39" t="str">
        <f t="shared" si="0"/>
        <v>de 56 a más</v>
      </c>
      <c r="K39" t="s">
        <v>224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291</v>
      </c>
      <c r="R39" t="s">
        <v>226</v>
      </c>
      <c r="T39" t="s">
        <v>227</v>
      </c>
      <c r="V39" t="s">
        <v>252</v>
      </c>
      <c r="W39" t="s">
        <v>229</v>
      </c>
      <c r="X39" t="s">
        <v>230</v>
      </c>
      <c r="Z39" t="s">
        <v>254</v>
      </c>
      <c r="AA39" t="s">
        <v>293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I39" t="s">
        <v>233</v>
      </c>
      <c r="AJ39">
        <v>0</v>
      </c>
      <c r="AK39">
        <v>1</v>
      </c>
      <c r="AL39">
        <v>0</v>
      </c>
      <c r="AM39">
        <v>0</v>
      </c>
      <c r="AN39" t="s">
        <v>300</v>
      </c>
      <c r="AO39" t="s">
        <v>275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1</v>
      </c>
      <c r="AV39">
        <v>0</v>
      </c>
      <c r="AX39" t="s">
        <v>226</v>
      </c>
      <c r="AY39" t="s">
        <v>226</v>
      </c>
      <c r="AZ39" t="s">
        <v>237</v>
      </c>
      <c r="BA39" t="s">
        <v>672</v>
      </c>
      <c r="BB39" t="s">
        <v>841</v>
      </c>
      <c r="BC39" t="s">
        <v>842</v>
      </c>
      <c r="BE39" t="s">
        <v>259</v>
      </c>
      <c r="BF39" t="s">
        <v>237</v>
      </c>
      <c r="BG39" t="s">
        <v>259</v>
      </c>
      <c r="BH39" t="s">
        <v>259</v>
      </c>
      <c r="BI39" t="s">
        <v>237</v>
      </c>
      <c r="BJ39" t="s">
        <v>259</v>
      </c>
      <c r="BK39" t="s">
        <v>261</v>
      </c>
      <c r="BL39" t="s">
        <v>240</v>
      </c>
      <c r="BM39" t="s">
        <v>278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 t="s">
        <v>264</v>
      </c>
      <c r="CB39" t="s">
        <v>264</v>
      </c>
      <c r="CC39" t="s">
        <v>242</v>
      </c>
      <c r="CD39" t="s">
        <v>236</v>
      </c>
      <c r="CE39" t="s">
        <v>236</v>
      </c>
      <c r="EA39" t="s">
        <v>236</v>
      </c>
      <c r="EC39" t="s">
        <v>236</v>
      </c>
      <c r="EE39" t="s">
        <v>236</v>
      </c>
      <c r="EG39" t="s">
        <v>226</v>
      </c>
      <c r="EH39" t="s">
        <v>244</v>
      </c>
      <c r="EI39" t="s">
        <v>236</v>
      </c>
      <c r="EK39" t="s">
        <v>236</v>
      </c>
      <c r="EM39" t="s">
        <v>226</v>
      </c>
      <c r="EN39" t="s">
        <v>265</v>
      </c>
      <c r="EO39" t="s">
        <v>236</v>
      </c>
      <c r="EQ39" t="s">
        <v>236</v>
      </c>
      <c r="ES39" t="s">
        <v>236</v>
      </c>
      <c r="EU39" t="s">
        <v>236</v>
      </c>
      <c r="EW39" t="s">
        <v>236</v>
      </c>
      <c r="EY39" t="s">
        <v>236</v>
      </c>
      <c r="FA39" t="s">
        <v>226</v>
      </c>
      <c r="FB39" t="s">
        <v>244</v>
      </c>
      <c r="FC39" t="s">
        <v>236</v>
      </c>
      <c r="FE39" t="s">
        <v>236</v>
      </c>
      <c r="FG39" t="s">
        <v>236</v>
      </c>
      <c r="FJ39" t="s">
        <v>226</v>
      </c>
      <c r="FK39" t="s">
        <v>244</v>
      </c>
      <c r="FL39" t="s">
        <v>236</v>
      </c>
      <c r="FM39" t="s">
        <v>236</v>
      </c>
      <c r="FW39" t="s">
        <v>226</v>
      </c>
      <c r="FX39" t="s">
        <v>226</v>
      </c>
      <c r="FY39" t="s">
        <v>267</v>
      </c>
      <c r="FZ39" t="s">
        <v>226</v>
      </c>
      <c r="GA39" t="s">
        <v>226</v>
      </c>
      <c r="GB39" t="s">
        <v>267</v>
      </c>
      <c r="GC39" t="s">
        <v>236</v>
      </c>
      <c r="GF39" t="s">
        <v>226</v>
      </c>
      <c r="GG39" t="s">
        <v>226</v>
      </c>
      <c r="GH39" t="s">
        <v>267</v>
      </c>
      <c r="GI39" t="s">
        <v>236</v>
      </c>
      <c r="GL39" t="s">
        <v>236</v>
      </c>
      <c r="GO39" t="s">
        <v>236</v>
      </c>
      <c r="GR39" t="s">
        <v>226</v>
      </c>
      <c r="GS39" t="s">
        <v>226</v>
      </c>
      <c r="GT39" t="s">
        <v>267</v>
      </c>
      <c r="GU39" t="s">
        <v>236</v>
      </c>
      <c r="GX39" t="s">
        <v>236</v>
      </c>
      <c r="HB39" t="s">
        <v>338</v>
      </c>
      <c r="HC39" t="s">
        <v>843</v>
      </c>
      <c r="HD39" t="s">
        <v>288</v>
      </c>
      <c r="HE39">
        <v>82702849</v>
      </c>
      <c r="HF39" t="s">
        <v>844</v>
      </c>
      <c r="HG39" s="2">
        <v>45749.882476851853</v>
      </c>
      <c r="HJ39" t="s">
        <v>248</v>
      </c>
      <c r="HL39" t="s">
        <v>249</v>
      </c>
      <c r="HN39">
        <v>38</v>
      </c>
    </row>
    <row r="40" spans="1:222" x14ac:dyDescent="0.25">
      <c r="A40" s="2">
        <v>45749.671879328707</v>
      </c>
      <c r="B40" s="2">
        <v>45749.680029756943</v>
      </c>
      <c r="C40" t="s">
        <v>334</v>
      </c>
      <c r="D40">
        <v>141</v>
      </c>
      <c r="E40" s="2">
        <v>45730</v>
      </c>
      <c r="F40">
        <v>3</v>
      </c>
      <c r="G40" t="s">
        <v>528</v>
      </c>
      <c r="H40" t="s">
        <v>335</v>
      </c>
      <c r="I40">
        <v>36</v>
      </c>
      <c r="J40" t="str">
        <f t="shared" si="0"/>
        <v>de 26 a 40 años</v>
      </c>
      <c r="K40" t="s">
        <v>251</v>
      </c>
      <c r="L40">
        <v>1</v>
      </c>
      <c r="M40">
        <v>0</v>
      </c>
      <c r="N40">
        <v>0</v>
      </c>
      <c r="O40">
        <v>0</v>
      </c>
      <c r="P40">
        <v>0</v>
      </c>
      <c r="Q40" t="s">
        <v>291</v>
      </c>
      <c r="R40" t="s">
        <v>226</v>
      </c>
      <c r="T40" t="s">
        <v>284</v>
      </c>
      <c r="V40" t="s">
        <v>252</v>
      </c>
      <c r="W40" t="s">
        <v>292</v>
      </c>
      <c r="X40" t="s">
        <v>230</v>
      </c>
      <c r="Z40" t="s">
        <v>231</v>
      </c>
      <c r="AA40" t="s">
        <v>232</v>
      </c>
      <c r="AB40">
        <v>1</v>
      </c>
      <c r="AC40">
        <v>0</v>
      </c>
      <c r="AD40">
        <v>0</v>
      </c>
      <c r="AE40">
        <v>0</v>
      </c>
      <c r="AF40">
        <v>0</v>
      </c>
      <c r="AG40">
        <v>0</v>
      </c>
      <c r="AI40" t="s">
        <v>256</v>
      </c>
      <c r="AJ40">
        <v>0</v>
      </c>
      <c r="AK40">
        <v>0</v>
      </c>
      <c r="AL40">
        <v>1</v>
      </c>
      <c r="AM40">
        <v>0</v>
      </c>
      <c r="AN40" t="s">
        <v>234</v>
      </c>
      <c r="AO40" t="s">
        <v>802</v>
      </c>
      <c r="AP40">
        <v>0</v>
      </c>
      <c r="AQ40">
        <v>0</v>
      </c>
      <c r="AR40">
        <v>0</v>
      </c>
      <c r="AS40">
        <v>1</v>
      </c>
      <c r="AT40">
        <v>0</v>
      </c>
      <c r="AU40">
        <v>0</v>
      </c>
      <c r="AV40">
        <v>1</v>
      </c>
      <c r="AW40" t="s">
        <v>1033</v>
      </c>
      <c r="AX40" t="s">
        <v>226</v>
      </c>
      <c r="AY40" t="s">
        <v>226</v>
      </c>
      <c r="AZ40" t="s">
        <v>259</v>
      </c>
      <c r="BA40" t="s">
        <v>1034</v>
      </c>
      <c r="BB40" t="s">
        <v>1035</v>
      </c>
      <c r="BC40" t="s">
        <v>1036</v>
      </c>
      <c r="BE40" t="s">
        <v>237</v>
      </c>
      <c r="BF40" t="s">
        <v>259</v>
      </c>
      <c r="BG40" t="s">
        <v>259</v>
      </c>
      <c r="BH40" t="s">
        <v>237</v>
      </c>
      <c r="BI40" t="s">
        <v>237</v>
      </c>
      <c r="BJ40" t="s">
        <v>259</v>
      </c>
      <c r="BK40" t="s">
        <v>261</v>
      </c>
      <c r="BL40" t="s">
        <v>313</v>
      </c>
      <c r="BM40" t="s">
        <v>490</v>
      </c>
      <c r="BN40">
        <v>1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 t="s">
        <v>264</v>
      </c>
      <c r="CB40" t="s">
        <v>264</v>
      </c>
      <c r="CC40" t="s">
        <v>264</v>
      </c>
      <c r="CD40" t="s">
        <v>226</v>
      </c>
      <c r="CE40" t="s">
        <v>226</v>
      </c>
      <c r="CF40" t="s">
        <v>1037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1</v>
      </c>
      <c r="CQ40">
        <v>0</v>
      </c>
      <c r="DB40" t="s">
        <v>236</v>
      </c>
      <c r="DV40" t="s">
        <v>520</v>
      </c>
      <c r="EA40" t="s">
        <v>236</v>
      </c>
      <c r="EC40" t="s">
        <v>226</v>
      </c>
      <c r="ED40" t="s">
        <v>244</v>
      </c>
      <c r="EE40" t="s">
        <v>226</v>
      </c>
      <c r="EF40" t="s">
        <v>265</v>
      </c>
      <c r="EG40" t="s">
        <v>226</v>
      </c>
      <c r="EH40" t="s">
        <v>245</v>
      </c>
      <c r="EI40" t="s">
        <v>236</v>
      </c>
      <c r="EK40" t="s">
        <v>226</v>
      </c>
      <c r="EL40" t="s">
        <v>245</v>
      </c>
      <c r="EM40" t="s">
        <v>236</v>
      </c>
      <c r="EO40" t="s">
        <v>226</v>
      </c>
      <c r="EP40" t="s">
        <v>244</v>
      </c>
      <c r="EQ40" t="s">
        <v>236</v>
      </c>
      <c r="ES40" t="s">
        <v>236</v>
      </c>
      <c r="EU40" t="s">
        <v>236</v>
      </c>
      <c r="EW40" t="s">
        <v>226</v>
      </c>
      <c r="EX40" t="s">
        <v>244</v>
      </c>
      <c r="EY40" t="s">
        <v>226</v>
      </c>
      <c r="EZ40" t="s">
        <v>245</v>
      </c>
      <c r="FA40" t="s">
        <v>226</v>
      </c>
      <c r="FB40" t="s">
        <v>244</v>
      </c>
      <c r="FC40" t="s">
        <v>236</v>
      </c>
      <c r="FE40" t="s">
        <v>236</v>
      </c>
      <c r="FG40" t="s">
        <v>236</v>
      </c>
      <c r="FJ40" t="s">
        <v>226</v>
      </c>
      <c r="FK40" t="s">
        <v>265</v>
      </c>
      <c r="FL40" t="s">
        <v>236</v>
      </c>
      <c r="FM40" t="s">
        <v>236</v>
      </c>
      <c r="FW40" t="s">
        <v>226</v>
      </c>
      <c r="FX40" t="s">
        <v>236</v>
      </c>
      <c r="FZ40" t="s">
        <v>236</v>
      </c>
      <c r="GC40" t="s">
        <v>236</v>
      </c>
      <c r="GF40" t="s">
        <v>226</v>
      </c>
      <c r="GG40" t="s">
        <v>236</v>
      </c>
      <c r="GI40" t="s">
        <v>236</v>
      </c>
      <c r="GL40" t="s">
        <v>236</v>
      </c>
      <c r="GO40" t="s">
        <v>226</v>
      </c>
      <c r="GP40" t="s">
        <v>226</v>
      </c>
      <c r="GQ40" t="s">
        <v>267</v>
      </c>
      <c r="GR40" t="s">
        <v>226</v>
      </c>
      <c r="GS40" t="s">
        <v>226</v>
      </c>
      <c r="GT40" t="s">
        <v>570</v>
      </c>
      <c r="GU40" t="s">
        <v>226</v>
      </c>
      <c r="GV40" t="s">
        <v>226</v>
      </c>
      <c r="GW40" t="s">
        <v>601</v>
      </c>
      <c r="GX40" t="s">
        <v>236</v>
      </c>
      <c r="HB40" t="s">
        <v>279</v>
      </c>
      <c r="HC40" t="s">
        <v>1038</v>
      </c>
      <c r="HD40" t="s">
        <v>1039</v>
      </c>
      <c r="HE40">
        <v>82703271</v>
      </c>
      <c r="HF40" t="s">
        <v>1040</v>
      </c>
      <c r="HG40" s="2">
        <v>45749.888287037043</v>
      </c>
      <c r="HJ40" t="s">
        <v>248</v>
      </c>
      <c r="HL40" t="s">
        <v>249</v>
      </c>
      <c r="HN40">
        <v>40</v>
      </c>
    </row>
    <row r="41" spans="1:222" x14ac:dyDescent="0.25">
      <c r="A41" s="2">
        <v>45749.67421409722</v>
      </c>
      <c r="B41" s="2">
        <v>45749.676880891202</v>
      </c>
      <c r="C41" t="s">
        <v>305</v>
      </c>
      <c r="D41">
        <v>97</v>
      </c>
      <c r="E41" s="2">
        <v>45732</v>
      </c>
      <c r="F41">
        <v>3</v>
      </c>
      <c r="G41" t="s">
        <v>834</v>
      </c>
      <c r="H41" t="s">
        <v>307</v>
      </c>
      <c r="I41">
        <v>76</v>
      </c>
      <c r="J41" t="str">
        <f t="shared" si="0"/>
        <v>de 56 a más</v>
      </c>
      <c r="K41" t="s">
        <v>251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291</v>
      </c>
      <c r="R41" t="s">
        <v>226</v>
      </c>
      <c r="T41" t="s">
        <v>227</v>
      </c>
      <c r="V41" t="s">
        <v>612</v>
      </c>
      <c r="W41" t="s">
        <v>229</v>
      </c>
      <c r="X41" t="s">
        <v>368</v>
      </c>
      <c r="Z41" t="s">
        <v>254</v>
      </c>
      <c r="AA41" t="s">
        <v>293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I41" t="s">
        <v>233</v>
      </c>
      <c r="AJ41">
        <v>0</v>
      </c>
      <c r="AK41">
        <v>1</v>
      </c>
      <c r="AL41">
        <v>0</v>
      </c>
      <c r="AM41">
        <v>0</v>
      </c>
      <c r="AN41" t="s">
        <v>257</v>
      </c>
      <c r="AO41" t="s">
        <v>369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 t="s">
        <v>404</v>
      </c>
      <c r="AX41" t="s">
        <v>236</v>
      </c>
      <c r="AZ41" t="s">
        <v>237</v>
      </c>
      <c r="BA41" t="s">
        <v>845</v>
      </c>
      <c r="BB41" t="s">
        <v>846</v>
      </c>
      <c r="BC41" t="s">
        <v>847</v>
      </c>
      <c r="BE41" t="s">
        <v>259</v>
      </c>
      <c r="BF41" t="s">
        <v>259</v>
      </c>
      <c r="BG41" t="s">
        <v>259</v>
      </c>
      <c r="BH41" t="s">
        <v>239</v>
      </c>
      <c r="BI41" t="s">
        <v>239</v>
      </c>
      <c r="BJ41" t="s">
        <v>259</v>
      </c>
      <c r="BK41" t="s">
        <v>261</v>
      </c>
      <c r="BL41" t="s">
        <v>262</v>
      </c>
      <c r="BM41" t="s">
        <v>365</v>
      </c>
      <c r="BN41">
        <v>0</v>
      </c>
      <c r="BO41">
        <v>1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 t="s">
        <v>243</v>
      </c>
      <c r="CB41" t="s">
        <v>328</v>
      </c>
      <c r="CC41" t="s">
        <v>328</v>
      </c>
      <c r="CD41" t="s">
        <v>236</v>
      </c>
      <c r="CE41" t="s">
        <v>236</v>
      </c>
      <c r="EA41" t="s">
        <v>236</v>
      </c>
      <c r="EC41" t="s">
        <v>236</v>
      </c>
      <c r="EE41" t="s">
        <v>226</v>
      </c>
      <c r="EF41" t="s">
        <v>265</v>
      </c>
      <c r="EG41" t="s">
        <v>236</v>
      </c>
      <c r="EI41" t="s">
        <v>236</v>
      </c>
      <c r="EK41" t="s">
        <v>236</v>
      </c>
      <c r="EM41" t="s">
        <v>226</v>
      </c>
      <c r="EN41" t="s">
        <v>244</v>
      </c>
      <c r="EO41" t="s">
        <v>236</v>
      </c>
      <c r="EQ41" t="s">
        <v>236</v>
      </c>
      <c r="ES41" t="s">
        <v>236</v>
      </c>
      <c r="EU41" t="s">
        <v>236</v>
      </c>
      <c r="EW41" t="s">
        <v>236</v>
      </c>
      <c r="EY41" t="s">
        <v>226</v>
      </c>
      <c r="EZ41" t="s">
        <v>244</v>
      </c>
      <c r="FA41" t="s">
        <v>226</v>
      </c>
      <c r="FB41" t="s">
        <v>244</v>
      </c>
      <c r="FC41" t="s">
        <v>236</v>
      </c>
      <c r="FE41" t="s">
        <v>226</v>
      </c>
      <c r="FF41" t="s">
        <v>244</v>
      </c>
      <c r="FG41" t="s">
        <v>236</v>
      </c>
      <c r="FJ41" t="s">
        <v>226</v>
      </c>
      <c r="FK41" t="s">
        <v>244</v>
      </c>
      <c r="FL41" t="s">
        <v>236</v>
      </c>
      <c r="FM41" t="s">
        <v>236</v>
      </c>
      <c r="FW41" t="s">
        <v>226</v>
      </c>
      <c r="FX41" t="s">
        <v>226</v>
      </c>
      <c r="FY41" t="s">
        <v>267</v>
      </c>
      <c r="FZ41" t="s">
        <v>236</v>
      </c>
      <c r="GC41" t="s">
        <v>236</v>
      </c>
      <c r="GF41" t="s">
        <v>226</v>
      </c>
      <c r="GG41" t="s">
        <v>236</v>
      </c>
      <c r="GI41" t="s">
        <v>236</v>
      </c>
      <c r="GL41" t="s">
        <v>236</v>
      </c>
      <c r="GO41" t="s">
        <v>236</v>
      </c>
      <c r="GR41" t="s">
        <v>236</v>
      </c>
      <c r="GU41" t="s">
        <v>236</v>
      </c>
      <c r="GX41" t="s">
        <v>236</v>
      </c>
      <c r="HB41" t="s">
        <v>303</v>
      </c>
      <c r="HC41" t="s">
        <v>338</v>
      </c>
      <c r="HD41" t="s">
        <v>848</v>
      </c>
      <c r="HE41">
        <v>82702983</v>
      </c>
      <c r="HF41" t="s">
        <v>849</v>
      </c>
      <c r="HG41" s="2">
        <v>45749.885138888887</v>
      </c>
      <c r="HJ41" t="s">
        <v>248</v>
      </c>
      <c r="HL41" t="s">
        <v>249</v>
      </c>
      <c r="HN41">
        <v>39</v>
      </c>
    </row>
    <row r="42" spans="1:222" x14ac:dyDescent="0.25">
      <c r="A42" s="2">
        <v>45749.676881377323</v>
      </c>
      <c r="B42" s="2">
        <v>45749.680750891202</v>
      </c>
      <c r="C42" t="s">
        <v>305</v>
      </c>
      <c r="D42">
        <v>98</v>
      </c>
      <c r="E42" s="2">
        <v>45732</v>
      </c>
      <c r="F42">
        <v>3</v>
      </c>
      <c r="G42" t="s">
        <v>834</v>
      </c>
      <c r="H42" t="s">
        <v>307</v>
      </c>
      <c r="I42">
        <v>42</v>
      </c>
      <c r="J42" t="str">
        <f t="shared" si="0"/>
        <v>de 41 a 55 años</v>
      </c>
      <c r="K42" t="s">
        <v>341</v>
      </c>
      <c r="L42">
        <v>1</v>
      </c>
      <c r="M42">
        <v>0</v>
      </c>
      <c r="N42">
        <v>0</v>
      </c>
      <c r="O42">
        <v>0</v>
      </c>
      <c r="P42">
        <v>0</v>
      </c>
      <c r="Q42" t="s">
        <v>291</v>
      </c>
      <c r="R42" t="s">
        <v>226</v>
      </c>
      <c r="T42" t="s">
        <v>227</v>
      </c>
      <c r="V42" t="s">
        <v>252</v>
      </c>
      <c r="W42" t="s">
        <v>229</v>
      </c>
      <c r="X42" t="s">
        <v>230</v>
      </c>
      <c r="Z42" t="s">
        <v>254</v>
      </c>
      <c r="AA42" t="s">
        <v>255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I42" t="s">
        <v>850</v>
      </c>
      <c r="AJ42">
        <v>0</v>
      </c>
      <c r="AK42">
        <v>0</v>
      </c>
      <c r="AL42">
        <v>1</v>
      </c>
      <c r="AM42">
        <v>1</v>
      </c>
      <c r="AN42" t="s">
        <v>257</v>
      </c>
      <c r="AO42" t="s">
        <v>369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 t="s">
        <v>851</v>
      </c>
      <c r="AX42" t="s">
        <v>236</v>
      </c>
      <c r="AZ42" t="s">
        <v>259</v>
      </c>
      <c r="BA42" t="s">
        <v>852</v>
      </c>
      <c r="BB42" t="s">
        <v>853</v>
      </c>
      <c r="BC42" t="s">
        <v>854</v>
      </c>
      <c r="BE42" t="s">
        <v>261</v>
      </c>
      <c r="BF42" t="s">
        <v>259</v>
      </c>
      <c r="BG42" t="s">
        <v>259</v>
      </c>
      <c r="BH42" t="s">
        <v>261</v>
      </c>
      <c r="BI42" t="s">
        <v>259</v>
      </c>
      <c r="BJ42" t="s">
        <v>261</v>
      </c>
      <c r="BK42" t="s">
        <v>261</v>
      </c>
      <c r="BL42" t="s">
        <v>313</v>
      </c>
      <c r="BM42" t="s">
        <v>278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1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 t="s">
        <v>242</v>
      </c>
      <c r="CB42" t="s">
        <v>328</v>
      </c>
      <c r="CC42" t="s">
        <v>328</v>
      </c>
      <c r="CD42" t="s">
        <v>236</v>
      </c>
      <c r="CE42" t="s">
        <v>236</v>
      </c>
      <c r="EA42" t="s">
        <v>226</v>
      </c>
      <c r="EB42" t="s">
        <v>245</v>
      </c>
      <c r="EC42" t="s">
        <v>226</v>
      </c>
      <c r="ED42" t="s">
        <v>245</v>
      </c>
      <c r="EE42" t="s">
        <v>226</v>
      </c>
      <c r="EF42" t="s">
        <v>265</v>
      </c>
      <c r="EG42" t="s">
        <v>226</v>
      </c>
      <c r="EH42" t="s">
        <v>265</v>
      </c>
      <c r="EI42" t="s">
        <v>226</v>
      </c>
      <c r="EJ42" t="s">
        <v>265</v>
      </c>
      <c r="EK42" t="s">
        <v>226</v>
      </c>
      <c r="EL42" t="s">
        <v>244</v>
      </c>
      <c r="EM42" t="s">
        <v>226</v>
      </c>
      <c r="EN42" t="s">
        <v>265</v>
      </c>
      <c r="EO42" t="s">
        <v>226</v>
      </c>
      <c r="EP42" t="s">
        <v>265</v>
      </c>
      <c r="EQ42" t="s">
        <v>236</v>
      </c>
      <c r="ES42" t="s">
        <v>226</v>
      </c>
      <c r="ET42" t="s">
        <v>265</v>
      </c>
      <c r="EU42" t="s">
        <v>226</v>
      </c>
      <c r="EV42" t="s">
        <v>265</v>
      </c>
      <c r="EW42" t="s">
        <v>226</v>
      </c>
      <c r="EX42" t="s">
        <v>244</v>
      </c>
      <c r="EY42" t="s">
        <v>226</v>
      </c>
      <c r="EZ42" t="s">
        <v>265</v>
      </c>
      <c r="FA42" t="s">
        <v>226</v>
      </c>
      <c r="FB42" t="s">
        <v>265</v>
      </c>
      <c r="FC42" t="s">
        <v>236</v>
      </c>
      <c r="FE42" t="s">
        <v>226</v>
      </c>
      <c r="FF42" t="s">
        <v>265</v>
      </c>
      <c r="FG42" t="s">
        <v>236</v>
      </c>
      <c r="FJ42" t="s">
        <v>226</v>
      </c>
      <c r="FK42" t="s">
        <v>265</v>
      </c>
      <c r="FL42" t="s">
        <v>236</v>
      </c>
      <c r="FM42" t="s">
        <v>226</v>
      </c>
      <c r="FN42" t="s">
        <v>416</v>
      </c>
      <c r="FO42">
        <v>0</v>
      </c>
      <c r="FP42">
        <v>1</v>
      </c>
      <c r="FQ42">
        <v>0</v>
      </c>
      <c r="FR42">
        <v>0</v>
      </c>
      <c r="FS42">
        <v>0</v>
      </c>
      <c r="FU42" t="s">
        <v>226</v>
      </c>
      <c r="FW42" t="s">
        <v>236</v>
      </c>
      <c r="FZ42" t="s">
        <v>236</v>
      </c>
      <c r="GC42" t="s">
        <v>236</v>
      </c>
      <c r="GF42" t="s">
        <v>236</v>
      </c>
      <c r="GI42" t="s">
        <v>236</v>
      </c>
      <c r="GL42" t="s">
        <v>236</v>
      </c>
      <c r="GO42" t="s">
        <v>226</v>
      </c>
      <c r="GP42" t="s">
        <v>236</v>
      </c>
      <c r="GR42" t="s">
        <v>226</v>
      </c>
      <c r="GS42" t="s">
        <v>236</v>
      </c>
      <c r="GU42" t="s">
        <v>236</v>
      </c>
      <c r="GX42" t="s">
        <v>236</v>
      </c>
      <c r="HB42" t="s">
        <v>358</v>
      </c>
      <c r="HC42" t="s">
        <v>855</v>
      </c>
      <c r="HD42" t="s">
        <v>856</v>
      </c>
      <c r="HE42">
        <v>82703312</v>
      </c>
      <c r="HF42" t="s">
        <v>857</v>
      </c>
      <c r="HG42" s="2">
        <v>45749.889004629629</v>
      </c>
      <c r="HJ42" t="s">
        <v>248</v>
      </c>
      <c r="HL42" t="s">
        <v>249</v>
      </c>
      <c r="HN42">
        <v>41</v>
      </c>
    </row>
    <row r="43" spans="1:222" x14ac:dyDescent="0.25">
      <c r="A43" s="2">
        <v>45749.68003023148</v>
      </c>
      <c r="B43" s="2">
        <v>45749.687368761573</v>
      </c>
      <c r="C43" t="s">
        <v>334</v>
      </c>
      <c r="D43">
        <v>140</v>
      </c>
      <c r="E43" s="2">
        <v>45730</v>
      </c>
      <c r="F43">
        <v>3</v>
      </c>
      <c r="G43" t="s">
        <v>306</v>
      </c>
      <c r="H43" t="s">
        <v>335</v>
      </c>
      <c r="I43">
        <v>47</v>
      </c>
      <c r="J43" t="str">
        <f t="shared" si="0"/>
        <v>de 41 a 55 años</v>
      </c>
      <c r="K43" t="s">
        <v>341</v>
      </c>
      <c r="L43">
        <v>1</v>
      </c>
      <c r="M43">
        <v>0</v>
      </c>
      <c r="N43">
        <v>0</v>
      </c>
      <c r="O43">
        <v>0</v>
      </c>
      <c r="P43">
        <v>0</v>
      </c>
      <c r="Q43" t="s">
        <v>291</v>
      </c>
      <c r="R43" t="s">
        <v>236</v>
      </c>
      <c r="S43" t="s">
        <v>771</v>
      </c>
      <c r="T43" t="s">
        <v>227</v>
      </c>
      <c r="V43" t="s">
        <v>228</v>
      </c>
      <c r="W43" t="s">
        <v>292</v>
      </c>
      <c r="X43" t="s">
        <v>350</v>
      </c>
      <c r="Z43" t="s">
        <v>308</v>
      </c>
      <c r="AA43" t="s">
        <v>232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0</v>
      </c>
      <c r="AI43" t="s">
        <v>233</v>
      </c>
      <c r="AJ43">
        <v>0</v>
      </c>
      <c r="AK43">
        <v>1</v>
      </c>
      <c r="AL43">
        <v>0</v>
      </c>
      <c r="AM43">
        <v>0</v>
      </c>
      <c r="AN43" t="s">
        <v>300</v>
      </c>
      <c r="AO43" t="s">
        <v>779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0</v>
      </c>
      <c r="AX43" t="s">
        <v>236</v>
      </c>
      <c r="AZ43" t="s">
        <v>237</v>
      </c>
      <c r="BA43" t="s">
        <v>1028</v>
      </c>
      <c r="BE43" t="s">
        <v>261</v>
      </c>
      <c r="BF43" t="s">
        <v>237</v>
      </c>
      <c r="BG43" t="s">
        <v>261</v>
      </c>
      <c r="BH43" t="s">
        <v>237</v>
      </c>
      <c r="BI43" t="s">
        <v>239</v>
      </c>
      <c r="BJ43" t="s">
        <v>237</v>
      </c>
      <c r="BK43" t="s">
        <v>261</v>
      </c>
      <c r="BL43" t="s">
        <v>313</v>
      </c>
      <c r="BM43" t="s">
        <v>278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 t="s">
        <v>264</v>
      </c>
      <c r="CB43" t="s">
        <v>264</v>
      </c>
      <c r="CC43" t="s">
        <v>264</v>
      </c>
      <c r="CD43" t="s">
        <v>236</v>
      </c>
      <c r="CE43" t="s">
        <v>226</v>
      </c>
      <c r="CF43" t="s">
        <v>315</v>
      </c>
      <c r="CG43">
        <v>1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S43" t="s">
        <v>236</v>
      </c>
      <c r="DD43" t="s">
        <v>520</v>
      </c>
      <c r="EA43" t="s">
        <v>226</v>
      </c>
      <c r="EB43" t="s">
        <v>245</v>
      </c>
      <c r="EC43" t="s">
        <v>236</v>
      </c>
      <c r="EE43" t="s">
        <v>236</v>
      </c>
      <c r="EG43" t="s">
        <v>236</v>
      </c>
      <c r="EI43" t="s">
        <v>236</v>
      </c>
      <c r="EK43" t="s">
        <v>236</v>
      </c>
      <c r="EM43" t="s">
        <v>226</v>
      </c>
      <c r="EN43" t="s">
        <v>245</v>
      </c>
      <c r="EO43" t="s">
        <v>236</v>
      </c>
      <c r="EQ43" t="s">
        <v>236</v>
      </c>
      <c r="ES43" t="s">
        <v>226</v>
      </c>
      <c r="ET43" t="s">
        <v>245</v>
      </c>
      <c r="EU43" t="s">
        <v>236</v>
      </c>
      <c r="EW43" t="s">
        <v>236</v>
      </c>
      <c r="EY43" t="s">
        <v>236</v>
      </c>
      <c r="FA43" t="s">
        <v>226</v>
      </c>
      <c r="FB43" t="s">
        <v>245</v>
      </c>
      <c r="FC43" t="s">
        <v>236</v>
      </c>
      <c r="FE43" t="s">
        <v>236</v>
      </c>
      <c r="FG43" t="s">
        <v>226</v>
      </c>
      <c r="FH43" t="s">
        <v>1029</v>
      </c>
      <c r="FI43" t="s">
        <v>245</v>
      </c>
      <c r="FJ43" t="s">
        <v>226</v>
      </c>
      <c r="FK43" t="s">
        <v>245</v>
      </c>
      <c r="FL43" t="s">
        <v>226</v>
      </c>
      <c r="FM43" t="s">
        <v>236</v>
      </c>
      <c r="FW43" t="s">
        <v>236</v>
      </c>
      <c r="FZ43" t="s">
        <v>236</v>
      </c>
      <c r="GC43" t="s">
        <v>236</v>
      </c>
      <c r="GF43" t="s">
        <v>236</v>
      </c>
      <c r="GI43" t="s">
        <v>236</v>
      </c>
      <c r="GL43" t="s">
        <v>236</v>
      </c>
      <c r="GO43" t="s">
        <v>226</v>
      </c>
      <c r="GP43" t="s">
        <v>226</v>
      </c>
      <c r="GQ43" t="s">
        <v>267</v>
      </c>
      <c r="GR43" t="s">
        <v>236</v>
      </c>
      <c r="GU43" t="s">
        <v>236</v>
      </c>
      <c r="GX43" t="s">
        <v>236</v>
      </c>
      <c r="HB43" t="s">
        <v>1030</v>
      </c>
      <c r="HC43" t="s">
        <v>510</v>
      </c>
      <c r="HD43" t="s">
        <v>1031</v>
      </c>
      <c r="HE43">
        <v>82703730</v>
      </c>
      <c r="HF43" t="s">
        <v>1032</v>
      </c>
      <c r="HG43" s="2">
        <v>45749.895624999997</v>
      </c>
      <c r="HJ43" t="s">
        <v>248</v>
      </c>
      <c r="HL43" t="s">
        <v>249</v>
      </c>
      <c r="HN43">
        <v>42</v>
      </c>
    </row>
    <row r="44" spans="1:222" x14ac:dyDescent="0.25">
      <c r="A44" s="2">
        <v>45750.342029560183</v>
      </c>
      <c r="B44" s="2">
        <v>45750.357303900462</v>
      </c>
      <c r="C44" t="s">
        <v>334</v>
      </c>
      <c r="D44">
        <v>156</v>
      </c>
      <c r="E44" s="2">
        <v>45730</v>
      </c>
      <c r="F44">
        <v>3</v>
      </c>
      <c r="G44" t="s">
        <v>834</v>
      </c>
      <c r="H44" t="s">
        <v>335</v>
      </c>
      <c r="I44">
        <v>47</v>
      </c>
      <c r="J44" t="str">
        <f t="shared" si="0"/>
        <v>de 41 a 55 años</v>
      </c>
      <c r="K44" t="s">
        <v>224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225</v>
      </c>
      <c r="R44" t="s">
        <v>226</v>
      </c>
      <c r="T44" t="s">
        <v>227</v>
      </c>
      <c r="V44" t="s">
        <v>228</v>
      </c>
      <c r="W44" t="s">
        <v>229</v>
      </c>
      <c r="X44" t="s">
        <v>230</v>
      </c>
      <c r="Z44" t="s">
        <v>351</v>
      </c>
      <c r="AA44" t="s">
        <v>293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I44" t="s">
        <v>256</v>
      </c>
      <c r="AJ44">
        <v>0</v>
      </c>
      <c r="AK44">
        <v>0</v>
      </c>
      <c r="AL44">
        <v>1</v>
      </c>
      <c r="AM44">
        <v>0</v>
      </c>
      <c r="AN44" t="s">
        <v>257</v>
      </c>
      <c r="AO44" t="s">
        <v>454</v>
      </c>
      <c r="AP44">
        <v>0</v>
      </c>
      <c r="AQ44">
        <v>0</v>
      </c>
      <c r="AR44">
        <v>1</v>
      </c>
      <c r="AS44">
        <v>0</v>
      </c>
      <c r="AT44">
        <v>0</v>
      </c>
      <c r="AU44">
        <v>1</v>
      </c>
      <c r="AV44">
        <v>0</v>
      </c>
      <c r="AX44" t="s">
        <v>226</v>
      </c>
      <c r="AY44" t="s">
        <v>226</v>
      </c>
      <c r="AZ44" t="s">
        <v>237</v>
      </c>
      <c r="BA44" t="s">
        <v>1081</v>
      </c>
      <c r="BB44" t="s">
        <v>1089</v>
      </c>
      <c r="BC44" t="s">
        <v>1090</v>
      </c>
      <c r="BE44" t="s">
        <v>259</v>
      </c>
      <c r="BF44" t="s">
        <v>259</v>
      </c>
      <c r="BG44" t="s">
        <v>261</v>
      </c>
      <c r="BH44" t="s">
        <v>237</v>
      </c>
      <c r="BI44" t="s">
        <v>237</v>
      </c>
      <c r="BJ44" t="s">
        <v>237</v>
      </c>
      <c r="BK44" t="s">
        <v>261</v>
      </c>
      <c r="BL44" t="s">
        <v>262</v>
      </c>
      <c r="BM44" t="s">
        <v>976</v>
      </c>
      <c r="BN44">
        <v>1</v>
      </c>
      <c r="BO44">
        <v>1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 t="s">
        <v>264</v>
      </c>
      <c r="CB44" t="s">
        <v>243</v>
      </c>
      <c r="CC44" t="s">
        <v>243</v>
      </c>
      <c r="CD44" t="s">
        <v>236</v>
      </c>
      <c r="CE44" t="s">
        <v>236</v>
      </c>
      <c r="EA44" t="s">
        <v>236</v>
      </c>
      <c r="EC44" t="s">
        <v>236</v>
      </c>
      <c r="EE44" t="s">
        <v>226</v>
      </c>
      <c r="EF44" t="s">
        <v>244</v>
      </c>
      <c r="EG44" t="s">
        <v>236</v>
      </c>
      <c r="EI44" t="s">
        <v>226</v>
      </c>
      <c r="EJ44" t="s">
        <v>244</v>
      </c>
      <c r="EK44" t="s">
        <v>236</v>
      </c>
      <c r="EM44" t="s">
        <v>226</v>
      </c>
      <c r="EN44" t="s">
        <v>244</v>
      </c>
      <c r="EO44" t="s">
        <v>236</v>
      </c>
      <c r="EQ44" t="s">
        <v>236</v>
      </c>
      <c r="ES44" t="s">
        <v>236</v>
      </c>
      <c r="EU44" t="s">
        <v>236</v>
      </c>
      <c r="EW44" t="s">
        <v>236</v>
      </c>
      <c r="EY44" t="s">
        <v>236</v>
      </c>
      <c r="FA44" t="s">
        <v>226</v>
      </c>
      <c r="FB44" t="s">
        <v>245</v>
      </c>
      <c r="FC44" t="s">
        <v>236</v>
      </c>
      <c r="FE44" t="s">
        <v>236</v>
      </c>
      <c r="FG44" t="s">
        <v>236</v>
      </c>
      <c r="FJ44" t="s">
        <v>226</v>
      </c>
      <c r="FK44" t="s">
        <v>244</v>
      </c>
      <c r="FL44" t="s">
        <v>226</v>
      </c>
      <c r="FM44" t="s">
        <v>236</v>
      </c>
      <c r="FW44" t="s">
        <v>226</v>
      </c>
      <c r="FX44" t="s">
        <v>236</v>
      </c>
      <c r="FZ44" t="s">
        <v>236</v>
      </c>
      <c r="GC44" t="s">
        <v>236</v>
      </c>
      <c r="GF44" t="s">
        <v>226</v>
      </c>
      <c r="GG44" t="s">
        <v>236</v>
      </c>
      <c r="GI44" t="s">
        <v>236</v>
      </c>
      <c r="GL44" t="s">
        <v>236</v>
      </c>
      <c r="GO44" t="s">
        <v>226</v>
      </c>
      <c r="GP44" t="s">
        <v>226</v>
      </c>
      <c r="GQ44" t="s">
        <v>266</v>
      </c>
      <c r="GR44" t="s">
        <v>236</v>
      </c>
      <c r="GU44" t="s">
        <v>236</v>
      </c>
      <c r="GX44" t="s">
        <v>236</v>
      </c>
      <c r="HB44" t="s">
        <v>838</v>
      </c>
      <c r="HC44" t="s">
        <v>1090</v>
      </c>
      <c r="HD44" t="s">
        <v>1091</v>
      </c>
      <c r="HE44">
        <v>82764509</v>
      </c>
      <c r="HF44" t="s">
        <v>1092</v>
      </c>
      <c r="HG44" s="2">
        <v>45750.56554398148</v>
      </c>
      <c r="HJ44" t="s">
        <v>248</v>
      </c>
      <c r="HL44" t="s">
        <v>249</v>
      </c>
      <c r="HN44">
        <v>48</v>
      </c>
    </row>
    <row r="45" spans="1:222" x14ac:dyDescent="0.25">
      <c r="A45" s="2">
        <v>45750.342366747682</v>
      </c>
      <c r="B45" s="2">
        <v>45750.345918715277</v>
      </c>
      <c r="C45" t="s">
        <v>305</v>
      </c>
      <c r="D45">
        <v>99</v>
      </c>
      <c r="E45" s="2">
        <v>45732</v>
      </c>
      <c r="F45">
        <v>3</v>
      </c>
      <c r="G45" t="s">
        <v>834</v>
      </c>
      <c r="H45" t="s">
        <v>307</v>
      </c>
      <c r="I45">
        <v>43</v>
      </c>
      <c r="J45" t="str">
        <f t="shared" si="0"/>
        <v>de 41 a 55 años</v>
      </c>
      <c r="K45" t="s">
        <v>251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291</v>
      </c>
      <c r="R45" t="s">
        <v>226</v>
      </c>
      <c r="T45" t="s">
        <v>284</v>
      </c>
      <c r="V45" t="s">
        <v>228</v>
      </c>
      <c r="W45" t="s">
        <v>229</v>
      </c>
      <c r="X45" t="s">
        <v>230</v>
      </c>
      <c r="Z45" t="s">
        <v>273</v>
      </c>
      <c r="AA45" t="s">
        <v>858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0</v>
      </c>
      <c r="AI45" t="s">
        <v>233</v>
      </c>
      <c r="AJ45">
        <v>0</v>
      </c>
      <c r="AK45">
        <v>1</v>
      </c>
      <c r="AL45">
        <v>0</v>
      </c>
      <c r="AM45">
        <v>0</v>
      </c>
      <c r="AN45" t="s">
        <v>234</v>
      </c>
      <c r="AO45" t="s">
        <v>859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1</v>
      </c>
      <c r="AV45">
        <v>0</v>
      </c>
      <c r="AX45" t="s">
        <v>226</v>
      </c>
      <c r="AY45" t="s">
        <v>226</v>
      </c>
      <c r="AZ45" t="s">
        <v>237</v>
      </c>
      <c r="BA45" t="s">
        <v>860</v>
      </c>
      <c r="BB45" t="s">
        <v>861</v>
      </c>
      <c r="BC45" t="s">
        <v>862</v>
      </c>
      <c r="BE45" t="s">
        <v>259</v>
      </c>
      <c r="BF45" t="s">
        <v>259</v>
      </c>
      <c r="BG45" t="s">
        <v>261</v>
      </c>
      <c r="BH45" t="s">
        <v>259</v>
      </c>
      <c r="BI45" t="s">
        <v>259</v>
      </c>
      <c r="BJ45" t="s">
        <v>259</v>
      </c>
      <c r="BK45" t="s">
        <v>261</v>
      </c>
      <c r="BL45" t="s">
        <v>262</v>
      </c>
      <c r="BM45" t="s">
        <v>365</v>
      </c>
      <c r="BN45">
        <v>0</v>
      </c>
      <c r="BO45">
        <v>1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 t="s">
        <v>243</v>
      </c>
      <c r="CB45" t="s">
        <v>243</v>
      </c>
      <c r="CC45" t="s">
        <v>243</v>
      </c>
      <c r="CD45" t="s">
        <v>226</v>
      </c>
      <c r="CE45" t="s">
        <v>236</v>
      </c>
      <c r="EA45" t="s">
        <v>226</v>
      </c>
      <c r="EB45" t="s">
        <v>244</v>
      </c>
      <c r="EC45" t="s">
        <v>236</v>
      </c>
      <c r="EE45" t="s">
        <v>226</v>
      </c>
      <c r="EF45" t="s">
        <v>245</v>
      </c>
      <c r="EG45" t="s">
        <v>226</v>
      </c>
      <c r="EH45" t="s">
        <v>265</v>
      </c>
      <c r="EI45" t="s">
        <v>236</v>
      </c>
      <c r="EK45" t="s">
        <v>226</v>
      </c>
      <c r="EL45" t="s">
        <v>244</v>
      </c>
      <c r="EM45" t="s">
        <v>226</v>
      </c>
      <c r="EN45" t="s">
        <v>265</v>
      </c>
      <c r="EO45" t="s">
        <v>226</v>
      </c>
      <c r="EP45" t="s">
        <v>244</v>
      </c>
      <c r="EQ45" t="s">
        <v>236</v>
      </c>
      <c r="ES45" t="s">
        <v>236</v>
      </c>
      <c r="EU45" t="s">
        <v>226</v>
      </c>
      <c r="EV45" t="s">
        <v>245</v>
      </c>
      <c r="EW45" t="s">
        <v>226</v>
      </c>
      <c r="EX45" t="s">
        <v>244</v>
      </c>
      <c r="EY45" t="s">
        <v>226</v>
      </c>
      <c r="EZ45" t="s">
        <v>265</v>
      </c>
      <c r="FA45" t="s">
        <v>226</v>
      </c>
      <c r="FB45" t="s">
        <v>245</v>
      </c>
      <c r="FC45" t="s">
        <v>236</v>
      </c>
      <c r="FE45" t="s">
        <v>226</v>
      </c>
      <c r="FF45" t="s">
        <v>245</v>
      </c>
      <c r="FG45" t="s">
        <v>236</v>
      </c>
      <c r="FJ45" t="s">
        <v>226</v>
      </c>
      <c r="FK45" t="s">
        <v>245</v>
      </c>
      <c r="FL45" t="s">
        <v>236</v>
      </c>
      <c r="FM45" t="s">
        <v>236</v>
      </c>
      <c r="FW45" t="s">
        <v>226</v>
      </c>
      <c r="FX45" t="s">
        <v>226</v>
      </c>
      <c r="FY45" t="s">
        <v>266</v>
      </c>
      <c r="FZ45" t="s">
        <v>226</v>
      </c>
      <c r="GA45" t="s">
        <v>236</v>
      </c>
      <c r="GC45" t="s">
        <v>236</v>
      </c>
      <c r="GF45" t="s">
        <v>226</v>
      </c>
      <c r="GG45" t="s">
        <v>226</v>
      </c>
      <c r="GH45" t="s">
        <v>266</v>
      </c>
      <c r="GI45" t="s">
        <v>236</v>
      </c>
      <c r="GL45" t="s">
        <v>236</v>
      </c>
      <c r="GO45" t="s">
        <v>226</v>
      </c>
      <c r="GP45" t="s">
        <v>226</v>
      </c>
      <c r="GQ45" t="s">
        <v>266</v>
      </c>
      <c r="GR45" t="s">
        <v>226</v>
      </c>
      <c r="GS45" t="s">
        <v>226</v>
      </c>
      <c r="GT45" t="s">
        <v>266</v>
      </c>
      <c r="GU45" t="s">
        <v>226</v>
      </c>
      <c r="GV45" t="s">
        <v>226</v>
      </c>
      <c r="GW45" t="s">
        <v>266</v>
      </c>
      <c r="GX45" t="s">
        <v>236</v>
      </c>
      <c r="HB45" t="s">
        <v>863</v>
      </c>
      <c r="HC45" t="s">
        <v>864</v>
      </c>
      <c r="HD45" t="s">
        <v>865</v>
      </c>
      <c r="HE45">
        <v>82763790</v>
      </c>
      <c r="HF45" t="s">
        <v>866</v>
      </c>
      <c r="HG45" s="2">
        <v>45750.554178240738</v>
      </c>
      <c r="HJ45" t="s">
        <v>248</v>
      </c>
      <c r="HL45" t="s">
        <v>249</v>
      </c>
      <c r="HN45">
        <v>43</v>
      </c>
    </row>
    <row r="46" spans="1:222" x14ac:dyDescent="0.25">
      <c r="A46" s="2">
        <v>45750.343407696761</v>
      </c>
      <c r="B46" s="2">
        <v>45750.347401921303</v>
      </c>
      <c r="C46" t="s">
        <v>221</v>
      </c>
      <c r="D46">
        <v>9</v>
      </c>
      <c r="E46" s="2">
        <v>45732</v>
      </c>
      <c r="F46">
        <v>5</v>
      </c>
      <c r="G46" t="s">
        <v>283</v>
      </c>
      <c r="H46" t="s">
        <v>223</v>
      </c>
      <c r="I46">
        <v>80</v>
      </c>
      <c r="J46" t="str">
        <f t="shared" si="0"/>
        <v>de 56 a más</v>
      </c>
      <c r="K46" t="s">
        <v>251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225</v>
      </c>
      <c r="R46" t="s">
        <v>226</v>
      </c>
      <c r="T46" t="s">
        <v>284</v>
      </c>
      <c r="V46" t="s">
        <v>252</v>
      </c>
      <c r="W46" t="s">
        <v>229</v>
      </c>
      <c r="X46" t="s">
        <v>230</v>
      </c>
      <c r="Z46" t="s">
        <v>231</v>
      </c>
      <c r="AA46" t="s">
        <v>255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I46" t="s">
        <v>256</v>
      </c>
      <c r="AJ46">
        <v>0</v>
      </c>
      <c r="AK46">
        <v>0</v>
      </c>
      <c r="AL46">
        <v>1</v>
      </c>
      <c r="AM46">
        <v>0</v>
      </c>
      <c r="AN46" t="s">
        <v>234</v>
      </c>
      <c r="AO46" t="s">
        <v>275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0</v>
      </c>
      <c r="AX46" t="s">
        <v>226</v>
      </c>
      <c r="AY46" t="s">
        <v>226</v>
      </c>
      <c r="AZ46" t="s">
        <v>259</v>
      </c>
      <c r="BA46" t="s">
        <v>285</v>
      </c>
      <c r="BB46" t="s">
        <v>286</v>
      </c>
      <c r="BE46" t="s">
        <v>259</v>
      </c>
      <c r="BF46" t="s">
        <v>259</v>
      </c>
      <c r="BG46" t="s">
        <v>259</v>
      </c>
      <c r="BH46" t="s">
        <v>259</v>
      </c>
      <c r="BI46" t="s">
        <v>259</v>
      </c>
      <c r="BJ46" t="s">
        <v>259</v>
      </c>
      <c r="BK46" t="s">
        <v>259</v>
      </c>
      <c r="BL46" t="s">
        <v>262</v>
      </c>
      <c r="BM46" t="s">
        <v>287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1</v>
      </c>
      <c r="BZ46">
        <v>0</v>
      </c>
      <c r="CA46" t="s">
        <v>264</v>
      </c>
      <c r="CB46" t="s">
        <v>264</v>
      </c>
      <c r="CC46" t="s">
        <v>264</v>
      </c>
      <c r="CD46" t="s">
        <v>236</v>
      </c>
      <c r="CE46" t="s">
        <v>236</v>
      </c>
      <c r="EA46" t="s">
        <v>236</v>
      </c>
      <c r="EC46" t="s">
        <v>236</v>
      </c>
      <c r="EE46" t="s">
        <v>236</v>
      </c>
      <c r="EG46" t="s">
        <v>236</v>
      </c>
      <c r="EI46" t="s">
        <v>236</v>
      </c>
      <c r="EK46" t="s">
        <v>236</v>
      </c>
      <c r="EM46" t="s">
        <v>236</v>
      </c>
      <c r="EO46" t="s">
        <v>236</v>
      </c>
      <c r="EQ46" t="s">
        <v>236</v>
      </c>
      <c r="ES46" t="s">
        <v>236</v>
      </c>
      <c r="EU46" t="s">
        <v>236</v>
      </c>
      <c r="EW46" t="s">
        <v>236</v>
      </c>
      <c r="EY46" t="s">
        <v>236</v>
      </c>
      <c r="FA46" t="s">
        <v>236</v>
      </c>
      <c r="FC46" t="s">
        <v>236</v>
      </c>
      <c r="FE46" t="s">
        <v>236</v>
      </c>
      <c r="FG46" t="s">
        <v>236</v>
      </c>
      <c r="FJ46" t="s">
        <v>236</v>
      </c>
      <c r="FM46" t="s">
        <v>236</v>
      </c>
      <c r="FW46" t="s">
        <v>236</v>
      </c>
      <c r="FZ46" t="s">
        <v>236</v>
      </c>
      <c r="GC46" t="s">
        <v>236</v>
      </c>
      <c r="GF46" t="s">
        <v>236</v>
      </c>
      <c r="GI46" t="s">
        <v>236</v>
      </c>
      <c r="GL46" t="s">
        <v>236</v>
      </c>
      <c r="GO46" t="s">
        <v>236</v>
      </c>
      <c r="GR46" t="s">
        <v>236</v>
      </c>
      <c r="GU46" t="s">
        <v>236</v>
      </c>
      <c r="GX46" t="s">
        <v>236</v>
      </c>
      <c r="HB46" t="s">
        <v>279</v>
      </c>
      <c r="HC46" t="s">
        <v>288</v>
      </c>
      <c r="HE46">
        <v>82763903</v>
      </c>
      <c r="HF46" t="s">
        <v>289</v>
      </c>
      <c r="HG46" s="2">
        <v>45750.555659722217</v>
      </c>
      <c r="HJ46" t="s">
        <v>248</v>
      </c>
      <c r="HL46" t="s">
        <v>249</v>
      </c>
      <c r="HN46">
        <v>44</v>
      </c>
    </row>
    <row r="47" spans="1:222" x14ac:dyDescent="0.25">
      <c r="A47" s="2">
        <v>45750.345919212959</v>
      </c>
      <c r="B47" s="2">
        <v>45750.349409965267</v>
      </c>
      <c r="C47" t="s">
        <v>305</v>
      </c>
      <c r="D47">
        <v>100</v>
      </c>
      <c r="E47" s="2">
        <v>45732</v>
      </c>
      <c r="F47">
        <v>3</v>
      </c>
      <c r="G47" t="s">
        <v>834</v>
      </c>
      <c r="H47" t="s">
        <v>307</v>
      </c>
      <c r="I47">
        <v>49</v>
      </c>
      <c r="J47" t="str">
        <f t="shared" si="0"/>
        <v>de 41 a 55 años</v>
      </c>
      <c r="K47" t="s">
        <v>251</v>
      </c>
      <c r="L47">
        <v>0</v>
      </c>
      <c r="M47">
        <v>0</v>
      </c>
      <c r="N47">
        <v>0</v>
      </c>
      <c r="O47">
        <v>0</v>
      </c>
      <c r="P47">
        <v>1</v>
      </c>
      <c r="Q47" t="s">
        <v>291</v>
      </c>
      <c r="R47" t="s">
        <v>226</v>
      </c>
      <c r="T47" t="s">
        <v>227</v>
      </c>
      <c r="V47" t="s">
        <v>228</v>
      </c>
      <c r="W47" t="s">
        <v>229</v>
      </c>
      <c r="X47" t="s">
        <v>230</v>
      </c>
      <c r="Z47" t="s">
        <v>351</v>
      </c>
      <c r="AA47" t="s">
        <v>232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I47" t="s">
        <v>233</v>
      </c>
      <c r="AJ47">
        <v>0</v>
      </c>
      <c r="AK47">
        <v>1</v>
      </c>
      <c r="AL47">
        <v>0</v>
      </c>
      <c r="AM47">
        <v>0</v>
      </c>
      <c r="AN47" t="s">
        <v>300</v>
      </c>
      <c r="AO47" t="s">
        <v>633</v>
      </c>
      <c r="AP47">
        <v>0</v>
      </c>
      <c r="AQ47">
        <v>0</v>
      </c>
      <c r="AR47">
        <v>0</v>
      </c>
      <c r="AS47">
        <v>1</v>
      </c>
      <c r="AT47">
        <v>0</v>
      </c>
      <c r="AU47">
        <v>1</v>
      </c>
      <c r="AV47">
        <v>0</v>
      </c>
      <c r="AX47" t="s">
        <v>226</v>
      </c>
      <c r="AY47" t="s">
        <v>226</v>
      </c>
      <c r="AZ47" t="s">
        <v>237</v>
      </c>
      <c r="BA47" t="s">
        <v>867</v>
      </c>
      <c r="BB47" t="s">
        <v>868</v>
      </c>
      <c r="BC47" t="s">
        <v>869</v>
      </c>
      <c r="BE47" t="s">
        <v>259</v>
      </c>
      <c r="BF47" t="s">
        <v>259</v>
      </c>
      <c r="BG47" t="s">
        <v>237</v>
      </c>
      <c r="BH47" t="s">
        <v>237</v>
      </c>
      <c r="BI47" t="s">
        <v>239</v>
      </c>
      <c r="BJ47" t="s">
        <v>259</v>
      </c>
      <c r="BK47" t="s">
        <v>261</v>
      </c>
      <c r="BL47" t="s">
        <v>240</v>
      </c>
      <c r="BM47" t="s">
        <v>870</v>
      </c>
      <c r="BN47">
        <v>1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 t="s">
        <v>264</v>
      </c>
      <c r="CB47" t="s">
        <v>243</v>
      </c>
      <c r="CC47" t="s">
        <v>328</v>
      </c>
      <c r="CD47" t="s">
        <v>236</v>
      </c>
      <c r="CE47" t="s">
        <v>236</v>
      </c>
      <c r="EA47" t="s">
        <v>226</v>
      </c>
      <c r="EB47" t="s">
        <v>245</v>
      </c>
      <c r="EC47" t="s">
        <v>236</v>
      </c>
      <c r="EE47" t="s">
        <v>236</v>
      </c>
      <c r="EG47" t="s">
        <v>226</v>
      </c>
      <c r="EH47" t="s">
        <v>245</v>
      </c>
      <c r="EI47" t="s">
        <v>226</v>
      </c>
      <c r="EJ47" t="s">
        <v>245</v>
      </c>
      <c r="EK47" t="s">
        <v>236</v>
      </c>
      <c r="EM47" t="s">
        <v>226</v>
      </c>
      <c r="EN47" t="s">
        <v>245</v>
      </c>
      <c r="EO47" t="s">
        <v>236</v>
      </c>
      <c r="EQ47" t="s">
        <v>236</v>
      </c>
      <c r="ES47" t="s">
        <v>236</v>
      </c>
      <c r="EU47" t="s">
        <v>236</v>
      </c>
      <c r="EW47" t="s">
        <v>236</v>
      </c>
      <c r="EY47" t="s">
        <v>226</v>
      </c>
      <c r="EZ47" t="s">
        <v>244</v>
      </c>
      <c r="FA47" t="s">
        <v>226</v>
      </c>
      <c r="FB47" t="s">
        <v>244</v>
      </c>
      <c r="FC47" t="s">
        <v>236</v>
      </c>
      <c r="FE47" t="s">
        <v>226</v>
      </c>
      <c r="FF47" t="s">
        <v>245</v>
      </c>
      <c r="FG47" t="s">
        <v>236</v>
      </c>
      <c r="FJ47" t="s">
        <v>226</v>
      </c>
      <c r="FK47" t="s">
        <v>245</v>
      </c>
      <c r="FL47" t="s">
        <v>226</v>
      </c>
      <c r="FM47" t="s">
        <v>236</v>
      </c>
      <c r="FW47" t="s">
        <v>236</v>
      </c>
      <c r="FZ47" t="s">
        <v>236</v>
      </c>
      <c r="GC47" t="s">
        <v>236</v>
      </c>
      <c r="GF47" t="s">
        <v>226</v>
      </c>
      <c r="GG47" t="s">
        <v>226</v>
      </c>
      <c r="GH47" t="s">
        <v>267</v>
      </c>
      <c r="GI47" t="s">
        <v>236</v>
      </c>
      <c r="GL47" t="s">
        <v>236</v>
      </c>
      <c r="GO47" t="s">
        <v>226</v>
      </c>
      <c r="GP47" t="s">
        <v>226</v>
      </c>
      <c r="GQ47" t="s">
        <v>266</v>
      </c>
      <c r="GR47" t="s">
        <v>236</v>
      </c>
      <c r="GU47" t="s">
        <v>236</v>
      </c>
      <c r="GX47" t="s">
        <v>236</v>
      </c>
      <c r="HB47" t="s">
        <v>338</v>
      </c>
      <c r="HC47" t="s">
        <v>871</v>
      </c>
      <c r="HD47" t="s">
        <v>872</v>
      </c>
      <c r="HE47">
        <v>82764023</v>
      </c>
      <c r="HF47" t="s">
        <v>873</v>
      </c>
      <c r="HG47" s="2">
        <v>45750.557662037027</v>
      </c>
      <c r="HJ47" t="s">
        <v>248</v>
      </c>
      <c r="HL47" t="s">
        <v>249</v>
      </c>
      <c r="HN47">
        <v>45</v>
      </c>
    </row>
    <row r="48" spans="1:222" x14ac:dyDescent="0.25">
      <c r="A48" s="2">
        <v>45750.347402384257</v>
      </c>
      <c r="B48" s="2">
        <v>45750.352564930552</v>
      </c>
      <c r="C48" t="s">
        <v>221</v>
      </c>
      <c r="D48">
        <v>16</v>
      </c>
      <c r="E48" s="2">
        <v>45732</v>
      </c>
      <c r="F48">
        <v>5</v>
      </c>
      <c r="G48" t="s">
        <v>283</v>
      </c>
      <c r="H48" t="s">
        <v>223</v>
      </c>
      <c r="I48">
        <v>48</v>
      </c>
      <c r="J48" t="str">
        <f t="shared" si="0"/>
        <v>de 41 a 55 años</v>
      </c>
      <c r="K48" t="s">
        <v>224</v>
      </c>
      <c r="L48">
        <v>0</v>
      </c>
      <c r="M48">
        <v>0</v>
      </c>
      <c r="N48">
        <v>0</v>
      </c>
      <c r="O48">
        <v>0</v>
      </c>
      <c r="P48">
        <v>0</v>
      </c>
      <c r="Q48" t="s">
        <v>225</v>
      </c>
      <c r="R48" t="s">
        <v>226</v>
      </c>
      <c r="T48" t="s">
        <v>227</v>
      </c>
      <c r="V48" t="s">
        <v>228</v>
      </c>
      <c r="W48" t="s">
        <v>229</v>
      </c>
      <c r="X48" t="s">
        <v>230</v>
      </c>
      <c r="Z48" t="s">
        <v>231</v>
      </c>
      <c r="AA48" t="s">
        <v>232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I48" t="s">
        <v>233</v>
      </c>
      <c r="AJ48">
        <v>0</v>
      </c>
      <c r="AK48">
        <v>1</v>
      </c>
      <c r="AL48">
        <v>0</v>
      </c>
      <c r="AM48">
        <v>0</v>
      </c>
      <c r="AN48" t="s">
        <v>300</v>
      </c>
      <c r="AO48" t="s">
        <v>235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X48" t="s">
        <v>236</v>
      </c>
      <c r="AZ48" t="s">
        <v>237</v>
      </c>
      <c r="BA48" t="s">
        <v>593</v>
      </c>
      <c r="BB48" t="s">
        <v>594</v>
      </c>
      <c r="BE48" t="s">
        <v>237</v>
      </c>
      <c r="BF48" t="s">
        <v>237</v>
      </c>
      <c r="BG48" t="s">
        <v>237</v>
      </c>
      <c r="BH48" t="s">
        <v>237</v>
      </c>
      <c r="BI48" t="s">
        <v>237</v>
      </c>
      <c r="BJ48" t="s">
        <v>237</v>
      </c>
      <c r="BK48" t="s">
        <v>237</v>
      </c>
      <c r="BL48" t="s">
        <v>262</v>
      </c>
      <c r="BM48" t="s">
        <v>595</v>
      </c>
      <c r="BN48">
        <v>0</v>
      </c>
      <c r="BO48">
        <v>1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0</v>
      </c>
      <c r="BV48">
        <v>0</v>
      </c>
      <c r="BW48">
        <v>1</v>
      </c>
      <c r="BX48">
        <v>0</v>
      </c>
      <c r="BY48">
        <v>0</v>
      </c>
      <c r="BZ48">
        <v>0</v>
      </c>
      <c r="CA48" t="s">
        <v>264</v>
      </c>
      <c r="CB48" t="s">
        <v>264</v>
      </c>
      <c r="CC48" t="s">
        <v>264</v>
      </c>
      <c r="CD48" t="s">
        <v>236</v>
      </c>
      <c r="CE48" t="s">
        <v>236</v>
      </c>
      <c r="EA48" t="s">
        <v>226</v>
      </c>
      <c r="EB48" t="s">
        <v>244</v>
      </c>
      <c r="EC48" t="s">
        <v>226</v>
      </c>
      <c r="ED48" t="s">
        <v>265</v>
      </c>
      <c r="EE48" t="s">
        <v>226</v>
      </c>
      <c r="EF48" t="s">
        <v>245</v>
      </c>
      <c r="EG48" t="s">
        <v>226</v>
      </c>
      <c r="EH48" t="s">
        <v>265</v>
      </c>
      <c r="EI48" t="s">
        <v>236</v>
      </c>
      <c r="EK48" t="s">
        <v>236</v>
      </c>
      <c r="EM48" t="s">
        <v>236</v>
      </c>
      <c r="EO48" t="s">
        <v>226</v>
      </c>
      <c r="EP48" t="s">
        <v>245</v>
      </c>
      <c r="EQ48" t="s">
        <v>236</v>
      </c>
      <c r="ES48" t="s">
        <v>226</v>
      </c>
      <c r="ET48" t="s">
        <v>265</v>
      </c>
      <c r="EU48" t="s">
        <v>226</v>
      </c>
      <c r="EV48" t="s">
        <v>245</v>
      </c>
      <c r="EW48" t="s">
        <v>236</v>
      </c>
      <c r="EY48" t="s">
        <v>236</v>
      </c>
      <c r="FA48" t="s">
        <v>226</v>
      </c>
      <c r="FB48" t="s">
        <v>245</v>
      </c>
      <c r="FC48" t="s">
        <v>236</v>
      </c>
      <c r="FE48" t="s">
        <v>226</v>
      </c>
      <c r="FF48" t="s">
        <v>245</v>
      </c>
      <c r="FG48" t="s">
        <v>236</v>
      </c>
      <c r="FJ48" t="s">
        <v>226</v>
      </c>
      <c r="FK48" t="s">
        <v>245</v>
      </c>
      <c r="FL48" t="s">
        <v>226</v>
      </c>
      <c r="FM48" t="s">
        <v>236</v>
      </c>
      <c r="FW48" t="s">
        <v>226</v>
      </c>
      <c r="FX48" t="s">
        <v>226</v>
      </c>
      <c r="FY48" t="s">
        <v>266</v>
      </c>
      <c r="FZ48" t="s">
        <v>236</v>
      </c>
      <c r="GC48" t="s">
        <v>236</v>
      </c>
      <c r="GF48" t="s">
        <v>226</v>
      </c>
      <c r="GG48" t="s">
        <v>226</v>
      </c>
      <c r="GH48" t="s">
        <v>266</v>
      </c>
      <c r="GI48" t="s">
        <v>236</v>
      </c>
      <c r="GL48" t="s">
        <v>236</v>
      </c>
      <c r="GO48" t="s">
        <v>226</v>
      </c>
      <c r="GP48" t="s">
        <v>226</v>
      </c>
      <c r="GQ48" t="s">
        <v>266</v>
      </c>
      <c r="GR48" t="s">
        <v>226</v>
      </c>
      <c r="GS48" t="s">
        <v>226</v>
      </c>
      <c r="GT48" t="s">
        <v>266</v>
      </c>
      <c r="GU48" t="s">
        <v>236</v>
      </c>
      <c r="GX48" t="s">
        <v>236</v>
      </c>
      <c r="HB48" t="s">
        <v>280</v>
      </c>
      <c r="HC48" t="s">
        <v>596</v>
      </c>
      <c r="HE48">
        <v>82764180</v>
      </c>
      <c r="HF48" t="s">
        <v>597</v>
      </c>
      <c r="HG48" s="2">
        <v>45750.56082175926</v>
      </c>
      <c r="HJ48" t="s">
        <v>248</v>
      </c>
      <c r="HL48" t="s">
        <v>249</v>
      </c>
      <c r="HN48">
        <v>46</v>
      </c>
    </row>
    <row r="49" spans="1:222" x14ac:dyDescent="0.25">
      <c r="A49" s="2">
        <v>45750.349410428244</v>
      </c>
      <c r="B49" s="2">
        <v>45750.353258888892</v>
      </c>
      <c r="C49" t="s">
        <v>305</v>
      </c>
      <c r="D49">
        <v>101</v>
      </c>
      <c r="E49" s="2">
        <v>45732</v>
      </c>
      <c r="F49">
        <v>3</v>
      </c>
      <c r="G49" t="s">
        <v>834</v>
      </c>
      <c r="H49" t="s">
        <v>307</v>
      </c>
      <c r="I49">
        <v>65</v>
      </c>
      <c r="J49" t="str">
        <f t="shared" si="0"/>
        <v>de 56 a más</v>
      </c>
      <c r="K49" t="s">
        <v>251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291</v>
      </c>
      <c r="R49" t="s">
        <v>226</v>
      </c>
      <c r="T49" t="s">
        <v>227</v>
      </c>
      <c r="V49" t="s">
        <v>252</v>
      </c>
      <c r="W49" t="s">
        <v>229</v>
      </c>
      <c r="X49" t="s">
        <v>230</v>
      </c>
      <c r="Z49" t="s">
        <v>254</v>
      </c>
      <c r="AA49" t="s">
        <v>293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I49" t="s">
        <v>233</v>
      </c>
      <c r="AJ49">
        <v>0</v>
      </c>
      <c r="AK49">
        <v>1</v>
      </c>
      <c r="AL49">
        <v>0</v>
      </c>
      <c r="AM49">
        <v>0</v>
      </c>
      <c r="AN49" t="s">
        <v>234</v>
      </c>
      <c r="AO49" t="s">
        <v>874</v>
      </c>
      <c r="AP49">
        <v>1</v>
      </c>
      <c r="AQ49">
        <v>0</v>
      </c>
      <c r="AR49">
        <v>1</v>
      </c>
      <c r="AS49">
        <v>0</v>
      </c>
      <c r="AT49">
        <v>0</v>
      </c>
      <c r="AU49">
        <v>0</v>
      </c>
      <c r="AV49">
        <v>0</v>
      </c>
      <c r="AX49" t="s">
        <v>226</v>
      </c>
      <c r="AY49" t="s">
        <v>226</v>
      </c>
      <c r="AZ49" t="s">
        <v>259</v>
      </c>
      <c r="BA49" t="s">
        <v>875</v>
      </c>
      <c r="BB49" t="s">
        <v>876</v>
      </c>
      <c r="BC49" t="s">
        <v>877</v>
      </c>
      <c r="BE49" t="s">
        <v>259</v>
      </c>
      <c r="BF49" t="s">
        <v>259</v>
      </c>
      <c r="BG49" t="s">
        <v>259</v>
      </c>
      <c r="BH49" t="s">
        <v>259</v>
      </c>
      <c r="BI49" t="s">
        <v>259</v>
      </c>
      <c r="BJ49" t="s">
        <v>259</v>
      </c>
      <c r="BK49" t="s">
        <v>261</v>
      </c>
      <c r="BL49" t="s">
        <v>313</v>
      </c>
      <c r="BM49" t="s">
        <v>278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1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 t="s">
        <v>264</v>
      </c>
      <c r="CB49" t="s">
        <v>264</v>
      </c>
      <c r="CC49" t="s">
        <v>264</v>
      </c>
      <c r="CD49" t="s">
        <v>236</v>
      </c>
      <c r="CE49" t="s">
        <v>236</v>
      </c>
      <c r="EA49" t="s">
        <v>236</v>
      </c>
      <c r="EC49" t="s">
        <v>236</v>
      </c>
      <c r="EE49" t="s">
        <v>226</v>
      </c>
      <c r="EF49" t="s">
        <v>265</v>
      </c>
      <c r="EG49" t="s">
        <v>236</v>
      </c>
      <c r="EI49" t="s">
        <v>236</v>
      </c>
      <c r="EK49" t="s">
        <v>236</v>
      </c>
      <c r="EM49" t="s">
        <v>226</v>
      </c>
      <c r="EN49" t="s">
        <v>244</v>
      </c>
      <c r="EO49" t="s">
        <v>236</v>
      </c>
      <c r="EQ49" t="s">
        <v>236</v>
      </c>
      <c r="ES49" t="s">
        <v>236</v>
      </c>
      <c r="EU49" t="s">
        <v>226</v>
      </c>
      <c r="EV49" t="s">
        <v>265</v>
      </c>
      <c r="EW49" t="s">
        <v>236</v>
      </c>
      <c r="EY49" t="s">
        <v>226</v>
      </c>
      <c r="EZ49" t="s">
        <v>244</v>
      </c>
      <c r="FA49" t="s">
        <v>236</v>
      </c>
      <c r="FC49" t="s">
        <v>236</v>
      </c>
      <c r="FE49" t="s">
        <v>226</v>
      </c>
      <c r="FF49" t="s">
        <v>265</v>
      </c>
      <c r="FG49" t="s">
        <v>236</v>
      </c>
      <c r="FJ49" t="s">
        <v>226</v>
      </c>
      <c r="FK49" t="s">
        <v>265</v>
      </c>
      <c r="FL49" t="s">
        <v>236</v>
      </c>
      <c r="FM49" t="s">
        <v>236</v>
      </c>
      <c r="FW49" t="s">
        <v>236</v>
      </c>
      <c r="FZ49" t="s">
        <v>236</v>
      </c>
      <c r="GC49" t="s">
        <v>236</v>
      </c>
      <c r="GF49" t="s">
        <v>226</v>
      </c>
      <c r="GG49" t="s">
        <v>226</v>
      </c>
      <c r="GH49" t="s">
        <v>267</v>
      </c>
      <c r="GI49" t="s">
        <v>236</v>
      </c>
      <c r="GL49" t="s">
        <v>236</v>
      </c>
      <c r="GO49" t="s">
        <v>226</v>
      </c>
      <c r="GP49" t="s">
        <v>226</v>
      </c>
      <c r="GQ49" t="s">
        <v>266</v>
      </c>
      <c r="GR49" t="s">
        <v>226</v>
      </c>
      <c r="GS49" t="s">
        <v>226</v>
      </c>
      <c r="GT49" t="s">
        <v>267</v>
      </c>
      <c r="GU49" t="s">
        <v>226</v>
      </c>
      <c r="GV49" t="s">
        <v>226</v>
      </c>
      <c r="GW49" t="s">
        <v>267</v>
      </c>
      <c r="GX49" t="s">
        <v>236</v>
      </c>
      <c r="HB49" t="s">
        <v>339</v>
      </c>
      <c r="HC49" t="s">
        <v>789</v>
      </c>
      <c r="HD49" t="s">
        <v>878</v>
      </c>
      <c r="HE49">
        <v>82764239</v>
      </c>
      <c r="HF49" t="s">
        <v>879</v>
      </c>
      <c r="HG49" s="2">
        <v>45750.561516203707</v>
      </c>
      <c r="HJ49" t="s">
        <v>248</v>
      </c>
      <c r="HL49" t="s">
        <v>249</v>
      </c>
      <c r="HN49">
        <v>47</v>
      </c>
    </row>
    <row r="50" spans="1:222" x14ac:dyDescent="0.25">
      <c r="A50" s="2">
        <v>45750.352565474539</v>
      </c>
      <c r="B50" s="2">
        <v>45750.357580937503</v>
      </c>
      <c r="C50" t="s">
        <v>221</v>
      </c>
      <c r="D50">
        <v>18</v>
      </c>
      <c r="E50" s="2">
        <v>45732</v>
      </c>
      <c r="F50">
        <v>5</v>
      </c>
      <c r="G50" t="s">
        <v>271</v>
      </c>
      <c r="H50" t="s">
        <v>223</v>
      </c>
      <c r="I50">
        <v>50</v>
      </c>
      <c r="J50" t="str">
        <f t="shared" si="0"/>
        <v>de 41 a 55 años</v>
      </c>
      <c r="K50" t="s">
        <v>224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225</v>
      </c>
      <c r="R50" t="s">
        <v>226</v>
      </c>
      <c r="T50" t="s">
        <v>227</v>
      </c>
      <c r="V50" t="s">
        <v>321</v>
      </c>
      <c r="W50" t="s">
        <v>229</v>
      </c>
      <c r="X50" t="s">
        <v>230</v>
      </c>
      <c r="Z50" t="s">
        <v>231</v>
      </c>
      <c r="AA50" t="s">
        <v>232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I50" t="s">
        <v>233</v>
      </c>
      <c r="AJ50">
        <v>0</v>
      </c>
      <c r="AK50">
        <v>1</v>
      </c>
      <c r="AL50">
        <v>0</v>
      </c>
      <c r="AM50">
        <v>0</v>
      </c>
      <c r="AN50" t="s">
        <v>300</v>
      </c>
      <c r="AO50" t="s">
        <v>294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X50" t="s">
        <v>236</v>
      </c>
      <c r="AZ50" t="s">
        <v>237</v>
      </c>
      <c r="BA50" t="s">
        <v>301</v>
      </c>
      <c r="BB50" t="s">
        <v>302</v>
      </c>
      <c r="BE50" t="s">
        <v>259</v>
      </c>
      <c r="BF50" t="s">
        <v>259</v>
      </c>
      <c r="BG50" t="s">
        <v>259</v>
      </c>
      <c r="BH50" t="s">
        <v>259</v>
      </c>
      <c r="BI50" t="s">
        <v>259</v>
      </c>
      <c r="BJ50" t="s">
        <v>259</v>
      </c>
      <c r="BK50" t="s">
        <v>259</v>
      </c>
      <c r="BL50" t="s">
        <v>262</v>
      </c>
      <c r="BM50" t="s">
        <v>451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 t="s">
        <v>264</v>
      </c>
      <c r="CB50" t="s">
        <v>264</v>
      </c>
      <c r="CC50" t="s">
        <v>264</v>
      </c>
      <c r="CD50" t="s">
        <v>236</v>
      </c>
      <c r="CE50" t="s">
        <v>236</v>
      </c>
      <c r="EA50" t="s">
        <v>236</v>
      </c>
      <c r="EC50" t="s">
        <v>236</v>
      </c>
      <c r="EE50" t="s">
        <v>236</v>
      </c>
      <c r="EG50" t="s">
        <v>236</v>
      </c>
      <c r="EI50" t="s">
        <v>236</v>
      </c>
      <c r="EK50" t="s">
        <v>236</v>
      </c>
      <c r="EM50" t="s">
        <v>236</v>
      </c>
      <c r="EO50" t="s">
        <v>236</v>
      </c>
      <c r="EQ50" t="s">
        <v>236</v>
      </c>
      <c r="ES50" t="s">
        <v>236</v>
      </c>
      <c r="EU50" t="s">
        <v>236</v>
      </c>
      <c r="EW50" t="s">
        <v>236</v>
      </c>
      <c r="EY50" t="s">
        <v>236</v>
      </c>
      <c r="FA50" t="s">
        <v>236</v>
      </c>
      <c r="FC50" t="s">
        <v>236</v>
      </c>
      <c r="FE50" t="s">
        <v>236</v>
      </c>
      <c r="FG50" t="s">
        <v>236</v>
      </c>
      <c r="FJ50" t="s">
        <v>236</v>
      </c>
      <c r="FM50" t="s">
        <v>236</v>
      </c>
      <c r="FW50" t="s">
        <v>236</v>
      </c>
      <c r="FZ50" t="s">
        <v>236</v>
      </c>
      <c r="GC50" t="s">
        <v>236</v>
      </c>
      <c r="GF50" t="s">
        <v>226</v>
      </c>
      <c r="GG50" t="s">
        <v>236</v>
      </c>
      <c r="GI50" t="s">
        <v>226</v>
      </c>
      <c r="GJ50" t="s">
        <v>236</v>
      </c>
      <c r="GL50" t="s">
        <v>236</v>
      </c>
      <c r="GO50" t="s">
        <v>236</v>
      </c>
      <c r="GR50" t="s">
        <v>226</v>
      </c>
      <c r="GS50" t="s">
        <v>236</v>
      </c>
      <c r="GU50" t="s">
        <v>236</v>
      </c>
      <c r="GX50" t="s">
        <v>236</v>
      </c>
      <c r="HB50" t="s">
        <v>510</v>
      </c>
      <c r="HC50" t="s">
        <v>604</v>
      </c>
      <c r="HE50">
        <v>82764525</v>
      </c>
      <c r="HF50" t="s">
        <v>605</v>
      </c>
      <c r="HG50" s="2">
        <v>45750.565821759257</v>
      </c>
      <c r="HJ50" t="s">
        <v>248</v>
      </c>
      <c r="HL50" t="s">
        <v>249</v>
      </c>
      <c r="HN50">
        <v>49</v>
      </c>
    </row>
    <row r="51" spans="1:222" x14ac:dyDescent="0.25">
      <c r="A51" s="2">
        <v>45750.353259421303</v>
      </c>
      <c r="B51" s="2">
        <v>45750.360729722219</v>
      </c>
      <c r="C51" t="s">
        <v>305</v>
      </c>
      <c r="D51">
        <v>102</v>
      </c>
      <c r="E51" s="2">
        <v>45732</v>
      </c>
      <c r="F51">
        <v>3</v>
      </c>
      <c r="G51" t="s">
        <v>834</v>
      </c>
      <c r="H51" t="s">
        <v>307</v>
      </c>
      <c r="I51">
        <v>35</v>
      </c>
      <c r="J51" t="str">
        <f t="shared" si="0"/>
        <v>de 26 a 40 años</v>
      </c>
      <c r="K51" t="s">
        <v>251</v>
      </c>
      <c r="L51">
        <v>1</v>
      </c>
      <c r="M51">
        <v>0</v>
      </c>
      <c r="N51">
        <v>0</v>
      </c>
      <c r="O51">
        <v>0</v>
      </c>
      <c r="P51">
        <v>1</v>
      </c>
      <c r="Q51" t="s">
        <v>225</v>
      </c>
      <c r="R51" t="s">
        <v>226</v>
      </c>
      <c r="T51" t="s">
        <v>227</v>
      </c>
      <c r="V51" t="s">
        <v>272</v>
      </c>
      <c r="W51" t="s">
        <v>229</v>
      </c>
      <c r="X51" t="s">
        <v>230</v>
      </c>
      <c r="Z51" t="s">
        <v>273</v>
      </c>
      <c r="AA51" t="s">
        <v>255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0</v>
      </c>
      <c r="AI51" t="s">
        <v>233</v>
      </c>
      <c r="AJ51">
        <v>0</v>
      </c>
      <c r="AK51">
        <v>1</v>
      </c>
      <c r="AL51">
        <v>0</v>
      </c>
      <c r="AM51">
        <v>0</v>
      </c>
      <c r="AN51" t="s">
        <v>300</v>
      </c>
      <c r="AO51" t="s">
        <v>235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X51" t="s">
        <v>226</v>
      </c>
      <c r="AY51" t="s">
        <v>226</v>
      </c>
      <c r="AZ51" t="s">
        <v>259</v>
      </c>
      <c r="BA51" t="s">
        <v>414</v>
      </c>
      <c r="BB51" t="s">
        <v>880</v>
      </c>
      <c r="BC51" t="s">
        <v>358</v>
      </c>
      <c r="BE51" t="s">
        <v>259</v>
      </c>
      <c r="BF51" t="s">
        <v>259</v>
      </c>
      <c r="BG51" t="s">
        <v>259</v>
      </c>
      <c r="BH51" t="s">
        <v>259</v>
      </c>
      <c r="BI51" t="s">
        <v>237</v>
      </c>
      <c r="BJ51" t="s">
        <v>259</v>
      </c>
      <c r="BK51" t="s">
        <v>261</v>
      </c>
      <c r="BL51" t="s">
        <v>313</v>
      </c>
      <c r="BM51" t="s">
        <v>365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 t="s">
        <v>243</v>
      </c>
      <c r="CB51" t="s">
        <v>243</v>
      </c>
      <c r="CC51" t="s">
        <v>243</v>
      </c>
      <c r="CD51" t="s">
        <v>226</v>
      </c>
      <c r="CE51" t="s">
        <v>236</v>
      </c>
      <c r="EA51" t="s">
        <v>226</v>
      </c>
      <c r="EB51" t="s">
        <v>265</v>
      </c>
      <c r="EC51" t="s">
        <v>226</v>
      </c>
      <c r="ED51" t="s">
        <v>265</v>
      </c>
      <c r="EE51" t="s">
        <v>226</v>
      </c>
      <c r="EF51" t="s">
        <v>265</v>
      </c>
      <c r="EG51" t="s">
        <v>226</v>
      </c>
      <c r="EH51" t="s">
        <v>265</v>
      </c>
      <c r="EI51" t="s">
        <v>226</v>
      </c>
      <c r="EJ51" t="s">
        <v>244</v>
      </c>
      <c r="EK51" t="s">
        <v>236</v>
      </c>
      <c r="EM51" t="s">
        <v>226</v>
      </c>
      <c r="EN51" t="s">
        <v>265</v>
      </c>
      <c r="EO51" t="s">
        <v>226</v>
      </c>
      <c r="EP51" t="s">
        <v>265</v>
      </c>
      <c r="EQ51" t="s">
        <v>226</v>
      </c>
      <c r="ER51" t="s">
        <v>265</v>
      </c>
      <c r="ES51" t="s">
        <v>226</v>
      </c>
      <c r="ET51" t="s">
        <v>265</v>
      </c>
      <c r="EU51" t="s">
        <v>236</v>
      </c>
      <c r="EW51" t="s">
        <v>236</v>
      </c>
      <c r="EY51" t="s">
        <v>226</v>
      </c>
      <c r="EZ51" t="s">
        <v>265</v>
      </c>
      <c r="FA51" t="s">
        <v>226</v>
      </c>
      <c r="FB51" t="s">
        <v>265</v>
      </c>
      <c r="FC51" t="s">
        <v>236</v>
      </c>
      <c r="FE51" t="s">
        <v>226</v>
      </c>
      <c r="FF51" t="s">
        <v>265</v>
      </c>
      <c r="FG51" t="s">
        <v>236</v>
      </c>
      <c r="FJ51" t="s">
        <v>226</v>
      </c>
      <c r="FK51" t="s">
        <v>265</v>
      </c>
      <c r="FL51" t="s">
        <v>236</v>
      </c>
      <c r="FM51" t="s">
        <v>236</v>
      </c>
      <c r="FW51" t="s">
        <v>236</v>
      </c>
      <c r="FZ51" t="s">
        <v>236</v>
      </c>
      <c r="GC51" t="s">
        <v>236</v>
      </c>
      <c r="GF51" t="s">
        <v>226</v>
      </c>
      <c r="GG51" t="s">
        <v>236</v>
      </c>
      <c r="GI51" t="s">
        <v>236</v>
      </c>
      <c r="GL51" t="s">
        <v>236</v>
      </c>
      <c r="GO51" t="s">
        <v>226</v>
      </c>
      <c r="GP51" t="s">
        <v>226</v>
      </c>
      <c r="GQ51" t="s">
        <v>267</v>
      </c>
      <c r="GR51" t="s">
        <v>226</v>
      </c>
      <c r="GS51" t="s">
        <v>226</v>
      </c>
      <c r="GT51" t="s">
        <v>266</v>
      </c>
      <c r="GU51" t="s">
        <v>236</v>
      </c>
      <c r="GX51" t="s">
        <v>236</v>
      </c>
      <c r="HB51" t="s">
        <v>358</v>
      </c>
      <c r="HC51" t="s">
        <v>881</v>
      </c>
      <c r="HD51" t="s">
        <v>882</v>
      </c>
      <c r="HE51">
        <v>82764710</v>
      </c>
      <c r="HF51" t="s">
        <v>883</v>
      </c>
      <c r="HG51" s="2">
        <v>45750.568981481483</v>
      </c>
      <c r="HJ51" t="s">
        <v>248</v>
      </c>
      <c r="HL51" t="s">
        <v>249</v>
      </c>
      <c r="HN51">
        <v>50</v>
      </c>
    </row>
    <row r="52" spans="1:222" x14ac:dyDescent="0.25">
      <c r="A52" s="2">
        <v>45750.357304490739</v>
      </c>
      <c r="B52" s="2">
        <v>45750.363739652777</v>
      </c>
      <c r="C52" t="s">
        <v>334</v>
      </c>
      <c r="D52">
        <v>154</v>
      </c>
      <c r="E52" s="2">
        <v>45730</v>
      </c>
      <c r="F52">
        <v>3</v>
      </c>
      <c r="G52" t="s">
        <v>306</v>
      </c>
      <c r="H52" t="s">
        <v>335</v>
      </c>
      <c r="I52">
        <v>58</v>
      </c>
      <c r="J52" t="str">
        <f t="shared" si="0"/>
        <v>de 56 a más</v>
      </c>
      <c r="K52" t="s">
        <v>341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225</v>
      </c>
      <c r="R52" t="s">
        <v>226</v>
      </c>
      <c r="T52" t="s">
        <v>348</v>
      </c>
      <c r="U52" t="s">
        <v>349</v>
      </c>
      <c r="V52" t="s">
        <v>252</v>
      </c>
      <c r="W52" t="s">
        <v>229</v>
      </c>
      <c r="X52" t="s">
        <v>350</v>
      </c>
      <c r="Z52" t="s">
        <v>351</v>
      </c>
      <c r="AA52" t="s">
        <v>352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I52" t="s">
        <v>233</v>
      </c>
      <c r="AJ52">
        <v>0</v>
      </c>
      <c r="AK52">
        <v>1</v>
      </c>
      <c r="AL52">
        <v>0</v>
      </c>
      <c r="AM52">
        <v>0</v>
      </c>
      <c r="AN52" t="s">
        <v>234</v>
      </c>
      <c r="AO52" t="s">
        <v>353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X52" t="s">
        <v>226</v>
      </c>
      <c r="AY52" t="s">
        <v>226</v>
      </c>
      <c r="AZ52" t="s">
        <v>259</v>
      </c>
      <c r="BA52" t="s">
        <v>354</v>
      </c>
      <c r="BB52" t="s">
        <v>355</v>
      </c>
      <c r="BC52" t="s">
        <v>356</v>
      </c>
      <c r="BE52" t="s">
        <v>237</v>
      </c>
      <c r="BF52" t="s">
        <v>237</v>
      </c>
      <c r="BG52" t="s">
        <v>259</v>
      </c>
      <c r="BH52" t="s">
        <v>237</v>
      </c>
      <c r="BI52" t="s">
        <v>237</v>
      </c>
      <c r="BJ52" t="s">
        <v>237</v>
      </c>
      <c r="BK52" t="s">
        <v>259</v>
      </c>
      <c r="BL52" t="s">
        <v>262</v>
      </c>
      <c r="BM52" t="s">
        <v>357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1</v>
      </c>
      <c r="BV52">
        <v>0</v>
      </c>
      <c r="BW52">
        <v>0</v>
      </c>
      <c r="BX52">
        <v>0</v>
      </c>
      <c r="BY52">
        <v>0</v>
      </c>
      <c r="BZ52">
        <v>0</v>
      </c>
      <c r="CA52" t="s">
        <v>264</v>
      </c>
      <c r="CB52" t="s">
        <v>264</v>
      </c>
      <c r="CC52" t="s">
        <v>264</v>
      </c>
      <c r="CD52" t="s">
        <v>226</v>
      </c>
      <c r="CE52" t="s">
        <v>236</v>
      </c>
      <c r="EA52" t="s">
        <v>236</v>
      </c>
      <c r="EC52" t="s">
        <v>236</v>
      </c>
      <c r="EE52" t="s">
        <v>226</v>
      </c>
      <c r="EF52" t="s">
        <v>245</v>
      </c>
      <c r="EG52" t="s">
        <v>226</v>
      </c>
      <c r="EH52" t="s">
        <v>245</v>
      </c>
      <c r="EI52" t="s">
        <v>236</v>
      </c>
      <c r="EK52" t="s">
        <v>226</v>
      </c>
      <c r="EL52" t="s">
        <v>244</v>
      </c>
      <c r="EM52" t="s">
        <v>226</v>
      </c>
      <c r="EN52" t="s">
        <v>244</v>
      </c>
      <c r="EO52" t="s">
        <v>226</v>
      </c>
      <c r="EP52" t="s">
        <v>245</v>
      </c>
      <c r="EQ52" t="s">
        <v>226</v>
      </c>
      <c r="ER52" t="s">
        <v>244</v>
      </c>
      <c r="ES52" t="s">
        <v>226</v>
      </c>
      <c r="ET52" t="s">
        <v>245</v>
      </c>
      <c r="EU52" t="s">
        <v>236</v>
      </c>
      <c r="EW52" t="s">
        <v>236</v>
      </c>
      <c r="EY52" t="s">
        <v>226</v>
      </c>
      <c r="EZ52" t="s">
        <v>244</v>
      </c>
      <c r="FA52" t="s">
        <v>226</v>
      </c>
      <c r="FB52" t="s">
        <v>244</v>
      </c>
      <c r="FC52" t="s">
        <v>236</v>
      </c>
      <c r="FE52" t="s">
        <v>236</v>
      </c>
      <c r="FG52" t="s">
        <v>236</v>
      </c>
      <c r="FJ52" t="s">
        <v>226</v>
      </c>
      <c r="FK52" t="s">
        <v>244</v>
      </c>
      <c r="FL52" t="s">
        <v>236</v>
      </c>
      <c r="FM52" t="s">
        <v>236</v>
      </c>
      <c r="FW52" t="s">
        <v>226</v>
      </c>
      <c r="FX52" t="s">
        <v>226</v>
      </c>
      <c r="FY52" t="s">
        <v>267</v>
      </c>
      <c r="FZ52" t="s">
        <v>226</v>
      </c>
      <c r="GA52" t="s">
        <v>226</v>
      </c>
      <c r="GB52" t="s">
        <v>267</v>
      </c>
      <c r="GC52" t="s">
        <v>226</v>
      </c>
      <c r="GD52" t="s">
        <v>226</v>
      </c>
      <c r="GE52" t="s">
        <v>267</v>
      </c>
      <c r="GF52" t="s">
        <v>226</v>
      </c>
      <c r="GG52" t="s">
        <v>226</v>
      </c>
      <c r="GH52" t="s">
        <v>267</v>
      </c>
      <c r="GI52" t="s">
        <v>226</v>
      </c>
      <c r="GJ52" t="s">
        <v>226</v>
      </c>
      <c r="GK52" t="s">
        <v>267</v>
      </c>
      <c r="GL52" t="s">
        <v>226</v>
      </c>
      <c r="GM52" t="s">
        <v>226</v>
      </c>
      <c r="GN52" t="s">
        <v>267</v>
      </c>
      <c r="GO52" t="s">
        <v>226</v>
      </c>
      <c r="GP52" t="s">
        <v>226</v>
      </c>
      <c r="GQ52" t="s">
        <v>267</v>
      </c>
      <c r="GR52" t="s">
        <v>226</v>
      </c>
      <c r="GS52" t="s">
        <v>226</v>
      </c>
      <c r="GT52" t="s">
        <v>267</v>
      </c>
      <c r="GU52" t="s">
        <v>226</v>
      </c>
      <c r="GV52" t="s">
        <v>226</v>
      </c>
      <c r="GW52" t="s">
        <v>267</v>
      </c>
      <c r="GX52" t="s">
        <v>226</v>
      </c>
      <c r="GY52" t="s">
        <v>226</v>
      </c>
      <c r="GZ52" t="s">
        <v>267</v>
      </c>
      <c r="HB52" t="s">
        <v>358</v>
      </c>
      <c r="HC52" t="s">
        <v>359</v>
      </c>
      <c r="HE52">
        <v>82764882</v>
      </c>
      <c r="HF52" t="s">
        <v>360</v>
      </c>
      <c r="HG52" s="2">
        <v>45750.57199074074</v>
      </c>
      <c r="HJ52" t="s">
        <v>248</v>
      </c>
      <c r="HL52" t="s">
        <v>249</v>
      </c>
      <c r="HN52">
        <v>51</v>
      </c>
    </row>
    <row r="53" spans="1:222" x14ac:dyDescent="0.25">
      <c r="A53" s="2">
        <v>45750.357581377313</v>
      </c>
      <c r="B53" s="2">
        <v>45750.370511805559</v>
      </c>
      <c r="C53" t="s">
        <v>221</v>
      </c>
      <c r="D53">
        <v>19</v>
      </c>
      <c r="E53" s="2">
        <v>45732</v>
      </c>
      <c r="F53">
        <v>5</v>
      </c>
      <c r="G53" t="s">
        <v>222</v>
      </c>
      <c r="H53" t="s">
        <v>223</v>
      </c>
      <c r="I53">
        <v>53</v>
      </c>
      <c r="J53" t="str">
        <f t="shared" si="0"/>
        <v>de 41 a 55 años</v>
      </c>
      <c r="K53" t="s">
        <v>224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225</v>
      </c>
      <c r="R53" t="s">
        <v>236</v>
      </c>
      <c r="S53" t="s">
        <v>935</v>
      </c>
      <c r="T53" t="s">
        <v>392</v>
      </c>
      <c r="V53" t="s">
        <v>228</v>
      </c>
      <c r="W53" t="s">
        <v>229</v>
      </c>
      <c r="X53" t="s">
        <v>230</v>
      </c>
      <c r="Z53" t="s">
        <v>351</v>
      </c>
      <c r="AA53" t="s">
        <v>293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I53" t="s">
        <v>233</v>
      </c>
      <c r="AJ53">
        <v>0</v>
      </c>
      <c r="AK53">
        <v>1</v>
      </c>
      <c r="AL53">
        <v>0</v>
      </c>
      <c r="AM53">
        <v>0</v>
      </c>
      <c r="AN53" t="s">
        <v>234</v>
      </c>
      <c r="AO53" t="s">
        <v>606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1</v>
      </c>
      <c r="AV53">
        <v>0</v>
      </c>
      <c r="AX53" t="s">
        <v>226</v>
      </c>
      <c r="AY53" t="s">
        <v>226</v>
      </c>
      <c r="AZ53" t="s">
        <v>237</v>
      </c>
      <c r="BA53" t="s">
        <v>607</v>
      </c>
      <c r="BE53" t="s">
        <v>259</v>
      </c>
      <c r="BF53" t="s">
        <v>237</v>
      </c>
      <c r="BG53" t="s">
        <v>259</v>
      </c>
      <c r="BH53" t="s">
        <v>237</v>
      </c>
      <c r="BI53" t="s">
        <v>362</v>
      </c>
      <c r="BJ53" t="s">
        <v>259</v>
      </c>
      <c r="BK53" t="s">
        <v>261</v>
      </c>
      <c r="BL53" t="s">
        <v>262</v>
      </c>
      <c r="BM53" t="s">
        <v>608</v>
      </c>
      <c r="BN53">
        <v>1</v>
      </c>
      <c r="BO53">
        <v>0</v>
      </c>
      <c r="BP53">
        <v>1</v>
      </c>
      <c r="BQ53">
        <v>1</v>
      </c>
      <c r="BR53">
        <v>0</v>
      </c>
      <c r="BS53">
        <v>0</v>
      </c>
      <c r="BT53">
        <v>0</v>
      </c>
      <c r="BU53">
        <v>1</v>
      </c>
      <c r="BV53">
        <v>0</v>
      </c>
      <c r="BW53">
        <v>0</v>
      </c>
      <c r="BX53">
        <v>0</v>
      </c>
      <c r="BY53">
        <v>0</v>
      </c>
      <c r="BZ53">
        <v>0</v>
      </c>
      <c r="CA53" t="s">
        <v>264</v>
      </c>
      <c r="CB53" t="s">
        <v>264</v>
      </c>
      <c r="CC53" t="s">
        <v>264</v>
      </c>
      <c r="CD53" t="s">
        <v>236</v>
      </c>
      <c r="CE53" t="s">
        <v>236</v>
      </c>
      <c r="EA53" t="s">
        <v>236</v>
      </c>
      <c r="EC53" t="s">
        <v>236</v>
      </c>
      <c r="EE53" t="s">
        <v>226</v>
      </c>
      <c r="EF53" t="s">
        <v>265</v>
      </c>
      <c r="EG53" t="s">
        <v>226</v>
      </c>
      <c r="EH53" t="s">
        <v>245</v>
      </c>
      <c r="EI53" t="s">
        <v>226</v>
      </c>
      <c r="EJ53" t="s">
        <v>245</v>
      </c>
      <c r="EK53" t="s">
        <v>236</v>
      </c>
      <c r="EM53" t="s">
        <v>226</v>
      </c>
      <c r="EN53" t="s">
        <v>245</v>
      </c>
      <c r="EO53" t="s">
        <v>236</v>
      </c>
      <c r="EQ53" t="s">
        <v>236</v>
      </c>
      <c r="ES53" t="s">
        <v>226</v>
      </c>
      <c r="ET53" t="s">
        <v>244</v>
      </c>
      <c r="EU53" t="s">
        <v>236</v>
      </c>
      <c r="EW53" t="s">
        <v>236</v>
      </c>
      <c r="EY53" t="s">
        <v>236</v>
      </c>
      <c r="FA53" t="s">
        <v>226</v>
      </c>
      <c r="FB53" t="s">
        <v>244</v>
      </c>
      <c r="FC53" t="s">
        <v>236</v>
      </c>
      <c r="FE53" t="s">
        <v>226</v>
      </c>
      <c r="FF53" t="s">
        <v>245</v>
      </c>
      <c r="FG53" t="s">
        <v>236</v>
      </c>
      <c r="FJ53" t="s">
        <v>226</v>
      </c>
      <c r="FK53" t="s">
        <v>245</v>
      </c>
      <c r="FL53" t="s">
        <v>236</v>
      </c>
      <c r="FM53" t="s">
        <v>236</v>
      </c>
      <c r="FW53" t="s">
        <v>226</v>
      </c>
      <c r="FX53" t="s">
        <v>236</v>
      </c>
      <c r="FZ53" t="s">
        <v>226</v>
      </c>
      <c r="GA53" t="s">
        <v>236</v>
      </c>
      <c r="GC53" t="s">
        <v>236</v>
      </c>
      <c r="GF53" t="s">
        <v>226</v>
      </c>
      <c r="GG53" t="s">
        <v>236</v>
      </c>
      <c r="GI53" t="s">
        <v>226</v>
      </c>
      <c r="GJ53" t="s">
        <v>236</v>
      </c>
      <c r="GL53" t="s">
        <v>226</v>
      </c>
      <c r="GM53" t="s">
        <v>236</v>
      </c>
      <c r="GO53" t="s">
        <v>226</v>
      </c>
      <c r="GP53" t="s">
        <v>226</v>
      </c>
      <c r="GQ53" t="s">
        <v>266</v>
      </c>
      <c r="GR53" t="s">
        <v>226</v>
      </c>
      <c r="GS53" t="s">
        <v>236</v>
      </c>
      <c r="GU53" t="s">
        <v>226</v>
      </c>
      <c r="GV53" t="s">
        <v>236</v>
      </c>
      <c r="GX53" t="s">
        <v>236</v>
      </c>
      <c r="HB53" t="s">
        <v>609</v>
      </c>
      <c r="HC53" t="s">
        <v>610</v>
      </c>
      <c r="HE53">
        <v>82765207</v>
      </c>
      <c r="HF53" t="s">
        <v>611</v>
      </c>
      <c r="HG53" s="2">
        <v>45750.578773148147</v>
      </c>
      <c r="HJ53" t="s">
        <v>248</v>
      </c>
      <c r="HL53" t="s">
        <v>249</v>
      </c>
      <c r="HN53">
        <v>54</v>
      </c>
    </row>
    <row r="54" spans="1:222" x14ac:dyDescent="0.25">
      <c r="A54" s="2">
        <v>45750.360730196757</v>
      </c>
      <c r="B54" s="2">
        <v>45750.36404177083</v>
      </c>
      <c r="C54" t="s">
        <v>305</v>
      </c>
      <c r="D54">
        <v>103</v>
      </c>
      <c r="E54" s="2">
        <v>45732</v>
      </c>
      <c r="F54">
        <v>3</v>
      </c>
      <c r="G54" t="s">
        <v>834</v>
      </c>
      <c r="H54" t="s">
        <v>307</v>
      </c>
      <c r="I54">
        <v>29</v>
      </c>
      <c r="J54" t="str">
        <f t="shared" si="0"/>
        <v>de 26 a 40 años</v>
      </c>
      <c r="K54" t="s">
        <v>251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225</v>
      </c>
      <c r="R54" t="s">
        <v>226</v>
      </c>
      <c r="T54" t="s">
        <v>227</v>
      </c>
      <c r="V54" t="s">
        <v>228</v>
      </c>
      <c r="W54" t="s">
        <v>229</v>
      </c>
      <c r="X54" t="s">
        <v>230</v>
      </c>
      <c r="Z54" t="s">
        <v>231</v>
      </c>
      <c r="AA54" t="s">
        <v>232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I54" t="s">
        <v>233</v>
      </c>
      <c r="AJ54">
        <v>0</v>
      </c>
      <c r="AK54">
        <v>1</v>
      </c>
      <c r="AL54">
        <v>0</v>
      </c>
      <c r="AM54">
        <v>0</v>
      </c>
      <c r="AN54" t="s">
        <v>300</v>
      </c>
      <c r="AO54" t="s">
        <v>235</v>
      </c>
      <c r="AP54">
        <v>0</v>
      </c>
      <c r="AQ54">
        <v>0</v>
      </c>
      <c r="AR54">
        <v>0</v>
      </c>
      <c r="AS54">
        <v>1</v>
      </c>
      <c r="AT54">
        <v>0</v>
      </c>
      <c r="AU54">
        <v>0</v>
      </c>
      <c r="AV54">
        <v>0</v>
      </c>
      <c r="AX54" t="s">
        <v>226</v>
      </c>
      <c r="AY54" t="s">
        <v>226</v>
      </c>
      <c r="AZ54" t="s">
        <v>237</v>
      </c>
      <c r="BA54" t="s">
        <v>825</v>
      </c>
      <c r="BB54" t="s">
        <v>890</v>
      </c>
      <c r="BC54" t="s">
        <v>891</v>
      </c>
      <c r="BE54" t="s">
        <v>237</v>
      </c>
      <c r="BF54" t="s">
        <v>237</v>
      </c>
      <c r="BG54" t="s">
        <v>237</v>
      </c>
      <c r="BH54" t="s">
        <v>237</v>
      </c>
      <c r="BI54" t="s">
        <v>237</v>
      </c>
      <c r="BJ54" t="s">
        <v>237</v>
      </c>
      <c r="BK54" t="s">
        <v>259</v>
      </c>
      <c r="BL54" t="s">
        <v>262</v>
      </c>
      <c r="BM54" t="s">
        <v>365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 t="s">
        <v>264</v>
      </c>
      <c r="CB54" t="s">
        <v>264</v>
      </c>
      <c r="CC54" t="s">
        <v>264</v>
      </c>
      <c r="CD54" t="s">
        <v>236</v>
      </c>
      <c r="CE54" t="s">
        <v>236</v>
      </c>
      <c r="EA54" t="s">
        <v>236</v>
      </c>
      <c r="EC54" t="s">
        <v>236</v>
      </c>
      <c r="EE54" t="s">
        <v>236</v>
      </c>
      <c r="EG54" t="s">
        <v>236</v>
      </c>
      <c r="EI54" t="s">
        <v>236</v>
      </c>
      <c r="EK54" t="s">
        <v>236</v>
      </c>
      <c r="EM54" t="s">
        <v>236</v>
      </c>
      <c r="EO54" t="s">
        <v>236</v>
      </c>
      <c r="EQ54" t="s">
        <v>236</v>
      </c>
      <c r="ES54" t="s">
        <v>236</v>
      </c>
      <c r="EU54" t="s">
        <v>236</v>
      </c>
      <c r="EW54" t="s">
        <v>236</v>
      </c>
      <c r="EY54" t="s">
        <v>236</v>
      </c>
      <c r="FA54" t="s">
        <v>226</v>
      </c>
      <c r="FB54" t="s">
        <v>244</v>
      </c>
      <c r="FC54" t="s">
        <v>236</v>
      </c>
      <c r="FE54" t="s">
        <v>236</v>
      </c>
      <c r="FG54" t="s">
        <v>236</v>
      </c>
      <c r="FJ54" t="s">
        <v>236</v>
      </c>
      <c r="FM54" t="s">
        <v>236</v>
      </c>
      <c r="FW54" t="s">
        <v>226</v>
      </c>
      <c r="FX54" t="s">
        <v>226</v>
      </c>
      <c r="FY54" t="s">
        <v>267</v>
      </c>
      <c r="FZ54" t="s">
        <v>236</v>
      </c>
      <c r="GC54" t="s">
        <v>236</v>
      </c>
      <c r="GF54" t="s">
        <v>226</v>
      </c>
      <c r="GG54" t="s">
        <v>226</v>
      </c>
      <c r="GH54" t="s">
        <v>266</v>
      </c>
      <c r="GI54" t="s">
        <v>236</v>
      </c>
      <c r="GL54" t="s">
        <v>236</v>
      </c>
      <c r="GO54" t="s">
        <v>226</v>
      </c>
      <c r="GP54" t="s">
        <v>226</v>
      </c>
      <c r="GQ54" t="s">
        <v>267</v>
      </c>
      <c r="GR54" t="s">
        <v>226</v>
      </c>
      <c r="GS54" t="s">
        <v>226</v>
      </c>
      <c r="GT54" t="s">
        <v>267</v>
      </c>
      <c r="GU54" t="s">
        <v>236</v>
      </c>
      <c r="GX54" t="s">
        <v>236</v>
      </c>
      <c r="HB54" t="s">
        <v>892</v>
      </c>
      <c r="HC54" t="s">
        <v>893</v>
      </c>
      <c r="HD54" t="s">
        <v>894</v>
      </c>
      <c r="HE54">
        <v>82764884</v>
      </c>
      <c r="HF54" t="s">
        <v>895</v>
      </c>
      <c r="HG54" s="2">
        <v>45750.572291666656</v>
      </c>
      <c r="HJ54" t="s">
        <v>248</v>
      </c>
      <c r="HL54" t="s">
        <v>249</v>
      </c>
      <c r="HN54">
        <v>52</v>
      </c>
    </row>
    <row r="55" spans="1:222" x14ac:dyDescent="0.25">
      <c r="A55" s="2">
        <v>45750.363740173612</v>
      </c>
      <c r="B55" s="2">
        <v>45750.366950162039</v>
      </c>
      <c r="C55" t="s">
        <v>334</v>
      </c>
      <c r="D55">
        <v>151</v>
      </c>
      <c r="E55" s="2">
        <v>45730</v>
      </c>
      <c r="F55">
        <v>3</v>
      </c>
      <c r="G55" t="s">
        <v>528</v>
      </c>
      <c r="H55" t="s">
        <v>335</v>
      </c>
      <c r="I55">
        <v>42</v>
      </c>
      <c r="J55" t="str">
        <f t="shared" si="0"/>
        <v>de 41 a 55 años</v>
      </c>
      <c r="K55" t="s">
        <v>224</v>
      </c>
      <c r="L55">
        <v>0</v>
      </c>
      <c r="M55">
        <v>0</v>
      </c>
      <c r="N55">
        <v>0</v>
      </c>
      <c r="O55">
        <v>0</v>
      </c>
      <c r="P55">
        <v>1</v>
      </c>
      <c r="Q55" t="s">
        <v>225</v>
      </c>
      <c r="R55" t="s">
        <v>226</v>
      </c>
      <c r="T55" t="s">
        <v>227</v>
      </c>
      <c r="V55" t="s">
        <v>228</v>
      </c>
      <c r="W55" t="s">
        <v>229</v>
      </c>
      <c r="X55" t="s">
        <v>230</v>
      </c>
      <c r="Z55" t="s">
        <v>351</v>
      </c>
      <c r="AA55" t="s">
        <v>644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I55" t="s">
        <v>233</v>
      </c>
      <c r="AJ55">
        <v>0</v>
      </c>
      <c r="AK55">
        <v>1</v>
      </c>
      <c r="AL55">
        <v>0</v>
      </c>
      <c r="AM55">
        <v>0</v>
      </c>
      <c r="AN55" t="s">
        <v>300</v>
      </c>
      <c r="AO55" t="s">
        <v>606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1</v>
      </c>
      <c r="AV55">
        <v>0</v>
      </c>
      <c r="AX55" t="s">
        <v>226</v>
      </c>
      <c r="AY55" t="s">
        <v>236</v>
      </c>
      <c r="AZ55" t="s">
        <v>237</v>
      </c>
      <c r="BA55" t="s">
        <v>1070</v>
      </c>
      <c r="BB55" t="s">
        <v>672</v>
      </c>
      <c r="BC55" t="s">
        <v>1071</v>
      </c>
      <c r="BE55" t="s">
        <v>237</v>
      </c>
      <c r="BF55" t="s">
        <v>237</v>
      </c>
      <c r="BG55" t="s">
        <v>237</v>
      </c>
      <c r="BH55" t="s">
        <v>239</v>
      </c>
      <c r="BI55" t="s">
        <v>239</v>
      </c>
      <c r="BJ55" t="s">
        <v>237</v>
      </c>
      <c r="BK55" t="s">
        <v>259</v>
      </c>
      <c r="BL55" t="s">
        <v>240</v>
      </c>
      <c r="BM55" t="s">
        <v>1072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0</v>
      </c>
      <c r="CA55" t="s">
        <v>242</v>
      </c>
      <c r="CB55" t="s">
        <v>264</v>
      </c>
      <c r="CC55" t="s">
        <v>328</v>
      </c>
      <c r="CD55" t="s">
        <v>236</v>
      </c>
      <c r="CE55" t="s">
        <v>236</v>
      </c>
      <c r="EA55" t="s">
        <v>236</v>
      </c>
      <c r="EC55" t="s">
        <v>236</v>
      </c>
      <c r="EE55" t="s">
        <v>226</v>
      </c>
      <c r="EF55" t="s">
        <v>265</v>
      </c>
      <c r="EG55" t="s">
        <v>226</v>
      </c>
      <c r="EH55" t="s">
        <v>265</v>
      </c>
      <c r="EI55" t="s">
        <v>236</v>
      </c>
      <c r="EK55" t="s">
        <v>236</v>
      </c>
      <c r="EM55" t="s">
        <v>236</v>
      </c>
      <c r="EO55" t="s">
        <v>236</v>
      </c>
      <c r="EQ55" t="s">
        <v>236</v>
      </c>
      <c r="ES55" t="s">
        <v>236</v>
      </c>
      <c r="EU55" t="s">
        <v>236</v>
      </c>
      <c r="EW55" t="s">
        <v>226</v>
      </c>
      <c r="EX55" t="s">
        <v>245</v>
      </c>
      <c r="EY55" t="s">
        <v>236</v>
      </c>
      <c r="FA55" t="s">
        <v>226</v>
      </c>
      <c r="FB55" t="s">
        <v>244</v>
      </c>
      <c r="FC55" t="s">
        <v>236</v>
      </c>
      <c r="FE55" t="s">
        <v>236</v>
      </c>
      <c r="FG55" t="s">
        <v>236</v>
      </c>
      <c r="FJ55" t="s">
        <v>226</v>
      </c>
      <c r="FK55" t="s">
        <v>265</v>
      </c>
      <c r="FL55" t="s">
        <v>226</v>
      </c>
      <c r="FM55" t="s">
        <v>236</v>
      </c>
      <c r="FW55" t="s">
        <v>226</v>
      </c>
      <c r="FX55" t="s">
        <v>236</v>
      </c>
      <c r="FZ55" t="s">
        <v>226</v>
      </c>
      <c r="GA55" t="s">
        <v>236</v>
      </c>
      <c r="GC55" t="s">
        <v>236</v>
      </c>
      <c r="GF55" t="s">
        <v>226</v>
      </c>
      <c r="GG55" t="s">
        <v>236</v>
      </c>
      <c r="GI55" t="s">
        <v>236</v>
      </c>
      <c r="GL55" t="s">
        <v>236</v>
      </c>
      <c r="GO55" t="s">
        <v>226</v>
      </c>
      <c r="GP55" t="s">
        <v>236</v>
      </c>
      <c r="GR55" t="s">
        <v>226</v>
      </c>
      <c r="GS55" t="s">
        <v>236</v>
      </c>
      <c r="GU55" t="s">
        <v>236</v>
      </c>
      <c r="GX55" t="s">
        <v>236</v>
      </c>
      <c r="HB55" t="s">
        <v>323</v>
      </c>
      <c r="HC55" t="s">
        <v>1073</v>
      </c>
      <c r="HD55" t="s">
        <v>408</v>
      </c>
      <c r="HE55">
        <v>82765060</v>
      </c>
      <c r="HF55" t="s">
        <v>1074</v>
      </c>
      <c r="HG55" s="2">
        <v>45750.575196759259</v>
      </c>
      <c r="HJ55" t="s">
        <v>248</v>
      </c>
      <c r="HL55" t="s">
        <v>249</v>
      </c>
      <c r="HN55">
        <v>53</v>
      </c>
    </row>
    <row r="56" spans="1:222" x14ac:dyDescent="0.25">
      <c r="A56" s="2">
        <v>45750.364042256937</v>
      </c>
      <c r="B56" s="2">
        <v>45750.407824259259</v>
      </c>
      <c r="C56" t="s">
        <v>305</v>
      </c>
      <c r="D56">
        <v>104</v>
      </c>
      <c r="E56" s="2">
        <v>45732</v>
      </c>
      <c r="F56">
        <v>3</v>
      </c>
      <c r="G56" t="s">
        <v>306</v>
      </c>
      <c r="H56" t="s">
        <v>307</v>
      </c>
      <c r="I56">
        <v>47</v>
      </c>
      <c r="J56" t="str">
        <f t="shared" si="0"/>
        <v>de 41 a 55 años</v>
      </c>
      <c r="K56" t="s">
        <v>251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225</v>
      </c>
      <c r="R56" t="s">
        <v>226</v>
      </c>
      <c r="T56" t="s">
        <v>227</v>
      </c>
      <c r="V56" t="s">
        <v>228</v>
      </c>
      <c r="W56" t="s">
        <v>229</v>
      </c>
      <c r="X56" t="s">
        <v>230</v>
      </c>
      <c r="Z56" t="s">
        <v>351</v>
      </c>
      <c r="AA56" t="s">
        <v>896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1</v>
      </c>
      <c r="AH56" t="s">
        <v>897</v>
      </c>
      <c r="AI56" t="s">
        <v>233</v>
      </c>
      <c r="AJ56">
        <v>0</v>
      </c>
      <c r="AK56">
        <v>1</v>
      </c>
      <c r="AL56">
        <v>0</v>
      </c>
      <c r="AM56">
        <v>0</v>
      </c>
      <c r="AN56" t="s">
        <v>234</v>
      </c>
      <c r="AO56" t="s">
        <v>898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0</v>
      </c>
      <c r="AX56" t="s">
        <v>226</v>
      </c>
      <c r="AY56" t="s">
        <v>226</v>
      </c>
      <c r="AZ56" t="s">
        <v>237</v>
      </c>
      <c r="BA56" t="s">
        <v>899</v>
      </c>
      <c r="BE56" t="s">
        <v>237</v>
      </c>
      <c r="BF56" t="s">
        <v>237</v>
      </c>
      <c r="BG56" t="s">
        <v>259</v>
      </c>
      <c r="BH56" t="s">
        <v>237</v>
      </c>
      <c r="BI56" t="s">
        <v>237</v>
      </c>
      <c r="BJ56" t="s">
        <v>237</v>
      </c>
      <c r="BK56" t="s">
        <v>259</v>
      </c>
      <c r="BL56" t="s">
        <v>313</v>
      </c>
      <c r="BM56" t="s">
        <v>296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 t="s">
        <v>264</v>
      </c>
      <c r="CB56" t="s">
        <v>328</v>
      </c>
      <c r="CC56" t="s">
        <v>264</v>
      </c>
      <c r="CD56" t="s">
        <v>236</v>
      </c>
      <c r="CE56" t="s">
        <v>236</v>
      </c>
      <c r="EA56" t="s">
        <v>236</v>
      </c>
      <c r="EC56" t="s">
        <v>236</v>
      </c>
      <c r="EE56" t="s">
        <v>236</v>
      </c>
      <c r="EG56" t="s">
        <v>236</v>
      </c>
      <c r="EI56" t="s">
        <v>308</v>
      </c>
      <c r="EK56" t="s">
        <v>236</v>
      </c>
      <c r="EM56" t="s">
        <v>226</v>
      </c>
      <c r="EN56" t="s">
        <v>244</v>
      </c>
      <c r="EO56" t="s">
        <v>236</v>
      </c>
      <c r="EQ56" t="s">
        <v>236</v>
      </c>
      <c r="ES56" t="s">
        <v>236</v>
      </c>
      <c r="EU56" t="s">
        <v>236</v>
      </c>
      <c r="EW56" t="s">
        <v>236</v>
      </c>
      <c r="EY56" t="s">
        <v>226</v>
      </c>
      <c r="EZ56" t="s">
        <v>244</v>
      </c>
      <c r="FA56" t="s">
        <v>236</v>
      </c>
      <c r="FC56" t="s">
        <v>236</v>
      </c>
      <c r="FE56" t="s">
        <v>226</v>
      </c>
      <c r="FF56" t="s">
        <v>245</v>
      </c>
      <c r="FG56" t="s">
        <v>226</v>
      </c>
      <c r="FH56" t="s">
        <v>900</v>
      </c>
      <c r="FI56" t="s">
        <v>244</v>
      </c>
      <c r="FJ56" t="s">
        <v>226</v>
      </c>
      <c r="FK56" t="s">
        <v>245</v>
      </c>
      <c r="FL56" t="s">
        <v>236</v>
      </c>
      <c r="FM56" t="s">
        <v>236</v>
      </c>
      <c r="FW56" t="s">
        <v>236</v>
      </c>
      <c r="FZ56" t="s">
        <v>236</v>
      </c>
      <c r="GC56" t="s">
        <v>236</v>
      </c>
      <c r="GF56" t="s">
        <v>226</v>
      </c>
      <c r="GG56" t="s">
        <v>226</v>
      </c>
      <c r="GH56" t="s">
        <v>266</v>
      </c>
      <c r="GI56" t="s">
        <v>236</v>
      </c>
      <c r="GL56" t="s">
        <v>236</v>
      </c>
      <c r="GO56" t="s">
        <v>226</v>
      </c>
      <c r="GP56" t="s">
        <v>226</v>
      </c>
      <c r="GQ56" t="s">
        <v>266</v>
      </c>
      <c r="GR56" t="s">
        <v>226</v>
      </c>
      <c r="GS56" t="s">
        <v>226</v>
      </c>
      <c r="GT56" t="s">
        <v>266</v>
      </c>
      <c r="GU56" t="s">
        <v>236</v>
      </c>
      <c r="GX56" t="s">
        <v>236</v>
      </c>
      <c r="HB56" t="s">
        <v>901</v>
      </c>
      <c r="HC56" t="s">
        <v>338</v>
      </c>
      <c r="HD56" t="s">
        <v>902</v>
      </c>
      <c r="HE56">
        <v>82767228</v>
      </c>
      <c r="HF56" t="s">
        <v>903</v>
      </c>
      <c r="HG56" s="2">
        <v>45750.616076388891</v>
      </c>
      <c r="HJ56" t="s">
        <v>248</v>
      </c>
      <c r="HL56" t="s">
        <v>249</v>
      </c>
      <c r="HN56">
        <v>67</v>
      </c>
    </row>
    <row r="57" spans="1:222" x14ac:dyDescent="0.25">
      <c r="A57" s="2">
        <v>45750.366950740739</v>
      </c>
      <c r="B57" s="2">
        <v>45750.372882812502</v>
      </c>
      <c r="C57" t="s">
        <v>334</v>
      </c>
      <c r="D57">
        <v>147</v>
      </c>
      <c r="E57" s="2">
        <v>45730</v>
      </c>
      <c r="F57">
        <v>3</v>
      </c>
      <c r="G57" t="s">
        <v>528</v>
      </c>
      <c r="H57" t="s">
        <v>335</v>
      </c>
      <c r="I57">
        <v>62</v>
      </c>
      <c r="J57" t="str">
        <f t="shared" si="0"/>
        <v>de 56 a más</v>
      </c>
      <c r="K57" t="s">
        <v>224</v>
      </c>
      <c r="L57">
        <v>0</v>
      </c>
      <c r="M57">
        <v>0</v>
      </c>
      <c r="N57">
        <v>0</v>
      </c>
      <c r="O57">
        <v>0</v>
      </c>
      <c r="P57">
        <v>1</v>
      </c>
      <c r="Q57" t="s">
        <v>291</v>
      </c>
      <c r="R57" t="s">
        <v>226</v>
      </c>
      <c r="T57" t="s">
        <v>227</v>
      </c>
      <c r="V57" t="s">
        <v>228</v>
      </c>
      <c r="W57" t="s">
        <v>229</v>
      </c>
      <c r="X57" t="s">
        <v>368</v>
      </c>
      <c r="Z57" t="s">
        <v>273</v>
      </c>
      <c r="AA57" t="s">
        <v>232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I57" t="s">
        <v>233</v>
      </c>
      <c r="AJ57">
        <v>0</v>
      </c>
      <c r="AK57">
        <v>1</v>
      </c>
      <c r="AL57">
        <v>0</v>
      </c>
      <c r="AM57">
        <v>0</v>
      </c>
      <c r="AN57" t="s">
        <v>257</v>
      </c>
      <c r="AO57" t="s">
        <v>275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1</v>
      </c>
      <c r="AV57">
        <v>0</v>
      </c>
      <c r="AX57" t="s">
        <v>236</v>
      </c>
      <c r="AZ57" t="s">
        <v>237</v>
      </c>
      <c r="BA57" t="s">
        <v>1055</v>
      </c>
      <c r="BE57" t="s">
        <v>259</v>
      </c>
      <c r="BF57" t="s">
        <v>261</v>
      </c>
      <c r="BG57" t="s">
        <v>259</v>
      </c>
      <c r="BH57" t="s">
        <v>259</v>
      </c>
      <c r="BI57" t="s">
        <v>259</v>
      </c>
      <c r="BJ57" t="s">
        <v>237</v>
      </c>
      <c r="BK57" t="s">
        <v>239</v>
      </c>
      <c r="BL57" t="s">
        <v>262</v>
      </c>
      <c r="BM57" t="s">
        <v>263</v>
      </c>
      <c r="BN57">
        <v>0</v>
      </c>
      <c r="BO57">
        <v>1</v>
      </c>
      <c r="BP57">
        <v>0</v>
      </c>
      <c r="BQ57">
        <v>0</v>
      </c>
      <c r="BR57">
        <v>0</v>
      </c>
      <c r="BS57">
        <v>0</v>
      </c>
      <c r="BT57">
        <v>1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 t="s">
        <v>264</v>
      </c>
      <c r="CB57" t="s">
        <v>264</v>
      </c>
      <c r="CC57" t="s">
        <v>328</v>
      </c>
      <c r="CD57" t="s">
        <v>236</v>
      </c>
      <c r="CE57" t="s">
        <v>236</v>
      </c>
      <c r="EA57" t="s">
        <v>236</v>
      </c>
      <c r="EC57" t="s">
        <v>236</v>
      </c>
      <c r="EE57" t="s">
        <v>226</v>
      </c>
      <c r="EF57" t="s">
        <v>244</v>
      </c>
      <c r="EG57" t="s">
        <v>226</v>
      </c>
      <c r="EH57" t="s">
        <v>265</v>
      </c>
      <c r="EI57" t="s">
        <v>236</v>
      </c>
      <c r="EK57" t="s">
        <v>226</v>
      </c>
      <c r="EL57" t="s">
        <v>244</v>
      </c>
      <c r="EM57" t="s">
        <v>236</v>
      </c>
      <c r="EO57" t="s">
        <v>236</v>
      </c>
      <c r="EQ57" t="s">
        <v>236</v>
      </c>
      <c r="ES57" t="s">
        <v>236</v>
      </c>
      <c r="EU57" t="s">
        <v>236</v>
      </c>
      <c r="EW57" t="s">
        <v>226</v>
      </c>
      <c r="EX57" t="s">
        <v>244</v>
      </c>
      <c r="EY57" t="s">
        <v>236</v>
      </c>
      <c r="FA57" t="s">
        <v>226</v>
      </c>
      <c r="FB57" t="s">
        <v>244</v>
      </c>
      <c r="FC57" t="s">
        <v>236</v>
      </c>
      <c r="FE57" t="s">
        <v>236</v>
      </c>
      <c r="FG57" t="s">
        <v>236</v>
      </c>
      <c r="FJ57" t="s">
        <v>226</v>
      </c>
      <c r="FK57" t="s">
        <v>245</v>
      </c>
      <c r="FL57" t="s">
        <v>226</v>
      </c>
      <c r="FM57" t="s">
        <v>236</v>
      </c>
      <c r="FW57" t="s">
        <v>236</v>
      </c>
      <c r="FZ57" t="s">
        <v>236</v>
      </c>
      <c r="GC57" t="s">
        <v>236</v>
      </c>
      <c r="GF57" t="s">
        <v>236</v>
      </c>
      <c r="GI57" t="s">
        <v>236</v>
      </c>
      <c r="GL57" t="s">
        <v>236</v>
      </c>
      <c r="GO57" t="s">
        <v>226</v>
      </c>
      <c r="GP57" t="s">
        <v>226</v>
      </c>
      <c r="GQ57" t="s">
        <v>266</v>
      </c>
      <c r="GR57" t="s">
        <v>226</v>
      </c>
      <c r="GS57" t="s">
        <v>236</v>
      </c>
      <c r="GU57" t="s">
        <v>236</v>
      </c>
      <c r="GX57" t="s">
        <v>236</v>
      </c>
      <c r="HB57" t="s">
        <v>1056</v>
      </c>
      <c r="HE57">
        <v>82765252</v>
      </c>
      <c r="HF57" t="s">
        <v>1057</v>
      </c>
      <c r="HG57" s="2">
        <v>45750.581122685187</v>
      </c>
      <c r="HJ57" t="s">
        <v>248</v>
      </c>
      <c r="HL57" t="s">
        <v>249</v>
      </c>
      <c r="HN57">
        <v>55</v>
      </c>
    </row>
    <row r="58" spans="1:222" x14ac:dyDescent="0.25">
      <c r="A58" s="2">
        <v>45750.370512349538</v>
      </c>
      <c r="B58" s="2">
        <v>45750.376270219909</v>
      </c>
      <c r="C58" t="s">
        <v>221</v>
      </c>
      <c r="D58">
        <v>20</v>
      </c>
      <c r="E58" s="2">
        <v>45732</v>
      </c>
      <c r="F58">
        <v>5</v>
      </c>
      <c r="G58" t="s">
        <v>250</v>
      </c>
      <c r="H58" t="s">
        <v>223</v>
      </c>
      <c r="I58">
        <v>53</v>
      </c>
      <c r="J58" t="str">
        <f t="shared" si="0"/>
        <v>de 41 a 55 años</v>
      </c>
      <c r="K58" t="s">
        <v>341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225</v>
      </c>
      <c r="R58" t="s">
        <v>226</v>
      </c>
      <c r="T58" t="s">
        <v>227</v>
      </c>
      <c r="V58" t="s">
        <v>612</v>
      </c>
      <c r="W58" t="s">
        <v>229</v>
      </c>
      <c r="X58" t="s">
        <v>230</v>
      </c>
      <c r="Z58" t="s">
        <v>254</v>
      </c>
      <c r="AA58" t="s">
        <v>481</v>
      </c>
      <c r="AB58">
        <v>0</v>
      </c>
      <c r="AC58">
        <v>0</v>
      </c>
      <c r="AD58">
        <v>0</v>
      </c>
      <c r="AE58">
        <v>1</v>
      </c>
      <c r="AF58">
        <v>1</v>
      </c>
      <c r="AG58">
        <v>0</v>
      </c>
      <c r="AI58" t="s">
        <v>233</v>
      </c>
      <c r="AJ58">
        <v>0</v>
      </c>
      <c r="AK58">
        <v>1</v>
      </c>
      <c r="AL58">
        <v>0</v>
      </c>
      <c r="AM58">
        <v>0</v>
      </c>
      <c r="AN58" t="s">
        <v>257</v>
      </c>
      <c r="AO58" t="s">
        <v>275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1</v>
      </c>
      <c r="AV58">
        <v>0</v>
      </c>
      <c r="AX58" t="s">
        <v>236</v>
      </c>
      <c r="AZ58" t="s">
        <v>237</v>
      </c>
      <c r="BA58" t="s">
        <v>613</v>
      </c>
      <c r="BE58" t="s">
        <v>237</v>
      </c>
      <c r="BF58" t="s">
        <v>237</v>
      </c>
      <c r="BG58" t="s">
        <v>259</v>
      </c>
      <c r="BH58" t="s">
        <v>237</v>
      </c>
      <c r="BI58" t="s">
        <v>239</v>
      </c>
      <c r="BJ58" t="s">
        <v>237</v>
      </c>
      <c r="BK58" t="s">
        <v>259</v>
      </c>
      <c r="BL58" t="s">
        <v>313</v>
      </c>
      <c r="BM58" t="s">
        <v>614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0</v>
      </c>
      <c r="BY58">
        <v>0</v>
      </c>
      <c r="BZ58">
        <v>0</v>
      </c>
      <c r="CA58" t="s">
        <v>264</v>
      </c>
      <c r="CB58" t="s">
        <v>328</v>
      </c>
      <c r="CC58" t="s">
        <v>243</v>
      </c>
      <c r="CD58" t="s">
        <v>236</v>
      </c>
      <c r="CE58" t="s">
        <v>236</v>
      </c>
      <c r="EA58" t="s">
        <v>226</v>
      </c>
      <c r="EB58" t="s">
        <v>265</v>
      </c>
      <c r="EC58" t="s">
        <v>226</v>
      </c>
      <c r="ED58" t="s">
        <v>265</v>
      </c>
      <c r="EE58" t="s">
        <v>226</v>
      </c>
      <c r="EF58" t="s">
        <v>245</v>
      </c>
      <c r="EG58" t="s">
        <v>226</v>
      </c>
      <c r="EH58" t="s">
        <v>265</v>
      </c>
      <c r="EI58" t="s">
        <v>308</v>
      </c>
      <c r="EK58" t="s">
        <v>226</v>
      </c>
      <c r="EL58" t="s">
        <v>245</v>
      </c>
      <c r="EM58" t="s">
        <v>226</v>
      </c>
      <c r="EN58" t="s">
        <v>245</v>
      </c>
      <c r="EO58" t="s">
        <v>226</v>
      </c>
      <c r="EP58" t="s">
        <v>245</v>
      </c>
      <c r="EQ58" t="s">
        <v>236</v>
      </c>
      <c r="ES58" t="s">
        <v>236</v>
      </c>
      <c r="EU58" t="s">
        <v>236</v>
      </c>
      <c r="EW58" t="s">
        <v>226</v>
      </c>
      <c r="EX58" t="s">
        <v>244</v>
      </c>
      <c r="EY58" t="s">
        <v>236</v>
      </c>
      <c r="FA58" t="s">
        <v>226</v>
      </c>
      <c r="FB58" t="s">
        <v>245</v>
      </c>
      <c r="FC58" t="s">
        <v>236</v>
      </c>
      <c r="FE58" t="s">
        <v>226</v>
      </c>
      <c r="FF58" t="s">
        <v>245</v>
      </c>
      <c r="FG58" t="s">
        <v>236</v>
      </c>
      <c r="FJ58" t="s">
        <v>226</v>
      </c>
      <c r="FK58" t="s">
        <v>245</v>
      </c>
      <c r="FL58" t="s">
        <v>236</v>
      </c>
      <c r="FM58" t="s">
        <v>236</v>
      </c>
      <c r="FW58" t="s">
        <v>226</v>
      </c>
      <c r="FX58" t="s">
        <v>226</v>
      </c>
      <c r="FY58" t="s">
        <v>267</v>
      </c>
      <c r="FZ58" t="s">
        <v>226</v>
      </c>
      <c r="GA58" t="s">
        <v>226</v>
      </c>
      <c r="GB58" t="s">
        <v>267</v>
      </c>
      <c r="GC58" t="s">
        <v>236</v>
      </c>
      <c r="GF58" t="s">
        <v>226</v>
      </c>
      <c r="GG58" t="s">
        <v>226</v>
      </c>
      <c r="GH58" t="s">
        <v>266</v>
      </c>
      <c r="GI58" t="s">
        <v>236</v>
      </c>
      <c r="GL58" t="s">
        <v>226</v>
      </c>
      <c r="GM58" t="s">
        <v>226</v>
      </c>
      <c r="GN58" t="s">
        <v>266</v>
      </c>
      <c r="GO58" t="s">
        <v>226</v>
      </c>
      <c r="GP58" t="s">
        <v>226</v>
      </c>
      <c r="GQ58" t="s">
        <v>267</v>
      </c>
      <c r="GR58" t="s">
        <v>226</v>
      </c>
      <c r="GS58" t="s">
        <v>226</v>
      </c>
      <c r="GT58" t="s">
        <v>267</v>
      </c>
      <c r="GU58" t="s">
        <v>236</v>
      </c>
      <c r="GX58" t="s">
        <v>236</v>
      </c>
      <c r="HB58" t="s">
        <v>338</v>
      </c>
      <c r="HE58">
        <v>82765364</v>
      </c>
      <c r="HF58" t="s">
        <v>615</v>
      </c>
      <c r="HG58" s="2">
        <v>45750.58452546296</v>
      </c>
      <c r="HJ58" t="s">
        <v>248</v>
      </c>
      <c r="HL58" t="s">
        <v>249</v>
      </c>
      <c r="HN58">
        <v>56</v>
      </c>
    </row>
    <row r="59" spans="1:222" x14ac:dyDescent="0.25">
      <c r="A59" s="2">
        <v>45750.372883379627</v>
      </c>
      <c r="B59" s="2">
        <v>45750.378199305553</v>
      </c>
      <c r="C59" t="s">
        <v>334</v>
      </c>
      <c r="D59">
        <v>139</v>
      </c>
      <c r="E59" s="2">
        <v>45730</v>
      </c>
      <c r="F59">
        <v>3</v>
      </c>
      <c r="G59" t="s">
        <v>834</v>
      </c>
      <c r="H59" t="s">
        <v>335</v>
      </c>
      <c r="I59">
        <v>25</v>
      </c>
      <c r="J59" t="str">
        <f t="shared" si="0"/>
        <v>de 18 a 25 años</v>
      </c>
      <c r="K59" t="s">
        <v>224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291</v>
      </c>
      <c r="R59" t="s">
        <v>226</v>
      </c>
      <c r="T59" t="s">
        <v>227</v>
      </c>
      <c r="V59" t="s">
        <v>321</v>
      </c>
      <c r="W59" t="s">
        <v>229</v>
      </c>
      <c r="X59" t="s">
        <v>230</v>
      </c>
      <c r="Z59" t="s">
        <v>231</v>
      </c>
      <c r="AA59" t="s">
        <v>293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0</v>
      </c>
      <c r="AI59" t="s">
        <v>233</v>
      </c>
      <c r="AJ59">
        <v>0</v>
      </c>
      <c r="AK59">
        <v>1</v>
      </c>
      <c r="AL59">
        <v>0</v>
      </c>
      <c r="AM59">
        <v>0</v>
      </c>
      <c r="AN59" t="s">
        <v>234</v>
      </c>
      <c r="AO59" t="s">
        <v>369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</v>
      </c>
      <c r="AW59" t="s">
        <v>828</v>
      </c>
      <c r="AX59" t="s">
        <v>236</v>
      </c>
      <c r="AZ59" t="s">
        <v>237</v>
      </c>
      <c r="BA59" t="s">
        <v>1023</v>
      </c>
      <c r="BB59" t="s">
        <v>1024</v>
      </c>
      <c r="BC59" t="s">
        <v>1025</v>
      </c>
      <c r="BE59" t="s">
        <v>261</v>
      </c>
      <c r="BF59" t="s">
        <v>259</v>
      </c>
      <c r="BG59" t="s">
        <v>237</v>
      </c>
      <c r="BH59" t="s">
        <v>237</v>
      </c>
      <c r="BI59" t="s">
        <v>261</v>
      </c>
      <c r="BJ59" t="s">
        <v>362</v>
      </c>
      <c r="BK59" t="s">
        <v>261</v>
      </c>
      <c r="BL59" t="s">
        <v>313</v>
      </c>
      <c r="BM59" t="s">
        <v>278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 t="s">
        <v>264</v>
      </c>
      <c r="CB59" t="s">
        <v>264</v>
      </c>
      <c r="CC59" t="s">
        <v>264</v>
      </c>
      <c r="CD59" t="s">
        <v>236</v>
      </c>
      <c r="CE59" t="s">
        <v>236</v>
      </c>
      <c r="EA59" t="s">
        <v>236</v>
      </c>
      <c r="EC59" t="s">
        <v>236</v>
      </c>
      <c r="EE59" t="s">
        <v>226</v>
      </c>
      <c r="EF59" t="s">
        <v>244</v>
      </c>
      <c r="EG59" t="s">
        <v>226</v>
      </c>
      <c r="EH59" t="s">
        <v>265</v>
      </c>
      <c r="EI59" t="s">
        <v>236</v>
      </c>
      <c r="EK59" t="s">
        <v>236</v>
      </c>
      <c r="EM59" t="s">
        <v>226</v>
      </c>
      <c r="EN59" t="s">
        <v>265</v>
      </c>
      <c r="EO59" t="s">
        <v>236</v>
      </c>
      <c r="EQ59" t="s">
        <v>236</v>
      </c>
      <c r="ES59" t="s">
        <v>236</v>
      </c>
      <c r="EU59" t="s">
        <v>236</v>
      </c>
      <c r="EW59" t="s">
        <v>236</v>
      </c>
      <c r="EY59" t="s">
        <v>226</v>
      </c>
      <c r="EZ59" t="s">
        <v>265</v>
      </c>
      <c r="FA59" t="s">
        <v>226</v>
      </c>
      <c r="FB59" t="s">
        <v>244</v>
      </c>
      <c r="FC59" t="s">
        <v>236</v>
      </c>
      <c r="FE59" t="s">
        <v>236</v>
      </c>
      <c r="FG59" t="s">
        <v>236</v>
      </c>
      <c r="FJ59" t="s">
        <v>226</v>
      </c>
      <c r="FK59" t="s">
        <v>265</v>
      </c>
      <c r="FL59" t="s">
        <v>226</v>
      </c>
      <c r="FM59" t="s">
        <v>236</v>
      </c>
      <c r="FW59" t="s">
        <v>236</v>
      </c>
      <c r="FZ59" t="s">
        <v>236</v>
      </c>
      <c r="GC59" t="s">
        <v>236</v>
      </c>
      <c r="GF59" t="s">
        <v>236</v>
      </c>
      <c r="GI59" t="s">
        <v>236</v>
      </c>
      <c r="GL59" t="s">
        <v>226</v>
      </c>
      <c r="GM59" t="s">
        <v>236</v>
      </c>
      <c r="GO59" t="s">
        <v>236</v>
      </c>
      <c r="GR59" t="s">
        <v>226</v>
      </c>
      <c r="GS59" t="s">
        <v>226</v>
      </c>
      <c r="GT59" t="s">
        <v>266</v>
      </c>
      <c r="GU59" t="s">
        <v>226</v>
      </c>
      <c r="GV59" t="s">
        <v>236</v>
      </c>
      <c r="GX59" t="s">
        <v>236</v>
      </c>
      <c r="HB59" t="s">
        <v>338</v>
      </c>
      <c r="HC59" t="s">
        <v>318</v>
      </c>
      <c r="HD59" t="s">
        <v>1026</v>
      </c>
      <c r="HE59">
        <v>82765436</v>
      </c>
      <c r="HF59" t="s">
        <v>1027</v>
      </c>
      <c r="HG59" s="2">
        <v>45750.586446759262</v>
      </c>
      <c r="HJ59" t="s">
        <v>248</v>
      </c>
      <c r="HL59" t="s">
        <v>249</v>
      </c>
      <c r="HN59">
        <v>57</v>
      </c>
    </row>
    <row r="60" spans="1:222" x14ac:dyDescent="0.25">
      <c r="A60" s="2">
        <v>45750.376270775458</v>
      </c>
      <c r="B60" s="2">
        <v>45750.382372523149</v>
      </c>
      <c r="C60" t="s">
        <v>221</v>
      </c>
      <c r="D60">
        <v>25</v>
      </c>
      <c r="E60" s="2">
        <v>45732</v>
      </c>
      <c r="F60">
        <v>5</v>
      </c>
      <c r="G60" t="s">
        <v>271</v>
      </c>
      <c r="H60" t="s">
        <v>223</v>
      </c>
      <c r="I60">
        <v>66</v>
      </c>
      <c r="J60" t="str">
        <f t="shared" si="0"/>
        <v>de 56 a más</v>
      </c>
      <c r="K60" t="s">
        <v>224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225</v>
      </c>
      <c r="R60" t="s">
        <v>226</v>
      </c>
      <c r="T60" t="s">
        <v>227</v>
      </c>
      <c r="V60" t="s">
        <v>228</v>
      </c>
      <c r="W60" t="s">
        <v>229</v>
      </c>
      <c r="X60" t="s">
        <v>230</v>
      </c>
      <c r="Z60" t="s">
        <v>351</v>
      </c>
      <c r="AA60" t="s">
        <v>255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I60" t="s">
        <v>233</v>
      </c>
      <c r="AJ60">
        <v>0</v>
      </c>
      <c r="AK60">
        <v>1</v>
      </c>
      <c r="AL60">
        <v>0</v>
      </c>
      <c r="AM60">
        <v>0</v>
      </c>
      <c r="AN60" t="s">
        <v>300</v>
      </c>
      <c r="AO60" t="s">
        <v>275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</v>
      </c>
      <c r="AV60">
        <v>0</v>
      </c>
      <c r="AX60" t="s">
        <v>236</v>
      </c>
      <c r="AZ60" t="s">
        <v>237</v>
      </c>
      <c r="BA60" t="s">
        <v>630</v>
      </c>
      <c r="BB60" t="s">
        <v>301</v>
      </c>
      <c r="BE60" t="s">
        <v>237</v>
      </c>
      <c r="BF60" t="s">
        <v>237</v>
      </c>
      <c r="BG60" t="s">
        <v>237</v>
      </c>
      <c r="BH60" t="s">
        <v>237</v>
      </c>
      <c r="BI60" t="s">
        <v>237</v>
      </c>
      <c r="BJ60" t="s">
        <v>237</v>
      </c>
      <c r="BK60" t="s">
        <v>237</v>
      </c>
      <c r="BL60" t="s">
        <v>262</v>
      </c>
      <c r="BM60" t="s">
        <v>631</v>
      </c>
      <c r="BN60">
        <v>1</v>
      </c>
      <c r="BO60">
        <v>1</v>
      </c>
      <c r="BP60">
        <v>0</v>
      </c>
      <c r="BQ60">
        <v>1</v>
      </c>
      <c r="BR60">
        <v>0</v>
      </c>
      <c r="BS60">
        <v>0</v>
      </c>
      <c r="BT60">
        <v>0</v>
      </c>
      <c r="BU60">
        <v>1</v>
      </c>
      <c r="BV60">
        <v>1</v>
      </c>
      <c r="BW60">
        <v>1</v>
      </c>
      <c r="BX60">
        <v>0</v>
      </c>
      <c r="BY60">
        <v>0</v>
      </c>
      <c r="BZ60">
        <v>0</v>
      </c>
      <c r="CA60" t="s">
        <v>264</v>
      </c>
      <c r="CB60" t="s">
        <v>264</v>
      </c>
      <c r="CC60" t="s">
        <v>264</v>
      </c>
      <c r="CD60" t="s">
        <v>236</v>
      </c>
      <c r="CE60" t="s">
        <v>236</v>
      </c>
      <c r="EA60" t="s">
        <v>236</v>
      </c>
      <c r="EC60" t="s">
        <v>226</v>
      </c>
      <c r="ED60" t="s">
        <v>244</v>
      </c>
      <c r="EE60" t="s">
        <v>236</v>
      </c>
      <c r="EG60" t="s">
        <v>226</v>
      </c>
      <c r="EH60" t="s">
        <v>245</v>
      </c>
      <c r="EI60" t="s">
        <v>226</v>
      </c>
      <c r="EJ60" t="s">
        <v>245</v>
      </c>
      <c r="EK60" t="s">
        <v>236</v>
      </c>
      <c r="EM60" t="s">
        <v>236</v>
      </c>
      <c r="EO60" t="s">
        <v>236</v>
      </c>
      <c r="EQ60" t="s">
        <v>236</v>
      </c>
      <c r="ES60" t="s">
        <v>236</v>
      </c>
      <c r="EU60" t="s">
        <v>236</v>
      </c>
      <c r="EW60" t="s">
        <v>236</v>
      </c>
      <c r="EY60" t="s">
        <v>226</v>
      </c>
      <c r="EZ60" t="s">
        <v>244</v>
      </c>
      <c r="FA60" t="s">
        <v>226</v>
      </c>
      <c r="FB60" t="s">
        <v>245</v>
      </c>
      <c r="FC60" t="s">
        <v>236</v>
      </c>
      <c r="FE60" t="s">
        <v>226</v>
      </c>
      <c r="FF60" t="s">
        <v>245</v>
      </c>
      <c r="FG60" t="s">
        <v>236</v>
      </c>
      <c r="FJ60" t="s">
        <v>226</v>
      </c>
      <c r="FK60" t="s">
        <v>244</v>
      </c>
      <c r="FL60" t="s">
        <v>236</v>
      </c>
      <c r="FM60" t="s">
        <v>236</v>
      </c>
      <c r="FW60" t="s">
        <v>226</v>
      </c>
      <c r="FX60" t="s">
        <v>236</v>
      </c>
      <c r="FZ60" t="s">
        <v>236</v>
      </c>
      <c r="GC60" t="s">
        <v>236</v>
      </c>
      <c r="GF60" t="s">
        <v>226</v>
      </c>
      <c r="GG60" t="s">
        <v>236</v>
      </c>
      <c r="GI60" t="s">
        <v>236</v>
      </c>
      <c r="GL60" t="s">
        <v>236</v>
      </c>
      <c r="GO60" t="s">
        <v>226</v>
      </c>
      <c r="GP60" t="s">
        <v>236</v>
      </c>
      <c r="GR60" t="s">
        <v>226</v>
      </c>
      <c r="GS60" t="s">
        <v>236</v>
      </c>
      <c r="GU60" t="s">
        <v>226</v>
      </c>
      <c r="GV60" t="s">
        <v>236</v>
      </c>
      <c r="GX60" t="s">
        <v>236</v>
      </c>
      <c r="HB60" t="s">
        <v>408</v>
      </c>
      <c r="HC60" t="s">
        <v>280</v>
      </c>
      <c r="HE60">
        <v>82765616</v>
      </c>
      <c r="HF60" t="s">
        <v>632</v>
      </c>
      <c r="HG60" s="2">
        <v>45750.590624999997</v>
      </c>
      <c r="HJ60" t="s">
        <v>248</v>
      </c>
      <c r="HL60" t="s">
        <v>249</v>
      </c>
      <c r="HN60">
        <v>59</v>
      </c>
    </row>
    <row r="61" spans="1:222" x14ac:dyDescent="0.25">
      <c r="A61" s="2">
        <v>45750.378199780091</v>
      </c>
      <c r="B61" s="2">
        <v>45750.381159618053</v>
      </c>
      <c r="C61" t="s">
        <v>334</v>
      </c>
      <c r="D61">
        <v>138</v>
      </c>
      <c r="E61" s="2">
        <v>45730</v>
      </c>
      <c r="F61">
        <v>3</v>
      </c>
      <c r="G61" t="s">
        <v>528</v>
      </c>
      <c r="H61" t="s">
        <v>335</v>
      </c>
      <c r="I61">
        <v>22</v>
      </c>
      <c r="J61" t="str">
        <f t="shared" si="0"/>
        <v>de 18 a 25 años</v>
      </c>
      <c r="K61" t="s">
        <v>224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225</v>
      </c>
      <c r="R61" t="s">
        <v>226</v>
      </c>
      <c r="T61" t="s">
        <v>227</v>
      </c>
      <c r="V61" t="s">
        <v>252</v>
      </c>
      <c r="W61" t="s">
        <v>229</v>
      </c>
      <c r="X61" t="s">
        <v>253</v>
      </c>
      <c r="Z61" t="s">
        <v>351</v>
      </c>
      <c r="AA61" t="s">
        <v>481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I61" t="s">
        <v>256</v>
      </c>
      <c r="AJ61">
        <v>0</v>
      </c>
      <c r="AK61">
        <v>0</v>
      </c>
      <c r="AL61">
        <v>1</v>
      </c>
      <c r="AM61">
        <v>0</v>
      </c>
      <c r="AN61" t="s">
        <v>257</v>
      </c>
      <c r="AO61" t="s">
        <v>454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1</v>
      </c>
      <c r="AV61">
        <v>0</v>
      </c>
      <c r="AX61" t="s">
        <v>236</v>
      </c>
      <c r="AZ61" t="s">
        <v>237</v>
      </c>
      <c r="BA61" t="s">
        <v>378</v>
      </c>
      <c r="BB61" t="s">
        <v>310</v>
      </c>
      <c r="BE61" t="s">
        <v>259</v>
      </c>
      <c r="BF61" t="s">
        <v>259</v>
      </c>
      <c r="BG61" t="s">
        <v>259</v>
      </c>
      <c r="BH61" t="s">
        <v>237</v>
      </c>
      <c r="BI61" t="s">
        <v>237</v>
      </c>
      <c r="BJ61" t="s">
        <v>237</v>
      </c>
      <c r="BK61" t="s">
        <v>259</v>
      </c>
      <c r="BL61" t="s">
        <v>262</v>
      </c>
      <c r="BM61" t="s">
        <v>415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1</v>
      </c>
      <c r="BZ61">
        <v>0</v>
      </c>
      <c r="CA61" t="s">
        <v>264</v>
      </c>
      <c r="CB61" t="s">
        <v>243</v>
      </c>
      <c r="CC61" t="s">
        <v>264</v>
      </c>
      <c r="CD61" t="s">
        <v>236</v>
      </c>
      <c r="CE61" t="s">
        <v>236</v>
      </c>
      <c r="EA61" t="s">
        <v>226</v>
      </c>
      <c r="EB61" t="s">
        <v>244</v>
      </c>
      <c r="EC61" t="s">
        <v>236</v>
      </c>
      <c r="EE61" t="s">
        <v>226</v>
      </c>
      <c r="EF61" t="s">
        <v>265</v>
      </c>
      <c r="EG61" t="s">
        <v>226</v>
      </c>
      <c r="EH61" t="s">
        <v>244</v>
      </c>
      <c r="EI61" t="s">
        <v>236</v>
      </c>
      <c r="EK61" t="s">
        <v>236</v>
      </c>
      <c r="EM61" t="s">
        <v>226</v>
      </c>
      <c r="EN61" t="s">
        <v>245</v>
      </c>
      <c r="EO61" t="s">
        <v>226</v>
      </c>
      <c r="EP61" t="s">
        <v>244</v>
      </c>
      <c r="EQ61" t="s">
        <v>226</v>
      </c>
      <c r="ER61" t="s">
        <v>244</v>
      </c>
      <c r="ES61" t="s">
        <v>226</v>
      </c>
      <c r="ET61" t="s">
        <v>244</v>
      </c>
      <c r="EU61" t="s">
        <v>236</v>
      </c>
      <c r="EW61" t="s">
        <v>236</v>
      </c>
      <c r="EY61" t="s">
        <v>226</v>
      </c>
      <c r="EZ61" t="s">
        <v>245</v>
      </c>
      <c r="FA61" t="s">
        <v>226</v>
      </c>
      <c r="FB61" t="s">
        <v>245</v>
      </c>
      <c r="FC61" t="s">
        <v>236</v>
      </c>
      <c r="FE61" t="s">
        <v>226</v>
      </c>
      <c r="FF61" t="s">
        <v>245</v>
      </c>
      <c r="FG61" t="s">
        <v>236</v>
      </c>
      <c r="FJ61" t="s">
        <v>226</v>
      </c>
      <c r="FK61" t="s">
        <v>265</v>
      </c>
      <c r="FL61" t="s">
        <v>226</v>
      </c>
      <c r="FM61" t="s">
        <v>236</v>
      </c>
      <c r="FW61" t="s">
        <v>226</v>
      </c>
      <c r="FX61" t="s">
        <v>236</v>
      </c>
      <c r="FZ61" t="s">
        <v>226</v>
      </c>
      <c r="GA61" t="s">
        <v>236</v>
      </c>
      <c r="GC61" t="s">
        <v>236</v>
      </c>
      <c r="GF61" t="s">
        <v>226</v>
      </c>
      <c r="GG61" t="s">
        <v>236</v>
      </c>
      <c r="GI61" t="s">
        <v>236</v>
      </c>
      <c r="GL61" t="s">
        <v>226</v>
      </c>
      <c r="GM61" t="s">
        <v>236</v>
      </c>
      <c r="GO61" t="s">
        <v>226</v>
      </c>
      <c r="GP61" t="s">
        <v>226</v>
      </c>
      <c r="GQ61" t="s">
        <v>266</v>
      </c>
      <c r="GR61" t="s">
        <v>226</v>
      </c>
      <c r="GS61" t="s">
        <v>236</v>
      </c>
      <c r="GU61" t="s">
        <v>236</v>
      </c>
      <c r="GX61" t="s">
        <v>236</v>
      </c>
      <c r="HB61" t="s">
        <v>323</v>
      </c>
      <c r="HC61" t="s">
        <v>1021</v>
      </c>
      <c r="HE61">
        <v>82765562</v>
      </c>
      <c r="HF61" t="s">
        <v>1022</v>
      </c>
      <c r="HG61" s="2">
        <v>45750.589409722219</v>
      </c>
      <c r="HJ61" t="s">
        <v>248</v>
      </c>
      <c r="HL61" t="s">
        <v>249</v>
      </c>
      <c r="HN61">
        <v>58</v>
      </c>
    </row>
    <row r="62" spans="1:222" x14ac:dyDescent="0.25">
      <c r="A62" s="2">
        <v>45750.381160243058</v>
      </c>
      <c r="B62" s="2">
        <v>45750.390459664362</v>
      </c>
      <c r="C62" t="s">
        <v>334</v>
      </c>
      <c r="D62">
        <v>137</v>
      </c>
      <c r="E62" s="2">
        <v>45730</v>
      </c>
      <c r="F62">
        <v>3</v>
      </c>
      <c r="G62" t="s">
        <v>306</v>
      </c>
      <c r="H62" t="s">
        <v>335</v>
      </c>
      <c r="I62">
        <v>63</v>
      </c>
      <c r="J62" t="str">
        <f t="shared" si="0"/>
        <v>de 56 a más</v>
      </c>
      <c r="K62" t="s">
        <v>341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291</v>
      </c>
      <c r="R62" t="s">
        <v>226</v>
      </c>
      <c r="T62" t="s">
        <v>227</v>
      </c>
      <c r="V62" t="s">
        <v>228</v>
      </c>
      <c r="W62" t="s">
        <v>229</v>
      </c>
      <c r="X62" t="s">
        <v>368</v>
      </c>
      <c r="Z62" t="s">
        <v>308</v>
      </c>
      <c r="AA62" t="s">
        <v>232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I62" t="s">
        <v>233</v>
      </c>
      <c r="AJ62">
        <v>0</v>
      </c>
      <c r="AK62">
        <v>1</v>
      </c>
      <c r="AL62">
        <v>0</v>
      </c>
      <c r="AM62">
        <v>0</v>
      </c>
      <c r="AN62" t="s">
        <v>300</v>
      </c>
      <c r="AO62" t="s">
        <v>326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0</v>
      </c>
      <c r="AV62">
        <v>0</v>
      </c>
      <c r="AX62" t="s">
        <v>226</v>
      </c>
      <c r="AY62" t="s">
        <v>226</v>
      </c>
      <c r="AZ62" t="s">
        <v>237</v>
      </c>
      <c r="BA62" t="s">
        <v>1019</v>
      </c>
      <c r="BE62" t="s">
        <v>259</v>
      </c>
      <c r="BF62" t="s">
        <v>259</v>
      </c>
      <c r="BG62" t="s">
        <v>259</v>
      </c>
      <c r="BH62" t="s">
        <v>259</v>
      </c>
      <c r="BI62" t="s">
        <v>239</v>
      </c>
      <c r="BJ62" t="s">
        <v>237</v>
      </c>
      <c r="BK62" t="s">
        <v>259</v>
      </c>
      <c r="BL62" t="s">
        <v>262</v>
      </c>
      <c r="BM62" t="s">
        <v>415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1</v>
      </c>
      <c r="BZ62">
        <v>0</v>
      </c>
      <c r="CA62" t="s">
        <v>242</v>
      </c>
      <c r="CB62" t="s">
        <v>328</v>
      </c>
      <c r="CC62" t="s">
        <v>328</v>
      </c>
      <c r="CD62" t="s">
        <v>226</v>
      </c>
      <c r="CE62" t="s">
        <v>236</v>
      </c>
      <c r="EA62" t="s">
        <v>236</v>
      </c>
      <c r="EC62" t="s">
        <v>226</v>
      </c>
      <c r="ED62" t="s">
        <v>245</v>
      </c>
      <c r="EE62" t="s">
        <v>226</v>
      </c>
      <c r="EF62" t="s">
        <v>245</v>
      </c>
      <c r="EG62" t="s">
        <v>226</v>
      </c>
      <c r="EH62" t="s">
        <v>245</v>
      </c>
      <c r="EI62" t="s">
        <v>236</v>
      </c>
      <c r="EK62" t="s">
        <v>236</v>
      </c>
      <c r="EM62" t="s">
        <v>236</v>
      </c>
      <c r="EO62" t="s">
        <v>236</v>
      </c>
      <c r="EQ62" t="s">
        <v>236</v>
      </c>
      <c r="ES62" t="s">
        <v>236</v>
      </c>
      <c r="EU62" t="s">
        <v>236</v>
      </c>
      <c r="EW62" t="s">
        <v>236</v>
      </c>
      <c r="EY62" t="s">
        <v>236</v>
      </c>
      <c r="FA62" t="s">
        <v>226</v>
      </c>
      <c r="FB62" t="s">
        <v>245</v>
      </c>
      <c r="FC62" t="s">
        <v>236</v>
      </c>
      <c r="FE62" t="s">
        <v>236</v>
      </c>
      <c r="FG62" t="s">
        <v>236</v>
      </c>
      <c r="FJ62" t="s">
        <v>226</v>
      </c>
      <c r="FK62" t="s">
        <v>245</v>
      </c>
      <c r="FL62" t="s">
        <v>226</v>
      </c>
      <c r="FM62" t="s">
        <v>236</v>
      </c>
      <c r="FW62" t="s">
        <v>226</v>
      </c>
      <c r="FX62" t="s">
        <v>236</v>
      </c>
      <c r="FZ62" t="s">
        <v>236</v>
      </c>
      <c r="GC62" t="s">
        <v>236</v>
      </c>
      <c r="GF62" t="s">
        <v>226</v>
      </c>
      <c r="GG62" t="s">
        <v>226</v>
      </c>
      <c r="GH62" t="s">
        <v>570</v>
      </c>
      <c r="GI62" t="s">
        <v>226</v>
      </c>
      <c r="GJ62" t="s">
        <v>226</v>
      </c>
      <c r="GK62" t="s">
        <v>267</v>
      </c>
      <c r="GL62" t="s">
        <v>226</v>
      </c>
      <c r="GM62" t="s">
        <v>226</v>
      </c>
      <c r="GN62" t="s">
        <v>266</v>
      </c>
      <c r="GO62" t="s">
        <v>226</v>
      </c>
      <c r="GP62" t="s">
        <v>226</v>
      </c>
      <c r="GQ62" t="s">
        <v>266</v>
      </c>
      <c r="GR62" t="s">
        <v>226</v>
      </c>
      <c r="GS62" t="s">
        <v>226</v>
      </c>
      <c r="GT62" t="s">
        <v>266</v>
      </c>
      <c r="GU62" t="s">
        <v>226</v>
      </c>
      <c r="GV62" t="s">
        <v>226</v>
      </c>
      <c r="GW62" t="s">
        <v>266</v>
      </c>
      <c r="GX62" t="s">
        <v>236</v>
      </c>
      <c r="HB62" t="s">
        <v>358</v>
      </c>
      <c r="HC62" t="s">
        <v>814</v>
      </c>
      <c r="HD62" t="s">
        <v>345</v>
      </c>
      <c r="HE62">
        <v>82766122</v>
      </c>
      <c r="HF62" t="s">
        <v>1020</v>
      </c>
      <c r="HG62" s="2">
        <v>45750.598715277767</v>
      </c>
      <c r="HJ62" t="s">
        <v>248</v>
      </c>
      <c r="HL62" t="s">
        <v>249</v>
      </c>
      <c r="HN62">
        <v>61</v>
      </c>
    </row>
    <row r="63" spans="1:222" x14ac:dyDescent="0.25">
      <c r="A63" s="2">
        <v>45750.382372974527</v>
      </c>
      <c r="B63" s="2">
        <v>45750.386840335646</v>
      </c>
      <c r="C63" t="s">
        <v>221</v>
      </c>
      <c r="D63">
        <v>27</v>
      </c>
      <c r="E63" s="2">
        <v>45732</v>
      </c>
      <c r="F63">
        <v>5</v>
      </c>
      <c r="G63" t="s">
        <v>528</v>
      </c>
      <c r="H63" t="s">
        <v>223</v>
      </c>
      <c r="I63">
        <v>61</v>
      </c>
      <c r="J63" t="str">
        <f t="shared" si="0"/>
        <v>de 56 a más</v>
      </c>
      <c r="K63" t="s">
        <v>224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291</v>
      </c>
      <c r="R63" t="s">
        <v>226</v>
      </c>
      <c r="T63" t="s">
        <v>227</v>
      </c>
      <c r="V63" t="s">
        <v>252</v>
      </c>
      <c r="W63" t="s">
        <v>292</v>
      </c>
      <c r="X63" t="s">
        <v>230</v>
      </c>
      <c r="Z63" t="s">
        <v>231</v>
      </c>
      <c r="AA63" t="s">
        <v>232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I63" t="s">
        <v>256</v>
      </c>
      <c r="AJ63">
        <v>0</v>
      </c>
      <c r="AK63">
        <v>0</v>
      </c>
      <c r="AL63">
        <v>1</v>
      </c>
      <c r="AM63">
        <v>0</v>
      </c>
      <c r="AN63" t="s">
        <v>257</v>
      </c>
      <c r="AO63" t="s">
        <v>275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0</v>
      </c>
      <c r="AX63" t="s">
        <v>226</v>
      </c>
      <c r="AY63" t="s">
        <v>226</v>
      </c>
      <c r="AZ63" t="s">
        <v>237</v>
      </c>
      <c r="BA63" t="s">
        <v>639</v>
      </c>
      <c r="BE63" t="s">
        <v>259</v>
      </c>
      <c r="BF63" t="s">
        <v>237</v>
      </c>
      <c r="BG63" t="s">
        <v>259</v>
      </c>
      <c r="BH63" t="s">
        <v>237</v>
      </c>
      <c r="BI63" t="s">
        <v>237</v>
      </c>
      <c r="BJ63" t="s">
        <v>237</v>
      </c>
      <c r="BK63" t="s">
        <v>259</v>
      </c>
      <c r="BL63" t="s">
        <v>313</v>
      </c>
      <c r="BM63" t="s">
        <v>415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1</v>
      </c>
      <c r="BZ63">
        <v>0</v>
      </c>
      <c r="CA63" t="s">
        <v>264</v>
      </c>
      <c r="CB63" t="s">
        <v>243</v>
      </c>
      <c r="CC63" t="s">
        <v>243</v>
      </c>
      <c r="CD63" t="s">
        <v>236</v>
      </c>
      <c r="CE63" t="s">
        <v>236</v>
      </c>
      <c r="EA63" t="s">
        <v>236</v>
      </c>
      <c r="EC63" t="s">
        <v>236</v>
      </c>
      <c r="EE63" t="s">
        <v>236</v>
      </c>
      <c r="EG63" t="s">
        <v>226</v>
      </c>
      <c r="EH63" t="s">
        <v>245</v>
      </c>
      <c r="EI63" t="s">
        <v>236</v>
      </c>
      <c r="EK63" t="s">
        <v>236</v>
      </c>
      <c r="EM63" t="s">
        <v>226</v>
      </c>
      <c r="EN63" t="s">
        <v>244</v>
      </c>
      <c r="EO63" t="s">
        <v>236</v>
      </c>
      <c r="EQ63" t="s">
        <v>236</v>
      </c>
      <c r="ES63" t="s">
        <v>236</v>
      </c>
      <c r="EU63" t="s">
        <v>226</v>
      </c>
      <c r="EV63" t="s">
        <v>244</v>
      </c>
      <c r="EW63" t="s">
        <v>236</v>
      </c>
      <c r="EY63" t="s">
        <v>226</v>
      </c>
      <c r="EZ63" t="s">
        <v>245</v>
      </c>
      <c r="FA63" t="s">
        <v>236</v>
      </c>
      <c r="FC63" t="s">
        <v>236</v>
      </c>
      <c r="FE63" t="s">
        <v>236</v>
      </c>
      <c r="FG63" t="s">
        <v>236</v>
      </c>
      <c r="FJ63" t="s">
        <v>226</v>
      </c>
      <c r="FK63" t="s">
        <v>245</v>
      </c>
      <c r="FL63" t="s">
        <v>236</v>
      </c>
      <c r="FM63" t="s">
        <v>236</v>
      </c>
      <c r="FW63" t="s">
        <v>226</v>
      </c>
      <c r="FX63" t="s">
        <v>236</v>
      </c>
      <c r="FZ63" t="s">
        <v>236</v>
      </c>
      <c r="GC63" t="s">
        <v>226</v>
      </c>
      <c r="GD63" t="s">
        <v>236</v>
      </c>
      <c r="GF63" t="s">
        <v>226</v>
      </c>
      <c r="GG63" t="s">
        <v>236</v>
      </c>
      <c r="GI63" t="s">
        <v>236</v>
      </c>
      <c r="GL63" t="s">
        <v>226</v>
      </c>
      <c r="GM63" t="s">
        <v>236</v>
      </c>
      <c r="GO63" t="s">
        <v>226</v>
      </c>
      <c r="GP63" t="s">
        <v>226</v>
      </c>
      <c r="GQ63" t="s">
        <v>267</v>
      </c>
      <c r="GR63" t="s">
        <v>226</v>
      </c>
      <c r="GS63" t="s">
        <v>226</v>
      </c>
      <c r="GT63" t="s">
        <v>267</v>
      </c>
      <c r="GU63" t="s">
        <v>236</v>
      </c>
      <c r="GX63" t="s">
        <v>236</v>
      </c>
      <c r="HB63" t="s">
        <v>640</v>
      </c>
      <c r="HC63" t="s">
        <v>537</v>
      </c>
      <c r="HE63">
        <v>82765870</v>
      </c>
      <c r="HF63" t="s">
        <v>641</v>
      </c>
      <c r="HG63" s="2">
        <v>45750.595092592594</v>
      </c>
      <c r="HJ63" t="s">
        <v>248</v>
      </c>
      <c r="HL63" t="s">
        <v>249</v>
      </c>
      <c r="HN63">
        <v>60</v>
      </c>
    </row>
    <row r="64" spans="1:222" x14ac:dyDescent="0.25">
      <c r="A64" s="2">
        <v>45750.386840844913</v>
      </c>
      <c r="B64" s="2">
        <v>45750.390604525463</v>
      </c>
      <c r="C64" t="s">
        <v>221</v>
      </c>
      <c r="D64">
        <v>28</v>
      </c>
      <c r="E64" s="2">
        <v>45732</v>
      </c>
      <c r="F64">
        <v>5</v>
      </c>
      <c r="G64" t="s">
        <v>271</v>
      </c>
      <c r="H64" t="s">
        <v>223</v>
      </c>
      <c r="I64">
        <v>61</v>
      </c>
      <c r="J64" t="str">
        <f t="shared" si="0"/>
        <v>de 56 a más</v>
      </c>
      <c r="K64" t="s">
        <v>224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291</v>
      </c>
      <c r="R64" t="s">
        <v>226</v>
      </c>
      <c r="T64" t="s">
        <v>227</v>
      </c>
      <c r="V64" t="s">
        <v>228</v>
      </c>
      <c r="W64" t="s">
        <v>229</v>
      </c>
      <c r="X64" t="s">
        <v>230</v>
      </c>
      <c r="Z64" t="s">
        <v>254</v>
      </c>
      <c r="AA64" t="s">
        <v>255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0</v>
      </c>
      <c r="AI64" t="s">
        <v>233</v>
      </c>
      <c r="AJ64">
        <v>0</v>
      </c>
      <c r="AK64">
        <v>1</v>
      </c>
      <c r="AL64">
        <v>0</v>
      </c>
      <c r="AM64">
        <v>0</v>
      </c>
      <c r="AN64" t="s">
        <v>257</v>
      </c>
      <c r="AO64" t="s">
        <v>275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X64" t="s">
        <v>236</v>
      </c>
      <c r="AZ64" t="s">
        <v>237</v>
      </c>
      <c r="BA64" t="s">
        <v>301</v>
      </c>
      <c r="BB64" t="s">
        <v>302</v>
      </c>
      <c r="BE64" t="s">
        <v>259</v>
      </c>
      <c r="BF64" t="s">
        <v>259</v>
      </c>
      <c r="BG64" t="s">
        <v>259</v>
      </c>
      <c r="BH64" t="s">
        <v>259</v>
      </c>
      <c r="BI64" t="s">
        <v>259</v>
      </c>
      <c r="BJ64" t="s">
        <v>259</v>
      </c>
      <c r="BK64" t="s">
        <v>259</v>
      </c>
      <c r="BL64" t="s">
        <v>262</v>
      </c>
      <c r="BM64" t="s">
        <v>241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1</v>
      </c>
      <c r="BZ64">
        <v>0</v>
      </c>
      <c r="CA64" t="s">
        <v>264</v>
      </c>
      <c r="CB64" t="s">
        <v>264</v>
      </c>
      <c r="CC64" t="s">
        <v>264</v>
      </c>
      <c r="CD64" t="s">
        <v>236</v>
      </c>
      <c r="CE64" t="s">
        <v>236</v>
      </c>
      <c r="EA64" t="s">
        <v>236</v>
      </c>
      <c r="EC64" t="s">
        <v>236</v>
      </c>
      <c r="EE64" t="s">
        <v>236</v>
      </c>
      <c r="EG64" t="s">
        <v>236</v>
      </c>
      <c r="EI64" t="s">
        <v>236</v>
      </c>
      <c r="EK64" t="s">
        <v>236</v>
      </c>
      <c r="EM64" t="s">
        <v>236</v>
      </c>
      <c r="EO64" t="s">
        <v>236</v>
      </c>
      <c r="EQ64" t="s">
        <v>236</v>
      </c>
      <c r="ES64" t="s">
        <v>236</v>
      </c>
      <c r="EU64" t="s">
        <v>236</v>
      </c>
      <c r="EW64" t="s">
        <v>236</v>
      </c>
      <c r="EY64" t="s">
        <v>236</v>
      </c>
      <c r="FA64" t="s">
        <v>236</v>
      </c>
      <c r="FC64" t="s">
        <v>236</v>
      </c>
      <c r="FE64" t="s">
        <v>236</v>
      </c>
      <c r="FG64" t="s">
        <v>236</v>
      </c>
      <c r="FJ64" t="s">
        <v>226</v>
      </c>
      <c r="FK64" t="s">
        <v>244</v>
      </c>
      <c r="FL64" t="s">
        <v>236</v>
      </c>
      <c r="FM64" t="s">
        <v>236</v>
      </c>
      <c r="FW64" t="s">
        <v>226</v>
      </c>
      <c r="FX64" t="s">
        <v>236</v>
      </c>
      <c r="FZ64" t="s">
        <v>236</v>
      </c>
      <c r="GC64" t="s">
        <v>236</v>
      </c>
      <c r="GF64" t="s">
        <v>226</v>
      </c>
      <c r="GG64" t="s">
        <v>236</v>
      </c>
      <c r="GI64" t="s">
        <v>236</v>
      </c>
      <c r="GL64" t="s">
        <v>236</v>
      </c>
      <c r="GO64" t="s">
        <v>226</v>
      </c>
      <c r="GP64" t="s">
        <v>236</v>
      </c>
      <c r="GR64" t="s">
        <v>226</v>
      </c>
      <c r="GS64" t="s">
        <v>226</v>
      </c>
      <c r="GT64" t="s">
        <v>266</v>
      </c>
      <c r="GU64" t="s">
        <v>226</v>
      </c>
      <c r="GV64" t="s">
        <v>226</v>
      </c>
      <c r="GW64" t="s">
        <v>267</v>
      </c>
      <c r="GX64" t="s">
        <v>236</v>
      </c>
      <c r="HB64" t="s">
        <v>338</v>
      </c>
      <c r="HC64" t="s">
        <v>642</v>
      </c>
      <c r="HE64">
        <v>82766128</v>
      </c>
      <c r="HF64" t="s">
        <v>643</v>
      </c>
      <c r="HG64" s="2">
        <v>45750.598865740743</v>
      </c>
      <c r="HJ64" t="s">
        <v>248</v>
      </c>
      <c r="HL64" t="s">
        <v>249</v>
      </c>
      <c r="HN64">
        <v>62</v>
      </c>
    </row>
    <row r="65" spans="1:222" x14ac:dyDescent="0.25">
      <c r="A65" s="2">
        <v>45750.390460173607</v>
      </c>
      <c r="B65" s="2">
        <v>45750.397005775463</v>
      </c>
      <c r="C65" t="s">
        <v>334</v>
      </c>
      <c r="D65">
        <v>136</v>
      </c>
      <c r="E65" s="2">
        <v>45730</v>
      </c>
      <c r="F65">
        <v>3</v>
      </c>
      <c r="G65" t="s">
        <v>834</v>
      </c>
      <c r="H65" t="s">
        <v>335</v>
      </c>
      <c r="I65">
        <v>50</v>
      </c>
      <c r="J65" t="str">
        <f t="shared" si="0"/>
        <v>de 41 a 55 años</v>
      </c>
      <c r="K65" t="s">
        <v>341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291</v>
      </c>
      <c r="R65" t="s">
        <v>226</v>
      </c>
      <c r="T65" t="s">
        <v>227</v>
      </c>
      <c r="V65" t="s">
        <v>228</v>
      </c>
      <c r="W65" t="s">
        <v>229</v>
      </c>
      <c r="X65" t="s">
        <v>230</v>
      </c>
      <c r="Z65" t="s">
        <v>273</v>
      </c>
      <c r="AA65" t="s">
        <v>232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I65" t="s">
        <v>311</v>
      </c>
      <c r="AJ65">
        <v>0</v>
      </c>
      <c r="AK65">
        <v>1</v>
      </c>
      <c r="AL65">
        <v>1</v>
      </c>
      <c r="AM65">
        <v>0</v>
      </c>
      <c r="AN65" t="s">
        <v>257</v>
      </c>
      <c r="AO65" t="s">
        <v>1012</v>
      </c>
      <c r="AP65">
        <v>0</v>
      </c>
      <c r="AQ65">
        <v>0</v>
      </c>
      <c r="AR65">
        <v>1</v>
      </c>
      <c r="AS65">
        <v>0</v>
      </c>
      <c r="AT65">
        <v>1</v>
      </c>
      <c r="AU65">
        <v>0</v>
      </c>
      <c r="AV65">
        <v>0</v>
      </c>
      <c r="AX65" t="s">
        <v>236</v>
      </c>
      <c r="AZ65" t="s">
        <v>259</v>
      </c>
      <c r="BA65" t="s">
        <v>1013</v>
      </c>
      <c r="BB65" t="s">
        <v>947</v>
      </c>
      <c r="BC65" t="s">
        <v>1014</v>
      </c>
      <c r="BE65" t="s">
        <v>261</v>
      </c>
      <c r="BF65" t="s">
        <v>261</v>
      </c>
      <c r="BG65" t="s">
        <v>261</v>
      </c>
      <c r="BH65" t="s">
        <v>261</v>
      </c>
      <c r="BI65" t="s">
        <v>259</v>
      </c>
      <c r="BJ65" t="s">
        <v>261</v>
      </c>
      <c r="BK65" t="s">
        <v>261</v>
      </c>
      <c r="BL65" t="s">
        <v>313</v>
      </c>
      <c r="BM65" t="s">
        <v>415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1</v>
      </c>
      <c r="BZ65">
        <v>0</v>
      </c>
      <c r="CA65" t="s">
        <v>243</v>
      </c>
      <c r="CB65" t="s">
        <v>328</v>
      </c>
      <c r="CC65" t="s">
        <v>328</v>
      </c>
      <c r="CD65" t="s">
        <v>226</v>
      </c>
      <c r="CE65" t="s">
        <v>226</v>
      </c>
      <c r="CF65" t="s">
        <v>315</v>
      </c>
      <c r="CG65">
        <v>1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S65" t="s">
        <v>226</v>
      </c>
      <c r="DD65" t="s">
        <v>316</v>
      </c>
      <c r="EA65" t="s">
        <v>226</v>
      </c>
      <c r="EB65" t="s">
        <v>265</v>
      </c>
      <c r="EC65" t="s">
        <v>226</v>
      </c>
      <c r="ED65" t="s">
        <v>244</v>
      </c>
      <c r="EE65" t="s">
        <v>236</v>
      </c>
      <c r="EG65" t="s">
        <v>226</v>
      </c>
      <c r="EH65" t="s">
        <v>265</v>
      </c>
      <c r="EI65" t="s">
        <v>226</v>
      </c>
      <c r="EJ65" t="s">
        <v>265</v>
      </c>
      <c r="EK65" t="s">
        <v>236</v>
      </c>
      <c r="EM65" t="s">
        <v>226</v>
      </c>
      <c r="EN65" t="s">
        <v>265</v>
      </c>
      <c r="EO65" t="s">
        <v>226</v>
      </c>
      <c r="EP65" t="s">
        <v>245</v>
      </c>
      <c r="EQ65" t="s">
        <v>236</v>
      </c>
      <c r="ES65" t="s">
        <v>226</v>
      </c>
      <c r="ET65" t="s">
        <v>265</v>
      </c>
      <c r="EU65" t="s">
        <v>226</v>
      </c>
      <c r="EV65" t="s">
        <v>265</v>
      </c>
      <c r="EW65" t="s">
        <v>226</v>
      </c>
      <c r="EX65" t="s">
        <v>265</v>
      </c>
      <c r="EY65" t="s">
        <v>236</v>
      </c>
      <c r="FA65" t="s">
        <v>226</v>
      </c>
      <c r="FB65" t="s">
        <v>265</v>
      </c>
      <c r="FC65" t="s">
        <v>236</v>
      </c>
      <c r="FE65" t="s">
        <v>226</v>
      </c>
      <c r="FF65" t="s">
        <v>244</v>
      </c>
      <c r="FG65" t="s">
        <v>226</v>
      </c>
      <c r="FH65" t="s">
        <v>1015</v>
      </c>
      <c r="FI65" t="s">
        <v>245</v>
      </c>
      <c r="FJ65" t="s">
        <v>226</v>
      </c>
      <c r="FK65" t="s">
        <v>265</v>
      </c>
      <c r="FL65" t="s">
        <v>226</v>
      </c>
      <c r="FM65" t="s">
        <v>226</v>
      </c>
      <c r="FN65" t="s">
        <v>967</v>
      </c>
      <c r="FO65">
        <v>1</v>
      </c>
      <c r="FP65">
        <v>0</v>
      </c>
      <c r="FQ65">
        <v>0</v>
      </c>
      <c r="FR65">
        <v>0</v>
      </c>
      <c r="FS65">
        <v>0</v>
      </c>
      <c r="FU65" t="s">
        <v>236</v>
      </c>
      <c r="FW65" t="s">
        <v>236</v>
      </c>
      <c r="FZ65" t="s">
        <v>236</v>
      </c>
      <c r="GC65" t="s">
        <v>236</v>
      </c>
      <c r="GF65" t="s">
        <v>236</v>
      </c>
      <c r="GI65" t="s">
        <v>236</v>
      </c>
      <c r="GL65" t="s">
        <v>236</v>
      </c>
      <c r="GO65" t="s">
        <v>226</v>
      </c>
      <c r="GP65" t="s">
        <v>226</v>
      </c>
      <c r="GQ65" t="s">
        <v>266</v>
      </c>
      <c r="GR65" t="s">
        <v>236</v>
      </c>
      <c r="GU65" t="s">
        <v>236</v>
      </c>
      <c r="GX65" t="s">
        <v>236</v>
      </c>
      <c r="HB65" t="s">
        <v>358</v>
      </c>
      <c r="HC65" t="s">
        <v>1016</v>
      </c>
      <c r="HD65" t="s">
        <v>1017</v>
      </c>
      <c r="HE65">
        <v>82766412</v>
      </c>
      <c r="HF65" t="s">
        <v>1018</v>
      </c>
      <c r="HG65" s="2">
        <v>45750.605254629627</v>
      </c>
      <c r="HJ65" t="s">
        <v>248</v>
      </c>
      <c r="HL65" t="s">
        <v>249</v>
      </c>
      <c r="HN65">
        <v>64</v>
      </c>
    </row>
    <row r="66" spans="1:222" x14ac:dyDescent="0.25">
      <c r="A66" s="2">
        <v>45750.390605138891</v>
      </c>
      <c r="B66" s="2">
        <v>45750.394254537037</v>
      </c>
      <c r="C66" t="s">
        <v>221</v>
      </c>
      <c r="D66">
        <v>29</v>
      </c>
      <c r="E66" s="2">
        <v>45732</v>
      </c>
      <c r="F66">
        <v>5</v>
      </c>
      <c r="G66" t="s">
        <v>222</v>
      </c>
      <c r="H66" t="s">
        <v>223</v>
      </c>
      <c r="I66">
        <v>60</v>
      </c>
      <c r="J66" t="str">
        <f t="shared" ref="J66:J129" si="1">IF(AND(I66&gt;=18,I66&lt;=25), "de 18 a 25 años",IF(AND(I66&gt;=26,I66&lt;=40),"de 26 a 40 años",IF(AND(I66&gt;=41,I66&lt;=55),"de 41 a 55 años","de 56 a más")))</f>
        <v>de 56 a más</v>
      </c>
      <c r="K66" t="s">
        <v>224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291</v>
      </c>
      <c r="R66" t="s">
        <v>226</v>
      </c>
      <c r="T66" t="s">
        <v>392</v>
      </c>
      <c r="V66" t="s">
        <v>228</v>
      </c>
      <c r="W66" t="s">
        <v>229</v>
      </c>
      <c r="X66" t="s">
        <v>368</v>
      </c>
      <c r="Z66" t="s">
        <v>231</v>
      </c>
      <c r="AA66" t="s">
        <v>644</v>
      </c>
      <c r="AB66">
        <v>1</v>
      </c>
      <c r="AC66">
        <v>1</v>
      </c>
      <c r="AD66">
        <v>0</v>
      </c>
      <c r="AE66">
        <v>0</v>
      </c>
      <c r="AF66">
        <v>0</v>
      </c>
      <c r="AG66">
        <v>0</v>
      </c>
      <c r="AI66" t="s">
        <v>233</v>
      </c>
      <c r="AJ66">
        <v>0</v>
      </c>
      <c r="AK66">
        <v>1</v>
      </c>
      <c r="AL66">
        <v>0</v>
      </c>
      <c r="AM66">
        <v>0</v>
      </c>
      <c r="AN66" t="s">
        <v>300</v>
      </c>
      <c r="AO66" t="s">
        <v>235</v>
      </c>
      <c r="AP66">
        <v>0</v>
      </c>
      <c r="AQ66">
        <v>0</v>
      </c>
      <c r="AR66">
        <v>0</v>
      </c>
      <c r="AS66">
        <v>1</v>
      </c>
      <c r="AT66">
        <v>0</v>
      </c>
      <c r="AU66">
        <v>0</v>
      </c>
      <c r="AV66">
        <v>0</v>
      </c>
      <c r="AX66" t="s">
        <v>226</v>
      </c>
      <c r="AY66" t="s">
        <v>226</v>
      </c>
      <c r="AZ66" t="s">
        <v>237</v>
      </c>
      <c r="BA66" t="s">
        <v>645</v>
      </c>
      <c r="BE66" t="s">
        <v>261</v>
      </c>
      <c r="BF66" t="s">
        <v>259</v>
      </c>
      <c r="BG66" t="s">
        <v>261</v>
      </c>
      <c r="BH66" t="s">
        <v>259</v>
      </c>
      <c r="BI66" t="s">
        <v>237</v>
      </c>
      <c r="BJ66" t="s">
        <v>259</v>
      </c>
      <c r="BK66" t="s">
        <v>261</v>
      </c>
      <c r="BL66" t="s">
        <v>262</v>
      </c>
      <c r="BM66" t="s">
        <v>296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 t="s">
        <v>328</v>
      </c>
      <c r="CB66" t="s">
        <v>328</v>
      </c>
      <c r="CC66" t="s">
        <v>328</v>
      </c>
      <c r="CD66" t="s">
        <v>236</v>
      </c>
      <c r="CE66" t="s">
        <v>236</v>
      </c>
      <c r="EA66" t="s">
        <v>226</v>
      </c>
      <c r="EB66" t="s">
        <v>245</v>
      </c>
      <c r="EC66" t="s">
        <v>236</v>
      </c>
      <c r="EE66" t="s">
        <v>226</v>
      </c>
      <c r="EF66" t="s">
        <v>245</v>
      </c>
      <c r="EG66" t="s">
        <v>236</v>
      </c>
      <c r="EI66" t="s">
        <v>236</v>
      </c>
      <c r="EK66" t="s">
        <v>236</v>
      </c>
      <c r="EM66" t="s">
        <v>236</v>
      </c>
      <c r="EO66" t="s">
        <v>236</v>
      </c>
      <c r="EQ66" t="s">
        <v>236</v>
      </c>
      <c r="ES66" t="s">
        <v>236</v>
      </c>
      <c r="EU66" t="s">
        <v>236</v>
      </c>
      <c r="EW66" t="s">
        <v>236</v>
      </c>
      <c r="EY66" t="s">
        <v>236</v>
      </c>
      <c r="FA66" t="s">
        <v>236</v>
      </c>
      <c r="FC66" t="s">
        <v>236</v>
      </c>
      <c r="FE66" t="s">
        <v>236</v>
      </c>
      <c r="FG66" t="s">
        <v>236</v>
      </c>
      <c r="FJ66" t="s">
        <v>236</v>
      </c>
      <c r="FM66" t="s">
        <v>236</v>
      </c>
      <c r="FW66" t="s">
        <v>236</v>
      </c>
      <c r="FZ66" t="s">
        <v>236</v>
      </c>
      <c r="GC66" t="s">
        <v>236</v>
      </c>
      <c r="GF66" t="s">
        <v>226</v>
      </c>
      <c r="GG66" t="s">
        <v>236</v>
      </c>
      <c r="GI66" t="s">
        <v>236</v>
      </c>
      <c r="GL66" t="s">
        <v>236</v>
      </c>
      <c r="GO66" t="s">
        <v>226</v>
      </c>
      <c r="GP66" t="s">
        <v>236</v>
      </c>
      <c r="GR66" t="s">
        <v>226</v>
      </c>
      <c r="GS66" t="s">
        <v>236</v>
      </c>
      <c r="GU66" t="s">
        <v>236</v>
      </c>
      <c r="GX66" t="s">
        <v>236</v>
      </c>
      <c r="HB66" t="s">
        <v>279</v>
      </c>
      <c r="HE66">
        <v>82766281</v>
      </c>
      <c r="HF66" t="s">
        <v>646</v>
      </c>
      <c r="HG66" s="2">
        <v>45750.602511574078</v>
      </c>
      <c r="HJ66" t="s">
        <v>248</v>
      </c>
      <c r="HL66" t="s">
        <v>249</v>
      </c>
      <c r="HN66">
        <v>63</v>
      </c>
    </row>
    <row r="67" spans="1:222" x14ac:dyDescent="0.25">
      <c r="A67" s="2">
        <v>45750.394255162028</v>
      </c>
      <c r="B67" s="2">
        <v>45750.398479733798</v>
      </c>
      <c r="C67" t="s">
        <v>221</v>
      </c>
      <c r="D67">
        <v>30</v>
      </c>
      <c r="E67" s="2">
        <v>45732</v>
      </c>
      <c r="F67">
        <v>5</v>
      </c>
      <c r="G67" t="s">
        <v>290</v>
      </c>
      <c r="H67" t="s">
        <v>223</v>
      </c>
      <c r="I67">
        <v>47</v>
      </c>
      <c r="J67" t="str">
        <f t="shared" si="1"/>
        <v>de 41 a 55 años</v>
      </c>
      <c r="K67" t="s">
        <v>251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291</v>
      </c>
      <c r="R67" t="s">
        <v>226</v>
      </c>
      <c r="T67" t="s">
        <v>227</v>
      </c>
      <c r="V67" t="s">
        <v>252</v>
      </c>
      <c r="W67" t="s">
        <v>292</v>
      </c>
      <c r="X67" t="s">
        <v>230</v>
      </c>
      <c r="Z67" t="s">
        <v>254</v>
      </c>
      <c r="AA67" t="s">
        <v>293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I67" t="s">
        <v>256</v>
      </c>
      <c r="AJ67">
        <v>0</v>
      </c>
      <c r="AK67">
        <v>0</v>
      </c>
      <c r="AL67">
        <v>1</v>
      </c>
      <c r="AM67">
        <v>0</v>
      </c>
      <c r="AN67" t="s">
        <v>234</v>
      </c>
      <c r="AO67" t="s">
        <v>294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X67" t="s">
        <v>226</v>
      </c>
      <c r="AY67" t="s">
        <v>226</v>
      </c>
      <c r="AZ67" t="s">
        <v>237</v>
      </c>
      <c r="BA67" t="s">
        <v>295</v>
      </c>
      <c r="BE67" t="s">
        <v>259</v>
      </c>
      <c r="BF67" t="s">
        <v>237</v>
      </c>
      <c r="BG67" t="s">
        <v>259</v>
      </c>
      <c r="BH67" t="s">
        <v>259</v>
      </c>
      <c r="BI67" t="s">
        <v>259</v>
      </c>
      <c r="BJ67" t="s">
        <v>237</v>
      </c>
      <c r="BK67" t="s">
        <v>259</v>
      </c>
      <c r="BL67" t="s">
        <v>262</v>
      </c>
      <c r="BM67" t="s">
        <v>296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 t="s">
        <v>264</v>
      </c>
      <c r="CB67" t="s">
        <v>264</v>
      </c>
      <c r="CC67" t="s">
        <v>264</v>
      </c>
      <c r="CD67" t="s">
        <v>236</v>
      </c>
      <c r="CE67" t="s">
        <v>236</v>
      </c>
      <c r="EA67" t="s">
        <v>236</v>
      </c>
      <c r="EC67" t="s">
        <v>236</v>
      </c>
      <c r="EE67" t="s">
        <v>226</v>
      </c>
      <c r="EF67" t="s">
        <v>244</v>
      </c>
      <c r="EG67" t="s">
        <v>236</v>
      </c>
      <c r="EI67" t="s">
        <v>236</v>
      </c>
      <c r="EK67" t="s">
        <v>236</v>
      </c>
      <c r="EM67" t="s">
        <v>236</v>
      </c>
      <c r="EO67" t="s">
        <v>236</v>
      </c>
      <c r="EQ67" t="s">
        <v>236</v>
      </c>
      <c r="ES67" t="s">
        <v>236</v>
      </c>
      <c r="EU67" t="s">
        <v>236</v>
      </c>
      <c r="EW67" t="s">
        <v>236</v>
      </c>
      <c r="EY67" t="s">
        <v>226</v>
      </c>
      <c r="EZ67" t="s">
        <v>245</v>
      </c>
      <c r="FA67" t="s">
        <v>236</v>
      </c>
      <c r="FC67" t="s">
        <v>236</v>
      </c>
      <c r="FE67" t="s">
        <v>236</v>
      </c>
      <c r="FG67" t="s">
        <v>236</v>
      </c>
      <c r="FJ67" t="s">
        <v>226</v>
      </c>
      <c r="FK67" t="s">
        <v>245</v>
      </c>
      <c r="FL67" t="s">
        <v>236</v>
      </c>
      <c r="FM67" t="s">
        <v>236</v>
      </c>
      <c r="FW67" t="s">
        <v>236</v>
      </c>
      <c r="FZ67" t="s">
        <v>236</v>
      </c>
      <c r="GC67" t="s">
        <v>236</v>
      </c>
      <c r="GF67" t="s">
        <v>226</v>
      </c>
      <c r="GG67" t="s">
        <v>236</v>
      </c>
      <c r="GI67" t="s">
        <v>236</v>
      </c>
      <c r="GL67" t="s">
        <v>236</v>
      </c>
      <c r="GO67" t="s">
        <v>226</v>
      </c>
      <c r="GP67" t="s">
        <v>236</v>
      </c>
      <c r="GR67" t="s">
        <v>226</v>
      </c>
      <c r="GS67" t="s">
        <v>236</v>
      </c>
      <c r="GU67" t="s">
        <v>236</v>
      </c>
      <c r="GX67" t="s">
        <v>236</v>
      </c>
      <c r="HB67" t="s">
        <v>297</v>
      </c>
      <c r="HE67">
        <v>82766463</v>
      </c>
      <c r="HF67" t="s">
        <v>298</v>
      </c>
      <c r="HG67" s="2">
        <v>45750.606736111113</v>
      </c>
      <c r="HJ67" t="s">
        <v>248</v>
      </c>
      <c r="HL67" t="s">
        <v>249</v>
      </c>
      <c r="HN67">
        <v>65</v>
      </c>
    </row>
    <row r="68" spans="1:222" x14ac:dyDescent="0.25">
      <c r="A68" s="2">
        <v>45750.397006273153</v>
      </c>
      <c r="B68" s="2">
        <v>45750.41440390046</v>
      </c>
      <c r="C68" t="s">
        <v>334</v>
      </c>
      <c r="D68">
        <v>135</v>
      </c>
      <c r="E68" s="2">
        <v>45730</v>
      </c>
      <c r="F68">
        <v>3</v>
      </c>
      <c r="G68" t="s">
        <v>450</v>
      </c>
      <c r="H68" t="s">
        <v>335</v>
      </c>
      <c r="I68">
        <v>75</v>
      </c>
      <c r="J68" t="str">
        <f t="shared" si="1"/>
        <v>de 56 a más</v>
      </c>
      <c r="K68" t="s">
        <v>341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225</v>
      </c>
      <c r="R68" t="s">
        <v>236</v>
      </c>
      <c r="S68" t="s">
        <v>935</v>
      </c>
      <c r="T68" t="s">
        <v>392</v>
      </c>
      <c r="V68" t="s">
        <v>393</v>
      </c>
      <c r="W68" t="s">
        <v>229</v>
      </c>
      <c r="X68" t="s">
        <v>230</v>
      </c>
      <c r="Z68" t="s">
        <v>351</v>
      </c>
      <c r="AA68" t="s">
        <v>232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I68" t="s">
        <v>233</v>
      </c>
      <c r="AJ68">
        <v>0</v>
      </c>
      <c r="AK68">
        <v>1</v>
      </c>
      <c r="AL68">
        <v>0</v>
      </c>
      <c r="AM68">
        <v>0</v>
      </c>
      <c r="AN68" t="s">
        <v>300</v>
      </c>
      <c r="AO68" t="s">
        <v>275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X68" t="s">
        <v>226</v>
      </c>
      <c r="AY68" t="s">
        <v>226</v>
      </c>
      <c r="AZ68" t="s">
        <v>237</v>
      </c>
      <c r="BA68" t="s">
        <v>1009</v>
      </c>
      <c r="BB68" t="s">
        <v>904</v>
      </c>
      <c r="BE68" t="s">
        <v>237</v>
      </c>
      <c r="BF68" t="s">
        <v>237</v>
      </c>
      <c r="BG68" t="s">
        <v>259</v>
      </c>
      <c r="BH68" t="s">
        <v>237</v>
      </c>
      <c r="BI68" t="s">
        <v>237</v>
      </c>
      <c r="BJ68" t="s">
        <v>237</v>
      </c>
      <c r="BK68" t="s">
        <v>259</v>
      </c>
      <c r="BL68" t="s">
        <v>240</v>
      </c>
      <c r="BM68" t="s">
        <v>1010</v>
      </c>
      <c r="BN68">
        <v>1</v>
      </c>
      <c r="BO68">
        <v>0</v>
      </c>
      <c r="BP68">
        <v>1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1</v>
      </c>
      <c r="BZ68">
        <v>0</v>
      </c>
      <c r="CA68" t="s">
        <v>264</v>
      </c>
      <c r="CB68" t="s">
        <v>264</v>
      </c>
      <c r="CC68" t="s">
        <v>264</v>
      </c>
      <c r="CD68" t="s">
        <v>236</v>
      </c>
      <c r="CE68" t="s">
        <v>236</v>
      </c>
      <c r="EA68" t="s">
        <v>226</v>
      </c>
      <c r="EB68" t="s">
        <v>245</v>
      </c>
      <c r="EC68" t="s">
        <v>226</v>
      </c>
      <c r="ED68" t="s">
        <v>245</v>
      </c>
      <c r="EE68" t="s">
        <v>226</v>
      </c>
      <c r="EF68" t="s">
        <v>244</v>
      </c>
      <c r="EG68" t="s">
        <v>226</v>
      </c>
      <c r="EH68" t="s">
        <v>245</v>
      </c>
      <c r="EI68" t="s">
        <v>226</v>
      </c>
      <c r="EJ68" t="s">
        <v>244</v>
      </c>
      <c r="EK68" t="s">
        <v>236</v>
      </c>
      <c r="EM68" t="s">
        <v>226</v>
      </c>
      <c r="EN68" t="s">
        <v>244</v>
      </c>
      <c r="EO68" t="s">
        <v>236</v>
      </c>
      <c r="EQ68" t="s">
        <v>236</v>
      </c>
      <c r="ES68" t="s">
        <v>236</v>
      </c>
      <c r="EU68" t="s">
        <v>236</v>
      </c>
      <c r="EW68" t="s">
        <v>236</v>
      </c>
      <c r="EY68" t="s">
        <v>236</v>
      </c>
      <c r="FA68" t="s">
        <v>226</v>
      </c>
      <c r="FB68" t="s">
        <v>265</v>
      </c>
      <c r="FC68" t="s">
        <v>236</v>
      </c>
      <c r="FE68" t="s">
        <v>236</v>
      </c>
      <c r="FG68" t="s">
        <v>236</v>
      </c>
      <c r="FJ68" t="s">
        <v>226</v>
      </c>
      <c r="FK68" t="s">
        <v>245</v>
      </c>
      <c r="FL68" t="s">
        <v>226</v>
      </c>
      <c r="FM68" t="s">
        <v>236</v>
      </c>
      <c r="FW68" t="s">
        <v>226</v>
      </c>
      <c r="FX68" t="s">
        <v>236</v>
      </c>
      <c r="FZ68" t="s">
        <v>236</v>
      </c>
      <c r="GC68" t="s">
        <v>236</v>
      </c>
      <c r="GF68" t="s">
        <v>226</v>
      </c>
      <c r="GG68" t="s">
        <v>226</v>
      </c>
      <c r="GH68" t="s">
        <v>266</v>
      </c>
      <c r="GI68" t="s">
        <v>236</v>
      </c>
      <c r="GL68" t="s">
        <v>236</v>
      </c>
      <c r="GO68" t="s">
        <v>226</v>
      </c>
      <c r="GP68" t="s">
        <v>226</v>
      </c>
      <c r="GQ68" t="s">
        <v>266</v>
      </c>
      <c r="GR68" t="s">
        <v>226</v>
      </c>
      <c r="GS68" t="s">
        <v>226</v>
      </c>
      <c r="GT68" t="s">
        <v>266</v>
      </c>
      <c r="GU68" t="s">
        <v>236</v>
      </c>
      <c r="GX68" t="s">
        <v>236</v>
      </c>
      <c r="HB68" t="s">
        <v>510</v>
      </c>
      <c r="HC68" t="s">
        <v>345</v>
      </c>
      <c r="HD68" t="s">
        <v>339</v>
      </c>
      <c r="HE68">
        <v>82767625</v>
      </c>
      <c r="HF68" t="s">
        <v>1011</v>
      </c>
      <c r="HG68" s="2">
        <v>45750.622650462959</v>
      </c>
      <c r="HJ68" t="s">
        <v>248</v>
      </c>
      <c r="HL68" t="s">
        <v>249</v>
      </c>
      <c r="HN68">
        <v>69</v>
      </c>
    </row>
    <row r="69" spans="1:222" x14ac:dyDescent="0.25">
      <c r="A69" s="2">
        <v>45750.39848019676</v>
      </c>
      <c r="B69" s="2">
        <v>45750.404786053237</v>
      </c>
      <c r="C69" t="s">
        <v>221</v>
      </c>
      <c r="D69">
        <v>36</v>
      </c>
      <c r="E69" s="2">
        <v>45732</v>
      </c>
      <c r="F69">
        <v>5</v>
      </c>
      <c r="G69" t="s">
        <v>271</v>
      </c>
      <c r="H69" t="s">
        <v>223</v>
      </c>
      <c r="I69">
        <v>51</v>
      </c>
      <c r="J69" t="str">
        <f t="shared" si="1"/>
        <v>de 41 a 55 años</v>
      </c>
      <c r="K69" t="s">
        <v>251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291</v>
      </c>
      <c r="R69" t="s">
        <v>226</v>
      </c>
      <c r="T69" t="s">
        <v>284</v>
      </c>
      <c r="V69" t="s">
        <v>252</v>
      </c>
      <c r="W69" t="s">
        <v>229</v>
      </c>
      <c r="X69" t="s">
        <v>299</v>
      </c>
      <c r="Z69" t="s">
        <v>254</v>
      </c>
      <c r="AA69" t="s">
        <v>232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I69" t="s">
        <v>233</v>
      </c>
      <c r="AJ69">
        <v>0</v>
      </c>
      <c r="AK69">
        <v>1</v>
      </c>
      <c r="AL69">
        <v>0</v>
      </c>
      <c r="AM69">
        <v>0</v>
      </c>
      <c r="AN69" t="s">
        <v>300</v>
      </c>
      <c r="AO69" t="s">
        <v>294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X69" t="s">
        <v>226</v>
      </c>
      <c r="AY69" t="s">
        <v>226</v>
      </c>
      <c r="AZ69" t="s">
        <v>237</v>
      </c>
      <c r="BA69" t="s">
        <v>301</v>
      </c>
      <c r="BB69" t="s">
        <v>302</v>
      </c>
      <c r="BE69" t="s">
        <v>259</v>
      </c>
      <c r="BF69" t="s">
        <v>259</v>
      </c>
      <c r="BG69" t="s">
        <v>259</v>
      </c>
      <c r="BH69" t="s">
        <v>259</v>
      </c>
      <c r="BI69" t="s">
        <v>237</v>
      </c>
      <c r="BJ69" t="s">
        <v>259</v>
      </c>
      <c r="BK69" t="s">
        <v>259</v>
      </c>
      <c r="BL69" t="s">
        <v>262</v>
      </c>
      <c r="BM69" t="s">
        <v>263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1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 t="s">
        <v>264</v>
      </c>
      <c r="CB69" t="s">
        <v>264</v>
      </c>
      <c r="CC69" t="s">
        <v>264</v>
      </c>
      <c r="CD69" t="s">
        <v>236</v>
      </c>
      <c r="CE69" t="s">
        <v>236</v>
      </c>
      <c r="EA69" t="s">
        <v>236</v>
      </c>
      <c r="EC69" t="s">
        <v>236</v>
      </c>
      <c r="EE69" t="s">
        <v>226</v>
      </c>
      <c r="EF69" t="s">
        <v>244</v>
      </c>
      <c r="EG69" t="s">
        <v>236</v>
      </c>
      <c r="EI69" t="s">
        <v>236</v>
      </c>
      <c r="EK69" t="s">
        <v>236</v>
      </c>
      <c r="EM69" t="s">
        <v>226</v>
      </c>
      <c r="EN69" t="s">
        <v>244</v>
      </c>
      <c r="EO69" t="s">
        <v>236</v>
      </c>
      <c r="EQ69" t="s">
        <v>236</v>
      </c>
      <c r="ES69" t="s">
        <v>226</v>
      </c>
      <c r="ET69" t="s">
        <v>244</v>
      </c>
      <c r="EU69" t="s">
        <v>236</v>
      </c>
      <c r="EW69" t="s">
        <v>226</v>
      </c>
      <c r="EX69" t="s">
        <v>245</v>
      </c>
      <c r="EY69" t="s">
        <v>226</v>
      </c>
      <c r="EZ69" t="s">
        <v>244</v>
      </c>
      <c r="FA69" t="s">
        <v>226</v>
      </c>
      <c r="FB69" t="s">
        <v>245</v>
      </c>
      <c r="FC69" t="s">
        <v>236</v>
      </c>
      <c r="FE69" t="s">
        <v>226</v>
      </c>
      <c r="FF69" t="s">
        <v>244</v>
      </c>
      <c r="FG69" t="s">
        <v>236</v>
      </c>
      <c r="FJ69" t="s">
        <v>226</v>
      </c>
      <c r="FK69" t="s">
        <v>245</v>
      </c>
      <c r="FL69" t="s">
        <v>236</v>
      </c>
      <c r="FM69" t="s">
        <v>236</v>
      </c>
      <c r="FW69" t="s">
        <v>236</v>
      </c>
      <c r="FZ69" t="s">
        <v>236</v>
      </c>
      <c r="GC69" t="s">
        <v>236</v>
      </c>
      <c r="GF69" t="s">
        <v>226</v>
      </c>
      <c r="GG69" t="s">
        <v>236</v>
      </c>
      <c r="GI69" t="s">
        <v>236</v>
      </c>
      <c r="GL69" t="s">
        <v>226</v>
      </c>
      <c r="GM69" t="s">
        <v>236</v>
      </c>
      <c r="GO69" t="s">
        <v>226</v>
      </c>
      <c r="GP69" t="s">
        <v>236</v>
      </c>
      <c r="GR69" t="s">
        <v>226</v>
      </c>
      <c r="GS69" t="s">
        <v>236</v>
      </c>
      <c r="GU69" t="s">
        <v>236</v>
      </c>
      <c r="GX69" t="s">
        <v>236</v>
      </c>
      <c r="HB69" t="s">
        <v>279</v>
      </c>
      <c r="HC69" t="s">
        <v>303</v>
      </c>
      <c r="HE69">
        <v>82767007</v>
      </c>
      <c r="HF69" t="s">
        <v>304</v>
      </c>
      <c r="HG69" s="2">
        <v>45750.613043981481</v>
      </c>
      <c r="HJ69" t="s">
        <v>248</v>
      </c>
      <c r="HL69" t="s">
        <v>249</v>
      </c>
      <c r="HN69">
        <v>66</v>
      </c>
    </row>
    <row r="70" spans="1:222" x14ac:dyDescent="0.25">
      <c r="A70" s="2">
        <v>45750.407824768517</v>
      </c>
      <c r="B70" s="2">
        <v>45750.412652997693</v>
      </c>
      <c r="C70" t="s">
        <v>305</v>
      </c>
      <c r="D70">
        <v>105</v>
      </c>
      <c r="E70" s="2">
        <v>45732</v>
      </c>
      <c r="F70">
        <v>3</v>
      </c>
      <c r="G70" t="s">
        <v>306</v>
      </c>
      <c r="H70" t="s">
        <v>307</v>
      </c>
      <c r="I70">
        <v>31</v>
      </c>
      <c r="J70" t="str">
        <f t="shared" si="1"/>
        <v>de 26 a 40 años</v>
      </c>
      <c r="K70" t="s">
        <v>224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291</v>
      </c>
      <c r="R70" t="s">
        <v>226</v>
      </c>
      <c r="T70" t="s">
        <v>227</v>
      </c>
      <c r="V70" t="s">
        <v>272</v>
      </c>
      <c r="W70" t="s">
        <v>229</v>
      </c>
      <c r="X70" t="s">
        <v>230</v>
      </c>
      <c r="Z70" t="s">
        <v>308</v>
      </c>
      <c r="AA70" t="s">
        <v>232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I70" t="s">
        <v>233</v>
      </c>
      <c r="AJ70">
        <v>0</v>
      </c>
      <c r="AK70">
        <v>1</v>
      </c>
      <c r="AL70">
        <v>0</v>
      </c>
      <c r="AM70">
        <v>0</v>
      </c>
      <c r="AN70" t="s">
        <v>300</v>
      </c>
      <c r="AO70" t="s">
        <v>382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X70" t="s">
        <v>236</v>
      </c>
      <c r="AZ70" t="s">
        <v>237</v>
      </c>
      <c r="BA70" t="s">
        <v>277</v>
      </c>
      <c r="BB70" t="s">
        <v>904</v>
      </c>
      <c r="BE70" t="s">
        <v>259</v>
      </c>
      <c r="BF70" t="s">
        <v>259</v>
      </c>
      <c r="BG70" t="s">
        <v>239</v>
      </c>
      <c r="BH70" t="s">
        <v>259</v>
      </c>
      <c r="BI70" t="s">
        <v>259</v>
      </c>
      <c r="BJ70" t="s">
        <v>237</v>
      </c>
      <c r="BK70" t="s">
        <v>239</v>
      </c>
      <c r="BL70" t="s">
        <v>262</v>
      </c>
      <c r="BM70" t="s">
        <v>389</v>
      </c>
      <c r="BN70">
        <v>0</v>
      </c>
      <c r="BO70">
        <v>0</v>
      </c>
      <c r="BP70">
        <v>1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 t="s">
        <v>242</v>
      </c>
      <c r="CB70" t="s">
        <v>242</v>
      </c>
      <c r="CC70" t="s">
        <v>328</v>
      </c>
      <c r="CD70" t="s">
        <v>236</v>
      </c>
      <c r="CE70" t="s">
        <v>236</v>
      </c>
      <c r="EA70" t="s">
        <v>236</v>
      </c>
      <c r="EC70" t="s">
        <v>226</v>
      </c>
      <c r="ED70" t="s">
        <v>244</v>
      </c>
      <c r="EE70" t="s">
        <v>226</v>
      </c>
      <c r="EF70" t="s">
        <v>244</v>
      </c>
      <c r="EG70" t="s">
        <v>226</v>
      </c>
      <c r="EH70" t="s">
        <v>244</v>
      </c>
      <c r="EI70" t="s">
        <v>236</v>
      </c>
      <c r="EK70" t="s">
        <v>226</v>
      </c>
      <c r="EL70" t="s">
        <v>244</v>
      </c>
      <c r="EM70" t="s">
        <v>236</v>
      </c>
      <c r="EO70" t="s">
        <v>236</v>
      </c>
      <c r="EQ70" t="s">
        <v>236</v>
      </c>
      <c r="ES70" t="s">
        <v>236</v>
      </c>
      <c r="EU70" t="s">
        <v>236</v>
      </c>
      <c r="EW70" t="s">
        <v>236</v>
      </c>
      <c r="EY70" t="s">
        <v>236</v>
      </c>
      <c r="FA70" t="s">
        <v>236</v>
      </c>
      <c r="FC70" t="s">
        <v>236</v>
      </c>
      <c r="FE70" t="s">
        <v>226</v>
      </c>
      <c r="FF70" t="s">
        <v>244</v>
      </c>
      <c r="FG70" t="s">
        <v>226</v>
      </c>
      <c r="FH70" t="s">
        <v>905</v>
      </c>
      <c r="FI70" t="s">
        <v>244</v>
      </c>
      <c r="FJ70" t="s">
        <v>226</v>
      </c>
      <c r="FK70" t="s">
        <v>244</v>
      </c>
      <c r="FL70" t="s">
        <v>236</v>
      </c>
      <c r="FM70" t="s">
        <v>236</v>
      </c>
      <c r="FW70" t="s">
        <v>226</v>
      </c>
      <c r="FX70" t="s">
        <v>226</v>
      </c>
      <c r="FY70" t="s">
        <v>266</v>
      </c>
      <c r="FZ70" t="s">
        <v>236</v>
      </c>
      <c r="GC70" t="s">
        <v>226</v>
      </c>
      <c r="GD70" t="s">
        <v>236</v>
      </c>
      <c r="GF70" t="s">
        <v>226</v>
      </c>
      <c r="GG70" t="s">
        <v>226</v>
      </c>
      <c r="GH70" t="s">
        <v>266</v>
      </c>
      <c r="GI70" t="s">
        <v>226</v>
      </c>
      <c r="GJ70" t="s">
        <v>226</v>
      </c>
      <c r="GK70" t="s">
        <v>266</v>
      </c>
      <c r="GL70" t="s">
        <v>226</v>
      </c>
      <c r="GM70" t="s">
        <v>226</v>
      </c>
      <c r="GN70" t="s">
        <v>570</v>
      </c>
      <c r="GO70" t="s">
        <v>226</v>
      </c>
      <c r="GP70" t="s">
        <v>226</v>
      </c>
      <c r="GQ70" t="s">
        <v>266</v>
      </c>
      <c r="GR70" t="s">
        <v>226</v>
      </c>
      <c r="GS70" t="s">
        <v>226</v>
      </c>
      <c r="GT70" t="s">
        <v>570</v>
      </c>
      <c r="GU70" t="s">
        <v>226</v>
      </c>
      <c r="GV70" t="s">
        <v>226</v>
      </c>
      <c r="GW70" t="s">
        <v>266</v>
      </c>
      <c r="GX70" t="s">
        <v>226</v>
      </c>
      <c r="GY70" t="s">
        <v>236</v>
      </c>
      <c r="HB70" t="s">
        <v>906</v>
      </c>
      <c r="HC70" t="s">
        <v>907</v>
      </c>
      <c r="HE70">
        <v>82767509</v>
      </c>
      <c r="HF70" t="s">
        <v>908</v>
      </c>
      <c r="HG70" s="2">
        <v>45750.62090277778</v>
      </c>
      <c r="HJ70" t="s">
        <v>248</v>
      </c>
      <c r="HL70" t="s">
        <v>249</v>
      </c>
      <c r="HN70">
        <v>68</v>
      </c>
    </row>
    <row r="71" spans="1:222" x14ac:dyDescent="0.25">
      <c r="A71" s="2">
        <v>45750.412653564817</v>
      </c>
      <c r="B71" s="2">
        <v>45750.421169594912</v>
      </c>
      <c r="C71" t="s">
        <v>305</v>
      </c>
      <c r="D71">
        <v>107</v>
      </c>
      <c r="E71" s="2">
        <v>45732</v>
      </c>
      <c r="F71">
        <v>3</v>
      </c>
      <c r="G71" t="s">
        <v>306</v>
      </c>
      <c r="H71" t="s">
        <v>307</v>
      </c>
      <c r="I71">
        <v>38</v>
      </c>
      <c r="J71" t="str">
        <f t="shared" si="1"/>
        <v>de 26 a 40 años</v>
      </c>
      <c r="K71" t="s">
        <v>251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291</v>
      </c>
      <c r="R71" t="s">
        <v>226</v>
      </c>
      <c r="T71" t="s">
        <v>227</v>
      </c>
      <c r="V71" t="s">
        <v>252</v>
      </c>
      <c r="W71" t="s">
        <v>292</v>
      </c>
      <c r="X71" t="s">
        <v>230</v>
      </c>
      <c r="Z71" t="s">
        <v>308</v>
      </c>
      <c r="AA71" t="s">
        <v>325</v>
      </c>
      <c r="AB71">
        <v>1</v>
      </c>
      <c r="AC71">
        <v>1</v>
      </c>
      <c r="AD71">
        <v>1</v>
      </c>
      <c r="AE71">
        <v>0</v>
      </c>
      <c r="AF71">
        <v>0</v>
      </c>
      <c r="AG71">
        <v>1</v>
      </c>
      <c r="AH71" t="s">
        <v>310</v>
      </c>
      <c r="AI71" t="s">
        <v>256</v>
      </c>
      <c r="AJ71">
        <v>0</v>
      </c>
      <c r="AK71">
        <v>0</v>
      </c>
      <c r="AL71">
        <v>1</v>
      </c>
      <c r="AM71">
        <v>0</v>
      </c>
      <c r="AN71" t="s">
        <v>234</v>
      </c>
      <c r="AO71" t="s">
        <v>326</v>
      </c>
      <c r="AP71">
        <v>0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0</v>
      </c>
      <c r="AX71" t="s">
        <v>226</v>
      </c>
      <c r="AY71" t="s">
        <v>226</v>
      </c>
      <c r="AZ71" t="s">
        <v>259</v>
      </c>
      <c r="BA71" t="s">
        <v>327</v>
      </c>
      <c r="BE71" t="s">
        <v>259</v>
      </c>
      <c r="BF71" t="s">
        <v>237</v>
      </c>
      <c r="BG71" t="s">
        <v>259</v>
      </c>
      <c r="BH71" t="s">
        <v>259</v>
      </c>
      <c r="BI71" t="s">
        <v>259</v>
      </c>
      <c r="BJ71" t="s">
        <v>259</v>
      </c>
      <c r="BK71" t="s">
        <v>239</v>
      </c>
      <c r="BL71" t="s">
        <v>262</v>
      </c>
      <c r="BM71" t="s">
        <v>314</v>
      </c>
      <c r="BN71">
        <v>0</v>
      </c>
      <c r="BO71">
        <v>0</v>
      </c>
      <c r="BP71">
        <v>0</v>
      </c>
      <c r="BQ71">
        <v>1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 t="s">
        <v>243</v>
      </c>
      <c r="CB71" t="s">
        <v>328</v>
      </c>
      <c r="CC71" t="s">
        <v>264</v>
      </c>
      <c r="CD71" t="s">
        <v>226</v>
      </c>
      <c r="CE71" t="s">
        <v>236</v>
      </c>
      <c r="EA71" t="s">
        <v>226</v>
      </c>
      <c r="EB71" t="s">
        <v>244</v>
      </c>
      <c r="EC71" t="s">
        <v>236</v>
      </c>
      <c r="EE71" t="s">
        <v>226</v>
      </c>
      <c r="EF71" t="s">
        <v>245</v>
      </c>
      <c r="EG71" t="s">
        <v>226</v>
      </c>
      <c r="EH71" t="s">
        <v>265</v>
      </c>
      <c r="EI71" t="s">
        <v>308</v>
      </c>
      <c r="EK71" t="s">
        <v>226</v>
      </c>
      <c r="EL71" t="s">
        <v>244</v>
      </c>
      <c r="EM71" t="s">
        <v>226</v>
      </c>
      <c r="EN71" t="s">
        <v>244</v>
      </c>
      <c r="EO71" t="s">
        <v>226</v>
      </c>
      <c r="EP71" t="s">
        <v>245</v>
      </c>
      <c r="EQ71" t="s">
        <v>236</v>
      </c>
      <c r="ES71" t="s">
        <v>236</v>
      </c>
      <c r="EU71" t="s">
        <v>236</v>
      </c>
      <c r="EW71" t="s">
        <v>226</v>
      </c>
      <c r="EX71" t="s">
        <v>245</v>
      </c>
      <c r="EY71" t="s">
        <v>226</v>
      </c>
      <c r="EZ71" t="s">
        <v>245</v>
      </c>
      <c r="FA71" t="s">
        <v>226</v>
      </c>
      <c r="FB71" t="s">
        <v>245</v>
      </c>
      <c r="FC71" t="s">
        <v>236</v>
      </c>
      <c r="FE71" t="s">
        <v>226</v>
      </c>
      <c r="FF71" t="s">
        <v>245</v>
      </c>
      <c r="FG71" t="s">
        <v>226</v>
      </c>
      <c r="FH71" t="s">
        <v>329</v>
      </c>
      <c r="FI71" t="s">
        <v>244</v>
      </c>
      <c r="FJ71" t="s">
        <v>226</v>
      </c>
      <c r="FK71" t="s">
        <v>245</v>
      </c>
      <c r="FL71" t="s">
        <v>226</v>
      </c>
      <c r="FM71" t="s">
        <v>236</v>
      </c>
      <c r="FW71" t="s">
        <v>236</v>
      </c>
      <c r="FZ71" t="s">
        <v>226</v>
      </c>
      <c r="GA71" t="s">
        <v>226</v>
      </c>
      <c r="GB71" t="s">
        <v>267</v>
      </c>
      <c r="GC71" t="s">
        <v>236</v>
      </c>
      <c r="GF71" t="s">
        <v>226</v>
      </c>
      <c r="GG71" t="s">
        <v>226</v>
      </c>
      <c r="GH71" t="s">
        <v>267</v>
      </c>
      <c r="GI71" t="s">
        <v>226</v>
      </c>
      <c r="GJ71" t="s">
        <v>226</v>
      </c>
      <c r="GK71" t="s">
        <v>267</v>
      </c>
      <c r="GL71" t="s">
        <v>236</v>
      </c>
      <c r="GO71" t="s">
        <v>226</v>
      </c>
      <c r="GP71" t="s">
        <v>226</v>
      </c>
      <c r="GQ71" t="s">
        <v>267</v>
      </c>
      <c r="GR71" t="s">
        <v>226</v>
      </c>
      <c r="GS71" t="s">
        <v>226</v>
      </c>
      <c r="GT71" t="s">
        <v>267</v>
      </c>
      <c r="GU71" t="s">
        <v>236</v>
      </c>
      <c r="GX71" t="s">
        <v>236</v>
      </c>
      <c r="HB71" t="s">
        <v>330</v>
      </c>
      <c r="HC71" t="s">
        <v>331</v>
      </c>
      <c r="HD71" t="s">
        <v>332</v>
      </c>
      <c r="HE71">
        <v>82768142</v>
      </c>
      <c r="HF71" t="s">
        <v>333</v>
      </c>
      <c r="HG71" s="2">
        <v>45750.629421296297</v>
      </c>
      <c r="HJ71" t="s">
        <v>248</v>
      </c>
      <c r="HL71" t="s">
        <v>249</v>
      </c>
      <c r="HN71">
        <v>71</v>
      </c>
    </row>
    <row r="72" spans="1:222" x14ac:dyDescent="0.25">
      <c r="A72" s="2">
        <v>45750.41440454861</v>
      </c>
      <c r="B72" s="2">
        <v>45750.417720324083</v>
      </c>
      <c r="C72" t="s">
        <v>334</v>
      </c>
      <c r="D72">
        <v>134</v>
      </c>
      <c r="E72" s="2">
        <v>45730</v>
      </c>
      <c r="F72">
        <v>3</v>
      </c>
      <c r="G72" t="s">
        <v>306</v>
      </c>
      <c r="H72" t="s">
        <v>335</v>
      </c>
      <c r="I72">
        <v>45</v>
      </c>
      <c r="J72" t="str">
        <f t="shared" si="1"/>
        <v>de 41 a 55 años</v>
      </c>
      <c r="K72" t="s">
        <v>341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291</v>
      </c>
      <c r="R72" t="s">
        <v>226</v>
      </c>
      <c r="T72" t="s">
        <v>227</v>
      </c>
      <c r="V72" t="s">
        <v>228</v>
      </c>
      <c r="W72" t="s">
        <v>229</v>
      </c>
      <c r="X72" t="s">
        <v>230</v>
      </c>
      <c r="Z72" t="s">
        <v>308</v>
      </c>
      <c r="AA72" t="s">
        <v>232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I72" t="s">
        <v>342</v>
      </c>
      <c r="AJ72">
        <v>0</v>
      </c>
      <c r="AK72">
        <v>1</v>
      </c>
      <c r="AL72">
        <v>1</v>
      </c>
      <c r="AM72">
        <v>1</v>
      </c>
      <c r="AN72" t="s">
        <v>257</v>
      </c>
      <c r="AO72" t="s">
        <v>343</v>
      </c>
      <c r="AP72">
        <v>1</v>
      </c>
      <c r="AQ72">
        <v>0</v>
      </c>
      <c r="AR72">
        <v>0</v>
      </c>
      <c r="AS72">
        <v>1</v>
      </c>
      <c r="AT72">
        <v>1</v>
      </c>
      <c r="AU72">
        <v>0</v>
      </c>
      <c r="AV72">
        <v>0</v>
      </c>
      <c r="AX72" t="s">
        <v>226</v>
      </c>
      <c r="AY72" t="s">
        <v>226</v>
      </c>
      <c r="AZ72" t="s">
        <v>259</v>
      </c>
      <c r="BA72" t="s">
        <v>312</v>
      </c>
      <c r="BB72" t="s">
        <v>344</v>
      </c>
      <c r="BE72" t="s">
        <v>259</v>
      </c>
      <c r="BF72" t="s">
        <v>237</v>
      </c>
      <c r="BG72" t="s">
        <v>237</v>
      </c>
      <c r="BH72" t="s">
        <v>239</v>
      </c>
      <c r="BI72" t="s">
        <v>239</v>
      </c>
      <c r="BJ72" t="s">
        <v>259</v>
      </c>
      <c r="BK72" t="s">
        <v>261</v>
      </c>
      <c r="BL72" t="s">
        <v>313</v>
      </c>
      <c r="BM72" t="s">
        <v>296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 t="s">
        <v>243</v>
      </c>
      <c r="CB72" t="s">
        <v>328</v>
      </c>
      <c r="CC72" t="s">
        <v>328</v>
      </c>
      <c r="CD72" t="s">
        <v>226</v>
      </c>
      <c r="CE72" t="s">
        <v>226</v>
      </c>
      <c r="CF72" t="s">
        <v>315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S72" t="s">
        <v>226</v>
      </c>
      <c r="DD72" t="s">
        <v>316</v>
      </c>
      <c r="EA72" t="s">
        <v>236</v>
      </c>
      <c r="EC72" t="s">
        <v>226</v>
      </c>
      <c r="ED72" t="s">
        <v>245</v>
      </c>
      <c r="EE72" t="s">
        <v>236</v>
      </c>
      <c r="EG72" t="s">
        <v>236</v>
      </c>
      <c r="EI72" t="s">
        <v>226</v>
      </c>
      <c r="EJ72" t="s">
        <v>245</v>
      </c>
      <c r="EK72" t="s">
        <v>236</v>
      </c>
      <c r="EM72" t="s">
        <v>226</v>
      </c>
      <c r="EN72" t="s">
        <v>265</v>
      </c>
      <c r="EO72" t="s">
        <v>226</v>
      </c>
      <c r="EP72" t="s">
        <v>265</v>
      </c>
      <c r="EQ72" t="s">
        <v>236</v>
      </c>
      <c r="ES72" t="s">
        <v>226</v>
      </c>
      <c r="ET72" t="s">
        <v>265</v>
      </c>
      <c r="EU72" t="s">
        <v>236</v>
      </c>
      <c r="EW72" t="s">
        <v>236</v>
      </c>
      <c r="EY72" t="s">
        <v>236</v>
      </c>
      <c r="FA72" t="s">
        <v>236</v>
      </c>
      <c r="FC72" t="s">
        <v>236</v>
      </c>
      <c r="FE72" t="s">
        <v>226</v>
      </c>
      <c r="FF72" t="s">
        <v>245</v>
      </c>
      <c r="FG72" t="s">
        <v>236</v>
      </c>
      <c r="FJ72" t="s">
        <v>226</v>
      </c>
      <c r="FK72" t="s">
        <v>245</v>
      </c>
      <c r="FL72" t="s">
        <v>236</v>
      </c>
      <c r="FM72" t="s">
        <v>236</v>
      </c>
      <c r="FW72" t="s">
        <v>236</v>
      </c>
      <c r="FZ72" t="s">
        <v>236</v>
      </c>
      <c r="GC72" t="s">
        <v>236</v>
      </c>
      <c r="GF72" t="s">
        <v>236</v>
      </c>
      <c r="GI72" t="s">
        <v>236</v>
      </c>
      <c r="GL72" t="s">
        <v>236</v>
      </c>
      <c r="GO72" t="s">
        <v>226</v>
      </c>
      <c r="GP72" t="s">
        <v>226</v>
      </c>
      <c r="GQ72" t="s">
        <v>267</v>
      </c>
      <c r="GR72" t="s">
        <v>226</v>
      </c>
      <c r="GS72" t="s">
        <v>236</v>
      </c>
      <c r="GU72" t="s">
        <v>236</v>
      </c>
      <c r="GX72" t="s">
        <v>236</v>
      </c>
      <c r="HB72" t="s">
        <v>288</v>
      </c>
      <c r="HC72" t="s">
        <v>345</v>
      </c>
      <c r="HD72" t="s">
        <v>346</v>
      </c>
      <c r="HE72">
        <v>82767857</v>
      </c>
      <c r="HF72" t="s">
        <v>347</v>
      </c>
      <c r="HG72" s="2">
        <v>45750.625960648147</v>
      </c>
      <c r="HJ72" t="s">
        <v>248</v>
      </c>
      <c r="HL72" t="s">
        <v>249</v>
      </c>
      <c r="HN72">
        <v>70</v>
      </c>
    </row>
    <row r="73" spans="1:222" x14ac:dyDescent="0.25">
      <c r="A73" s="2">
        <v>45750.417720937498</v>
      </c>
      <c r="B73" s="2">
        <v>45750.431722777779</v>
      </c>
      <c r="C73" t="s">
        <v>334</v>
      </c>
      <c r="D73">
        <v>133</v>
      </c>
      <c r="E73" s="2">
        <v>45730</v>
      </c>
      <c r="F73">
        <v>3</v>
      </c>
      <c r="G73" t="s">
        <v>528</v>
      </c>
      <c r="H73" t="s">
        <v>335</v>
      </c>
      <c r="I73">
        <v>80</v>
      </c>
      <c r="J73" t="str">
        <f t="shared" si="1"/>
        <v>de 56 a más</v>
      </c>
      <c r="K73" t="s">
        <v>341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225</v>
      </c>
      <c r="R73" t="s">
        <v>226</v>
      </c>
      <c r="T73" t="s">
        <v>227</v>
      </c>
      <c r="V73" t="s">
        <v>252</v>
      </c>
      <c r="W73" t="s">
        <v>292</v>
      </c>
      <c r="X73" t="s">
        <v>368</v>
      </c>
      <c r="Z73" t="s">
        <v>231</v>
      </c>
      <c r="AA73" t="s">
        <v>293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I73" t="s">
        <v>233</v>
      </c>
      <c r="AJ73">
        <v>0</v>
      </c>
      <c r="AK73">
        <v>1</v>
      </c>
      <c r="AL73">
        <v>0</v>
      </c>
      <c r="AM73">
        <v>0</v>
      </c>
      <c r="AN73" t="s">
        <v>257</v>
      </c>
      <c r="AO73" t="s">
        <v>275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</v>
      </c>
      <c r="AV73">
        <v>0</v>
      </c>
      <c r="AX73" t="s">
        <v>236</v>
      </c>
      <c r="AZ73" t="s">
        <v>237</v>
      </c>
      <c r="BA73" t="s">
        <v>897</v>
      </c>
      <c r="BE73" t="s">
        <v>259</v>
      </c>
      <c r="BF73" t="s">
        <v>259</v>
      </c>
      <c r="BG73" t="s">
        <v>259</v>
      </c>
      <c r="BH73" t="s">
        <v>308</v>
      </c>
      <c r="BI73" t="s">
        <v>237</v>
      </c>
      <c r="BJ73" t="s">
        <v>237</v>
      </c>
      <c r="BK73" t="s">
        <v>239</v>
      </c>
      <c r="BL73" t="s">
        <v>262</v>
      </c>
      <c r="BM73" t="s">
        <v>278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 t="s">
        <v>264</v>
      </c>
      <c r="CB73" t="s">
        <v>328</v>
      </c>
      <c r="CC73" t="s">
        <v>328</v>
      </c>
      <c r="CD73" t="s">
        <v>236</v>
      </c>
      <c r="CE73" t="s">
        <v>236</v>
      </c>
      <c r="EA73" t="s">
        <v>236</v>
      </c>
      <c r="EC73" t="s">
        <v>226</v>
      </c>
      <c r="ED73" t="s">
        <v>244</v>
      </c>
      <c r="EE73" t="s">
        <v>226</v>
      </c>
      <c r="EF73" t="s">
        <v>265</v>
      </c>
      <c r="EG73" t="s">
        <v>226</v>
      </c>
      <c r="EH73" t="s">
        <v>265</v>
      </c>
      <c r="EI73" t="s">
        <v>236</v>
      </c>
      <c r="EK73" t="s">
        <v>236</v>
      </c>
      <c r="EM73" t="s">
        <v>226</v>
      </c>
      <c r="EN73" t="s">
        <v>265</v>
      </c>
      <c r="EO73" t="s">
        <v>226</v>
      </c>
      <c r="EP73" t="s">
        <v>244</v>
      </c>
      <c r="EQ73" t="s">
        <v>236</v>
      </c>
      <c r="ES73" t="s">
        <v>236</v>
      </c>
      <c r="EU73" t="s">
        <v>236</v>
      </c>
      <c r="EW73" t="s">
        <v>236</v>
      </c>
      <c r="EY73" t="s">
        <v>226</v>
      </c>
      <c r="EZ73" t="s">
        <v>245</v>
      </c>
      <c r="FA73" t="s">
        <v>226</v>
      </c>
      <c r="FB73" t="s">
        <v>245</v>
      </c>
      <c r="FC73" t="s">
        <v>236</v>
      </c>
      <c r="FE73" t="s">
        <v>226</v>
      </c>
      <c r="FF73" t="s">
        <v>244</v>
      </c>
      <c r="FG73" t="s">
        <v>236</v>
      </c>
      <c r="FJ73" t="s">
        <v>226</v>
      </c>
      <c r="FK73" t="s">
        <v>245</v>
      </c>
      <c r="FL73" t="s">
        <v>226</v>
      </c>
      <c r="FM73" t="s">
        <v>236</v>
      </c>
      <c r="FW73" t="s">
        <v>236</v>
      </c>
      <c r="FZ73" t="s">
        <v>236</v>
      </c>
      <c r="GC73" t="s">
        <v>236</v>
      </c>
      <c r="GF73" t="s">
        <v>236</v>
      </c>
      <c r="GI73" t="s">
        <v>236</v>
      </c>
      <c r="GL73" t="s">
        <v>236</v>
      </c>
      <c r="GO73" t="s">
        <v>226</v>
      </c>
      <c r="GP73" t="s">
        <v>226</v>
      </c>
      <c r="GQ73" t="s">
        <v>266</v>
      </c>
      <c r="GR73" t="s">
        <v>226</v>
      </c>
      <c r="GS73" t="s">
        <v>236</v>
      </c>
      <c r="GU73" t="s">
        <v>226</v>
      </c>
      <c r="GV73" t="s">
        <v>236</v>
      </c>
      <c r="GX73" t="s">
        <v>226</v>
      </c>
      <c r="GY73" t="s">
        <v>236</v>
      </c>
      <c r="HB73" t="s">
        <v>338</v>
      </c>
      <c r="HC73" t="s">
        <v>1007</v>
      </c>
      <c r="HE73">
        <v>82768861</v>
      </c>
      <c r="HF73" t="s">
        <v>1008</v>
      </c>
      <c r="HG73" s="2">
        <v>45750.639976851853</v>
      </c>
      <c r="HJ73" t="s">
        <v>248</v>
      </c>
      <c r="HL73" t="s">
        <v>249</v>
      </c>
      <c r="HN73">
        <v>73</v>
      </c>
    </row>
    <row r="74" spans="1:222" x14ac:dyDescent="0.25">
      <c r="A74" s="2">
        <v>45750.42117011574</v>
      </c>
      <c r="B74" s="2">
        <v>45750.42392465278</v>
      </c>
      <c r="C74" t="s">
        <v>305</v>
      </c>
      <c r="D74">
        <v>108</v>
      </c>
      <c r="E74" s="2">
        <v>45732</v>
      </c>
      <c r="F74">
        <v>3</v>
      </c>
      <c r="G74" t="s">
        <v>306</v>
      </c>
      <c r="H74" t="s">
        <v>307</v>
      </c>
      <c r="I74">
        <v>64</v>
      </c>
      <c r="J74" t="str">
        <f t="shared" si="1"/>
        <v>de 56 a más</v>
      </c>
      <c r="K74" t="s">
        <v>224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291</v>
      </c>
      <c r="R74" t="s">
        <v>226</v>
      </c>
      <c r="T74" t="s">
        <v>227</v>
      </c>
      <c r="V74" t="s">
        <v>252</v>
      </c>
      <c r="W74" t="s">
        <v>292</v>
      </c>
      <c r="X74" t="s">
        <v>480</v>
      </c>
      <c r="Z74" t="s">
        <v>308</v>
      </c>
      <c r="AA74" t="s">
        <v>616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 t="s">
        <v>310</v>
      </c>
      <c r="AI74" t="s">
        <v>233</v>
      </c>
      <c r="AJ74">
        <v>0</v>
      </c>
      <c r="AK74">
        <v>1</v>
      </c>
      <c r="AL74">
        <v>0</v>
      </c>
      <c r="AM74">
        <v>0</v>
      </c>
      <c r="AN74" t="s">
        <v>257</v>
      </c>
      <c r="AO74" t="s">
        <v>235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X74" t="s">
        <v>236</v>
      </c>
      <c r="AZ74" t="s">
        <v>237</v>
      </c>
      <c r="BA74" t="s">
        <v>914</v>
      </c>
      <c r="BE74" t="s">
        <v>259</v>
      </c>
      <c r="BF74" t="s">
        <v>259</v>
      </c>
      <c r="BG74" t="s">
        <v>259</v>
      </c>
      <c r="BH74" t="s">
        <v>237</v>
      </c>
      <c r="BI74" t="s">
        <v>239</v>
      </c>
      <c r="BJ74" t="s">
        <v>237</v>
      </c>
      <c r="BK74" t="s">
        <v>261</v>
      </c>
      <c r="BL74" t="s">
        <v>313</v>
      </c>
      <c r="BM74" t="s">
        <v>451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 t="s">
        <v>264</v>
      </c>
      <c r="CB74" t="s">
        <v>328</v>
      </c>
      <c r="CC74" t="s">
        <v>328</v>
      </c>
      <c r="CD74" t="s">
        <v>236</v>
      </c>
      <c r="CE74" t="s">
        <v>236</v>
      </c>
      <c r="EA74" t="s">
        <v>236</v>
      </c>
      <c r="EC74" t="s">
        <v>236</v>
      </c>
      <c r="EE74" t="s">
        <v>226</v>
      </c>
      <c r="EF74" t="s">
        <v>245</v>
      </c>
      <c r="EG74" t="s">
        <v>236</v>
      </c>
      <c r="EI74" t="s">
        <v>308</v>
      </c>
      <c r="EK74" t="s">
        <v>236</v>
      </c>
      <c r="EM74" t="s">
        <v>226</v>
      </c>
      <c r="EN74" t="s">
        <v>244</v>
      </c>
      <c r="EO74" t="s">
        <v>236</v>
      </c>
      <c r="EQ74" t="s">
        <v>236</v>
      </c>
      <c r="ES74" t="s">
        <v>236</v>
      </c>
      <c r="EU74" t="s">
        <v>236</v>
      </c>
      <c r="EW74" t="s">
        <v>236</v>
      </c>
      <c r="EY74" t="s">
        <v>236</v>
      </c>
      <c r="FA74" t="s">
        <v>236</v>
      </c>
      <c r="FC74" t="s">
        <v>236</v>
      </c>
      <c r="FE74" t="s">
        <v>236</v>
      </c>
      <c r="FG74" t="s">
        <v>236</v>
      </c>
      <c r="FJ74" t="s">
        <v>236</v>
      </c>
      <c r="FM74" t="s">
        <v>236</v>
      </c>
      <c r="FW74" t="s">
        <v>226</v>
      </c>
      <c r="FX74" t="s">
        <v>226</v>
      </c>
      <c r="FY74" t="s">
        <v>266</v>
      </c>
      <c r="FZ74" t="s">
        <v>226</v>
      </c>
      <c r="GA74" t="s">
        <v>226</v>
      </c>
      <c r="GB74" t="s">
        <v>266</v>
      </c>
      <c r="GC74" t="s">
        <v>236</v>
      </c>
      <c r="GF74" t="s">
        <v>236</v>
      </c>
      <c r="GI74" t="s">
        <v>236</v>
      </c>
      <c r="GL74" t="s">
        <v>226</v>
      </c>
      <c r="GM74" t="s">
        <v>226</v>
      </c>
      <c r="GN74" t="s">
        <v>266</v>
      </c>
      <c r="GO74" t="s">
        <v>226</v>
      </c>
      <c r="GP74" t="s">
        <v>226</v>
      </c>
      <c r="GQ74" t="s">
        <v>266</v>
      </c>
      <c r="GR74" t="s">
        <v>226</v>
      </c>
      <c r="GS74" t="s">
        <v>226</v>
      </c>
      <c r="GT74" t="s">
        <v>266</v>
      </c>
      <c r="GU74" t="s">
        <v>226</v>
      </c>
      <c r="GV74" t="s">
        <v>226</v>
      </c>
      <c r="GW74" t="s">
        <v>266</v>
      </c>
      <c r="GX74" t="s">
        <v>236</v>
      </c>
      <c r="HB74" t="s">
        <v>915</v>
      </c>
      <c r="HC74" t="s">
        <v>345</v>
      </c>
      <c r="HD74" t="s">
        <v>916</v>
      </c>
      <c r="HE74">
        <v>82768312</v>
      </c>
      <c r="HF74" t="s">
        <v>917</v>
      </c>
      <c r="HG74" s="2">
        <v>45750.632175925923</v>
      </c>
      <c r="HJ74" t="s">
        <v>248</v>
      </c>
      <c r="HL74" t="s">
        <v>249</v>
      </c>
      <c r="HN74">
        <v>72</v>
      </c>
    </row>
    <row r="75" spans="1:222" x14ac:dyDescent="0.25">
      <c r="A75" s="2">
        <v>45750.423925289353</v>
      </c>
      <c r="B75" s="2">
        <v>45750.448625636571</v>
      </c>
      <c r="C75" t="s">
        <v>305</v>
      </c>
      <c r="D75">
        <v>109</v>
      </c>
      <c r="E75" s="2">
        <v>45732</v>
      </c>
      <c r="F75">
        <v>3</v>
      </c>
      <c r="G75" t="s">
        <v>306</v>
      </c>
      <c r="H75" t="s">
        <v>307</v>
      </c>
      <c r="I75">
        <v>45</v>
      </c>
      <c r="J75" t="str">
        <f t="shared" si="1"/>
        <v>de 41 a 55 años</v>
      </c>
      <c r="K75" t="s">
        <v>251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291</v>
      </c>
      <c r="R75" t="s">
        <v>226</v>
      </c>
      <c r="T75" t="s">
        <v>227</v>
      </c>
      <c r="V75" t="s">
        <v>272</v>
      </c>
      <c r="W75" t="s">
        <v>229</v>
      </c>
      <c r="X75" t="s">
        <v>230</v>
      </c>
      <c r="Z75" t="s">
        <v>351</v>
      </c>
      <c r="AA75" t="s">
        <v>616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 t="s">
        <v>310</v>
      </c>
      <c r="AI75" t="s">
        <v>233</v>
      </c>
      <c r="AJ75">
        <v>0</v>
      </c>
      <c r="AK75">
        <v>1</v>
      </c>
      <c r="AL75">
        <v>0</v>
      </c>
      <c r="AM75">
        <v>0</v>
      </c>
      <c r="AN75" t="s">
        <v>234</v>
      </c>
      <c r="AO75" t="s">
        <v>326</v>
      </c>
      <c r="AP75">
        <v>0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0</v>
      </c>
      <c r="AX75" t="s">
        <v>226</v>
      </c>
      <c r="AY75" t="s">
        <v>226</v>
      </c>
      <c r="AZ75" t="s">
        <v>237</v>
      </c>
      <c r="BA75" t="s">
        <v>336</v>
      </c>
      <c r="BE75" t="s">
        <v>237</v>
      </c>
      <c r="BF75" t="s">
        <v>259</v>
      </c>
      <c r="BG75" t="s">
        <v>259</v>
      </c>
      <c r="BH75" t="s">
        <v>259</v>
      </c>
      <c r="BI75" t="s">
        <v>239</v>
      </c>
      <c r="BJ75" t="s">
        <v>237</v>
      </c>
      <c r="BK75" t="s">
        <v>259</v>
      </c>
      <c r="BL75" t="s">
        <v>313</v>
      </c>
      <c r="BM75" t="s">
        <v>372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1</v>
      </c>
      <c r="CA75" t="s">
        <v>264</v>
      </c>
      <c r="CB75" t="s">
        <v>328</v>
      </c>
      <c r="CC75" t="s">
        <v>328</v>
      </c>
      <c r="CD75" t="s">
        <v>236</v>
      </c>
      <c r="CE75" t="s">
        <v>226</v>
      </c>
      <c r="CF75" t="s">
        <v>315</v>
      </c>
      <c r="CG75">
        <v>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S75" t="s">
        <v>226</v>
      </c>
      <c r="DD75" t="s">
        <v>316</v>
      </c>
      <c r="EA75" t="s">
        <v>226</v>
      </c>
      <c r="EB75" t="s">
        <v>245</v>
      </c>
      <c r="EC75" t="s">
        <v>226</v>
      </c>
      <c r="ED75" t="s">
        <v>265</v>
      </c>
      <c r="EE75" t="s">
        <v>226</v>
      </c>
      <c r="EF75" t="s">
        <v>245</v>
      </c>
      <c r="EG75" t="s">
        <v>226</v>
      </c>
      <c r="EH75" t="s">
        <v>245</v>
      </c>
      <c r="EI75" t="s">
        <v>236</v>
      </c>
      <c r="EK75" t="s">
        <v>236</v>
      </c>
      <c r="EM75" t="s">
        <v>236</v>
      </c>
      <c r="EO75" t="s">
        <v>226</v>
      </c>
      <c r="EP75" t="s">
        <v>244</v>
      </c>
      <c r="EQ75" t="s">
        <v>236</v>
      </c>
      <c r="ES75" t="s">
        <v>236</v>
      </c>
      <c r="EU75" t="s">
        <v>236</v>
      </c>
      <c r="EW75" t="s">
        <v>226</v>
      </c>
      <c r="EX75" t="s">
        <v>245</v>
      </c>
      <c r="EY75" t="s">
        <v>226</v>
      </c>
      <c r="EZ75" t="s">
        <v>245</v>
      </c>
      <c r="FA75" t="s">
        <v>226</v>
      </c>
      <c r="FB75" t="s">
        <v>245</v>
      </c>
      <c r="FC75" t="s">
        <v>236</v>
      </c>
      <c r="FE75" t="s">
        <v>226</v>
      </c>
      <c r="FF75" t="s">
        <v>245</v>
      </c>
      <c r="FG75" t="s">
        <v>226</v>
      </c>
      <c r="FH75" t="s">
        <v>918</v>
      </c>
      <c r="FI75" t="s">
        <v>245</v>
      </c>
      <c r="FJ75" t="s">
        <v>226</v>
      </c>
      <c r="FK75" t="s">
        <v>245</v>
      </c>
      <c r="FL75" t="s">
        <v>236</v>
      </c>
      <c r="FM75" t="s">
        <v>236</v>
      </c>
      <c r="FW75" t="s">
        <v>236</v>
      </c>
      <c r="FZ75" t="s">
        <v>236</v>
      </c>
      <c r="GC75" t="s">
        <v>236</v>
      </c>
      <c r="GF75" t="s">
        <v>236</v>
      </c>
      <c r="GI75" t="s">
        <v>236</v>
      </c>
      <c r="GL75" t="s">
        <v>236</v>
      </c>
      <c r="GO75" t="s">
        <v>236</v>
      </c>
      <c r="GR75" t="s">
        <v>226</v>
      </c>
      <c r="GS75" t="s">
        <v>226</v>
      </c>
      <c r="GT75" t="s">
        <v>266</v>
      </c>
      <c r="GU75" t="s">
        <v>226</v>
      </c>
      <c r="GV75" t="s">
        <v>226</v>
      </c>
      <c r="GW75" t="s">
        <v>266</v>
      </c>
      <c r="GX75" t="s">
        <v>236</v>
      </c>
      <c r="HB75" t="s">
        <v>919</v>
      </c>
      <c r="HC75" t="s">
        <v>920</v>
      </c>
      <c r="HE75">
        <v>82769887</v>
      </c>
      <c r="HF75" t="s">
        <v>921</v>
      </c>
      <c r="HG75" s="2">
        <v>45750.656875000001</v>
      </c>
      <c r="HJ75" t="s">
        <v>248</v>
      </c>
      <c r="HL75" t="s">
        <v>249</v>
      </c>
      <c r="HN75">
        <v>76</v>
      </c>
    </row>
    <row r="76" spans="1:222" x14ac:dyDescent="0.25">
      <c r="A76" s="2">
        <v>45750.431723530091</v>
      </c>
      <c r="B76" s="2">
        <v>45750.435863379629</v>
      </c>
      <c r="C76" t="s">
        <v>334</v>
      </c>
      <c r="D76">
        <v>132</v>
      </c>
      <c r="E76" s="2">
        <v>45730</v>
      </c>
      <c r="F76">
        <v>3</v>
      </c>
      <c r="G76" t="s">
        <v>834</v>
      </c>
      <c r="H76" t="s">
        <v>335</v>
      </c>
      <c r="I76">
        <v>20</v>
      </c>
      <c r="J76" t="str">
        <f t="shared" si="1"/>
        <v>de 18 a 25 años</v>
      </c>
      <c r="K76" t="s">
        <v>341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225</v>
      </c>
      <c r="R76" t="s">
        <v>226</v>
      </c>
      <c r="T76" t="s">
        <v>227</v>
      </c>
      <c r="V76" t="s">
        <v>252</v>
      </c>
      <c r="W76" t="s">
        <v>229</v>
      </c>
      <c r="X76" t="s">
        <v>253</v>
      </c>
      <c r="Z76" t="s">
        <v>254</v>
      </c>
      <c r="AA76" t="s">
        <v>616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 t="s">
        <v>1000</v>
      </c>
      <c r="AI76" t="s">
        <v>311</v>
      </c>
      <c r="AJ76">
        <v>0</v>
      </c>
      <c r="AK76">
        <v>1</v>
      </c>
      <c r="AL76">
        <v>1</v>
      </c>
      <c r="AM76">
        <v>0</v>
      </c>
      <c r="AN76" t="s">
        <v>274</v>
      </c>
      <c r="AO76" t="s">
        <v>275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X76" t="s">
        <v>236</v>
      </c>
      <c r="AZ76" t="s">
        <v>237</v>
      </c>
      <c r="BA76" t="s">
        <v>672</v>
      </c>
      <c r="BB76" t="s">
        <v>1001</v>
      </c>
      <c r="BC76" t="s">
        <v>1002</v>
      </c>
      <c r="BE76" t="s">
        <v>259</v>
      </c>
      <c r="BF76" t="s">
        <v>237</v>
      </c>
      <c r="BG76" t="s">
        <v>237</v>
      </c>
      <c r="BH76" t="s">
        <v>237</v>
      </c>
      <c r="BI76" t="s">
        <v>237</v>
      </c>
      <c r="BJ76" t="s">
        <v>237</v>
      </c>
      <c r="BK76" t="s">
        <v>237</v>
      </c>
      <c r="BL76" t="s">
        <v>262</v>
      </c>
      <c r="BM76" t="s">
        <v>278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 t="s">
        <v>242</v>
      </c>
      <c r="CB76" t="s">
        <v>243</v>
      </c>
      <c r="CC76" t="s">
        <v>243</v>
      </c>
      <c r="CD76" t="s">
        <v>236</v>
      </c>
      <c r="CE76" t="s">
        <v>236</v>
      </c>
      <c r="EA76" t="s">
        <v>226</v>
      </c>
      <c r="EB76" t="s">
        <v>245</v>
      </c>
      <c r="EC76" t="s">
        <v>236</v>
      </c>
      <c r="EE76" t="s">
        <v>226</v>
      </c>
      <c r="EF76" t="s">
        <v>245</v>
      </c>
      <c r="EG76" t="s">
        <v>226</v>
      </c>
      <c r="EH76" t="s">
        <v>245</v>
      </c>
      <c r="EI76" t="s">
        <v>236</v>
      </c>
      <c r="EK76" t="s">
        <v>236</v>
      </c>
      <c r="EM76" t="s">
        <v>226</v>
      </c>
      <c r="EN76" t="s">
        <v>245</v>
      </c>
      <c r="EO76" t="s">
        <v>226</v>
      </c>
      <c r="EP76" t="s">
        <v>245</v>
      </c>
      <c r="EQ76" t="s">
        <v>236</v>
      </c>
      <c r="ES76" t="s">
        <v>236</v>
      </c>
      <c r="EU76" t="s">
        <v>236</v>
      </c>
      <c r="EW76" t="s">
        <v>236</v>
      </c>
      <c r="EY76" t="s">
        <v>236</v>
      </c>
      <c r="FA76" t="s">
        <v>226</v>
      </c>
      <c r="FB76" t="s">
        <v>245</v>
      </c>
      <c r="FC76" t="s">
        <v>236</v>
      </c>
      <c r="FE76" t="s">
        <v>236</v>
      </c>
      <c r="FG76" t="s">
        <v>236</v>
      </c>
      <c r="FJ76" t="s">
        <v>226</v>
      </c>
      <c r="FK76" t="s">
        <v>244</v>
      </c>
      <c r="FL76" t="s">
        <v>236</v>
      </c>
      <c r="FM76" t="s">
        <v>236</v>
      </c>
      <c r="FW76" t="s">
        <v>226</v>
      </c>
      <c r="FX76" t="s">
        <v>236</v>
      </c>
      <c r="FZ76" t="s">
        <v>226</v>
      </c>
      <c r="GA76" t="s">
        <v>236</v>
      </c>
      <c r="GC76" t="s">
        <v>236</v>
      </c>
      <c r="GF76" t="s">
        <v>226</v>
      </c>
      <c r="GG76" t="s">
        <v>236</v>
      </c>
      <c r="GI76" t="s">
        <v>236</v>
      </c>
      <c r="GL76" t="s">
        <v>236</v>
      </c>
      <c r="GO76" t="s">
        <v>226</v>
      </c>
      <c r="GP76" t="s">
        <v>226</v>
      </c>
      <c r="GQ76" t="s">
        <v>266</v>
      </c>
      <c r="GR76" t="s">
        <v>226</v>
      </c>
      <c r="GS76" t="s">
        <v>236</v>
      </c>
      <c r="GU76" t="s">
        <v>236</v>
      </c>
      <c r="GX76" t="s">
        <v>236</v>
      </c>
      <c r="HB76" t="s">
        <v>1003</v>
      </c>
      <c r="HC76" t="s">
        <v>1004</v>
      </c>
      <c r="HD76" t="s">
        <v>1005</v>
      </c>
      <c r="HE76">
        <v>82769081</v>
      </c>
      <c r="HF76" t="s">
        <v>1006</v>
      </c>
      <c r="HG76" s="2">
        <v>45750.644120370373</v>
      </c>
      <c r="HJ76" t="s">
        <v>248</v>
      </c>
      <c r="HL76" t="s">
        <v>249</v>
      </c>
      <c r="HN76">
        <v>74</v>
      </c>
    </row>
    <row r="77" spans="1:222" x14ac:dyDescent="0.25">
      <c r="A77" s="2">
        <v>45750.435863865743</v>
      </c>
      <c r="B77" s="2">
        <v>45750.447871365737</v>
      </c>
      <c r="C77" t="s">
        <v>334</v>
      </c>
      <c r="D77">
        <v>131</v>
      </c>
      <c r="E77" s="2">
        <v>45730</v>
      </c>
      <c r="F77">
        <v>3</v>
      </c>
      <c r="G77" t="s">
        <v>306</v>
      </c>
      <c r="H77" t="s">
        <v>335</v>
      </c>
      <c r="I77">
        <v>20</v>
      </c>
      <c r="J77" t="str">
        <f t="shared" si="1"/>
        <v>de 18 a 25 años</v>
      </c>
      <c r="K77" t="s">
        <v>251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225</v>
      </c>
      <c r="R77" t="s">
        <v>226</v>
      </c>
      <c r="T77" t="s">
        <v>227</v>
      </c>
      <c r="V77" t="s">
        <v>252</v>
      </c>
      <c r="W77" t="s">
        <v>229</v>
      </c>
      <c r="X77" t="s">
        <v>230</v>
      </c>
      <c r="Z77" t="s">
        <v>308</v>
      </c>
      <c r="AA77" t="s">
        <v>232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I77" t="s">
        <v>233</v>
      </c>
      <c r="AJ77">
        <v>0</v>
      </c>
      <c r="AK77">
        <v>1</v>
      </c>
      <c r="AL77">
        <v>0</v>
      </c>
      <c r="AM77">
        <v>0</v>
      </c>
      <c r="AN77" t="s">
        <v>257</v>
      </c>
      <c r="AO77" t="s">
        <v>294</v>
      </c>
      <c r="AP77">
        <v>1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X77" t="s">
        <v>226</v>
      </c>
      <c r="AY77" t="s">
        <v>226</v>
      </c>
      <c r="AZ77" t="s">
        <v>237</v>
      </c>
      <c r="BA77" t="s">
        <v>336</v>
      </c>
      <c r="BB77" t="s">
        <v>337</v>
      </c>
      <c r="BE77" t="s">
        <v>237</v>
      </c>
      <c r="BF77" t="s">
        <v>237</v>
      </c>
      <c r="BG77" t="s">
        <v>259</v>
      </c>
      <c r="BH77" t="s">
        <v>259</v>
      </c>
      <c r="BI77" t="s">
        <v>237</v>
      </c>
      <c r="BJ77" t="s">
        <v>237</v>
      </c>
      <c r="BK77" t="s">
        <v>259</v>
      </c>
      <c r="BL77" t="s">
        <v>262</v>
      </c>
      <c r="BM77" t="s">
        <v>278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1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 t="s">
        <v>264</v>
      </c>
      <c r="CB77" t="s">
        <v>243</v>
      </c>
      <c r="CC77" t="s">
        <v>243</v>
      </c>
      <c r="CD77" t="s">
        <v>226</v>
      </c>
      <c r="CE77" t="s">
        <v>236</v>
      </c>
      <c r="EA77" t="s">
        <v>236</v>
      </c>
      <c r="EC77" t="s">
        <v>236</v>
      </c>
      <c r="EE77" t="s">
        <v>226</v>
      </c>
      <c r="EF77" t="s">
        <v>244</v>
      </c>
      <c r="EG77" t="s">
        <v>226</v>
      </c>
      <c r="EH77" t="s">
        <v>265</v>
      </c>
      <c r="EI77" t="s">
        <v>226</v>
      </c>
      <c r="EJ77" t="s">
        <v>244</v>
      </c>
      <c r="EK77" t="s">
        <v>236</v>
      </c>
      <c r="EM77" t="s">
        <v>226</v>
      </c>
      <c r="EN77" t="s">
        <v>244</v>
      </c>
      <c r="EO77" t="s">
        <v>226</v>
      </c>
      <c r="EP77" t="s">
        <v>244</v>
      </c>
      <c r="EQ77" t="s">
        <v>236</v>
      </c>
      <c r="ES77" t="s">
        <v>236</v>
      </c>
      <c r="EU77" t="s">
        <v>236</v>
      </c>
      <c r="EW77" t="s">
        <v>236</v>
      </c>
      <c r="EY77" t="s">
        <v>226</v>
      </c>
      <c r="EZ77" t="s">
        <v>244</v>
      </c>
      <c r="FA77" t="s">
        <v>226</v>
      </c>
      <c r="FB77" t="s">
        <v>244</v>
      </c>
      <c r="FC77" t="s">
        <v>236</v>
      </c>
      <c r="FE77" t="s">
        <v>226</v>
      </c>
      <c r="FF77" t="s">
        <v>244</v>
      </c>
      <c r="FG77" t="s">
        <v>236</v>
      </c>
      <c r="FJ77" t="s">
        <v>226</v>
      </c>
      <c r="FK77" t="s">
        <v>244</v>
      </c>
      <c r="FL77" t="s">
        <v>236</v>
      </c>
      <c r="FM77" t="s">
        <v>236</v>
      </c>
      <c r="FW77" t="s">
        <v>236</v>
      </c>
      <c r="FZ77" t="s">
        <v>236</v>
      </c>
      <c r="GC77" t="s">
        <v>236</v>
      </c>
      <c r="GF77" t="s">
        <v>226</v>
      </c>
      <c r="GG77" t="s">
        <v>226</v>
      </c>
      <c r="GH77" t="s">
        <v>266</v>
      </c>
      <c r="GI77" t="s">
        <v>226</v>
      </c>
      <c r="GJ77" t="s">
        <v>236</v>
      </c>
      <c r="GL77" t="s">
        <v>226</v>
      </c>
      <c r="GM77" t="s">
        <v>226</v>
      </c>
      <c r="GN77" t="s">
        <v>266</v>
      </c>
      <c r="GO77" t="s">
        <v>226</v>
      </c>
      <c r="GP77" t="s">
        <v>226</v>
      </c>
      <c r="GQ77" t="s">
        <v>267</v>
      </c>
      <c r="GR77" t="s">
        <v>226</v>
      </c>
      <c r="GS77" t="s">
        <v>226</v>
      </c>
      <c r="GT77" t="s">
        <v>266</v>
      </c>
      <c r="GU77" t="s">
        <v>236</v>
      </c>
      <c r="GX77" t="s">
        <v>236</v>
      </c>
      <c r="HB77" t="s">
        <v>338</v>
      </c>
      <c r="HC77" t="s">
        <v>288</v>
      </c>
      <c r="HD77" t="s">
        <v>339</v>
      </c>
      <c r="HE77">
        <v>82769786</v>
      </c>
      <c r="HF77" t="s">
        <v>340</v>
      </c>
      <c r="HG77" s="2">
        <v>45750.656122685177</v>
      </c>
      <c r="HJ77" t="s">
        <v>248</v>
      </c>
      <c r="HL77" t="s">
        <v>249</v>
      </c>
      <c r="HN77">
        <v>75</v>
      </c>
    </row>
    <row r="78" spans="1:222" x14ac:dyDescent="0.25">
      <c r="A78" s="2">
        <v>45750.447871863427</v>
      </c>
      <c r="B78" s="2">
        <v>45750.451082581021</v>
      </c>
      <c r="C78" t="s">
        <v>334</v>
      </c>
      <c r="D78">
        <v>130</v>
      </c>
      <c r="E78" s="2">
        <v>45730</v>
      </c>
      <c r="F78">
        <v>3</v>
      </c>
      <c r="G78" t="s">
        <v>528</v>
      </c>
      <c r="H78" t="s">
        <v>335</v>
      </c>
      <c r="I78">
        <v>69</v>
      </c>
      <c r="J78" t="str">
        <f t="shared" si="1"/>
        <v>de 56 a más</v>
      </c>
      <c r="K78" t="s">
        <v>224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291</v>
      </c>
      <c r="R78" t="s">
        <v>226</v>
      </c>
      <c r="T78" t="s">
        <v>227</v>
      </c>
      <c r="V78" t="s">
        <v>228</v>
      </c>
      <c r="W78" t="s">
        <v>229</v>
      </c>
      <c r="X78" t="s">
        <v>230</v>
      </c>
      <c r="Z78" t="s">
        <v>231</v>
      </c>
      <c r="AA78" t="s">
        <v>352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I78" t="s">
        <v>233</v>
      </c>
      <c r="AJ78">
        <v>0</v>
      </c>
      <c r="AK78">
        <v>1</v>
      </c>
      <c r="AL78">
        <v>0</v>
      </c>
      <c r="AM78">
        <v>0</v>
      </c>
      <c r="AN78" t="s">
        <v>300</v>
      </c>
      <c r="AO78" t="s">
        <v>924</v>
      </c>
      <c r="AP78">
        <v>0</v>
      </c>
      <c r="AQ78">
        <v>1</v>
      </c>
      <c r="AR78">
        <v>1</v>
      </c>
      <c r="AS78">
        <v>0</v>
      </c>
      <c r="AT78">
        <v>0</v>
      </c>
      <c r="AU78">
        <v>1</v>
      </c>
      <c r="AV78">
        <v>0</v>
      </c>
      <c r="AX78" t="s">
        <v>236</v>
      </c>
      <c r="AZ78" t="s">
        <v>362</v>
      </c>
      <c r="BA78" t="s">
        <v>995</v>
      </c>
      <c r="BB78" t="s">
        <v>996</v>
      </c>
      <c r="BE78" t="s">
        <v>259</v>
      </c>
      <c r="BF78" t="s">
        <v>362</v>
      </c>
      <c r="BG78" t="s">
        <v>259</v>
      </c>
      <c r="BH78" t="s">
        <v>362</v>
      </c>
      <c r="BI78" t="s">
        <v>237</v>
      </c>
      <c r="BJ78" t="s">
        <v>362</v>
      </c>
      <c r="BK78" t="s">
        <v>239</v>
      </c>
      <c r="BL78" t="s">
        <v>313</v>
      </c>
      <c r="BM78" t="s">
        <v>451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 t="s">
        <v>264</v>
      </c>
      <c r="CB78" t="s">
        <v>264</v>
      </c>
      <c r="CC78" t="s">
        <v>264</v>
      </c>
      <c r="CD78" t="s">
        <v>236</v>
      </c>
      <c r="CE78" t="s">
        <v>236</v>
      </c>
      <c r="EA78" t="s">
        <v>226</v>
      </c>
      <c r="EB78" t="s">
        <v>265</v>
      </c>
      <c r="EC78" t="s">
        <v>226</v>
      </c>
      <c r="ED78" t="s">
        <v>245</v>
      </c>
      <c r="EE78" t="s">
        <v>236</v>
      </c>
      <c r="EG78" t="s">
        <v>226</v>
      </c>
      <c r="EH78" t="s">
        <v>265</v>
      </c>
      <c r="EI78" t="s">
        <v>236</v>
      </c>
      <c r="EK78" t="s">
        <v>236</v>
      </c>
      <c r="EM78" t="s">
        <v>236</v>
      </c>
      <c r="EO78" t="s">
        <v>236</v>
      </c>
      <c r="EQ78" t="s">
        <v>236</v>
      </c>
      <c r="ES78" t="s">
        <v>236</v>
      </c>
      <c r="EU78" t="s">
        <v>236</v>
      </c>
      <c r="EW78" t="s">
        <v>236</v>
      </c>
      <c r="EY78" t="s">
        <v>236</v>
      </c>
      <c r="FA78" t="s">
        <v>226</v>
      </c>
      <c r="FB78" t="s">
        <v>265</v>
      </c>
      <c r="FC78" t="s">
        <v>236</v>
      </c>
      <c r="FE78" t="s">
        <v>236</v>
      </c>
      <c r="FG78" t="s">
        <v>236</v>
      </c>
      <c r="FJ78" t="s">
        <v>226</v>
      </c>
      <c r="FK78" t="s">
        <v>245</v>
      </c>
      <c r="FL78" t="s">
        <v>226</v>
      </c>
      <c r="FM78" t="s">
        <v>236</v>
      </c>
      <c r="FW78" t="s">
        <v>236</v>
      </c>
      <c r="FZ78" t="s">
        <v>236</v>
      </c>
      <c r="GC78" t="s">
        <v>226</v>
      </c>
      <c r="GD78" t="s">
        <v>236</v>
      </c>
      <c r="GF78" t="s">
        <v>236</v>
      </c>
      <c r="GI78" t="s">
        <v>236</v>
      </c>
      <c r="GL78" t="s">
        <v>226</v>
      </c>
      <c r="GM78" t="s">
        <v>236</v>
      </c>
      <c r="GO78" t="s">
        <v>226</v>
      </c>
      <c r="GP78" t="s">
        <v>226</v>
      </c>
      <c r="GQ78" t="s">
        <v>267</v>
      </c>
      <c r="GR78" t="s">
        <v>236</v>
      </c>
      <c r="GU78" t="s">
        <v>236</v>
      </c>
      <c r="GX78" t="s">
        <v>236</v>
      </c>
      <c r="HB78" t="s">
        <v>279</v>
      </c>
      <c r="HC78" t="s">
        <v>997</v>
      </c>
      <c r="HD78" t="s">
        <v>998</v>
      </c>
      <c r="HE78">
        <v>82770115</v>
      </c>
      <c r="HF78" t="s">
        <v>999</v>
      </c>
      <c r="HG78" s="2">
        <v>45750.659328703703</v>
      </c>
      <c r="HJ78" t="s">
        <v>248</v>
      </c>
      <c r="HL78" t="s">
        <v>249</v>
      </c>
      <c r="HN78">
        <v>77</v>
      </c>
    </row>
    <row r="79" spans="1:222" x14ac:dyDescent="0.25">
      <c r="A79" s="2">
        <v>45750.448626215279</v>
      </c>
      <c r="B79" s="2">
        <v>45750.453329050928</v>
      </c>
      <c r="C79" t="s">
        <v>305</v>
      </c>
      <c r="D79">
        <v>110</v>
      </c>
      <c r="E79" s="2">
        <v>45732</v>
      </c>
      <c r="F79">
        <v>3</v>
      </c>
      <c r="G79" t="s">
        <v>306</v>
      </c>
      <c r="H79" t="s">
        <v>307</v>
      </c>
      <c r="I79">
        <v>33</v>
      </c>
      <c r="J79" t="str">
        <f t="shared" si="1"/>
        <v>de 26 a 40 años</v>
      </c>
      <c r="K79" t="s">
        <v>224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291</v>
      </c>
      <c r="R79" t="s">
        <v>226</v>
      </c>
      <c r="T79" t="s">
        <v>227</v>
      </c>
      <c r="V79" t="s">
        <v>272</v>
      </c>
      <c r="W79" t="s">
        <v>229</v>
      </c>
      <c r="X79" t="s">
        <v>230</v>
      </c>
      <c r="Z79" t="s">
        <v>398</v>
      </c>
      <c r="AA79" t="s">
        <v>232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I79" t="s">
        <v>256</v>
      </c>
      <c r="AJ79">
        <v>0</v>
      </c>
      <c r="AK79">
        <v>0</v>
      </c>
      <c r="AL79">
        <v>1</v>
      </c>
      <c r="AM79">
        <v>0</v>
      </c>
      <c r="AN79" t="s">
        <v>300</v>
      </c>
      <c r="AO79" t="s">
        <v>235</v>
      </c>
      <c r="AP79">
        <v>0</v>
      </c>
      <c r="AQ79">
        <v>0</v>
      </c>
      <c r="AR79">
        <v>0</v>
      </c>
      <c r="AS79">
        <v>1</v>
      </c>
      <c r="AT79">
        <v>0</v>
      </c>
      <c r="AU79">
        <v>0</v>
      </c>
      <c r="AV79">
        <v>0</v>
      </c>
      <c r="AX79" t="s">
        <v>226</v>
      </c>
      <c r="AY79" t="s">
        <v>226</v>
      </c>
      <c r="AZ79" t="s">
        <v>259</v>
      </c>
      <c r="BA79" t="s">
        <v>922</v>
      </c>
      <c r="BB79" t="s">
        <v>798</v>
      </c>
      <c r="BE79" t="s">
        <v>259</v>
      </c>
      <c r="BF79" t="s">
        <v>237</v>
      </c>
      <c r="BG79" t="s">
        <v>259</v>
      </c>
      <c r="BH79" t="s">
        <v>259</v>
      </c>
      <c r="BI79" t="s">
        <v>237</v>
      </c>
      <c r="BJ79" t="s">
        <v>259</v>
      </c>
      <c r="BK79" t="s">
        <v>261</v>
      </c>
      <c r="BL79" t="s">
        <v>313</v>
      </c>
      <c r="BM79" t="s">
        <v>451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 t="s">
        <v>243</v>
      </c>
      <c r="CB79" t="s">
        <v>243</v>
      </c>
      <c r="CC79" t="s">
        <v>243</v>
      </c>
      <c r="CD79" t="s">
        <v>226</v>
      </c>
      <c r="CE79" t="s">
        <v>236</v>
      </c>
      <c r="EA79" t="s">
        <v>226</v>
      </c>
      <c r="EB79" t="s">
        <v>244</v>
      </c>
      <c r="EC79" t="s">
        <v>226</v>
      </c>
      <c r="ED79" t="s">
        <v>244</v>
      </c>
      <c r="EE79" t="s">
        <v>226</v>
      </c>
      <c r="EF79" t="s">
        <v>265</v>
      </c>
      <c r="EG79" t="s">
        <v>226</v>
      </c>
      <c r="EH79" t="s">
        <v>245</v>
      </c>
      <c r="EI79" t="s">
        <v>226</v>
      </c>
      <c r="EJ79" t="s">
        <v>244</v>
      </c>
      <c r="EK79" t="s">
        <v>226</v>
      </c>
      <c r="EL79" t="s">
        <v>244</v>
      </c>
      <c r="EM79" t="s">
        <v>226</v>
      </c>
      <c r="EN79" t="s">
        <v>265</v>
      </c>
      <c r="EO79" t="s">
        <v>226</v>
      </c>
      <c r="EP79" t="s">
        <v>245</v>
      </c>
      <c r="EQ79" t="s">
        <v>236</v>
      </c>
      <c r="ES79" t="s">
        <v>236</v>
      </c>
      <c r="EU79" t="s">
        <v>236</v>
      </c>
      <c r="EW79" t="s">
        <v>226</v>
      </c>
      <c r="EX79" t="s">
        <v>245</v>
      </c>
      <c r="EY79" t="s">
        <v>226</v>
      </c>
      <c r="EZ79" t="s">
        <v>244</v>
      </c>
      <c r="FA79" t="s">
        <v>226</v>
      </c>
      <c r="FB79" t="s">
        <v>265</v>
      </c>
      <c r="FC79" t="s">
        <v>236</v>
      </c>
      <c r="FE79" t="s">
        <v>226</v>
      </c>
      <c r="FF79" t="s">
        <v>244</v>
      </c>
      <c r="FG79" t="s">
        <v>236</v>
      </c>
      <c r="FJ79" t="s">
        <v>226</v>
      </c>
      <c r="FK79" t="s">
        <v>245</v>
      </c>
      <c r="FL79" t="s">
        <v>236</v>
      </c>
      <c r="FM79" t="s">
        <v>226</v>
      </c>
      <c r="FN79" t="s">
        <v>416</v>
      </c>
      <c r="FO79">
        <v>0</v>
      </c>
      <c r="FP79">
        <v>1</v>
      </c>
      <c r="FQ79">
        <v>0</v>
      </c>
      <c r="FR79">
        <v>0</v>
      </c>
      <c r="FS79">
        <v>0</v>
      </c>
      <c r="FU79" t="s">
        <v>236</v>
      </c>
      <c r="FW79" t="s">
        <v>226</v>
      </c>
      <c r="FX79" t="s">
        <v>226</v>
      </c>
      <c r="FY79" t="s">
        <v>266</v>
      </c>
      <c r="FZ79" t="s">
        <v>226</v>
      </c>
      <c r="GA79" t="s">
        <v>226</v>
      </c>
      <c r="GB79" t="s">
        <v>266</v>
      </c>
      <c r="GC79" t="s">
        <v>236</v>
      </c>
      <c r="GF79" t="s">
        <v>226</v>
      </c>
      <c r="GG79" t="s">
        <v>226</v>
      </c>
      <c r="GH79" t="s">
        <v>266</v>
      </c>
      <c r="GI79" t="s">
        <v>226</v>
      </c>
      <c r="GJ79" t="s">
        <v>226</v>
      </c>
      <c r="GK79" t="s">
        <v>267</v>
      </c>
      <c r="GL79" t="s">
        <v>226</v>
      </c>
      <c r="GM79" t="s">
        <v>236</v>
      </c>
      <c r="GO79" t="s">
        <v>226</v>
      </c>
      <c r="GP79" t="s">
        <v>226</v>
      </c>
      <c r="GQ79" t="s">
        <v>266</v>
      </c>
      <c r="GR79" t="s">
        <v>226</v>
      </c>
      <c r="GS79" t="s">
        <v>226</v>
      </c>
      <c r="GT79" t="s">
        <v>267</v>
      </c>
      <c r="GU79" t="s">
        <v>226</v>
      </c>
      <c r="GV79" t="s">
        <v>226</v>
      </c>
      <c r="GW79" t="s">
        <v>266</v>
      </c>
      <c r="GX79" t="s">
        <v>236</v>
      </c>
      <c r="HB79" t="s">
        <v>358</v>
      </c>
      <c r="HC79" t="s">
        <v>735</v>
      </c>
      <c r="HE79">
        <v>82770418</v>
      </c>
      <c r="HF79" t="s">
        <v>923</v>
      </c>
      <c r="HG79" s="2">
        <v>45750.661585648151</v>
      </c>
      <c r="HJ79" t="s">
        <v>248</v>
      </c>
      <c r="HL79" t="s">
        <v>249</v>
      </c>
      <c r="HN79">
        <v>78</v>
      </c>
    </row>
    <row r="80" spans="1:222" x14ac:dyDescent="0.25">
      <c r="A80" s="2">
        <v>45750.451083067128</v>
      </c>
      <c r="B80" s="2">
        <v>45750.454911539353</v>
      </c>
      <c r="C80" t="s">
        <v>334</v>
      </c>
      <c r="D80">
        <v>129</v>
      </c>
      <c r="E80" s="2">
        <v>45730</v>
      </c>
      <c r="F80">
        <v>3</v>
      </c>
      <c r="G80" t="s">
        <v>450</v>
      </c>
      <c r="H80" t="s">
        <v>335</v>
      </c>
      <c r="I80">
        <v>22</v>
      </c>
      <c r="J80" t="str">
        <f t="shared" si="1"/>
        <v>de 18 a 25 años</v>
      </c>
      <c r="K80" t="s">
        <v>251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291</v>
      </c>
      <c r="R80" t="s">
        <v>226</v>
      </c>
      <c r="T80" t="s">
        <v>227</v>
      </c>
      <c r="V80" t="s">
        <v>252</v>
      </c>
      <c r="W80" t="s">
        <v>229</v>
      </c>
      <c r="X80" t="s">
        <v>253</v>
      </c>
      <c r="Z80" t="s">
        <v>254</v>
      </c>
      <c r="AA80" t="s">
        <v>232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I80" t="s">
        <v>233</v>
      </c>
      <c r="AJ80">
        <v>0</v>
      </c>
      <c r="AK80">
        <v>1</v>
      </c>
      <c r="AL80">
        <v>0</v>
      </c>
      <c r="AM80">
        <v>0</v>
      </c>
      <c r="AN80" t="s">
        <v>300</v>
      </c>
      <c r="AO80" t="s">
        <v>275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0</v>
      </c>
      <c r="AX80" t="s">
        <v>236</v>
      </c>
      <c r="AZ80" t="s">
        <v>259</v>
      </c>
      <c r="BA80" t="s">
        <v>991</v>
      </c>
      <c r="BE80" t="s">
        <v>362</v>
      </c>
      <c r="BF80" t="s">
        <v>362</v>
      </c>
      <c r="BG80" t="s">
        <v>237</v>
      </c>
      <c r="BH80" t="s">
        <v>237</v>
      </c>
      <c r="BI80" t="s">
        <v>237</v>
      </c>
      <c r="BJ80" t="s">
        <v>237</v>
      </c>
      <c r="BK80" t="s">
        <v>239</v>
      </c>
      <c r="BL80" t="s">
        <v>262</v>
      </c>
      <c r="BM80" t="s">
        <v>451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 t="s">
        <v>264</v>
      </c>
      <c r="CB80" t="s">
        <v>243</v>
      </c>
      <c r="CC80" t="s">
        <v>328</v>
      </c>
      <c r="CD80" t="s">
        <v>236</v>
      </c>
      <c r="CE80" t="s">
        <v>236</v>
      </c>
      <c r="EA80" t="s">
        <v>236</v>
      </c>
      <c r="EC80" t="s">
        <v>236</v>
      </c>
      <c r="EE80" t="s">
        <v>226</v>
      </c>
      <c r="EF80" t="s">
        <v>244</v>
      </c>
      <c r="EG80" t="s">
        <v>236</v>
      </c>
      <c r="EI80" t="s">
        <v>236</v>
      </c>
      <c r="EK80" t="s">
        <v>236</v>
      </c>
      <c r="EM80" t="s">
        <v>236</v>
      </c>
      <c r="EO80" t="s">
        <v>236</v>
      </c>
      <c r="EQ80" t="s">
        <v>236</v>
      </c>
      <c r="ES80" t="s">
        <v>236</v>
      </c>
      <c r="EU80" t="s">
        <v>236</v>
      </c>
      <c r="EW80" t="s">
        <v>236</v>
      </c>
      <c r="EY80" t="s">
        <v>226</v>
      </c>
      <c r="EZ80" t="s">
        <v>244</v>
      </c>
      <c r="FA80" t="s">
        <v>226</v>
      </c>
      <c r="FB80" t="s">
        <v>244</v>
      </c>
      <c r="FC80" t="s">
        <v>236</v>
      </c>
      <c r="FE80" t="s">
        <v>236</v>
      </c>
      <c r="FG80" t="s">
        <v>236</v>
      </c>
      <c r="FJ80" t="s">
        <v>226</v>
      </c>
      <c r="FK80" t="s">
        <v>244</v>
      </c>
      <c r="FL80" t="s">
        <v>226</v>
      </c>
      <c r="FM80" t="s">
        <v>236</v>
      </c>
      <c r="FW80" t="s">
        <v>236</v>
      </c>
      <c r="FZ80" t="s">
        <v>236</v>
      </c>
      <c r="GC80" t="s">
        <v>236</v>
      </c>
      <c r="GF80" t="s">
        <v>236</v>
      </c>
      <c r="GI80" t="s">
        <v>236</v>
      </c>
      <c r="GL80" t="s">
        <v>236</v>
      </c>
      <c r="GO80" t="s">
        <v>236</v>
      </c>
      <c r="GR80" t="s">
        <v>236</v>
      </c>
      <c r="GU80" t="s">
        <v>236</v>
      </c>
      <c r="GX80" t="s">
        <v>236</v>
      </c>
      <c r="HB80" t="s">
        <v>992</v>
      </c>
      <c r="HC80" t="s">
        <v>318</v>
      </c>
      <c r="HD80" t="s">
        <v>993</v>
      </c>
      <c r="HE80">
        <v>82770572</v>
      </c>
      <c r="HF80" t="s">
        <v>994</v>
      </c>
      <c r="HG80" s="2">
        <v>45750.663159722222</v>
      </c>
      <c r="HJ80" t="s">
        <v>248</v>
      </c>
      <c r="HL80" t="s">
        <v>249</v>
      </c>
      <c r="HN80">
        <v>79</v>
      </c>
    </row>
    <row r="81" spans="1:222" x14ac:dyDescent="0.25">
      <c r="A81" s="2">
        <v>45750.453329548611</v>
      </c>
      <c r="B81" s="2">
        <v>45750.468192384258</v>
      </c>
      <c r="C81" t="s">
        <v>305</v>
      </c>
      <c r="D81">
        <v>111</v>
      </c>
      <c r="E81" s="2">
        <v>45732</v>
      </c>
      <c r="F81">
        <v>3</v>
      </c>
      <c r="G81" t="s">
        <v>507</v>
      </c>
      <c r="H81" t="s">
        <v>307</v>
      </c>
      <c r="I81">
        <v>50</v>
      </c>
      <c r="J81" t="str">
        <f t="shared" si="1"/>
        <v>de 41 a 55 años</v>
      </c>
      <c r="K81" t="s">
        <v>251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225</v>
      </c>
      <c r="R81" t="s">
        <v>226</v>
      </c>
      <c r="T81" t="s">
        <v>227</v>
      </c>
      <c r="V81" t="s">
        <v>252</v>
      </c>
      <c r="W81" t="s">
        <v>229</v>
      </c>
      <c r="X81" t="s">
        <v>230</v>
      </c>
      <c r="Z81" t="s">
        <v>231</v>
      </c>
      <c r="AA81" t="s">
        <v>352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I81" t="s">
        <v>233</v>
      </c>
      <c r="AJ81">
        <v>0</v>
      </c>
      <c r="AK81">
        <v>1</v>
      </c>
      <c r="AL81">
        <v>0</v>
      </c>
      <c r="AM81">
        <v>0</v>
      </c>
      <c r="AN81" t="s">
        <v>300</v>
      </c>
      <c r="AO81" t="s">
        <v>924</v>
      </c>
      <c r="AP81">
        <v>0</v>
      </c>
      <c r="AQ81">
        <v>1</v>
      </c>
      <c r="AR81">
        <v>1</v>
      </c>
      <c r="AS81">
        <v>0</v>
      </c>
      <c r="AT81">
        <v>0</v>
      </c>
      <c r="AU81">
        <v>1</v>
      </c>
      <c r="AV81">
        <v>0</v>
      </c>
      <c r="AX81" t="s">
        <v>226</v>
      </c>
      <c r="AY81" t="s">
        <v>236</v>
      </c>
      <c r="AZ81" t="s">
        <v>259</v>
      </c>
      <c r="BA81" t="s">
        <v>925</v>
      </c>
      <c r="BB81" t="s">
        <v>358</v>
      </c>
      <c r="BC81" t="s">
        <v>926</v>
      </c>
      <c r="BE81" t="s">
        <v>259</v>
      </c>
      <c r="BF81" t="s">
        <v>259</v>
      </c>
      <c r="BG81" t="s">
        <v>259</v>
      </c>
      <c r="BH81" t="s">
        <v>239</v>
      </c>
      <c r="BI81" t="s">
        <v>239</v>
      </c>
      <c r="BJ81" t="s">
        <v>259</v>
      </c>
      <c r="BK81" t="s">
        <v>239</v>
      </c>
      <c r="BL81" t="s">
        <v>262</v>
      </c>
      <c r="BM81" t="s">
        <v>451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 t="s">
        <v>242</v>
      </c>
      <c r="CB81" t="s">
        <v>264</v>
      </c>
      <c r="CC81" t="s">
        <v>242</v>
      </c>
      <c r="CD81" t="s">
        <v>236</v>
      </c>
      <c r="CE81" t="s">
        <v>236</v>
      </c>
      <c r="EA81" t="s">
        <v>226</v>
      </c>
      <c r="EB81" t="s">
        <v>244</v>
      </c>
      <c r="EC81" t="s">
        <v>226</v>
      </c>
      <c r="ED81" t="s">
        <v>244</v>
      </c>
      <c r="EE81" t="s">
        <v>226</v>
      </c>
      <c r="EF81" t="s">
        <v>245</v>
      </c>
      <c r="EG81" t="s">
        <v>226</v>
      </c>
      <c r="EH81" t="s">
        <v>244</v>
      </c>
      <c r="EI81" t="s">
        <v>226</v>
      </c>
      <c r="EJ81" t="s">
        <v>244</v>
      </c>
      <c r="EK81" t="s">
        <v>236</v>
      </c>
      <c r="EM81" t="s">
        <v>226</v>
      </c>
      <c r="EN81" t="s">
        <v>244</v>
      </c>
      <c r="EO81" t="s">
        <v>226</v>
      </c>
      <c r="EP81" t="s">
        <v>245</v>
      </c>
      <c r="EQ81" t="s">
        <v>226</v>
      </c>
      <c r="ER81" t="s">
        <v>244</v>
      </c>
      <c r="ES81" t="s">
        <v>236</v>
      </c>
      <c r="EU81" t="s">
        <v>236</v>
      </c>
      <c r="EW81" t="s">
        <v>226</v>
      </c>
      <c r="EX81" t="s">
        <v>244</v>
      </c>
      <c r="EY81" t="s">
        <v>236</v>
      </c>
      <c r="FA81" t="s">
        <v>226</v>
      </c>
      <c r="FB81" t="s">
        <v>245</v>
      </c>
      <c r="FC81" t="s">
        <v>236</v>
      </c>
      <c r="FE81" t="s">
        <v>226</v>
      </c>
      <c r="FF81" t="s">
        <v>244</v>
      </c>
      <c r="FG81" t="s">
        <v>236</v>
      </c>
      <c r="FJ81" t="s">
        <v>226</v>
      </c>
      <c r="FK81" t="s">
        <v>245</v>
      </c>
      <c r="FL81" t="s">
        <v>226</v>
      </c>
      <c r="FM81" t="s">
        <v>236</v>
      </c>
      <c r="FW81" t="s">
        <v>226</v>
      </c>
      <c r="FX81" t="s">
        <v>236</v>
      </c>
      <c r="FZ81" t="s">
        <v>236</v>
      </c>
      <c r="GC81" t="s">
        <v>236</v>
      </c>
      <c r="GF81" t="s">
        <v>236</v>
      </c>
      <c r="GI81" t="s">
        <v>236</v>
      </c>
      <c r="GL81" t="s">
        <v>226</v>
      </c>
      <c r="GM81" t="s">
        <v>236</v>
      </c>
      <c r="GO81" t="s">
        <v>226</v>
      </c>
      <c r="GP81" t="s">
        <v>226</v>
      </c>
      <c r="GQ81" t="s">
        <v>267</v>
      </c>
      <c r="GR81" t="s">
        <v>226</v>
      </c>
      <c r="GS81" t="s">
        <v>236</v>
      </c>
      <c r="GU81" t="s">
        <v>236</v>
      </c>
      <c r="GX81" t="s">
        <v>236</v>
      </c>
      <c r="HB81" t="s">
        <v>408</v>
      </c>
      <c r="HC81" t="s">
        <v>927</v>
      </c>
      <c r="HE81">
        <v>82771688</v>
      </c>
      <c r="HF81" t="s">
        <v>928</v>
      </c>
      <c r="HG81" s="2">
        <v>45750.676435185182</v>
      </c>
      <c r="HJ81" t="s">
        <v>248</v>
      </c>
      <c r="HL81" t="s">
        <v>249</v>
      </c>
      <c r="HN81">
        <v>81</v>
      </c>
    </row>
    <row r="82" spans="1:222" x14ac:dyDescent="0.25">
      <c r="A82" s="2">
        <v>45750.45491202546</v>
      </c>
      <c r="B82" s="2">
        <v>45750.462922916668</v>
      </c>
      <c r="C82" t="s">
        <v>334</v>
      </c>
      <c r="D82">
        <v>128</v>
      </c>
      <c r="E82" s="2">
        <v>45730</v>
      </c>
      <c r="F82">
        <v>3</v>
      </c>
      <c r="G82" t="s">
        <v>306</v>
      </c>
      <c r="H82" t="s">
        <v>335</v>
      </c>
      <c r="I82">
        <v>39</v>
      </c>
      <c r="J82" t="str">
        <f t="shared" si="1"/>
        <v>de 26 a 40 años</v>
      </c>
      <c r="K82" t="s">
        <v>251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291</v>
      </c>
      <c r="R82" t="s">
        <v>236</v>
      </c>
      <c r="S82" t="s">
        <v>935</v>
      </c>
      <c r="T82" t="s">
        <v>227</v>
      </c>
      <c r="V82" t="s">
        <v>228</v>
      </c>
      <c r="W82" t="s">
        <v>229</v>
      </c>
      <c r="X82" t="s">
        <v>230</v>
      </c>
      <c r="Z82" t="s">
        <v>273</v>
      </c>
      <c r="AA82" t="s">
        <v>823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I82" t="s">
        <v>233</v>
      </c>
      <c r="AJ82">
        <v>0</v>
      </c>
      <c r="AK82">
        <v>1</v>
      </c>
      <c r="AL82">
        <v>0</v>
      </c>
      <c r="AM82">
        <v>0</v>
      </c>
      <c r="AN82" t="s">
        <v>300</v>
      </c>
      <c r="AO82" t="s">
        <v>633</v>
      </c>
      <c r="AP82">
        <v>0</v>
      </c>
      <c r="AQ82">
        <v>0</v>
      </c>
      <c r="AR82">
        <v>0</v>
      </c>
      <c r="AS82">
        <v>1</v>
      </c>
      <c r="AT82">
        <v>0</v>
      </c>
      <c r="AU82">
        <v>1</v>
      </c>
      <c r="AV82">
        <v>0</v>
      </c>
      <c r="AX82" t="s">
        <v>236</v>
      </c>
      <c r="AZ82" t="s">
        <v>259</v>
      </c>
      <c r="BA82" t="s">
        <v>987</v>
      </c>
      <c r="BE82" t="s">
        <v>259</v>
      </c>
      <c r="BF82" t="s">
        <v>237</v>
      </c>
      <c r="BG82" t="s">
        <v>237</v>
      </c>
      <c r="BH82" t="s">
        <v>237</v>
      </c>
      <c r="BI82" t="s">
        <v>237</v>
      </c>
      <c r="BJ82" t="s">
        <v>259</v>
      </c>
      <c r="BK82" t="s">
        <v>259</v>
      </c>
      <c r="BL82" t="s">
        <v>262</v>
      </c>
      <c r="BM82" t="s">
        <v>389</v>
      </c>
      <c r="BN82">
        <v>0</v>
      </c>
      <c r="BO82">
        <v>0</v>
      </c>
      <c r="BP82">
        <v>1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 t="s">
        <v>264</v>
      </c>
      <c r="CB82" t="s">
        <v>264</v>
      </c>
      <c r="CC82" t="s">
        <v>243</v>
      </c>
      <c r="CD82" t="s">
        <v>236</v>
      </c>
      <c r="CE82" t="s">
        <v>236</v>
      </c>
      <c r="EA82" t="s">
        <v>236</v>
      </c>
      <c r="EC82" t="s">
        <v>236</v>
      </c>
      <c r="EE82" t="s">
        <v>236</v>
      </c>
      <c r="EG82" t="s">
        <v>226</v>
      </c>
      <c r="EH82" t="s">
        <v>244</v>
      </c>
      <c r="EI82" t="s">
        <v>226</v>
      </c>
      <c r="EJ82" t="s">
        <v>244</v>
      </c>
      <c r="EK82" t="s">
        <v>236</v>
      </c>
      <c r="EM82" t="s">
        <v>226</v>
      </c>
      <c r="EN82" t="s">
        <v>244</v>
      </c>
      <c r="EO82" t="s">
        <v>226</v>
      </c>
      <c r="EP82" t="s">
        <v>244</v>
      </c>
      <c r="EQ82" t="s">
        <v>236</v>
      </c>
      <c r="ES82" t="s">
        <v>226</v>
      </c>
      <c r="ET82" t="s">
        <v>265</v>
      </c>
      <c r="EU82" t="s">
        <v>236</v>
      </c>
      <c r="EW82" t="s">
        <v>236</v>
      </c>
      <c r="EY82" t="s">
        <v>236</v>
      </c>
      <c r="FA82" t="s">
        <v>226</v>
      </c>
      <c r="FB82" t="s">
        <v>244</v>
      </c>
      <c r="FC82" t="s">
        <v>236</v>
      </c>
      <c r="FE82" t="s">
        <v>236</v>
      </c>
      <c r="FG82" t="s">
        <v>236</v>
      </c>
      <c r="FJ82" t="s">
        <v>226</v>
      </c>
      <c r="FK82" t="s">
        <v>265</v>
      </c>
      <c r="FL82" t="s">
        <v>236</v>
      </c>
      <c r="FM82" t="s">
        <v>236</v>
      </c>
      <c r="FW82" t="s">
        <v>236</v>
      </c>
      <c r="FZ82" t="s">
        <v>236</v>
      </c>
      <c r="GC82" t="s">
        <v>236</v>
      </c>
      <c r="GF82" t="s">
        <v>226</v>
      </c>
      <c r="GG82" t="s">
        <v>236</v>
      </c>
      <c r="GI82" t="s">
        <v>236</v>
      </c>
      <c r="GL82" t="s">
        <v>226</v>
      </c>
      <c r="GM82" t="s">
        <v>236</v>
      </c>
      <c r="GO82" t="s">
        <v>226</v>
      </c>
      <c r="GP82" t="s">
        <v>226</v>
      </c>
      <c r="GQ82" t="s">
        <v>266</v>
      </c>
      <c r="GR82" t="s">
        <v>226</v>
      </c>
      <c r="GS82" t="s">
        <v>226</v>
      </c>
      <c r="GT82" t="s">
        <v>266</v>
      </c>
      <c r="GU82" t="s">
        <v>236</v>
      </c>
      <c r="GX82" t="s">
        <v>236</v>
      </c>
      <c r="HB82" t="s">
        <v>318</v>
      </c>
      <c r="HC82" t="s">
        <v>988</v>
      </c>
      <c r="HD82" t="s">
        <v>989</v>
      </c>
      <c r="HE82">
        <v>82771400</v>
      </c>
      <c r="HF82" t="s">
        <v>990</v>
      </c>
      <c r="HG82" s="2">
        <v>45750.671180555553</v>
      </c>
      <c r="HJ82" t="s">
        <v>248</v>
      </c>
      <c r="HL82" t="s">
        <v>249</v>
      </c>
      <c r="HN82">
        <v>80</v>
      </c>
    </row>
    <row r="83" spans="1:222" x14ac:dyDescent="0.25">
      <c r="A83" s="2">
        <v>45750.462923437502</v>
      </c>
      <c r="B83" s="2">
        <v>45750.470498703697</v>
      </c>
      <c r="C83" t="s">
        <v>334</v>
      </c>
      <c r="D83">
        <v>127</v>
      </c>
      <c r="E83" s="2">
        <v>45730</v>
      </c>
      <c r="F83">
        <v>3</v>
      </c>
      <c r="G83" t="s">
        <v>528</v>
      </c>
      <c r="H83" t="s">
        <v>335</v>
      </c>
      <c r="I83">
        <v>18</v>
      </c>
      <c r="J83" t="str">
        <f t="shared" si="1"/>
        <v>de 18 a 25 años</v>
      </c>
      <c r="K83" t="s">
        <v>251</v>
      </c>
      <c r="L83">
        <v>0</v>
      </c>
      <c r="M83">
        <v>1</v>
      </c>
      <c r="N83">
        <v>0</v>
      </c>
      <c r="O83">
        <v>0</v>
      </c>
      <c r="P83">
        <v>0</v>
      </c>
      <c r="Q83" t="s">
        <v>225</v>
      </c>
      <c r="R83" t="s">
        <v>226</v>
      </c>
      <c r="T83" t="s">
        <v>227</v>
      </c>
      <c r="V83" t="s">
        <v>252</v>
      </c>
      <c r="W83" t="s">
        <v>229</v>
      </c>
      <c r="X83" t="s">
        <v>253</v>
      </c>
      <c r="Z83" t="s">
        <v>231</v>
      </c>
      <c r="AA83" t="s">
        <v>293</v>
      </c>
      <c r="AB83">
        <v>0</v>
      </c>
      <c r="AC83">
        <v>0</v>
      </c>
      <c r="AD83">
        <v>0</v>
      </c>
      <c r="AE83">
        <v>0</v>
      </c>
      <c r="AF83">
        <v>1</v>
      </c>
      <c r="AG83">
        <v>0</v>
      </c>
      <c r="AI83" t="s">
        <v>233</v>
      </c>
      <c r="AJ83">
        <v>0</v>
      </c>
      <c r="AK83">
        <v>1</v>
      </c>
      <c r="AL83">
        <v>0</v>
      </c>
      <c r="AM83">
        <v>0</v>
      </c>
      <c r="AN83" t="s">
        <v>300</v>
      </c>
      <c r="AO83" t="s">
        <v>275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</v>
      </c>
      <c r="AV83">
        <v>0</v>
      </c>
      <c r="AX83" t="s">
        <v>236</v>
      </c>
      <c r="AZ83" t="s">
        <v>237</v>
      </c>
      <c r="BA83" t="s">
        <v>984</v>
      </c>
      <c r="BE83" t="s">
        <v>259</v>
      </c>
      <c r="BF83" t="s">
        <v>237</v>
      </c>
      <c r="BG83" t="s">
        <v>261</v>
      </c>
      <c r="BH83" t="s">
        <v>239</v>
      </c>
      <c r="BI83" t="s">
        <v>237</v>
      </c>
      <c r="BJ83" t="s">
        <v>237</v>
      </c>
      <c r="BK83" t="s">
        <v>239</v>
      </c>
      <c r="BL83" t="s">
        <v>240</v>
      </c>
      <c r="BM83" t="s">
        <v>451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 t="s">
        <v>264</v>
      </c>
      <c r="CB83" t="s">
        <v>328</v>
      </c>
      <c r="CC83" t="s">
        <v>264</v>
      </c>
      <c r="CD83" t="s">
        <v>236</v>
      </c>
      <c r="CE83" t="s">
        <v>236</v>
      </c>
      <c r="EA83" t="s">
        <v>236</v>
      </c>
      <c r="EC83" t="s">
        <v>236</v>
      </c>
      <c r="EE83" t="s">
        <v>226</v>
      </c>
      <c r="EF83" t="s">
        <v>245</v>
      </c>
      <c r="EG83" t="s">
        <v>236</v>
      </c>
      <c r="EI83" t="s">
        <v>236</v>
      </c>
      <c r="EK83" t="s">
        <v>236</v>
      </c>
      <c r="EM83" t="s">
        <v>236</v>
      </c>
      <c r="EO83" t="s">
        <v>236</v>
      </c>
      <c r="EQ83" t="s">
        <v>236</v>
      </c>
      <c r="ES83" t="s">
        <v>236</v>
      </c>
      <c r="EU83" t="s">
        <v>236</v>
      </c>
      <c r="EW83" t="s">
        <v>226</v>
      </c>
      <c r="EX83" t="s">
        <v>245</v>
      </c>
      <c r="EY83" t="s">
        <v>236</v>
      </c>
      <c r="FA83" t="s">
        <v>226</v>
      </c>
      <c r="FB83" t="s">
        <v>245</v>
      </c>
      <c r="FC83" t="s">
        <v>236</v>
      </c>
      <c r="FE83" t="s">
        <v>236</v>
      </c>
      <c r="FG83" t="s">
        <v>236</v>
      </c>
      <c r="FJ83" t="s">
        <v>226</v>
      </c>
      <c r="FK83" t="s">
        <v>245</v>
      </c>
      <c r="FL83" t="s">
        <v>236</v>
      </c>
      <c r="FM83" t="s">
        <v>236</v>
      </c>
      <c r="FW83" t="s">
        <v>226</v>
      </c>
      <c r="FX83" t="s">
        <v>236</v>
      </c>
      <c r="FZ83" t="s">
        <v>226</v>
      </c>
      <c r="GA83" t="s">
        <v>226</v>
      </c>
      <c r="GB83" t="s">
        <v>267</v>
      </c>
      <c r="GC83" t="s">
        <v>236</v>
      </c>
      <c r="GF83" t="s">
        <v>226</v>
      </c>
      <c r="GG83" t="s">
        <v>226</v>
      </c>
      <c r="GH83" t="s">
        <v>267</v>
      </c>
      <c r="GI83" t="s">
        <v>236</v>
      </c>
      <c r="GL83" t="s">
        <v>226</v>
      </c>
      <c r="GM83" t="s">
        <v>226</v>
      </c>
      <c r="GN83" t="s">
        <v>267</v>
      </c>
      <c r="GO83" t="s">
        <v>226</v>
      </c>
      <c r="GP83" t="s">
        <v>226</v>
      </c>
      <c r="GQ83" t="s">
        <v>267</v>
      </c>
      <c r="GR83" t="s">
        <v>226</v>
      </c>
      <c r="GS83" t="s">
        <v>226</v>
      </c>
      <c r="GT83" t="s">
        <v>267</v>
      </c>
      <c r="GU83" t="s">
        <v>236</v>
      </c>
      <c r="GX83" t="s">
        <v>236</v>
      </c>
      <c r="HB83" t="s">
        <v>339</v>
      </c>
      <c r="HC83" t="s">
        <v>338</v>
      </c>
      <c r="HD83" t="s">
        <v>985</v>
      </c>
      <c r="HE83">
        <v>82771851</v>
      </c>
      <c r="HF83" t="s">
        <v>986</v>
      </c>
      <c r="HG83" s="2">
        <v>45750.678761574083</v>
      </c>
      <c r="HJ83" t="s">
        <v>248</v>
      </c>
      <c r="HL83" t="s">
        <v>249</v>
      </c>
      <c r="HN83">
        <v>82</v>
      </c>
    </row>
    <row r="84" spans="1:222" x14ac:dyDescent="0.25">
      <c r="A84" s="2">
        <v>45750.468192974527</v>
      </c>
      <c r="B84" s="2">
        <v>45750.47207207176</v>
      </c>
      <c r="C84" t="s">
        <v>305</v>
      </c>
      <c r="D84">
        <v>112</v>
      </c>
      <c r="E84" s="2">
        <v>45732</v>
      </c>
      <c r="F84">
        <v>3</v>
      </c>
      <c r="G84" t="s">
        <v>507</v>
      </c>
      <c r="H84" t="s">
        <v>307</v>
      </c>
      <c r="I84">
        <v>39</v>
      </c>
      <c r="J84" t="str">
        <f t="shared" si="1"/>
        <v>de 26 a 40 años</v>
      </c>
      <c r="K84" t="s">
        <v>224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291</v>
      </c>
      <c r="R84" t="s">
        <v>226</v>
      </c>
      <c r="T84" t="s">
        <v>227</v>
      </c>
      <c r="V84" t="s">
        <v>272</v>
      </c>
      <c r="W84" t="s">
        <v>229</v>
      </c>
      <c r="X84" t="s">
        <v>230</v>
      </c>
      <c r="Z84" t="s">
        <v>231</v>
      </c>
      <c r="AA84" t="s">
        <v>293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I84" t="s">
        <v>233</v>
      </c>
      <c r="AJ84">
        <v>0</v>
      </c>
      <c r="AK84">
        <v>1</v>
      </c>
      <c r="AL84">
        <v>0</v>
      </c>
      <c r="AM84">
        <v>0</v>
      </c>
      <c r="AN84" t="s">
        <v>300</v>
      </c>
      <c r="AO84" t="s">
        <v>929</v>
      </c>
      <c r="AP84">
        <v>0</v>
      </c>
      <c r="AQ84">
        <v>0</v>
      </c>
      <c r="AR84">
        <v>1</v>
      </c>
      <c r="AS84">
        <v>0</v>
      </c>
      <c r="AT84">
        <v>1</v>
      </c>
      <c r="AU84">
        <v>1</v>
      </c>
      <c r="AV84">
        <v>0</v>
      </c>
      <c r="AX84" t="s">
        <v>226</v>
      </c>
      <c r="AY84" t="s">
        <v>226</v>
      </c>
      <c r="AZ84" t="s">
        <v>259</v>
      </c>
      <c r="BA84" t="s">
        <v>660</v>
      </c>
      <c r="BB84" t="s">
        <v>312</v>
      </c>
      <c r="BE84" t="s">
        <v>261</v>
      </c>
      <c r="BF84" t="s">
        <v>259</v>
      </c>
      <c r="BG84" t="s">
        <v>259</v>
      </c>
      <c r="BH84" t="s">
        <v>239</v>
      </c>
      <c r="BI84" t="s">
        <v>239</v>
      </c>
      <c r="BJ84" t="s">
        <v>239</v>
      </c>
      <c r="BK84" t="s">
        <v>239</v>
      </c>
      <c r="BL84" t="s">
        <v>262</v>
      </c>
      <c r="BM84" t="s">
        <v>930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1</v>
      </c>
      <c r="BZ84">
        <v>0</v>
      </c>
      <c r="CA84" t="s">
        <v>264</v>
      </c>
      <c r="CB84" t="s">
        <v>264</v>
      </c>
      <c r="CC84" t="s">
        <v>243</v>
      </c>
      <c r="CD84" t="s">
        <v>226</v>
      </c>
      <c r="CE84" t="s">
        <v>236</v>
      </c>
      <c r="EA84" t="s">
        <v>226</v>
      </c>
      <c r="EB84" t="s">
        <v>265</v>
      </c>
      <c r="EC84" t="s">
        <v>236</v>
      </c>
      <c r="EE84" t="s">
        <v>226</v>
      </c>
      <c r="EF84" t="s">
        <v>265</v>
      </c>
      <c r="EG84" t="s">
        <v>236</v>
      </c>
      <c r="EI84" t="s">
        <v>236</v>
      </c>
      <c r="EK84" t="s">
        <v>236</v>
      </c>
      <c r="EM84" t="s">
        <v>226</v>
      </c>
      <c r="EN84" t="s">
        <v>265</v>
      </c>
      <c r="EO84" t="s">
        <v>236</v>
      </c>
      <c r="EQ84" t="s">
        <v>236</v>
      </c>
      <c r="ES84" t="s">
        <v>236</v>
      </c>
      <c r="EU84" t="s">
        <v>236</v>
      </c>
      <c r="EW84" t="s">
        <v>226</v>
      </c>
      <c r="EX84" t="s">
        <v>244</v>
      </c>
      <c r="EY84" t="s">
        <v>236</v>
      </c>
      <c r="FA84" t="s">
        <v>226</v>
      </c>
      <c r="FB84" t="s">
        <v>265</v>
      </c>
      <c r="FC84" t="s">
        <v>236</v>
      </c>
      <c r="FE84" t="s">
        <v>226</v>
      </c>
      <c r="FF84" t="s">
        <v>265</v>
      </c>
      <c r="FG84" t="s">
        <v>236</v>
      </c>
      <c r="FJ84" t="s">
        <v>226</v>
      </c>
      <c r="FK84" t="s">
        <v>265</v>
      </c>
      <c r="FL84" t="s">
        <v>226</v>
      </c>
      <c r="FM84" t="s">
        <v>226</v>
      </c>
      <c r="FN84" t="s">
        <v>931</v>
      </c>
      <c r="FO84">
        <v>1</v>
      </c>
      <c r="FP84">
        <v>1</v>
      </c>
      <c r="FQ84">
        <v>1</v>
      </c>
      <c r="FR84">
        <v>0</v>
      </c>
      <c r="FS84">
        <v>0</v>
      </c>
      <c r="FU84" t="s">
        <v>236</v>
      </c>
      <c r="FW84" t="s">
        <v>226</v>
      </c>
      <c r="FX84" t="s">
        <v>236</v>
      </c>
      <c r="FZ84" t="s">
        <v>236</v>
      </c>
      <c r="GC84" t="s">
        <v>236</v>
      </c>
      <c r="GF84" t="s">
        <v>236</v>
      </c>
      <c r="GI84" t="s">
        <v>236</v>
      </c>
      <c r="GL84" t="s">
        <v>236</v>
      </c>
      <c r="GO84" t="s">
        <v>236</v>
      </c>
      <c r="GR84" t="s">
        <v>226</v>
      </c>
      <c r="GS84" t="s">
        <v>226</v>
      </c>
      <c r="GT84" t="s">
        <v>570</v>
      </c>
      <c r="GU84" t="s">
        <v>236</v>
      </c>
      <c r="GX84" t="s">
        <v>236</v>
      </c>
      <c r="HB84" t="s">
        <v>932</v>
      </c>
      <c r="HC84" t="s">
        <v>933</v>
      </c>
      <c r="HE84">
        <v>82771935</v>
      </c>
      <c r="HF84" t="s">
        <v>934</v>
      </c>
      <c r="HG84" s="2">
        <v>45750.680335648147</v>
      </c>
      <c r="HJ84" t="s">
        <v>248</v>
      </c>
      <c r="HL84" t="s">
        <v>249</v>
      </c>
      <c r="HN84">
        <v>83</v>
      </c>
    </row>
    <row r="85" spans="1:222" x14ac:dyDescent="0.25">
      <c r="A85" s="2">
        <v>45750.47049936343</v>
      </c>
      <c r="B85" s="2">
        <v>45750.472961030093</v>
      </c>
      <c r="C85" t="s">
        <v>334</v>
      </c>
      <c r="D85">
        <v>126</v>
      </c>
      <c r="E85" s="2">
        <v>45730</v>
      </c>
      <c r="F85">
        <v>3</v>
      </c>
      <c r="G85" t="s">
        <v>528</v>
      </c>
      <c r="H85" t="s">
        <v>335</v>
      </c>
      <c r="I85">
        <v>28</v>
      </c>
      <c r="J85" t="str">
        <f t="shared" si="1"/>
        <v>de 26 a 40 años</v>
      </c>
      <c r="K85" t="s">
        <v>224</v>
      </c>
      <c r="L85">
        <v>1</v>
      </c>
      <c r="M85">
        <v>0</v>
      </c>
      <c r="N85">
        <v>0</v>
      </c>
      <c r="O85">
        <v>0</v>
      </c>
      <c r="P85">
        <v>0</v>
      </c>
      <c r="Q85" t="s">
        <v>291</v>
      </c>
      <c r="R85" t="s">
        <v>236</v>
      </c>
      <c r="S85" t="s">
        <v>935</v>
      </c>
      <c r="T85" t="s">
        <v>227</v>
      </c>
      <c r="V85" t="s">
        <v>252</v>
      </c>
      <c r="W85" t="s">
        <v>229</v>
      </c>
      <c r="X85" t="s">
        <v>230</v>
      </c>
      <c r="Z85" t="s">
        <v>231</v>
      </c>
      <c r="AA85" t="s">
        <v>293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I85" t="s">
        <v>256</v>
      </c>
      <c r="AJ85">
        <v>0</v>
      </c>
      <c r="AK85">
        <v>0</v>
      </c>
      <c r="AL85">
        <v>1</v>
      </c>
      <c r="AM85">
        <v>0</v>
      </c>
      <c r="AN85" t="s">
        <v>274</v>
      </c>
      <c r="AO85" t="s">
        <v>539</v>
      </c>
      <c r="AP85">
        <v>1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0</v>
      </c>
      <c r="AX85" t="s">
        <v>236</v>
      </c>
      <c r="AZ85" t="s">
        <v>237</v>
      </c>
      <c r="BA85" t="s">
        <v>980</v>
      </c>
      <c r="BE85" t="s">
        <v>308</v>
      </c>
      <c r="BF85" t="s">
        <v>237</v>
      </c>
      <c r="BG85" t="s">
        <v>237</v>
      </c>
      <c r="BH85" t="s">
        <v>237</v>
      </c>
      <c r="BI85" t="s">
        <v>237</v>
      </c>
      <c r="BJ85" t="s">
        <v>237</v>
      </c>
      <c r="BK85" t="s">
        <v>237</v>
      </c>
      <c r="BL85" t="s">
        <v>262</v>
      </c>
      <c r="BM85" t="s">
        <v>278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 t="s">
        <v>264</v>
      </c>
      <c r="CB85" t="s">
        <v>264</v>
      </c>
      <c r="CC85" t="s">
        <v>264</v>
      </c>
      <c r="CD85" t="s">
        <v>236</v>
      </c>
      <c r="CE85" t="s">
        <v>236</v>
      </c>
      <c r="EA85" t="s">
        <v>236</v>
      </c>
      <c r="EC85" t="s">
        <v>236</v>
      </c>
      <c r="EE85" t="s">
        <v>226</v>
      </c>
      <c r="EF85" t="s">
        <v>245</v>
      </c>
      <c r="EG85" t="s">
        <v>226</v>
      </c>
      <c r="EH85" t="s">
        <v>244</v>
      </c>
      <c r="EI85" t="s">
        <v>236</v>
      </c>
      <c r="EK85" t="s">
        <v>236</v>
      </c>
      <c r="EM85" t="s">
        <v>236</v>
      </c>
      <c r="EO85" t="s">
        <v>236</v>
      </c>
      <c r="EQ85" t="s">
        <v>236</v>
      </c>
      <c r="ES85" t="s">
        <v>236</v>
      </c>
      <c r="EU85" t="s">
        <v>236</v>
      </c>
      <c r="EW85" t="s">
        <v>236</v>
      </c>
      <c r="EY85" t="s">
        <v>236</v>
      </c>
      <c r="FA85" t="s">
        <v>236</v>
      </c>
      <c r="FC85" t="s">
        <v>236</v>
      </c>
      <c r="FE85" t="s">
        <v>236</v>
      </c>
      <c r="FG85" t="s">
        <v>236</v>
      </c>
      <c r="FJ85" t="s">
        <v>226</v>
      </c>
      <c r="FK85" t="s">
        <v>245</v>
      </c>
      <c r="FL85" t="s">
        <v>236</v>
      </c>
      <c r="FM85" t="s">
        <v>236</v>
      </c>
      <c r="FW85" t="s">
        <v>236</v>
      </c>
      <c r="FZ85" t="s">
        <v>236</v>
      </c>
      <c r="GC85" t="s">
        <v>236</v>
      </c>
      <c r="GF85" t="s">
        <v>236</v>
      </c>
      <c r="GI85" t="s">
        <v>236</v>
      </c>
      <c r="GL85" t="s">
        <v>236</v>
      </c>
      <c r="GO85" t="s">
        <v>226</v>
      </c>
      <c r="GP85" t="s">
        <v>226</v>
      </c>
      <c r="GQ85" t="s">
        <v>266</v>
      </c>
      <c r="GR85" t="s">
        <v>236</v>
      </c>
      <c r="GU85" t="s">
        <v>236</v>
      </c>
      <c r="GX85" t="s">
        <v>236</v>
      </c>
      <c r="HB85" t="s">
        <v>981</v>
      </c>
      <c r="HC85" t="s">
        <v>537</v>
      </c>
      <c r="HD85" t="s">
        <v>982</v>
      </c>
      <c r="HE85">
        <v>82772078</v>
      </c>
      <c r="HF85" t="s">
        <v>983</v>
      </c>
      <c r="HG85" s="2">
        <v>45750.681215277778</v>
      </c>
      <c r="HJ85" t="s">
        <v>248</v>
      </c>
      <c r="HL85" t="s">
        <v>249</v>
      </c>
      <c r="HN85">
        <v>84</v>
      </c>
    </row>
    <row r="86" spans="1:222" x14ac:dyDescent="0.25">
      <c r="A86" s="2">
        <v>45750.472073101853</v>
      </c>
      <c r="B86" s="2">
        <v>45750.481468703707</v>
      </c>
      <c r="C86" t="s">
        <v>305</v>
      </c>
      <c r="D86">
        <v>113</v>
      </c>
      <c r="E86" s="2">
        <v>45732</v>
      </c>
      <c r="F86">
        <v>3</v>
      </c>
      <c r="G86" t="s">
        <v>507</v>
      </c>
      <c r="H86" t="s">
        <v>307</v>
      </c>
      <c r="I86">
        <v>38</v>
      </c>
      <c r="J86" t="str">
        <f t="shared" si="1"/>
        <v>de 26 a 40 años</v>
      </c>
      <c r="K86" t="s">
        <v>251</v>
      </c>
      <c r="L86">
        <v>3</v>
      </c>
      <c r="M86">
        <v>0</v>
      </c>
      <c r="N86">
        <v>0</v>
      </c>
      <c r="O86">
        <v>0</v>
      </c>
      <c r="P86">
        <v>0</v>
      </c>
      <c r="Q86" t="s">
        <v>291</v>
      </c>
      <c r="R86" t="s">
        <v>236</v>
      </c>
      <c r="S86" t="s">
        <v>935</v>
      </c>
      <c r="T86" t="s">
        <v>227</v>
      </c>
      <c r="V86" t="s">
        <v>228</v>
      </c>
      <c r="W86" t="s">
        <v>229</v>
      </c>
      <c r="X86" t="s">
        <v>230</v>
      </c>
      <c r="Z86" t="s">
        <v>231</v>
      </c>
      <c r="AA86" t="s">
        <v>481</v>
      </c>
      <c r="AB86">
        <v>0</v>
      </c>
      <c r="AC86">
        <v>0</v>
      </c>
      <c r="AD86">
        <v>0</v>
      </c>
      <c r="AE86">
        <v>1</v>
      </c>
      <c r="AF86">
        <v>1</v>
      </c>
      <c r="AG86">
        <v>0</v>
      </c>
      <c r="AI86" t="s">
        <v>233</v>
      </c>
      <c r="AJ86">
        <v>0</v>
      </c>
      <c r="AK86">
        <v>1</v>
      </c>
      <c r="AL86">
        <v>0</v>
      </c>
      <c r="AM86">
        <v>0</v>
      </c>
      <c r="AN86" t="s">
        <v>300</v>
      </c>
      <c r="AO86" t="s">
        <v>326</v>
      </c>
      <c r="AP86">
        <v>0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X86" t="s">
        <v>236</v>
      </c>
      <c r="AZ86" t="s">
        <v>237</v>
      </c>
      <c r="BA86" t="s">
        <v>512</v>
      </c>
      <c r="BB86" t="s">
        <v>438</v>
      </c>
      <c r="BE86" t="s">
        <v>239</v>
      </c>
      <c r="BF86" t="s">
        <v>237</v>
      </c>
      <c r="BG86" t="s">
        <v>259</v>
      </c>
      <c r="BH86" t="s">
        <v>239</v>
      </c>
      <c r="BI86" t="s">
        <v>237</v>
      </c>
      <c r="BJ86" t="s">
        <v>237</v>
      </c>
      <c r="BK86" t="s">
        <v>259</v>
      </c>
      <c r="BL86" t="s">
        <v>262</v>
      </c>
      <c r="BM86" t="s">
        <v>415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 t="s">
        <v>264</v>
      </c>
      <c r="CB86" t="s">
        <v>243</v>
      </c>
      <c r="CC86" t="s">
        <v>264</v>
      </c>
      <c r="CD86" t="s">
        <v>236</v>
      </c>
      <c r="CE86" t="s">
        <v>236</v>
      </c>
      <c r="EA86" t="s">
        <v>236</v>
      </c>
      <c r="EC86" t="s">
        <v>226</v>
      </c>
      <c r="ED86" t="s">
        <v>244</v>
      </c>
      <c r="EE86" t="s">
        <v>226</v>
      </c>
      <c r="EF86" t="s">
        <v>244</v>
      </c>
      <c r="EG86" t="s">
        <v>226</v>
      </c>
      <c r="EH86" t="s">
        <v>245</v>
      </c>
      <c r="EI86" t="s">
        <v>236</v>
      </c>
      <c r="EK86" t="s">
        <v>236</v>
      </c>
      <c r="EM86" t="s">
        <v>236</v>
      </c>
      <c r="EO86" t="s">
        <v>236</v>
      </c>
      <c r="EQ86" t="s">
        <v>236</v>
      </c>
      <c r="ES86" t="s">
        <v>226</v>
      </c>
      <c r="ET86" t="s">
        <v>244</v>
      </c>
      <c r="EU86" t="s">
        <v>236</v>
      </c>
      <c r="EW86" t="s">
        <v>226</v>
      </c>
      <c r="EX86" t="s">
        <v>244</v>
      </c>
      <c r="EY86" t="s">
        <v>236</v>
      </c>
      <c r="FA86" t="s">
        <v>236</v>
      </c>
      <c r="FC86" t="s">
        <v>236</v>
      </c>
      <c r="FE86" t="s">
        <v>236</v>
      </c>
      <c r="FG86" t="s">
        <v>236</v>
      </c>
      <c r="FJ86" t="s">
        <v>226</v>
      </c>
      <c r="FK86" t="s">
        <v>245</v>
      </c>
      <c r="FL86" t="s">
        <v>236</v>
      </c>
      <c r="FM86" t="s">
        <v>236</v>
      </c>
      <c r="FW86" t="s">
        <v>236</v>
      </c>
      <c r="FZ86" t="s">
        <v>236</v>
      </c>
      <c r="GC86" t="s">
        <v>236</v>
      </c>
      <c r="GF86" t="s">
        <v>226</v>
      </c>
      <c r="GG86" t="s">
        <v>236</v>
      </c>
      <c r="GI86" t="s">
        <v>236</v>
      </c>
      <c r="GL86" t="s">
        <v>236</v>
      </c>
      <c r="GO86" t="s">
        <v>236</v>
      </c>
      <c r="GR86" t="s">
        <v>236</v>
      </c>
      <c r="GU86" t="s">
        <v>236</v>
      </c>
      <c r="GX86" t="s">
        <v>236</v>
      </c>
      <c r="HB86" t="s">
        <v>936</v>
      </c>
      <c r="HC86" t="s">
        <v>789</v>
      </c>
      <c r="HE86">
        <v>82772870</v>
      </c>
      <c r="HF86" t="s">
        <v>937</v>
      </c>
      <c r="HG86" s="2">
        <v>45750.689710648148</v>
      </c>
      <c r="HJ86" t="s">
        <v>248</v>
      </c>
      <c r="HL86" t="s">
        <v>249</v>
      </c>
      <c r="HN86">
        <v>87</v>
      </c>
    </row>
    <row r="87" spans="1:222" x14ac:dyDescent="0.25">
      <c r="A87" s="2">
        <v>45750.472961724539</v>
      </c>
      <c r="B87" s="2">
        <v>45750.476951712961</v>
      </c>
      <c r="C87" t="s">
        <v>334</v>
      </c>
      <c r="D87">
        <v>125</v>
      </c>
      <c r="E87" s="2">
        <v>45730</v>
      </c>
      <c r="F87">
        <v>3</v>
      </c>
      <c r="G87" t="s">
        <v>834</v>
      </c>
      <c r="H87" t="s">
        <v>335</v>
      </c>
      <c r="I87">
        <v>53</v>
      </c>
      <c r="J87" t="str">
        <f t="shared" si="1"/>
        <v>de 41 a 55 años</v>
      </c>
      <c r="K87" t="s">
        <v>251</v>
      </c>
      <c r="L87">
        <v>1</v>
      </c>
      <c r="M87">
        <v>0</v>
      </c>
      <c r="N87">
        <v>0</v>
      </c>
      <c r="O87">
        <v>0</v>
      </c>
      <c r="P87">
        <v>0</v>
      </c>
      <c r="Q87" t="s">
        <v>291</v>
      </c>
      <c r="R87" t="s">
        <v>226</v>
      </c>
      <c r="T87" t="s">
        <v>227</v>
      </c>
      <c r="V87" t="s">
        <v>228</v>
      </c>
      <c r="W87" t="s">
        <v>229</v>
      </c>
      <c r="X87" t="s">
        <v>299</v>
      </c>
      <c r="Z87" t="s">
        <v>231</v>
      </c>
      <c r="AA87" t="s">
        <v>481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I87" t="s">
        <v>233</v>
      </c>
      <c r="AJ87">
        <v>0</v>
      </c>
      <c r="AK87">
        <v>1</v>
      </c>
      <c r="AL87">
        <v>0</v>
      </c>
      <c r="AM87">
        <v>0</v>
      </c>
      <c r="AN87" t="s">
        <v>257</v>
      </c>
      <c r="AO87" t="s">
        <v>606</v>
      </c>
      <c r="AP87">
        <v>0</v>
      </c>
      <c r="AQ87">
        <v>0</v>
      </c>
      <c r="AR87">
        <v>0</v>
      </c>
      <c r="AS87">
        <v>0</v>
      </c>
      <c r="AT87">
        <v>1</v>
      </c>
      <c r="AU87">
        <v>1</v>
      </c>
      <c r="AV87">
        <v>0</v>
      </c>
      <c r="AX87" t="s">
        <v>226</v>
      </c>
      <c r="AY87" t="s">
        <v>236</v>
      </c>
      <c r="AZ87" t="s">
        <v>237</v>
      </c>
      <c r="BA87" t="s">
        <v>974</v>
      </c>
      <c r="BB87" t="s">
        <v>861</v>
      </c>
      <c r="BC87" t="s">
        <v>975</v>
      </c>
      <c r="BE87" t="s">
        <v>259</v>
      </c>
      <c r="BF87" t="s">
        <v>237</v>
      </c>
      <c r="BG87" t="s">
        <v>259</v>
      </c>
      <c r="BH87" t="s">
        <v>237</v>
      </c>
      <c r="BI87" t="s">
        <v>237</v>
      </c>
      <c r="BJ87" t="s">
        <v>237</v>
      </c>
      <c r="BK87" t="s">
        <v>261</v>
      </c>
      <c r="BL87" t="s">
        <v>262</v>
      </c>
      <c r="BM87" t="s">
        <v>976</v>
      </c>
      <c r="BN87">
        <v>1</v>
      </c>
      <c r="BO87">
        <v>1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 t="s">
        <v>264</v>
      </c>
      <c r="CB87" t="s">
        <v>264</v>
      </c>
      <c r="CC87" t="s">
        <v>264</v>
      </c>
      <c r="CD87" t="s">
        <v>236</v>
      </c>
      <c r="CE87" t="s">
        <v>236</v>
      </c>
      <c r="EA87" t="s">
        <v>236</v>
      </c>
      <c r="EC87" t="s">
        <v>236</v>
      </c>
      <c r="EE87" t="s">
        <v>236</v>
      </c>
      <c r="EG87" t="s">
        <v>236</v>
      </c>
      <c r="EI87" t="s">
        <v>236</v>
      </c>
      <c r="EK87" t="s">
        <v>236</v>
      </c>
      <c r="EM87" t="s">
        <v>236</v>
      </c>
      <c r="EO87" t="s">
        <v>236</v>
      </c>
      <c r="EQ87" t="s">
        <v>236</v>
      </c>
      <c r="ES87" t="s">
        <v>236</v>
      </c>
      <c r="EU87" t="s">
        <v>236</v>
      </c>
      <c r="EW87" t="s">
        <v>236</v>
      </c>
      <c r="EY87" t="s">
        <v>236</v>
      </c>
      <c r="FA87" t="s">
        <v>236</v>
      </c>
      <c r="FC87" t="s">
        <v>236</v>
      </c>
      <c r="FE87" t="s">
        <v>236</v>
      </c>
      <c r="FG87" t="s">
        <v>236</v>
      </c>
      <c r="FJ87" t="s">
        <v>226</v>
      </c>
      <c r="FK87" t="s">
        <v>245</v>
      </c>
      <c r="FL87" t="s">
        <v>236</v>
      </c>
      <c r="FM87" t="s">
        <v>236</v>
      </c>
      <c r="FW87" t="s">
        <v>226</v>
      </c>
      <c r="FX87" t="s">
        <v>226</v>
      </c>
      <c r="FY87" t="s">
        <v>266</v>
      </c>
      <c r="FZ87" t="s">
        <v>226</v>
      </c>
      <c r="GA87" t="s">
        <v>226</v>
      </c>
      <c r="GB87" t="s">
        <v>266</v>
      </c>
      <c r="GC87" t="s">
        <v>236</v>
      </c>
      <c r="GF87" t="s">
        <v>226</v>
      </c>
      <c r="GG87" t="s">
        <v>236</v>
      </c>
      <c r="GI87" t="s">
        <v>236</v>
      </c>
      <c r="GL87" t="s">
        <v>236</v>
      </c>
      <c r="GO87" t="s">
        <v>226</v>
      </c>
      <c r="GP87" t="s">
        <v>226</v>
      </c>
      <c r="GQ87" t="s">
        <v>266</v>
      </c>
      <c r="GR87" t="s">
        <v>226</v>
      </c>
      <c r="GS87" t="s">
        <v>236</v>
      </c>
      <c r="GU87" t="s">
        <v>236</v>
      </c>
      <c r="GX87" t="s">
        <v>236</v>
      </c>
      <c r="HB87" t="s">
        <v>338</v>
      </c>
      <c r="HC87" t="s">
        <v>977</v>
      </c>
      <c r="HD87" t="s">
        <v>978</v>
      </c>
      <c r="HE87">
        <v>82772512</v>
      </c>
      <c r="HF87" t="s">
        <v>979</v>
      </c>
      <c r="HG87" s="2">
        <v>45750.685208333343</v>
      </c>
      <c r="HJ87" t="s">
        <v>248</v>
      </c>
      <c r="HL87" t="s">
        <v>249</v>
      </c>
      <c r="HN87">
        <v>85</v>
      </c>
    </row>
    <row r="88" spans="1:222" x14ac:dyDescent="0.25">
      <c r="A88" s="2">
        <v>45750.476952395831</v>
      </c>
      <c r="B88" s="2">
        <v>45750.480075300933</v>
      </c>
      <c r="C88" t="s">
        <v>334</v>
      </c>
      <c r="D88">
        <v>124</v>
      </c>
      <c r="E88" s="2">
        <v>45730</v>
      </c>
      <c r="F88">
        <v>3</v>
      </c>
      <c r="G88" t="s">
        <v>528</v>
      </c>
      <c r="H88" t="s">
        <v>335</v>
      </c>
      <c r="I88">
        <v>55</v>
      </c>
      <c r="J88" t="str">
        <f t="shared" si="1"/>
        <v>de 41 a 55 años</v>
      </c>
      <c r="K88" t="s">
        <v>251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291</v>
      </c>
      <c r="R88" t="s">
        <v>226</v>
      </c>
      <c r="T88" t="s">
        <v>227</v>
      </c>
      <c r="V88" t="s">
        <v>228</v>
      </c>
      <c r="W88" t="s">
        <v>229</v>
      </c>
      <c r="X88" t="s">
        <v>230</v>
      </c>
      <c r="Z88" t="s">
        <v>231</v>
      </c>
      <c r="AA88" t="s">
        <v>293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0</v>
      </c>
      <c r="AI88" t="s">
        <v>233</v>
      </c>
      <c r="AJ88">
        <v>0</v>
      </c>
      <c r="AK88">
        <v>1</v>
      </c>
      <c r="AL88">
        <v>0</v>
      </c>
      <c r="AM88">
        <v>0</v>
      </c>
      <c r="AN88" t="s">
        <v>300</v>
      </c>
      <c r="AO88" t="s">
        <v>929</v>
      </c>
      <c r="AP88">
        <v>0</v>
      </c>
      <c r="AQ88">
        <v>0</v>
      </c>
      <c r="AR88">
        <v>1</v>
      </c>
      <c r="AS88">
        <v>0</v>
      </c>
      <c r="AT88">
        <v>1</v>
      </c>
      <c r="AU88">
        <v>1</v>
      </c>
      <c r="AV88">
        <v>0</v>
      </c>
      <c r="AX88" t="s">
        <v>226</v>
      </c>
      <c r="AY88" t="s">
        <v>226</v>
      </c>
      <c r="AZ88" t="s">
        <v>259</v>
      </c>
      <c r="BA88" t="s">
        <v>970</v>
      </c>
      <c r="BE88" t="s">
        <v>259</v>
      </c>
      <c r="BF88" t="s">
        <v>237</v>
      </c>
      <c r="BG88" t="s">
        <v>237</v>
      </c>
      <c r="BH88" t="s">
        <v>259</v>
      </c>
      <c r="BI88" t="s">
        <v>237</v>
      </c>
      <c r="BJ88" t="s">
        <v>259</v>
      </c>
      <c r="BK88" t="s">
        <v>259</v>
      </c>
      <c r="BL88" t="s">
        <v>240</v>
      </c>
      <c r="BM88" t="s">
        <v>278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 t="s">
        <v>328</v>
      </c>
      <c r="CB88" t="s">
        <v>328</v>
      </c>
      <c r="CC88" t="s">
        <v>264</v>
      </c>
      <c r="CD88" t="s">
        <v>236</v>
      </c>
      <c r="CE88" t="s">
        <v>236</v>
      </c>
      <c r="EA88" t="s">
        <v>236</v>
      </c>
      <c r="EC88" t="s">
        <v>236</v>
      </c>
      <c r="EE88" t="s">
        <v>226</v>
      </c>
      <c r="EF88" t="s">
        <v>245</v>
      </c>
      <c r="EG88" t="s">
        <v>226</v>
      </c>
      <c r="EH88" t="s">
        <v>244</v>
      </c>
      <c r="EI88" t="s">
        <v>226</v>
      </c>
      <c r="EJ88" t="s">
        <v>244</v>
      </c>
      <c r="EK88" t="s">
        <v>226</v>
      </c>
      <c r="EL88" t="s">
        <v>244</v>
      </c>
      <c r="EM88" t="s">
        <v>236</v>
      </c>
      <c r="EO88" t="s">
        <v>236</v>
      </c>
      <c r="EQ88" t="s">
        <v>236</v>
      </c>
      <c r="ES88" t="s">
        <v>226</v>
      </c>
      <c r="ET88" t="s">
        <v>244</v>
      </c>
      <c r="EU88" t="s">
        <v>226</v>
      </c>
      <c r="EV88" t="s">
        <v>244</v>
      </c>
      <c r="EW88" t="s">
        <v>236</v>
      </c>
      <c r="EY88" t="s">
        <v>226</v>
      </c>
      <c r="EZ88" t="s">
        <v>265</v>
      </c>
      <c r="FA88" t="s">
        <v>226</v>
      </c>
      <c r="FB88" t="s">
        <v>244</v>
      </c>
      <c r="FC88" t="s">
        <v>236</v>
      </c>
      <c r="FE88" t="s">
        <v>236</v>
      </c>
      <c r="FG88" t="s">
        <v>236</v>
      </c>
      <c r="FJ88" t="s">
        <v>226</v>
      </c>
      <c r="FK88" t="s">
        <v>245</v>
      </c>
      <c r="FL88" t="s">
        <v>236</v>
      </c>
      <c r="FM88" t="s">
        <v>236</v>
      </c>
      <c r="FW88" t="s">
        <v>226</v>
      </c>
      <c r="FX88" t="s">
        <v>236</v>
      </c>
      <c r="FZ88" t="s">
        <v>236</v>
      </c>
      <c r="GC88" t="s">
        <v>236</v>
      </c>
      <c r="GF88" t="s">
        <v>226</v>
      </c>
      <c r="GG88" t="s">
        <v>226</v>
      </c>
      <c r="GH88" t="s">
        <v>267</v>
      </c>
      <c r="GI88" t="s">
        <v>226</v>
      </c>
      <c r="GJ88" t="s">
        <v>236</v>
      </c>
      <c r="GL88" t="s">
        <v>226</v>
      </c>
      <c r="GM88" t="s">
        <v>236</v>
      </c>
      <c r="GO88" t="s">
        <v>226</v>
      </c>
      <c r="GP88" t="s">
        <v>226</v>
      </c>
      <c r="GQ88" t="s">
        <v>267</v>
      </c>
      <c r="GR88" t="s">
        <v>226</v>
      </c>
      <c r="GS88" t="s">
        <v>236</v>
      </c>
      <c r="GU88" t="s">
        <v>236</v>
      </c>
      <c r="GX88" t="s">
        <v>236</v>
      </c>
      <c r="HB88" t="s">
        <v>537</v>
      </c>
      <c r="HC88" t="s">
        <v>971</v>
      </c>
      <c r="HD88" t="s">
        <v>972</v>
      </c>
      <c r="HE88">
        <v>82772766</v>
      </c>
      <c r="HF88" t="s">
        <v>973</v>
      </c>
      <c r="HG88" s="2">
        <v>45750.688321759262</v>
      </c>
      <c r="HJ88" t="s">
        <v>248</v>
      </c>
      <c r="HL88" t="s">
        <v>249</v>
      </c>
      <c r="HN88">
        <v>86</v>
      </c>
    </row>
    <row r="89" spans="1:222" x14ac:dyDescent="0.25">
      <c r="A89" s="2">
        <v>45750.480075902778</v>
      </c>
      <c r="B89" s="2">
        <v>45750.484234571762</v>
      </c>
      <c r="C89" t="s">
        <v>334</v>
      </c>
      <c r="D89">
        <v>123</v>
      </c>
      <c r="E89" s="2">
        <v>45730</v>
      </c>
      <c r="F89">
        <v>3</v>
      </c>
      <c r="G89" t="s">
        <v>450</v>
      </c>
      <c r="H89" t="s">
        <v>335</v>
      </c>
      <c r="I89">
        <v>50</v>
      </c>
      <c r="J89" t="str">
        <f t="shared" si="1"/>
        <v>de 41 a 55 años</v>
      </c>
      <c r="K89" t="s">
        <v>341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225</v>
      </c>
      <c r="R89" t="s">
        <v>226</v>
      </c>
      <c r="T89" t="s">
        <v>227</v>
      </c>
      <c r="V89" t="s">
        <v>252</v>
      </c>
      <c r="W89" t="s">
        <v>229</v>
      </c>
      <c r="X89" t="s">
        <v>230</v>
      </c>
      <c r="Z89" t="s">
        <v>351</v>
      </c>
      <c r="AA89" t="s">
        <v>232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I89" t="s">
        <v>233</v>
      </c>
      <c r="AJ89">
        <v>0</v>
      </c>
      <c r="AK89">
        <v>1</v>
      </c>
      <c r="AL89">
        <v>0</v>
      </c>
      <c r="AM89">
        <v>0</v>
      </c>
      <c r="AN89" t="s">
        <v>300</v>
      </c>
      <c r="AO89" t="s">
        <v>275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X89" t="s">
        <v>236</v>
      </c>
      <c r="AZ89" t="s">
        <v>237</v>
      </c>
      <c r="BA89" t="s">
        <v>965</v>
      </c>
      <c r="BB89" t="s">
        <v>338</v>
      </c>
      <c r="BE89" t="s">
        <v>259</v>
      </c>
      <c r="BF89" t="s">
        <v>259</v>
      </c>
      <c r="BG89" t="s">
        <v>259</v>
      </c>
      <c r="BH89" t="s">
        <v>239</v>
      </c>
      <c r="BI89" t="s">
        <v>239</v>
      </c>
      <c r="BJ89" t="s">
        <v>259</v>
      </c>
      <c r="BK89" t="s">
        <v>239</v>
      </c>
      <c r="BL89" t="s">
        <v>313</v>
      </c>
      <c r="BM89" t="s">
        <v>389</v>
      </c>
      <c r="BN89">
        <v>0</v>
      </c>
      <c r="BO89">
        <v>0</v>
      </c>
      <c r="BP89">
        <v>1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 t="s">
        <v>264</v>
      </c>
      <c r="CB89" t="s">
        <v>328</v>
      </c>
      <c r="CC89" t="s">
        <v>328</v>
      </c>
      <c r="CD89" t="s">
        <v>236</v>
      </c>
      <c r="CE89" t="s">
        <v>236</v>
      </c>
      <c r="EA89" t="s">
        <v>236</v>
      </c>
      <c r="EC89" t="s">
        <v>236</v>
      </c>
      <c r="EE89" t="s">
        <v>226</v>
      </c>
      <c r="EF89" t="s">
        <v>265</v>
      </c>
      <c r="EG89" t="s">
        <v>226</v>
      </c>
      <c r="EH89" t="s">
        <v>265</v>
      </c>
      <c r="EI89" t="s">
        <v>236</v>
      </c>
      <c r="EK89" t="s">
        <v>236</v>
      </c>
      <c r="EM89" t="s">
        <v>226</v>
      </c>
      <c r="EN89" t="s">
        <v>265</v>
      </c>
      <c r="EO89" t="s">
        <v>236</v>
      </c>
      <c r="EQ89" t="s">
        <v>236</v>
      </c>
      <c r="ES89" t="s">
        <v>226</v>
      </c>
      <c r="ET89" t="s">
        <v>265</v>
      </c>
      <c r="EU89" t="s">
        <v>226</v>
      </c>
      <c r="EV89" t="s">
        <v>245</v>
      </c>
      <c r="EW89" t="s">
        <v>226</v>
      </c>
      <c r="EX89" t="s">
        <v>245</v>
      </c>
      <c r="EY89" t="s">
        <v>226</v>
      </c>
      <c r="EZ89" t="s">
        <v>245</v>
      </c>
      <c r="FA89" t="s">
        <v>226</v>
      </c>
      <c r="FB89" t="s">
        <v>265</v>
      </c>
      <c r="FC89" t="s">
        <v>236</v>
      </c>
      <c r="FE89" t="s">
        <v>236</v>
      </c>
      <c r="FG89" t="s">
        <v>226</v>
      </c>
      <c r="FH89" t="s">
        <v>966</v>
      </c>
      <c r="FI89" t="s">
        <v>245</v>
      </c>
      <c r="FJ89" t="s">
        <v>226</v>
      </c>
      <c r="FK89" t="s">
        <v>265</v>
      </c>
      <c r="FL89" t="s">
        <v>226</v>
      </c>
      <c r="FM89" t="s">
        <v>226</v>
      </c>
      <c r="FN89" t="s">
        <v>967</v>
      </c>
      <c r="FO89">
        <v>1</v>
      </c>
      <c r="FP89">
        <v>0</v>
      </c>
      <c r="FQ89">
        <v>0</v>
      </c>
      <c r="FR89">
        <v>0</v>
      </c>
      <c r="FS89">
        <v>0</v>
      </c>
      <c r="FU89" t="s">
        <v>236</v>
      </c>
      <c r="FW89" t="s">
        <v>226</v>
      </c>
      <c r="FX89" t="s">
        <v>226</v>
      </c>
      <c r="FY89" t="s">
        <v>267</v>
      </c>
      <c r="FZ89" t="s">
        <v>236</v>
      </c>
      <c r="GC89" t="s">
        <v>236</v>
      </c>
      <c r="GF89" t="s">
        <v>226</v>
      </c>
      <c r="GG89" t="s">
        <v>236</v>
      </c>
      <c r="GI89" t="s">
        <v>236</v>
      </c>
      <c r="GL89" t="s">
        <v>236</v>
      </c>
      <c r="GO89" t="s">
        <v>226</v>
      </c>
      <c r="GP89" t="s">
        <v>236</v>
      </c>
      <c r="GR89" t="s">
        <v>226</v>
      </c>
      <c r="GS89" t="s">
        <v>226</v>
      </c>
      <c r="GT89" t="s">
        <v>267</v>
      </c>
      <c r="GU89" t="s">
        <v>226</v>
      </c>
      <c r="GV89" t="s">
        <v>226</v>
      </c>
      <c r="GW89" t="s">
        <v>267</v>
      </c>
      <c r="GX89" t="s">
        <v>236</v>
      </c>
      <c r="HB89" t="s">
        <v>968</v>
      </c>
      <c r="HC89" t="s">
        <v>452</v>
      </c>
      <c r="HE89">
        <v>82773133</v>
      </c>
      <c r="HF89" t="s">
        <v>969</v>
      </c>
      <c r="HG89" s="2">
        <v>45750.692488425928</v>
      </c>
      <c r="HJ89" t="s">
        <v>248</v>
      </c>
      <c r="HL89" t="s">
        <v>249</v>
      </c>
      <c r="HN89">
        <v>88</v>
      </c>
    </row>
    <row r="90" spans="1:222" x14ac:dyDescent="0.25">
      <c r="A90" s="2">
        <v>45750.481469212973</v>
      </c>
      <c r="B90" s="2">
        <v>45750.490835034732</v>
      </c>
      <c r="C90" t="s">
        <v>305</v>
      </c>
      <c r="D90">
        <v>114</v>
      </c>
      <c r="E90" s="2">
        <v>45732</v>
      </c>
      <c r="F90">
        <v>3</v>
      </c>
      <c r="G90" t="s">
        <v>507</v>
      </c>
      <c r="H90" t="s">
        <v>307</v>
      </c>
      <c r="I90">
        <v>74</v>
      </c>
      <c r="J90" t="str">
        <f t="shared" si="1"/>
        <v>de 56 a más</v>
      </c>
      <c r="K90" t="s">
        <v>341</v>
      </c>
      <c r="L90">
        <v>3</v>
      </c>
      <c r="M90">
        <v>0</v>
      </c>
      <c r="N90">
        <v>0</v>
      </c>
      <c r="O90">
        <v>0</v>
      </c>
      <c r="P90">
        <v>0</v>
      </c>
      <c r="Q90" t="s">
        <v>291</v>
      </c>
      <c r="R90" t="s">
        <v>226</v>
      </c>
      <c r="T90" t="s">
        <v>227</v>
      </c>
      <c r="V90" t="s">
        <v>228</v>
      </c>
      <c r="W90" t="s">
        <v>229</v>
      </c>
      <c r="X90" t="s">
        <v>368</v>
      </c>
      <c r="Z90" t="s">
        <v>231</v>
      </c>
      <c r="AA90" t="s">
        <v>255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I90" t="s">
        <v>233</v>
      </c>
      <c r="AJ90">
        <v>0</v>
      </c>
      <c r="AK90">
        <v>1</v>
      </c>
      <c r="AL90">
        <v>0</v>
      </c>
      <c r="AM90">
        <v>0</v>
      </c>
      <c r="AN90" t="s">
        <v>257</v>
      </c>
      <c r="AO90" t="s">
        <v>235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0</v>
      </c>
      <c r="AV90">
        <v>0</v>
      </c>
      <c r="AX90" t="s">
        <v>236</v>
      </c>
      <c r="AZ90" t="s">
        <v>237</v>
      </c>
      <c r="BA90" t="s">
        <v>825</v>
      </c>
      <c r="BB90" t="s">
        <v>938</v>
      </c>
      <c r="BE90" t="s">
        <v>239</v>
      </c>
      <c r="BF90" t="s">
        <v>261</v>
      </c>
      <c r="BG90" t="s">
        <v>261</v>
      </c>
      <c r="BH90" t="s">
        <v>239</v>
      </c>
      <c r="BI90" t="s">
        <v>237</v>
      </c>
      <c r="BJ90" t="s">
        <v>237</v>
      </c>
      <c r="BK90" t="s">
        <v>239</v>
      </c>
      <c r="BL90" t="s">
        <v>262</v>
      </c>
      <c r="BM90" t="s">
        <v>415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 t="s">
        <v>264</v>
      </c>
      <c r="CB90" t="s">
        <v>264</v>
      </c>
      <c r="CC90" t="s">
        <v>264</v>
      </c>
      <c r="CD90" t="s">
        <v>236</v>
      </c>
      <c r="CE90" t="s">
        <v>236</v>
      </c>
      <c r="EA90" t="s">
        <v>226</v>
      </c>
      <c r="EB90" t="s">
        <v>244</v>
      </c>
      <c r="EC90" t="s">
        <v>226</v>
      </c>
      <c r="ED90" t="s">
        <v>244</v>
      </c>
      <c r="EE90" t="s">
        <v>236</v>
      </c>
      <c r="EG90" t="s">
        <v>226</v>
      </c>
      <c r="EH90" t="s">
        <v>265</v>
      </c>
      <c r="EI90" t="s">
        <v>236</v>
      </c>
      <c r="EK90" t="s">
        <v>236</v>
      </c>
      <c r="EM90" t="s">
        <v>236</v>
      </c>
      <c r="EO90" t="s">
        <v>236</v>
      </c>
      <c r="EQ90" t="s">
        <v>236</v>
      </c>
      <c r="ES90" t="s">
        <v>236</v>
      </c>
      <c r="EU90" t="s">
        <v>236</v>
      </c>
      <c r="EW90" t="s">
        <v>236</v>
      </c>
      <c r="EY90" t="s">
        <v>226</v>
      </c>
      <c r="EZ90" t="s">
        <v>244</v>
      </c>
      <c r="FA90" t="s">
        <v>226</v>
      </c>
      <c r="FB90" t="s">
        <v>265</v>
      </c>
      <c r="FC90" t="s">
        <v>236</v>
      </c>
      <c r="FE90" t="s">
        <v>236</v>
      </c>
      <c r="FG90" t="s">
        <v>236</v>
      </c>
      <c r="FJ90" t="s">
        <v>226</v>
      </c>
      <c r="FK90" t="s">
        <v>245</v>
      </c>
      <c r="FL90" t="s">
        <v>236</v>
      </c>
      <c r="FM90" t="s">
        <v>236</v>
      </c>
      <c r="FW90" t="s">
        <v>236</v>
      </c>
      <c r="FZ90" t="s">
        <v>236</v>
      </c>
      <c r="GC90" t="s">
        <v>236</v>
      </c>
      <c r="GF90" t="s">
        <v>236</v>
      </c>
      <c r="GI90" t="s">
        <v>236</v>
      </c>
      <c r="GL90" t="s">
        <v>236</v>
      </c>
      <c r="GO90" t="s">
        <v>226</v>
      </c>
      <c r="GP90" t="s">
        <v>236</v>
      </c>
      <c r="GR90" t="s">
        <v>236</v>
      </c>
      <c r="GU90" t="s">
        <v>236</v>
      </c>
      <c r="GX90" t="s">
        <v>236</v>
      </c>
      <c r="HB90" t="s">
        <v>537</v>
      </c>
      <c r="HC90" t="s">
        <v>303</v>
      </c>
      <c r="HD90" t="s">
        <v>512</v>
      </c>
      <c r="HE90">
        <v>82773988</v>
      </c>
      <c r="HF90" t="s">
        <v>939</v>
      </c>
      <c r="HG90" s="2">
        <v>45750.69908564815</v>
      </c>
      <c r="HJ90" t="s">
        <v>248</v>
      </c>
      <c r="HL90" t="s">
        <v>249</v>
      </c>
      <c r="HN90">
        <v>90</v>
      </c>
    </row>
    <row r="91" spans="1:222" x14ac:dyDescent="0.25">
      <c r="A91" s="2">
        <v>45750.484235069453</v>
      </c>
      <c r="B91" s="2">
        <v>45750.488738171298</v>
      </c>
      <c r="C91" t="s">
        <v>334</v>
      </c>
      <c r="D91">
        <v>122</v>
      </c>
      <c r="E91" s="2">
        <v>45730</v>
      </c>
      <c r="F91">
        <v>3</v>
      </c>
      <c r="G91" t="s">
        <v>834</v>
      </c>
      <c r="H91" t="s">
        <v>335</v>
      </c>
      <c r="I91">
        <v>32</v>
      </c>
      <c r="J91" t="str">
        <f t="shared" si="1"/>
        <v>de 26 a 40 años</v>
      </c>
      <c r="K91" t="s">
        <v>224</v>
      </c>
      <c r="L91">
        <v>1</v>
      </c>
      <c r="M91">
        <v>0</v>
      </c>
      <c r="N91">
        <v>0</v>
      </c>
      <c r="O91">
        <v>0</v>
      </c>
      <c r="P91">
        <v>1</v>
      </c>
      <c r="Q91" t="s">
        <v>225</v>
      </c>
      <c r="R91" t="s">
        <v>236</v>
      </c>
      <c r="S91" t="s">
        <v>935</v>
      </c>
      <c r="T91" t="s">
        <v>227</v>
      </c>
      <c r="V91" t="s">
        <v>228</v>
      </c>
      <c r="W91" t="s">
        <v>229</v>
      </c>
      <c r="X91" t="s">
        <v>230</v>
      </c>
      <c r="Z91" t="s">
        <v>231</v>
      </c>
      <c r="AA91" t="s">
        <v>958</v>
      </c>
      <c r="AB91">
        <v>0</v>
      </c>
      <c r="AC91">
        <v>1</v>
      </c>
      <c r="AD91">
        <v>0</v>
      </c>
      <c r="AE91">
        <v>0</v>
      </c>
      <c r="AF91">
        <v>1</v>
      </c>
      <c r="AG91">
        <v>0</v>
      </c>
      <c r="AI91" t="s">
        <v>256</v>
      </c>
      <c r="AJ91">
        <v>0</v>
      </c>
      <c r="AK91">
        <v>0</v>
      </c>
      <c r="AL91">
        <v>1</v>
      </c>
      <c r="AM91">
        <v>0</v>
      </c>
      <c r="AN91" t="s">
        <v>300</v>
      </c>
      <c r="AO91" t="s">
        <v>275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1</v>
      </c>
      <c r="AV91">
        <v>0</v>
      </c>
      <c r="AX91" t="s">
        <v>226</v>
      </c>
      <c r="AY91" t="s">
        <v>226</v>
      </c>
      <c r="AZ91" t="s">
        <v>237</v>
      </c>
      <c r="BA91" t="s">
        <v>959</v>
      </c>
      <c r="BB91" t="s">
        <v>960</v>
      </c>
      <c r="BC91" t="s">
        <v>961</v>
      </c>
      <c r="BE91" t="s">
        <v>259</v>
      </c>
      <c r="BF91" t="s">
        <v>237</v>
      </c>
      <c r="BG91" t="s">
        <v>237</v>
      </c>
      <c r="BH91" t="s">
        <v>237</v>
      </c>
      <c r="BI91" t="s">
        <v>237</v>
      </c>
      <c r="BJ91" t="s">
        <v>237</v>
      </c>
      <c r="BK91" t="s">
        <v>259</v>
      </c>
      <c r="BL91" t="s">
        <v>262</v>
      </c>
      <c r="BM91" t="s">
        <v>365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 t="s">
        <v>264</v>
      </c>
      <c r="CB91" t="s">
        <v>264</v>
      </c>
      <c r="CC91" t="s">
        <v>264</v>
      </c>
      <c r="CD91" t="s">
        <v>236</v>
      </c>
      <c r="CE91" t="s">
        <v>236</v>
      </c>
      <c r="EA91" t="s">
        <v>226</v>
      </c>
      <c r="EB91" t="s">
        <v>244</v>
      </c>
      <c r="EC91" t="s">
        <v>236</v>
      </c>
      <c r="EE91" t="s">
        <v>226</v>
      </c>
      <c r="EF91" t="s">
        <v>244</v>
      </c>
      <c r="EG91" t="s">
        <v>226</v>
      </c>
      <c r="EH91" t="s">
        <v>244</v>
      </c>
      <c r="EI91" t="s">
        <v>236</v>
      </c>
      <c r="EK91" t="s">
        <v>236</v>
      </c>
      <c r="EM91" t="s">
        <v>226</v>
      </c>
      <c r="EN91" t="s">
        <v>245</v>
      </c>
      <c r="EO91" t="s">
        <v>236</v>
      </c>
      <c r="EQ91" t="s">
        <v>236</v>
      </c>
      <c r="ES91" t="s">
        <v>236</v>
      </c>
      <c r="EU91" t="s">
        <v>236</v>
      </c>
      <c r="EW91" t="s">
        <v>236</v>
      </c>
      <c r="EY91" t="s">
        <v>236</v>
      </c>
      <c r="FA91" t="s">
        <v>236</v>
      </c>
      <c r="FC91" t="s">
        <v>236</v>
      </c>
      <c r="FE91" t="s">
        <v>236</v>
      </c>
      <c r="FG91" t="s">
        <v>236</v>
      </c>
      <c r="FJ91" t="s">
        <v>226</v>
      </c>
      <c r="FK91" t="s">
        <v>244</v>
      </c>
      <c r="FL91" t="s">
        <v>236</v>
      </c>
      <c r="FM91" t="s">
        <v>236</v>
      </c>
      <c r="FW91" t="s">
        <v>226</v>
      </c>
      <c r="FX91" t="s">
        <v>236</v>
      </c>
      <c r="FZ91" t="s">
        <v>236</v>
      </c>
      <c r="GC91" t="s">
        <v>236</v>
      </c>
      <c r="GF91" t="s">
        <v>236</v>
      </c>
      <c r="GI91" t="s">
        <v>236</v>
      </c>
      <c r="GL91" t="s">
        <v>236</v>
      </c>
      <c r="GO91" t="s">
        <v>226</v>
      </c>
      <c r="GP91" t="s">
        <v>226</v>
      </c>
      <c r="GQ91" t="s">
        <v>267</v>
      </c>
      <c r="GR91" t="s">
        <v>236</v>
      </c>
      <c r="GU91" t="s">
        <v>236</v>
      </c>
      <c r="GX91" t="s">
        <v>236</v>
      </c>
      <c r="HB91" t="s">
        <v>323</v>
      </c>
      <c r="HC91" t="s">
        <v>962</v>
      </c>
      <c r="HD91" t="s">
        <v>963</v>
      </c>
      <c r="HE91">
        <v>82773627</v>
      </c>
      <c r="HF91" t="s">
        <v>964</v>
      </c>
      <c r="HG91" s="2">
        <v>45750.69699074074</v>
      </c>
      <c r="HJ91" t="s">
        <v>248</v>
      </c>
      <c r="HL91" t="s">
        <v>249</v>
      </c>
      <c r="HN91">
        <v>89</v>
      </c>
    </row>
    <row r="92" spans="1:222" x14ac:dyDescent="0.25">
      <c r="A92" s="2">
        <v>45750.488738831024</v>
      </c>
      <c r="B92" s="2">
        <v>45750.49175241898</v>
      </c>
      <c r="C92" t="s">
        <v>334</v>
      </c>
      <c r="D92">
        <v>121</v>
      </c>
      <c r="E92" s="2">
        <v>45730</v>
      </c>
      <c r="F92">
        <v>3</v>
      </c>
      <c r="G92" t="s">
        <v>450</v>
      </c>
      <c r="H92" t="s">
        <v>335</v>
      </c>
      <c r="I92">
        <v>31</v>
      </c>
      <c r="J92" t="str">
        <f t="shared" si="1"/>
        <v>de 26 a 40 años</v>
      </c>
      <c r="K92" t="s">
        <v>224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225</v>
      </c>
      <c r="R92" t="s">
        <v>226</v>
      </c>
      <c r="T92" t="s">
        <v>227</v>
      </c>
      <c r="V92" t="s">
        <v>228</v>
      </c>
      <c r="W92" t="s">
        <v>229</v>
      </c>
      <c r="X92" t="s">
        <v>230</v>
      </c>
      <c r="Z92" t="s">
        <v>351</v>
      </c>
      <c r="AA92" t="s">
        <v>232</v>
      </c>
      <c r="AB92">
        <v>1</v>
      </c>
      <c r="AC92">
        <v>0</v>
      </c>
      <c r="AD92">
        <v>0</v>
      </c>
      <c r="AE92">
        <v>0</v>
      </c>
      <c r="AF92">
        <v>0</v>
      </c>
      <c r="AG92">
        <v>0</v>
      </c>
      <c r="AI92" t="s">
        <v>233</v>
      </c>
      <c r="AJ92">
        <v>0</v>
      </c>
      <c r="AK92">
        <v>1</v>
      </c>
      <c r="AL92">
        <v>0</v>
      </c>
      <c r="AM92">
        <v>0</v>
      </c>
      <c r="AN92" t="s">
        <v>300</v>
      </c>
      <c r="AO92" t="s">
        <v>275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1</v>
      </c>
      <c r="AV92">
        <v>0</v>
      </c>
      <c r="AX92" t="s">
        <v>226</v>
      </c>
      <c r="AY92" t="s">
        <v>226</v>
      </c>
      <c r="AZ92" t="s">
        <v>237</v>
      </c>
      <c r="BA92" t="s">
        <v>470</v>
      </c>
      <c r="BB92" t="s">
        <v>276</v>
      </c>
      <c r="BE92" t="s">
        <v>259</v>
      </c>
      <c r="BF92" t="s">
        <v>259</v>
      </c>
      <c r="BG92" t="s">
        <v>237</v>
      </c>
      <c r="BH92" t="s">
        <v>237</v>
      </c>
      <c r="BI92" t="s">
        <v>237</v>
      </c>
      <c r="BJ92" t="s">
        <v>237</v>
      </c>
      <c r="BK92" t="s">
        <v>239</v>
      </c>
      <c r="BL92" t="s">
        <v>240</v>
      </c>
      <c r="BM92" t="s">
        <v>415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 t="s">
        <v>264</v>
      </c>
      <c r="CB92" t="s">
        <v>264</v>
      </c>
      <c r="CC92" t="s">
        <v>242</v>
      </c>
      <c r="CD92" t="s">
        <v>226</v>
      </c>
      <c r="CE92" t="s">
        <v>236</v>
      </c>
      <c r="EA92" t="s">
        <v>236</v>
      </c>
      <c r="EC92" t="s">
        <v>236</v>
      </c>
      <c r="EE92" t="s">
        <v>236</v>
      </c>
      <c r="EG92" t="s">
        <v>236</v>
      </c>
      <c r="EI92" t="s">
        <v>226</v>
      </c>
      <c r="EJ92" t="s">
        <v>244</v>
      </c>
      <c r="EK92" t="s">
        <v>236</v>
      </c>
      <c r="EM92" t="s">
        <v>226</v>
      </c>
      <c r="EN92" t="s">
        <v>245</v>
      </c>
      <c r="EO92" t="s">
        <v>236</v>
      </c>
      <c r="EQ92" t="s">
        <v>236</v>
      </c>
      <c r="ES92" t="s">
        <v>236</v>
      </c>
      <c r="EU92" t="s">
        <v>236</v>
      </c>
      <c r="EW92" t="s">
        <v>236</v>
      </c>
      <c r="EY92" t="s">
        <v>236</v>
      </c>
      <c r="FA92" t="s">
        <v>226</v>
      </c>
      <c r="FB92" t="s">
        <v>245</v>
      </c>
      <c r="FC92" t="s">
        <v>236</v>
      </c>
      <c r="FE92" t="s">
        <v>236</v>
      </c>
      <c r="FG92" t="s">
        <v>236</v>
      </c>
      <c r="FJ92" t="s">
        <v>226</v>
      </c>
      <c r="FK92" t="s">
        <v>245</v>
      </c>
      <c r="FL92" t="s">
        <v>236</v>
      </c>
      <c r="FM92" t="s">
        <v>236</v>
      </c>
      <c r="FW92" t="s">
        <v>226</v>
      </c>
      <c r="FX92" t="s">
        <v>226</v>
      </c>
      <c r="FY92" t="s">
        <v>267</v>
      </c>
      <c r="FZ92" t="s">
        <v>226</v>
      </c>
      <c r="GA92" t="s">
        <v>226</v>
      </c>
      <c r="GB92" t="s">
        <v>267</v>
      </c>
      <c r="GC92" t="s">
        <v>236</v>
      </c>
      <c r="GF92" t="s">
        <v>226</v>
      </c>
      <c r="GG92" t="s">
        <v>236</v>
      </c>
      <c r="GI92" t="s">
        <v>236</v>
      </c>
      <c r="GL92" t="s">
        <v>226</v>
      </c>
      <c r="GM92" t="s">
        <v>226</v>
      </c>
      <c r="GN92" t="s">
        <v>267</v>
      </c>
      <c r="GO92" t="s">
        <v>226</v>
      </c>
      <c r="GP92" t="s">
        <v>226</v>
      </c>
      <c r="GQ92" t="s">
        <v>267</v>
      </c>
      <c r="GR92" t="s">
        <v>226</v>
      </c>
      <c r="GS92" t="s">
        <v>226</v>
      </c>
      <c r="GT92" t="s">
        <v>267</v>
      </c>
      <c r="GU92" t="s">
        <v>236</v>
      </c>
      <c r="GX92" t="s">
        <v>236</v>
      </c>
      <c r="HB92" t="s">
        <v>338</v>
      </c>
      <c r="HC92" t="s">
        <v>339</v>
      </c>
      <c r="HE92">
        <v>82774164</v>
      </c>
      <c r="HF92" t="s">
        <v>471</v>
      </c>
      <c r="HG92" s="2">
        <v>45750.7</v>
      </c>
      <c r="HJ92" t="s">
        <v>248</v>
      </c>
      <c r="HL92" t="s">
        <v>249</v>
      </c>
      <c r="HN92">
        <v>91</v>
      </c>
    </row>
    <row r="93" spans="1:222" x14ac:dyDescent="0.25">
      <c r="A93" s="2">
        <v>45750.490835694443</v>
      </c>
      <c r="B93" s="2">
        <v>45750.494619039353</v>
      </c>
      <c r="C93" t="s">
        <v>305</v>
      </c>
      <c r="D93">
        <v>115</v>
      </c>
      <c r="E93" s="2">
        <v>45732</v>
      </c>
      <c r="F93">
        <v>3</v>
      </c>
      <c r="G93" t="s">
        <v>507</v>
      </c>
      <c r="H93" t="s">
        <v>307</v>
      </c>
      <c r="I93">
        <v>28</v>
      </c>
      <c r="J93" t="str">
        <f t="shared" si="1"/>
        <v>de 26 a 40 años</v>
      </c>
      <c r="K93" t="s">
        <v>224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291</v>
      </c>
      <c r="R93" t="s">
        <v>226</v>
      </c>
      <c r="T93" t="s">
        <v>227</v>
      </c>
      <c r="V93" t="s">
        <v>252</v>
      </c>
      <c r="W93" t="s">
        <v>229</v>
      </c>
      <c r="X93" t="s">
        <v>230</v>
      </c>
      <c r="Z93" t="s">
        <v>254</v>
      </c>
      <c r="AA93" t="s">
        <v>481</v>
      </c>
      <c r="AB93">
        <v>0</v>
      </c>
      <c r="AC93">
        <v>0</v>
      </c>
      <c r="AD93">
        <v>0</v>
      </c>
      <c r="AE93">
        <v>1</v>
      </c>
      <c r="AF93">
        <v>1</v>
      </c>
      <c r="AG93">
        <v>0</v>
      </c>
      <c r="AI93" t="s">
        <v>233</v>
      </c>
      <c r="AJ93">
        <v>0</v>
      </c>
      <c r="AK93">
        <v>1</v>
      </c>
      <c r="AL93">
        <v>0</v>
      </c>
      <c r="AM93">
        <v>0</v>
      </c>
      <c r="AN93" t="s">
        <v>300</v>
      </c>
      <c r="AO93" t="s">
        <v>343</v>
      </c>
      <c r="AP93">
        <v>1</v>
      </c>
      <c r="AQ93">
        <v>0</v>
      </c>
      <c r="AR93">
        <v>0</v>
      </c>
      <c r="AS93">
        <v>1</v>
      </c>
      <c r="AT93">
        <v>1</v>
      </c>
      <c r="AU93">
        <v>0</v>
      </c>
      <c r="AV93">
        <v>0</v>
      </c>
      <c r="AX93" t="s">
        <v>226</v>
      </c>
      <c r="AY93" t="s">
        <v>236</v>
      </c>
      <c r="AZ93" t="s">
        <v>237</v>
      </c>
      <c r="BA93" t="s">
        <v>940</v>
      </c>
      <c r="BE93" t="s">
        <v>259</v>
      </c>
      <c r="BF93" t="s">
        <v>237</v>
      </c>
      <c r="BG93" t="s">
        <v>237</v>
      </c>
      <c r="BH93" t="s">
        <v>239</v>
      </c>
      <c r="BI93" t="s">
        <v>237</v>
      </c>
      <c r="BJ93" t="s">
        <v>237</v>
      </c>
      <c r="BK93" t="s">
        <v>239</v>
      </c>
      <c r="BL93" t="s">
        <v>240</v>
      </c>
      <c r="BM93" t="s">
        <v>415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 t="s">
        <v>264</v>
      </c>
      <c r="CB93" t="s">
        <v>243</v>
      </c>
      <c r="CC93" t="s">
        <v>243</v>
      </c>
      <c r="CD93" t="s">
        <v>236</v>
      </c>
      <c r="CE93" t="s">
        <v>236</v>
      </c>
      <c r="EA93" t="s">
        <v>236</v>
      </c>
      <c r="EC93" t="s">
        <v>236</v>
      </c>
      <c r="EE93" t="s">
        <v>236</v>
      </c>
      <c r="EG93" t="s">
        <v>236</v>
      </c>
      <c r="EI93" t="s">
        <v>236</v>
      </c>
      <c r="EK93" t="s">
        <v>236</v>
      </c>
      <c r="EM93" t="s">
        <v>226</v>
      </c>
      <c r="EN93" t="s">
        <v>244</v>
      </c>
      <c r="EO93" t="s">
        <v>236</v>
      </c>
      <c r="EQ93" t="s">
        <v>236</v>
      </c>
      <c r="ES93" t="s">
        <v>236</v>
      </c>
      <c r="EU93" t="s">
        <v>236</v>
      </c>
      <c r="EW93" t="s">
        <v>236</v>
      </c>
      <c r="EY93" t="s">
        <v>236</v>
      </c>
      <c r="FA93" t="s">
        <v>226</v>
      </c>
      <c r="FB93" t="s">
        <v>244</v>
      </c>
      <c r="FC93" t="s">
        <v>236</v>
      </c>
      <c r="FE93" t="s">
        <v>226</v>
      </c>
      <c r="FF93" t="s">
        <v>244</v>
      </c>
      <c r="FG93" t="s">
        <v>236</v>
      </c>
      <c r="FJ93" t="s">
        <v>226</v>
      </c>
      <c r="FK93" t="s">
        <v>244</v>
      </c>
      <c r="FL93" t="s">
        <v>226</v>
      </c>
      <c r="FM93" t="s">
        <v>236</v>
      </c>
      <c r="FW93" t="s">
        <v>226</v>
      </c>
      <c r="FX93" t="s">
        <v>236</v>
      </c>
      <c r="FZ93" t="s">
        <v>226</v>
      </c>
      <c r="GA93" t="s">
        <v>236</v>
      </c>
      <c r="GC93" t="s">
        <v>236</v>
      </c>
      <c r="GF93" t="s">
        <v>226</v>
      </c>
      <c r="GG93" t="s">
        <v>236</v>
      </c>
      <c r="GI93" t="s">
        <v>236</v>
      </c>
      <c r="GL93" t="s">
        <v>236</v>
      </c>
      <c r="GO93" t="s">
        <v>226</v>
      </c>
      <c r="GP93" t="s">
        <v>236</v>
      </c>
      <c r="GR93" t="s">
        <v>226</v>
      </c>
      <c r="GS93" t="s">
        <v>236</v>
      </c>
      <c r="GU93" t="s">
        <v>236</v>
      </c>
      <c r="GX93" t="s">
        <v>236</v>
      </c>
      <c r="HB93" t="s">
        <v>303</v>
      </c>
      <c r="HC93" t="s">
        <v>537</v>
      </c>
      <c r="HE93">
        <v>82774576</v>
      </c>
      <c r="HF93" t="s">
        <v>941</v>
      </c>
      <c r="HG93" s="2">
        <v>45750.702870370369</v>
      </c>
      <c r="HJ93" t="s">
        <v>248</v>
      </c>
      <c r="HL93" t="s">
        <v>249</v>
      </c>
      <c r="HN93">
        <v>92</v>
      </c>
    </row>
    <row r="94" spans="1:222" x14ac:dyDescent="0.25">
      <c r="A94" s="2">
        <v>45750.494619548612</v>
      </c>
      <c r="B94" s="2">
        <v>45750.507332395828</v>
      </c>
      <c r="C94" t="s">
        <v>305</v>
      </c>
      <c r="D94">
        <v>116</v>
      </c>
      <c r="E94" s="2">
        <v>45732</v>
      </c>
      <c r="F94">
        <v>3</v>
      </c>
      <c r="G94" t="s">
        <v>507</v>
      </c>
      <c r="H94" t="s">
        <v>307</v>
      </c>
      <c r="I94">
        <v>35</v>
      </c>
      <c r="J94" t="str">
        <f t="shared" si="1"/>
        <v>de 26 a 40 años</v>
      </c>
      <c r="K94" t="s">
        <v>251</v>
      </c>
      <c r="L94">
        <v>2</v>
      </c>
      <c r="M94">
        <v>0</v>
      </c>
      <c r="N94">
        <v>0</v>
      </c>
      <c r="O94">
        <v>0</v>
      </c>
      <c r="P94">
        <v>0</v>
      </c>
      <c r="Q94" t="s">
        <v>291</v>
      </c>
      <c r="R94" t="s">
        <v>226</v>
      </c>
      <c r="T94" t="s">
        <v>227</v>
      </c>
      <c r="V94" t="s">
        <v>228</v>
      </c>
      <c r="W94" t="s">
        <v>229</v>
      </c>
      <c r="X94" t="s">
        <v>230</v>
      </c>
      <c r="Z94" t="s">
        <v>231</v>
      </c>
      <c r="AA94" t="s">
        <v>823</v>
      </c>
      <c r="AB94">
        <v>1</v>
      </c>
      <c r="AC94">
        <v>0</v>
      </c>
      <c r="AD94">
        <v>0</v>
      </c>
      <c r="AE94">
        <v>1</v>
      </c>
      <c r="AF94">
        <v>0</v>
      </c>
      <c r="AG94">
        <v>0</v>
      </c>
      <c r="AI94" t="s">
        <v>233</v>
      </c>
      <c r="AJ94">
        <v>0</v>
      </c>
      <c r="AK94">
        <v>1</v>
      </c>
      <c r="AL94">
        <v>0</v>
      </c>
      <c r="AM94">
        <v>0</v>
      </c>
      <c r="AN94" t="s">
        <v>257</v>
      </c>
      <c r="AO94" t="s">
        <v>326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0</v>
      </c>
      <c r="AX94" t="s">
        <v>226</v>
      </c>
      <c r="AY94" t="s">
        <v>236</v>
      </c>
      <c r="AZ94" t="s">
        <v>237</v>
      </c>
      <c r="BA94" t="s">
        <v>512</v>
      </c>
      <c r="BB94" t="s">
        <v>438</v>
      </c>
      <c r="BC94" t="s">
        <v>942</v>
      </c>
      <c r="BE94" t="s">
        <v>259</v>
      </c>
      <c r="BF94" t="s">
        <v>237</v>
      </c>
      <c r="BG94" t="s">
        <v>239</v>
      </c>
      <c r="BH94" t="s">
        <v>237</v>
      </c>
      <c r="BI94" t="s">
        <v>239</v>
      </c>
      <c r="BJ94" t="s">
        <v>237</v>
      </c>
      <c r="BK94" t="s">
        <v>239</v>
      </c>
      <c r="BL94" t="s">
        <v>240</v>
      </c>
      <c r="BM94" t="s">
        <v>278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 t="s">
        <v>264</v>
      </c>
      <c r="CB94" t="s">
        <v>243</v>
      </c>
      <c r="CC94" t="s">
        <v>243</v>
      </c>
      <c r="CD94" t="s">
        <v>236</v>
      </c>
      <c r="CE94" t="s">
        <v>236</v>
      </c>
      <c r="EA94" t="s">
        <v>226</v>
      </c>
      <c r="EB94" t="s">
        <v>244</v>
      </c>
      <c r="EC94" t="s">
        <v>236</v>
      </c>
      <c r="EE94" t="s">
        <v>236</v>
      </c>
      <c r="EG94" t="s">
        <v>226</v>
      </c>
      <c r="EH94" t="s">
        <v>244</v>
      </c>
      <c r="EI94" t="s">
        <v>236</v>
      </c>
      <c r="EK94" t="s">
        <v>236</v>
      </c>
      <c r="EM94" t="s">
        <v>236</v>
      </c>
      <c r="EO94" t="s">
        <v>236</v>
      </c>
      <c r="EQ94" t="s">
        <v>236</v>
      </c>
      <c r="ES94" t="s">
        <v>236</v>
      </c>
      <c r="EU94" t="s">
        <v>236</v>
      </c>
      <c r="EW94" t="s">
        <v>236</v>
      </c>
      <c r="EY94" t="s">
        <v>236</v>
      </c>
      <c r="FA94" t="s">
        <v>226</v>
      </c>
      <c r="FB94" t="s">
        <v>244</v>
      </c>
      <c r="FC94" t="s">
        <v>236</v>
      </c>
      <c r="FE94" t="s">
        <v>236</v>
      </c>
      <c r="FG94" t="s">
        <v>236</v>
      </c>
      <c r="FJ94" t="s">
        <v>226</v>
      </c>
      <c r="FK94" t="s">
        <v>245</v>
      </c>
      <c r="FL94" t="s">
        <v>236</v>
      </c>
      <c r="FM94" t="s">
        <v>236</v>
      </c>
      <c r="FW94" t="s">
        <v>226</v>
      </c>
      <c r="FX94" t="s">
        <v>236</v>
      </c>
      <c r="FZ94" t="s">
        <v>236</v>
      </c>
      <c r="GC94" t="s">
        <v>236</v>
      </c>
      <c r="GF94" t="s">
        <v>236</v>
      </c>
      <c r="GI94" t="s">
        <v>226</v>
      </c>
      <c r="GJ94" t="s">
        <v>236</v>
      </c>
      <c r="GL94" t="s">
        <v>236</v>
      </c>
      <c r="GO94" t="s">
        <v>226</v>
      </c>
      <c r="GP94" t="s">
        <v>226</v>
      </c>
      <c r="GQ94" t="s">
        <v>267</v>
      </c>
      <c r="GR94" t="s">
        <v>226</v>
      </c>
      <c r="GS94" t="s">
        <v>236</v>
      </c>
      <c r="GU94" t="s">
        <v>236</v>
      </c>
      <c r="GX94" t="s">
        <v>236</v>
      </c>
      <c r="HB94" t="s">
        <v>537</v>
      </c>
      <c r="HC94" t="s">
        <v>303</v>
      </c>
      <c r="HE94">
        <v>82776960</v>
      </c>
      <c r="HF94" t="s">
        <v>943</v>
      </c>
      <c r="HG94" s="2">
        <v>45750.715590277781</v>
      </c>
      <c r="HJ94" t="s">
        <v>248</v>
      </c>
      <c r="HL94" t="s">
        <v>249</v>
      </c>
      <c r="HN94">
        <v>93</v>
      </c>
    </row>
    <row r="95" spans="1:222" x14ac:dyDescent="0.25">
      <c r="A95" s="2">
        <v>45750.495270451393</v>
      </c>
      <c r="B95" s="2">
        <v>45750.524612361107</v>
      </c>
      <c r="C95" t="s">
        <v>334</v>
      </c>
      <c r="D95">
        <v>240</v>
      </c>
      <c r="E95" s="2">
        <v>45731</v>
      </c>
      <c r="F95">
        <v>1</v>
      </c>
      <c r="G95" t="s">
        <v>1268</v>
      </c>
      <c r="H95" t="s">
        <v>375</v>
      </c>
      <c r="I95">
        <v>25</v>
      </c>
      <c r="J95" t="str">
        <f t="shared" si="1"/>
        <v>de 18 a 25 años</v>
      </c>
      <c r="K95" t="s">
        <v>224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291</v>
      </c>
      <c r="R95" t="s">
        <v>226</v>
      </c>
      <c r="T95" t="s">
        <v>227</v>
      </c>
      <c r="V95" t="s">
        <v>252</v>
      </c>
      <c r="W95" t="s">
        <v>229</v>
      </c>
      <c r="X95" t="s">
        <v>230</v>
      </c>
      <c r="Z95" t="s">
        <v>254</v>
      </c>
      <c r="AA95" t="s">
        <v>376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I95" t="s">
        <v>233</v>
      </c>
      <c r="AJ95">
        <v>0</v>
      </c>
      <c r="AK95">
        <v>1</v>
      </c>
      <c r="AL95">
        <v>0</v>
      </c>
      <c r="AM95">
        <v>0</v>
      </c>
      <c r="AN95" t="s">
        <v>257</v>
      </c>
      <c r="AO95" t="s">
        <v>275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X95" t="s">
        <v>226</v>
      </c>
      <c r="AY95" t="s">
        <v>236</v>
      </c>
      <c r="AZ95" t="s">
        <v>259</v>
      </c>
      <c r="BA95" t="s">
        <v>1353</v>
      </c>
      <c r="BE95" t="s">
        <v>259</v>
      </c>
      <c r="BF95" t="s">
        <v>237</v>
      </c>
      <c r="BG95" t="s">
        <v>259</v>
      </c>
      <c r="BH95" t="s">
        <v>261</v>
      </c>
      <c r="BI95" t="s">
        <v>259</v>
      </c>
      <c r="BJ95" t="s">
        <v>237</v>
      </c>
      <c r="BK95" t="s">
        <v>237</v>
      </c>
      <c r="BL95" t="s">
        <v>262</v>
      </c>
      <c r="BM95" t="s">
        <v>296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 t="s">
        <v>264</v>
      </c>
      <c r="CB95" t="s">
        <v>264</v>
      </c>
      <c r="CC95" t="s">
        <v>264</v>
      </c>
      <c r="CD95" t="s">
        <v>236</v>
      </c>
      <c r="CE95" t="s">
        <v>236</v>
      </c>
      <c r="EA95" t="s">
        <v>236</v>
      </c>
      <c r="EC95" t="s">
        <v>236</v>
      </c>
      <c r="EE95" t="s">
        <v>236</v>
      </c>
      <c r="EG95" t="s">
        <v>226</v>
      </c>
      <c r="EH95" t="s">
        <v>245</v>
      </c>
      <c r="EI95" t="s">
        <v>236</v>
      </c>
      <c r="EK95" t="s">
        <v>236</v>
      </c>
      <c r="EM95" t="s">
        <v>236</v>
      </c>
      <c r="EO95" t="s">
        <v>236</v>
      </c>
      <c r="EQ95" t="s">
        <v>236</v>
      </c>
      <c r="ES95" t="s">
        <v>226</v>
      </c>
      <c r="ET95" t="s">
        <v>245</v>
      </c>
      <c r="EU95" t="s">
        <v>236</v>
      </c>
      <c r="EW95" t="s">
        <v>236</v>
      </c>
      <c r="EY95" t="s">
        <v>236</v>
      </c>
      <c r="FA95" t="s">
        <v>226</v>
      </c>
      <c r="FB95" t="s">
        <v>244</v>
      </c>
      <c r="FC95" t="s">
        <v>236</v>
      </c>
      <c r="FE95" t="s">
        <v>226</v>
      </c>
      <c r="FF95" t="s">
        <v>245</v>
      </c>
      <c r="FG95" t="s">
        <v>236</v>
      </c>
      <c r="FJ95" t="s">
        <v>226</v>
      </c>
      <c r="FK95" t="s">
        <v>245</v>
      </c>
      <c r="FL95" t="s">
        <v>236</v>
      </c>
      <c r="FM95" t="s">
        <v>236</v>
      </c>
      <c r="FW95" t="s">
        <v>236</v>
      </c>
      <c r="FZ95" t="s">
        <v>236</v>
      </c>
      <c r="GC95" t="s">
        <v>236</v>
      </c>
      <c r="GF95" t="s">
        <v>226</v>
      </c>
      <c r="GG95" t="s">
        <v>236</v>
      </c>
      <c r="GI95" t="s">
        <v>236</v>
      </c>
      <c r="GL95" t="s">
        <v>226</v>
      </c>
      <c r="GM95" t="s">
        <v>236</v>
      </c>
      <c r="GO95" t="s">
        <v>226</v>
      </c>
      <c r="GP95" t="s">
        <v>236</v>
      </c>
      <c r="GR95" t="s">
        <v>226</v>
      </c>
      <c r="GS95" t="s">
        <v>236</v>
      </c>
      <c r="GU95" t="s">
        <v>236</v>
      </c>
      <c r="GX95" t="s">
        <v>236</v>
      </c>
      <c r="HB95" t="s">
        <v>1354</v>
      </c>
      <c r="HE95">
        <v>82779670</v>
      </c>
      <c r="HF95" t="s">
        <v>1355</v>
      </c>
      <c r="HG95" s="2">
        <v>45750.732858796298</v>
      </c>
      <c r="HJ95" t="s">
        <v>248</v>
      </c>
      <c r="HL95" t="s">
        <v>249</v>
      </c>
      <c r="HN95">
        <v>97</v>
      </c>
    </row>
    <row r="96" spans="1:222" x14ac:dyDescent="0.25">
      <c r="A96" s="2">
        <v>45750.507332928239</v>
      </c>
      <c r="B96" s="2">
        <v>45750.510153692128</v>
      </c>
      <c r="C96" t="s">
        <v>305</v>
      </c>
      <c r="D96">
        <v>117</v>
      </c>
      <c r="E96" s="2">
        <v>45732</v>
      </c>
      <c r="F96">
        <v>3</v>
      </c>
      <c r="G96" t="s">
        <v>507</v>
      </c>
      <c r="H96" t="s">
        <v>307</v>
      </c>
      <c r="I96">
        <v>40</v>
      </c>
      <c r="J96" t="str">
        <f t="shared" si="1"/>
        <v>de 26 a 40 años</v>
      </c>
      <c r="K96" t="s">
        <v>224</v>
      </c>
      <c r="L96">
        <v>2</v>
      </c>
      <c r="M96">
        <v>0</v>
      </c>
      <c r="N96">
        <v>0</v>
      </c>
      <c r="O96">
        <v>0</v>
      </c>
      <c r="P96">
        <v>0</v>
      </c>
      <c r="Q96" t="s">
        <v>291</v>
      </c>
      <c r="R96" t="s">
        <v>226</v>
      </c>
      <c r="T96" t="s">
        <v>227</v>
      </c>
      <c r="V96" t="s">
        <v>228</v>
      </c>
      <c r="W96" t="s">
        <v>229</v>
      </c>
      <c r="X96" t="s">
        <v>230</v>
      </c>
      <c r="Z96" t="s">
        <v>231</v>
      </c>
      <c r="AA96" t="s">
        <v>232</v>
      </c>
      <c r="AB96">
        <v>1</v>
      </c>
      <c r="AC96">
        <v>0</v>
      </c>
      <c r="AD96">
        <v>0</v>
      </c>
      <c r="AE96">
        <v>0</v>
      </c>
      <c r="AF96">
        <v>0</v>
      </c>
      <c r="AG96">
        <v>0</v>
      </c>
      <c r="AI96" t="s">
        <v>233</v>
      </c>
      <c r="AJ96">
        <v>0</v>
      </c>
      <c r="AK96">
        <v>1</v>
      </c>
      <c r="AL96">
        <v>0</v>
      </c>
      <c r="AM96">
        <v>0</v>
      </c>
      <c r="AN96" t="s">
        <v>234</v>
      </c>
      <c r="AO96" t="s">
        <v>382</v>
      </c>
      <c r="AP96">
        <v>0</v>
      </c>
      <c r="AQ96">
        <v>0</v>
      </c>
      <c r="AR96">
        <v>1</v>
      </c>
      <c r="AS96">
        <v>0</v>
      </c>
      <c r="AT96">
        <v>0</v>
      </c>
      <c r="AU96">
        <v>0</v>
      </c>
      <c r="AV96">
        <v>0</v>
      </c>
      <c r="AX96" t="s">
        <v>226</v>
      </c>
      <c r="AY96" t="s">
        <v>236</v>
      </c>
      <c r="AZ96" t="s">
        <v>259</v>
      </c>
      <c r="BA96" t="s">
        <v>944</v>
      </c>
      <c r="BE96" t="s">
        <v>259</v>
      </c>
      <c r="BF96" t="s">
        <v>237</v>
      </c>
      <c r="BG96" t="s">
        <v>259</v>
      </c>
      <c r="BH96" t="s">
        <v>237</v>
      </c>
      <c r="BI96" t="s">
        <v>237</v>
      </c>
      <c r="BJ96" t="s">
        <v>259</v>
      </c>
      <c r="BK96" t="s">
        <v>239</v>
      </c>
      <c r="BL96" t="s">
        <v>313</v>
      </c>
      <c r="BM96" t="s">
        <v>650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0</v>
      </c>
      <c r="BX96">
        <v>0</v>
      </c>
      <c r="BY96">
        <v>0</v>
      </c>
      <c r="BZ96">
        <v>0</v>
      </c>
      <c r="CA96" t="s">
        <v>264</v>
      </c>
      <c r="CB96" t="s">
        <v>264</v>
      </c>
      <c r="CC96" t="s">
        <v>243</v>
      </c>
      <c r="CD96" t="s">
        <v>236</v>
      </c>
      <c r="CE96" t="s">
        <v>236</v>
      </c>
      <c r="EA96" t="s">
        <v>226</v>
      </c>
      <c r="EB96" t="s">
        <v>244</v>
      </c>
      <c r="EC96" t="s">
        <v>236</v>
      </c>
      <c r="EE96" t="s">
        <v>226</v>
      </c>
      <c r="EF96" t="s">
        <v>245</v>
      </c>
      <c r="EG96" t="s">
        <v>226</v>
      </c>
      <c r="EH96" t="s">
        <v>245</v>
      </c>
      <c r="EI96" t="s">
        <v>236</v>
      </c>
      <c r="EK96" t="s">
        <v>236</v>
      </c>
      <c r="EM96" t="s">
        <v>236</v>
      </c>
      <c r="EO96" t="s">
        <v>236</v>
      </c>
      <c r="EQ96" t="s">
        <v>236</v>
      </c>
      <c r="ES96" t="s">
        <v>236</v>
      </c>
      <c r="EU96" t="s">
        <v>236</v>
      </c>
      <c r="EW96" t="s">
        <v>236</v>
      </c>
      <c r="EY96" t="s">
        <v>236</v>
      </c>
      <c r="FA96" t="s">
        <v>226</v>
      </c>
      <c r="FB96" t="s">
        <v>244</v>
      </c>
      <c r="FC96" t="s">
        <v>236</v>
      </c>
      <c r="FE96" t="s">
        <v>226</v>
      </c>
      <c r="FF96" t="s">
        <v>244</v>
      </c>
      <c r="FG96" t="s">
        <v>236</v>
      </c>
      <c r="FJ96" t="s">
        <v>226</v>
      </c>
      <c r="FK96" t="s">
        <v>245</v>
      </c>
      <c r="FL96" t="s">
        <v>236</v>
      </c>
      <c r="FM96" t="s">
        <v>236</v>
      </c>
      <c r="FW96" t="s">
        <v>226</v>
      </c>
      <c r="FX96" t="s">
        <v>236</v>
      </c>
      <c r="FZ96" t="s">
        <v>236</v>
      </c>
      <c r="GC96" t="s">
        <v>236</v>
      </c>
      <c r="GF96" t="s">
        <v>226</v>
      </c>
      <c r="GG96" t="s">
        <v>236</v>
      </c>
      <c r="GI96" t="s">
        <v>226</v>
      </c>
      <c r="GJ96" t="s">
        <v>236</v>
      </c>
      <c r="GL96" t="s">
        <v>236</v>
      </c>
      <c r="GO96" t="s">
        <v>226</v>
      </c>
      <c r="GP96" t="s">
        <v>226</v>
      </c>
      <c r="GQ96" t="s">
        <v>266</v>
      </c>
      <c r="GR96" t="s">
        <v>226</v>
      </c>
      <c r="GS96" t="s">
        <v>226</v>
      </c>
      <c r="GT96" t="s">
        <v>267</v>
      </c>
      <c r="GU96" t="s">
        <v>236</v>
      </c>
      <c r="GX96" t="s">
        <v>236</v>
      </c>
      <c r="HB96" t="s">
        <v>537</v>
      </c>
      <c r="HC96" t="s">
        <v>318</v>
      </c>
      <c r="HE96">
        <v>82777362</v>
      </c>
      <c r="HF96" t="s">
        <v>945</v>
      </c>
      <c r="HG96" s="2">
        <v>45750.718402777777</v>
      </c>
      <c r="HJ96" t="s">
        <v>248</v>
      </c>
      <c r="HL96" t="s">
        <v>249</v>
      </c>
      <c r="HN96">
        <v>94</v>
      </c>
    </row>
    <row r="97" spans="1:222" x14ac:dyDescent="0.25">
      <c r="A97" s="2">
        <v>45750.510154178242</v>
      </c>
      <c r="B97" s="2">
        <v>45750.513289050927</v>
      </c>
      <c r="C97" t="s">
        <v>305</v>
      </c>
      <c r="D97">
        <v>118</v>
      </c>
      <c r="E97" s="2">
        <v>45732</v>
      </c>
      <c r="F97">
        <v>3</v>
      </c>
      <c r="G97" t="s">
        <v>507</v>
      </c>
      <c r="H97" t="s">
        <v>307</v>
      </c>
      <c r="I97">
        <v>61</v>
      </c>
      <c r="J97" t="str">
        <f t="shared" si="1"/>
        <v>de 56 a más</v>
      </c>
      <c r="K97" t="s">
        <v>251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291</v>
      </c>
      <c r="R97" t="s">
        <v>226</v>
      </c>
      <c r="T97" t="s">
        <v>227</v>
      </c>
      <c r="V97" t="s">
        <v>252</v>
      </c>
      <c r="W97" t="s">
        <v>292</v>
      </c>
      <c r="X97" t="s">
        <v>350</v>
      </c>
      <c r="Z97" t="s">
        <v>231</v>
      </c>
      <c r="AA97" t="s">
        <v>232</v>
      </c>
      <c r="AB97">
        <v>1</v>
      </c>
      <c r="AC97">
        <v>0</v>
      </c>
      <c r="AD97">
        <v>0</v>
      </c>
      <c r="AE97">
        <v>0</v>
      </c>
      <c r="AF97">
        <v>0</v>
      </c>
      <c r="AG97">
        <v>0</v>
      </c>
      <c r="AI97" t="s">
        <v>233</v>
      </c>
      <c r="AJ97">
        <v>0</v>
      </c>
      <c r="AK97">
        <v>1</v>
      </c>
      <c r="AL97">
        <v>0</v>
      </c>
      <c r="AM97">
        <v>0</v>
      </c>
      <c r="AN97" t="s">
        <v>300</v>
      </c>
      <c r="AO97" t="s">
        <v>235</v>
      </c>
      <c r="AP97">
        <v>0</v>
      </c>
      <c r="AQ97">
        <v>0</v>
      </c>
      <c r="AR97">
        <v>0</v>
      </c>
      <c r="AS97">
        <v>1</v>
      </c>
      <c r="AT97">
        <v>0</v>
      </c>
      <c r="AU97">
        <v>0</v>
      </c>
      <c r="AV97">
        <v>0</v>
      </c>
      <c r="AX97" t="s">
        <v>226</v>
      </c>
      <c r="AY97" t="s">
        <v>236</v>
      </c>
      <c r="AZ97" t="s">
        <v>259</v>
      </c>
      <c r="BA97" t="s">
        <v>946</v>
      </c>
      <c r="BB97" t="s">
        <v>947</v>
      </c>
      <c r="BE97" t="s">
        <v>259</v>
      </c>
      <c r="BF97" t="s">
        <v>259</v>
      </c>
      <c r="BG97" t="s">
        <v>259</v>
      </c>
      <c r="BH97" t="s">
        <v>237</v>
      </c>
      <c r="BI97" t="s">
        <v>259</v>
      </c>
      <c r="BJ97" t="s">
        <v>259</v>
      </c>
      <c r="BK97" t="s">
        <v>239</v>
      </c>
      <c r="BL97" t="s">
        <v>262</v>
      </c>
      <c r="BM97" t="s">
        <v>278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 t="s">
        <v>243</v>
      </c>
      <c r="CB97" t="s">
        <v>328</v>
      </c>
      <c r="CC97" t="s">
        <v>328</v>
      </c>
      <c r="CD97" t="s">
        <v>236</v>
      </c>
      <c r="CE97" t="s">
        <v>236</v>
      </c>
      <c r="EA97" t="s">
        <v>236</v>
      </c>
      <c r="EC97" t="s">
        <v>236</v>
      </c>
      <c r="EE97" t="s">
        <v>226</v>
      </c>
      <c r="EF97" t="s">
        <v>245</v>
      </c>
      <c r="EG97" t="s">
        <v>226</v>
      </c>
      <c r="EH97" t="s">
        <v>244</v>
      </c>
      <c r="EI97" t="s">
        <v>236</v>
      </c>
      <c r="EK97" t="s">
        <v>236</v>
      </c>
      <c r="EM97" t="s">
        <v>226</v>
      </c>
      <c r="EN97" t="s">
        <v>244</v>
      </c>
      <c r="EO97" t="s">
        <v>236</v>
      </c>
      <c r="EQ97" t="s">
        <v>236</v>
      </c>
      <c r="ES97" t="s">
        <v>236</v>
      </c>
      <c r="EU97" t="s">
        <v>236</v>
      </c>
      <c r="EW97" t="s">
        <v>236</v>
      </c>
      <c r="EY97" t="s">
        <v>236</v>
      </c>
      <c r="FA97" t="s">
        <v>226</v>
      </c>
      <c r="FB97" t="s">
        <v>265</v>
      </c>
      <c r="FC97" t="s">
        <v>236</v>
      </c>
      <c r="FE97" t="s">
        <v>226</v>
      </c>
      <c r="FF97" t="s">
        <v>244</v>
      </c>
      <c r="FG97" t="s">
        <v>236</v>
      </c>
      <c r="FJ97" t="s">
        <v>226</v>
      </c>
      <c r="FK97" t="s">
        <v>245</v>
      </c>
      <c r="FL97" t="s">
        <v>236</v>
      </c>
      <c r="FM97" t="s">
        <v>236</v>
      </c>
      <c r="FW97" t="s">
        <v>236</v>
      </c>
      <c r="FZ97" t="s">
        <v>236</v>
      </c>
      <c r="GC97" t="s">
        <v>236</v>
      </c>
      <c r="GF97" t="s">
        <v>226</v>
      </c>
      <c r="GG97" t="s">
        <v>236</v>
      </c>
      <c r="GI97" t="s">
        <v>236</v>
      </c>
      <c r="GL97" t="s">
        <v>236</v>
      </c>
      <c r="GO97" t="s">
        <v>226</v>
      </c>
      <c r="GP97" t="s">
        <v>236</v>
      </c>
      <c r="GR97" t="s">
        <v>236</v>
      </c>
      <c r="GU97" t="s">
        <v>236</v>
      </c>
      <c r="GX97" t="s">
        <v>236</v>
      </c>
      <c r="HB97" t="s">
        <v>513</v>
      </c>
      <c r="HC97" t="s">
        <v>338</v>
      </c>
      <c r="HE97">
        <v>82777779</v>
      </c>
      <c r="HF97" t="s">
        <v>948</v>
      </c>
      <c r="HG97" s="2">
        <v>45750.721539351849</v>
      </c>
      <c r="HJ97" t="s">
        <v>248</v>
      </c>
      <c r="HL97" t="s">
        <v>249</v>
      </c>
      <c r="HN97">
        <v>95</v>
      </c>
    </row>
    <row r="98" spans="1:222" x14ac:dyDescent="0.25">
      <c r="A98" s="2">
        <v>45750.513289571762</v>
      </c>
      <c r="B98" s="2">
        <v>45750.516594398148</v>
      </c>
      <c r="C98" t="s">
        <v>305</v>
      </c>
      <c r="D98">
        <v>119</v>
      </c>
      <c r="E98" s="2">
        <v>45732</v>
      </c>
      <c r="F98">
        <v>3</v>
      </c>
      <c r="G98" t="s">
        <v>507</v>
      </c>
      <c r="H98" t="s">
        <v>307</v>
      </c>
      <c r="I98">
        <v>42</v>
      </c>
      <c r="J98" t="str">
        <f t="shared" si="1"/>
        <v>de 41 a 55 años</v>
      </c>
      <c r="K98" t="s">
        <v>251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291</v>
      </c>
      <c r="R98" t="s">
        <v>226</v>
      </c>
      <c r="T98" t="s">
        <v>227</v>
      </c>
      <c r="V98" t="s">
        <v>321</v>
      </c>
      <c r="W98" t="s">
        <v>229</v>
      </c>
      <c r="X98" t="s">
        <v>350</v>
      </c>
      <c r="Z98" t="s">
        <v>231</v>
      </c>
      <c r="AA98" t="s">
        <v>352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I98" t="s">
        <v>233</v>
      </c>
      <c r="AJ98">
        <v>0</v>
      </c>
      <c r="AK98">
        <v>1</v>
      </c>
      <c r="AL98">
        <v>0</v>
      </c>
      <c r="AM98">
        <v>0</v>
      </c>
      <c r="AN98" t="s">
        <v>300</v>
      </c>
      <c r="AO98" t="s">
        <v>859</v>
      </c>
      <c r="AP98">
        <v>0</v>
      </c>
      <c r="AQ98">
        <v>0</v>
      </c>
      <c r="AR98">
        <v>1</v>
      </c>
      <c r="AS98">
        <v>1</v>
      </c>
      <c r="AT98">
        <v>0</v>
      </c>
      <c r="AU98">
        <v>1</v>
      </c>
      <c r="AV98">
        <v>0</v>
      </c>
      <c r="AX98" t="s">
        <v>226</v>
      </c>
      <c r="AY98" t="s">
        <v>226</v>
      </c>
      <c r="AZ98" t="s">
        <v>237</v>
      </c>
      <c r="BA98" t="s">
        <v>512</v>
      </c>
      <c r="BE98" t="s">
        <v>259</v>
      </c>
      <c r="BF98" t="s">
        <v>259</v>
      </c>
      <c r="BG98" t="s">
        <v>239</v>
      </c>
      <c r="BH98" t="s">
        <v>239</v>
      </c>
      <c r="BI98" t="s">
        <v>239</v>
      </c>
      <c r="BJ98" t="s">
        <v>237</v>
      </c>
      <c r="BK98" t="s">
        <v>239</v>
      </c>
      <c r="BL98" t="s">
        <v>313</v>
      </c>
      <c r="BM98" t="s">
        <v>949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1</v>
      </c>
      <c r="BX98">
        <v>0</v>
      </c>
      <c r="BY98">
        <v>1</v>
      </c>
      <c r="BZ98">
        <v>0</v>
      </c>
      <c r="CA98" t="s">
        <v>264</v>
      </c>
      <c r="CB98" t="s">
        <v>264</v>
      </c>
      <c r="CC98" t="s">
        <v>264</v>
      </c>
      <c r="CD98" t="s">
        <v>236</v>
      </c>
      <c r="CE98" t="s">
        <v>236</v>
      </c>
      <c r="EA98" t="s">
        <v>236</v>
      </c>
      <c r="EC98" t="s">
        <v>236</v>
      </c>
      <c r="EE98" t="s">
        <v>236</v>
      </c>
      <c r="EG98" t="s">
        <v>226</v>
      </c>
      <c r="EH98" t="s">
        <v>245</v>
      </c>
      <c r="EI98" t="s">
        <v>236</v>
      </c>
      <c r="EK98" t="s">
        <v>226</v>
      </c>
      <c r="EL98" t="s">
        <v>244</v>
      </c>
      <c r="EM98" t="s">
        <v>226</v>
      </c>
      <c r="EN98" t="s">
        <v>245</v>
      </c>
      <c r="EO98" t="s">
        <v>236</v>
      </c>
      <c r="EQ98" t="s">
        <v>236</v>
      </c>
      <c r="ES98" t="s">
        <v>236</v>
      </c>
      <c r="EU98" t="s">
        <v>236</v>
      </c>
      <c r="EW98" t="s">
        <v>236</v>
      </c>
      <c r="EY98" t="s">
        <v>236</v>
      </c>
      <c r="FA98" t="s">
        <v>236</v>
      </c>
      <c r="FC98" t="s">
        <v>236</v>
      </c>
      <c r="FE98" t="s">
        <v>226</v>
      </c>
      <c r="FF98" t="s">
        <v>244</v>
      </c>
      <c r="FG98" t="s">
        <v>236</v>
      </c>
      <c r="FJ98" t="s">
        <v>226</v>
      </c>
      <c r="FK98" t="s">
        <v>245</v>
      </c>
      <c r="FL98" t="s">
        <v>236</v>
      </c>
      <c r="FM98" t="s">
        <v>236</v>
      </c>
      <c r="FW98" t="s">
        <v>236</v>
      </c>
      <c r="FZ98" t="s">
        <v>236</v>
      </c>
      <c r="GC98" t="s">
        <v>236</v>
      </c>
      <c r="GF98" t="s">
        <v>226</v>
      </c>
      <c r="GG98" t="s">
        <v>236</v>
      </c>
      <c r="GI98" t="s">
        <v>236</v>
      </c>
      <c r="GL98" t="s">
        <v>236</v>
      </c>
      <c r="GO98" t="s">
        <v>226</v>
      </c>
      <c r="GP98" t="s">
        <v>226</v>
      </c>
      <c r="GQ98" t="s">
        <v>267</v>
      </c>
      <c r="GR98" t="s">
        <v>226</v>
      </c>
      <c r="GS98" t="s">
        <v>236</v>
      </c>
      <c r="GU98" t="s">
        <v>236</v>
      </c>
      <c r="GX98" t="s">
        <v>236</v>
      </c>
      <c r="HB98" t="s">
        <v>789</v>
      </c>
      <c r="HC98" t="s">
        <v>537</v>
      </c>
      <c r="HE98">
        <v>82778188</v>
      </c>
      <c r="HF98" t="s">
        <v>950</v>
      </c>
      <c r="HG98" s="2">
        <v>45750.72483796296</v>
      </c>
      <c r="HJ98" t="s">
        <v>248</v>
      </c>
      <c r="HL98" t="s">
        <v>249</v>
      </c>
      <c r="HN98">
        <v>96</v>
      </c>
    </row>
    <row r="99" spans="1:222" x14ac:dyDescent="0.25">
      <c r="A99" s="2">
        <v>45750.524612881942</v>
      </c>
      <c r="B99" s="2">
        <v>45750.592608437502</v>
      </c>
      <c r="C99" t="s">
        <v>334</v>
      </c>
      <c r="D99">
        <v>239</v>
      </c>
      <c r="E99" s="2">
        <v>45730</v>
      </c>
      <c r="F99">
        <v>3</v>
      </c>
      <c r="G99" t="s">
        <v>507</v>
      </c>
      <c r="H99" t="s">
        <v>375</v>
      </c>
      <c r="I99">
        <v>43</v>
      </c>
      <c r="J99" t="str">
        <f t="shared" si="1"/>
        <v>de 41 a 55 años</v>
      </c>
      <c r="K99" t="s">
        <v>224</v>
      </c>
      <c r="L99">
        <v>1</v>
      </c>
      <c r="M99">
        <v>0</v>
      </c>
      <c r="N99">
        <v>0</v>
      </c>
      <c r="O99">
        <v>0</v>
      </c>
      <c r="P99">
        <v>0</v>
      </c>
      <c r="Q99" t="s">
        <v>291</v>
      </c>
      <c r="R99" t="s">
        <v>226</v>
      </c>
      <c r="T99" t="s">
        <v>284</v>
      </c>
      <c r="V99" t="s">
        <v>612</v>
      </c>
      <c r="W99" t="s">
        <v>229</v>
      </c>
      <c r="X99" t="s">
        <v>350</v>
      </c>
      <c r="Z99" t="s">
        <v>231</v>
      </c>
      <c r="AA99" t="s">
        <v>255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0</v>
      </c>
      <c r="AI99" t="s">
        <v>233</v>
      </c>
      <c r="AJ99">
        <v>0</v>
      </c>
      <c r="AK99">
        <v>1</v>
      </c>
      <c r="AL99">
        <v>0</v>
      </c>
      <c r="AM99">
        <v>0</v>
      </c>
      <c r="AN99" t="s">
        <v>300</v>
      </c>
      <c r="AO99" t="s">
        <v>294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X99" t="s">
        <v>226</v>
      </c>
      <c r="AY99" t="s">
        <v>226</v>
      </c>
      <c r="AZ99" t="s">
        <v>237</v>
      </c>
      <c r="BA99" t="s">
        <v>938</v>
      </c>
      <c r="BB99" t="s">
        <v>1351</v>
      </c>
      <c r="BE99" t="s">
        <v>239</v>
      </c>
      <c r="BF99" t="s">
        <v>259</v>
      </c>
      <c r="BG99" t="s">
        <v>237</v>
      </c>
      <c r="BH99" t="s">
        <v>237</v>
      </c>
      <c r="BI99" t="s">
        <v>237</v>
      </c>
      <c r="BJ99" t="s">
        <v>237</v>
      </c>
      <c r="BK99" t="s">
        <v>239</v>
      </c>
      <c r="BL99" t="s">
        <v>262</v>
      </c>
      <c r="BM99" t="s">
        <v>278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 t="s">
        <v>264</v>
      </c>
      <c r="CB99" t="s">
        <v>264</v>
      </c>
      <c r="CC99" t="s">
        <v>264</v>
      </c>
      <c r="CD99" t="s">
        <v>236</v>
      </c>
      <c r="CE99" t="s">
        <v>236</v>
      </c>
      <c r="EA99" t="s">
        <v>236</v>
      </c>
      <c r="EC99" t="s">
        <v>236</v>
      </c>
      <c r="EE99" t="s">
        <v>226</v>
      </c>
      <c r="EF99" t="s">
        <v>245</v>
      </c>
      <c r="EG99" t="s">
        <v>236</v>
      </c>
      <c r="EI99" t="s">
        <v>236</v>
      </c>
      <c r="EK99" t="s">
        <v>236</v>
      </c>
      <c r="EM99" t="s">
        <v>236</v>
      </c>
      <c r="EO99" t="s">
        <v>236</v>
      </c>
      <c r="EQ99" t="s">
        <v>236</v>
      </c>
      <c r="ES99" t="s">
        <v>236</v>
      </c>
      <c r="EU99" t="s">
        <v>236</v>
      </c>
      <c r="EW99" t="s">
        <v>236</v>
      </c>
      <c r="EY99" t="s">
        <v>236</v>
      </c>
      <c r="FA99" t="s">
        <v>226</v>
      </c>
      <c r="FB99" t="s">
        <v>244</v>
      </c>
      <c r="FC99" t="s">
        <v>236</v>
      </c>
      <c r="FE99" t="s">
        <v>226</v>
      </c>
      <c r="FF99" t="s">
        <v>265</v>
      </c>
      <c r="FG99" t="s">
        <v>236</v>
      </c>
      <c r="FJ99" t="s">
        <v>226</v>
      </c>
      <c r="FK99" t="s">
        <v>245</v>
      </c>
      <c r="FL99" t="s">
        <v>226</v>
      </c>
      <c r="FM99" t="s">
        <v>236</v>
      </c>
      <c r="FW99" t="s">
        <v>236</v>
      </c>
      <c r="FZ99" t="s">
        <v>226</v>
      </c>
      <c r="GA99" t="s">
        <v>236</v>
      </c>
      <c r="GC99" t="s">
        <v>236</v>
      </c>
      <c r="GF99" t="s">
        <v>226</v>
      </c>
      <c r="GG99" t="s">
        <v>236</v>
      </c>
      <c r="GI99" t="s">
        <v>236</v>
      </c>
      <c r="GL99" t="s">
        <v>226</v>
      </c>
      <c r="GM99" t="s">
        <v>236</v>
      </c>
      <c r="GO99" t="s">
        <v>226</v>
      </c>
      <c r="GP99" t="s">
        <v>236</v>
      </c>
      <c r="GR99" t="s">
        <v>226</v>
      </c>
      <c r="GS99" t="s">
        <v>236</v>
      </c>
      <c r="GU99" t="s">
        <v>236</v>
      </c>
      <c r="GX99" t="s">
        <v>236</v>
      </c>
      <c r="HB99" t="s">
        <v>338</v>
      </c>
      <c r="HC99" t="s">
        <v>339</v>
      </c>
      <c r="HE99">
        <v>82788910</v>
      </c>
      <c r="HF99" t="s">
        <v>1352</v>
      </c>
      <c r="HG99" s="2">
        <v>45750.800856481481</v>
      </c>
      <c r="HJ99" t="s">
        <v>248</v>
      </c>
      <c r="HL99" t="s">
        <v>249</v>
      </c>
      <c r="HN99">
        <v>98</v>
      </c>
    </row>
    <row r="100" spans="1:222" x14ac:dyDescent="0.25">
      <c r="A100" s="2">
        <v>45750.59260895833</v>
      </c>
      <c r="B100" s="2">
        <v>45750.597415821758</v>
      </c>
      <c r="C100" t="s">
        <v>334</v>
      </c>
      <c r="D100">
        <v>238</v>
      </c>
      <c r="E100" s="2">
        <v>45731</v>
      </c>
      <c r="F100">
        <v>1</v>
      </c>
      <c r="G100" t="s">
        <v>374</v>
      </c>
      <c r="H100" t="s">
        <v>375</v>
      </c>
      <c r="I100">
        <v>76</v>
      </c>
      <c r="J100" t="str">
        <f t="shared" si="1"/>
        <v>de 56 a más</v>
      </c>
      <c r="K100" t="s">
        <v>224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291</v>
      </c>
      <c r="R100" t="s">
        <v>226</v>
      </c>
      <c r="T100" t="s">
        <v>227</v>
      </c>
      <c r="V100" t="s">
        <v>612</v>
      </c>
      <c r="W100" t="s">
        <v>229</v>
      </c>
      <c r="X100" t="s">
        <v>299</v>
      </c>
      <c r="Z100" t="s">
        <v>254</v>
      </c>
      <c r="AA100" t="s">
        <v>232</v>
      </c>
      <c r="AB100">
        <v>1</v>
      </c>
      <c r="AC100">
        <v>0</v>
      </c>
      <c r="AD100">
        <v>0</v>
      </c>
      <c r="AE100">
        <v>0</v>
      </c>
      <c r="AF100">
        <v>0</v>
      </c>
      <c r="AG100">
        <v>0</v>
      </c>
      <c r="AI100" t="s">
        <v>233</v>
      </c>
      <c r="AJ100">
        <v>0</v>
      </c>
      <c r="AK100">
        <v>1</v>
      </c>
      <c r="AL100">
        <v>0</v>
      </c>
      <c r="AM100">
        <v>0</v>
      </c>
      <c r="AN100" t="s">
        <v>300</v>
      </c>
      <c r="AO100" t="s">
        <v>382</v>
      </c>
      <c r="AP100">
        <v>0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0</v>
      </c>
      <c r="AX100" t="s">
        <v>226</v>
      </c>
      <c r="AY100" t="s">
        <v>226</v>
      </c>
      <c r="AZ100" t="s">
        <v>237</v>
      </c>
      <c r="BA100" t="s">
        <v>1346</v>
      </c>
      <c r="BE100" t="s">
        <v>259</v>
      </c>
      <c r="BF100" t="s">
        <v>237</v>
      </c>
      <c r="BG100" t="s">
        <v>259</v>
      </c>
      <c r="BH100" t="s">
        <v>239</v>
      </c>
      <c r="BI100" t="s">
        <v>239</v>
      </c>
      <c r="BJ100" t="s">
        <v>239</v>
      </c>
      <c r="BK100" t="s">
        <v>239</v>
      </c>
      <c r="BL100" t="s">
        <v>313</v>
      </c>
      <c r="BM100" t="s">
        <v>1347</v>
      </c>
      <c r="BN100">
        <v>0</v>
      </c>
      <c r="BO100">
        <v>1</v>
      </c>
      <c r="BP100">
        <v>1</v>
      </c>
      <c r="BQ100">
        <v>1</v>
      </c>
      <c r="BR100">
        <v>1</v>
      </c>
      <c r="BS100">
        <v>0</v>
      </c>
      <c r="BT100">
        <v>0</v>
      </c>
      <c r="BU100">
        <v>1</v>
      </c>
      <c r="BV100">
        <v>1</v>
      </c>
      <c r="BW100">
        <v>1</v>
      </c>
      <c r="BX100">
        <v>0</v>
      </c>
      <c r="BY100">
        <v>1</v>
      </c>
      <c r="BZ100">
        <v>0</v>
      </c>
      <c r="CA100" t="s">
        <v>328</v>
      </c>
      <c r="CB100" t="s">
        <v>264</v>
      </c>
      <c r="CC100" t="s">
        <v>328</v>
      </c>
      <c r="CD100" t="s">
        <v>236</v>
      </c>
      <c r="CE100" t="s">
        <v>236</v>
      </c>
      <c r="EA100" t="s">
        <v>226</v>
      </c>
      <c r="EB100" t="s">
        <v>244</v>
      </c>
      <c r="EC100" t="s">
        <v>236</v>
      </c>
      <c r="EE100" t="s">
        <v>236</v>
      </c>
      <c r="EG100" t="s">
        <v>226</v>
      </c>
      <c r="EH100" t="s">
        <v>244</v>
      </c>
      <c r="EI100" t="s">
        <v>236</v>
      </c>
      <c r="EK100" t="s">
        <v>236</v>
      </c>
      <c r="EM100" t="s">
        <v>226</v>
      </c>
      <c r="EN100" t="s">
        <v>245</v>
      </c>
      <c r="EO100" t="s">
        <v>236</v>
      </c>
      <c r="EQ100" t="s">
        <v>236</v>
      </c>
      <c r="ES100" t="s">
        <v>236</v>
      </c>
      <c r="EU100" t="s">
        <v>236</v>
      </c>
      <c r="EW100" t="s">
        <v>236</v>
      </c>
      <c r="EY100" t="s">
        <v>236</v>
      </c>
      <c r="FA100" t="s">
        <v>226</v>
      </c>
      <c r="FB100" t="s">
        <v>245</v>
      </c>
      <c r="FC100" t="s">
        <v>236</v>
      </c>
      <c r="FE100" t="s">
        <v>226</v>
      </c>
      <c r="FF100" t="s">
        <v>244</v>
      </c>
      <c r="FG100" t="s">
        <v>236</v>
      </c>
      <c r="FJ100" t="s">
        <v>226</v>
      </c>
      <c r="FK100" t="s">
        <v>244</v>
      </c>
      <c r="FL100" t="s">
        <v>236</v>
      </c>
      <c r="FM100" t="s">
        <v>236</v>
      </c>
      <c r="FW100" t="s">
        <v>226</v>
      </c>
      <c r="FX100" t="s">
        <v>236</v>
      </c>
      <c r="FZ100" t="s">
        <v>236</v>
      </c>
      <c r="GC100" t="s">
        <v>236</v>
      </c>
      <c r="GF100" t="s">
        <v>226</v>
      </c>
      <c r="GG100" t="s">
        <v>226</v>
      </c>
      <c r="GH100" t="s">
        <v>266</v>
      </c>
      <c r="GI100" t="s">
        <v>236</v>
      </c>
      <c r="GL100" t="s">
        <v>226</v>
      </c>
      <c r="GM100" t="s">
        <v>226</v>
      </c>
      <c r="GN100" t="s">
        <v>267</v>
      </c>
      <c r="GO100" t="s">
        <v>226</v>
      </c>
      <c r="GP100" t="s">
        <v>226</v>
      </c>
      <c r="GQ100" t="s">
        <v>267</v>
      </c>
      <c r="GR100" t="s">
        <v>226</v>
      </c>
      <c r="GS100" t="s">
        <v>236</v>
      </c>
      <c r="GU100" t="s">
        <v>226</v>
      </c>
      <c r="GV100" t="s">
        <v>236</v>
      </c>
      <c r="GX100" t="s">
        <v>236</v>
      </c>
      <c r="HB100" t="s">
        <v>1348</v>
      </c>
      <c r="HC100" t="s">
        <v>1349</v>
      </c>
      <c r="HE100">
        <v>82789357</v>
      </c>
      <c r="HF100" t="s">
        <v>1350</v>
      </c>
      <c r="HG100" s="2">
        <v>45750.805671296293</v>
      </c>
      <c r="HJ100" t="s">
        <v>248</v>
      </c>
      <c r="HL100" t="s">
        <v>249</v>
      </c>
      <c r="HN100">
        <v>99</v>
      </c>
    </row>
    <row r="101" spans="1:222" x14ac:dyDescent="0.25">
      <c r="A101" s="2">
        <v>45750.597416435186</v>
      </c>
      <c r="B101" s="2">
        <v>45750.603529780092</v>
      </c>
      <c r="C101" t="s">
        <v>334</v>
      </c>
      <c r="D101">
        <v>237</v>
      </c>
      <c r="E101" s="2">
        <v>45730</v>
      </c>
      <c r="F101">
        <v>1</v>
      </c>
      <c r="G101" t="s">
        <v>374</v>
      </c>
      <c r="H101" t="s">
        <v>335</v>
      </c>
      <c r="I101">
        <v>61</v>
      </c>
      <c r="J101" t="str">
        <f t="shared" si="1"/>
        <v>de 56 a más</v>
      </c>
      <c r="K101" t="s">
        <v>224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225</v>
      </c>
      <c r="R101" t="s">
        <v>226</v>
      </c>
      <c r="T101" t="s">
        <v>227</v>
      </c>
      <c r="V101" t="s">
        <v>228</v>
      </c>
      <c r="W101" t="s">
        <v>229</v>
      </c>
      <c r="X101" t="s">
        <v>350</v>
      </c>
      <c r="Z101" t="s">
        <v>351</v>
      </c>
      <c r="AA101" t="s">
        <v>352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I101" t="s">
        <v>311</v>
      </c>
      <c r="AJ101">
        <v>0</v>
      </c>
      <c r="AK101">
        <v>1</v>
      </c>
      <c r="AL101">
        <v>1</v>
      </c>
      <c r="AM101">
        <v>0</v>
      </c>
      <c r="AN101" t="s">
        <v>300</v>
      </c>
      <c r="AO101" t="s">
        <v>1341</v>
      </c>
      <c r="AP101">
        <v>0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1</v>
      </c>
      <c r="AW101" t="s">
        <v>1260</v>
      </c>
      <c r="AX101" t="s">
        <v>226</v>
      </c>
      <c r="AY101" t="s">
        <v>236</v>
      </c>
      <c r="AZ101" t="s">
        <v>237</v>
      </c>
      <c r="BA101" t="s">
        <v>1342</v>
      </c>
      <c r="BE101" t="s">
        <v>259</v>
      </c>
      <c r="BF101" t="s">
        <v>259</v>
      </c>
      <c r="BG101" t="s">
        <v>259</v>
      </c>
      <c r="BH101" t="s">
        <v>239</v>
      </c>
      <c r="BI101" t="s">
        <v>239</v>
      </c>
      <c r="BJ101" t="s">
        <v>237</v>
      </c>
      <c r="BK101" t="s">
        <v>261</v>
      </c>
      <c r="BL101" t="s">
        <v>240</v>
      </c>
      <c r="BM101" t="s">
        <v>1343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0</v>
      </c>
      <c r="BT101">
        <v>0</v>
      </c>
      <c r="BU101">
        <v>1</v>
      </c>
      <c r="BV101">
        <v>1</v>
      </c>
      <c r="BW101">
        <v>0</v>
      </c>
      <c r="BX101">
        <v>0</v>
      </c>
      <c r="BY101">
        <v>1</v>
      </c>
      <c r="BZ101">
        <v>0</v>
      </c>
      <c r="CA101" t="s">
        <v>264</v>
      </c>
      <c r="CB101" t="s">
        <v>328</v>
      </c>
      <c r="CC101" t="s">
        <v>328</v>
      </c>
      <c r="CD101" t="s">
        <v>236</v>
      </c>
      <c r="CE101" t="s">
        <v>236</v>
      </c>
      <c r="EA101" t="s">
        <v>236</v>
      </c>
      <c r="EC101" t="s">
        <v>236</v>
      </c>
      <c r="EE101" t="s">
        <v>226</v>
      </c>
      <c r="EF101" t="s">
        <v>245</v>
      </c>
      <c r="EG101" t="s">
        <v>226</v>
      </c>
      <c r="EH101" t="s">
        <v>244</v>
      </c>
      <c r="EI101" t="s">
        <v>226</v>
      </c>
      <c r="EJ101" t="s">
        <v>245</v>
      </c>
      <c r="EK101" t="s">
        <v>236</v>
      </c>
      <c r="EM101" t="s">
        <v>236</v>
      </c>
      <c r="EO101" t="s">
        <v>236</v>
      </c>
      <c r="EQ101" t="s">
        <v>236</v>
      </c>
      <c r="ES101" t="s">
        <v>236</v>
      </c>
      <c r="EU101" t="s">
        <v>236</v>
      </c>
      <c r="EW101" t="s">
        <v>236</v>
      </c>
      <c r="EY101" t="s">
        <v>236</v>
      </c>
      <c r="FA101" t="s">
        <v>226</v>
      </c>
      <c r="FB101" t="s">
        <v>244</v>
      </c>
      <c r="FC101" t="s">
        <v>236</v>
      </c>
      <c r="FE101" t="s">
        <v>226</v>
      </c>
      <c r="FF101" t="s">
        <v>244</v>
      </c>
      <c r="FG101" t="s">
        <v>236</v>
      </c>
      <c r="FJ101" t="s">
        <v>226</v>
      </c>
      <c r="FK101" t="s">
        <v>244</v>
      </c>
      <c r="FL101" t="s">
        <v>236</v>
      </c>
      <c r="FM101" t="s">
        <v>236</v>
      </c>
      <c r="FW101" t="s">
        <v>236</v>
      </c>
      <c r="FZ101" t="s">
        <v>236</v>
      </c>
      <c r="GC101" t="s">
        <v>236</v>
      </c>
      <c r="GF101" t="s">
        <v>226</v>
      </c>
      <c r="GG101" t="s">
        <v>226</v>
      </c>
      <c r="GH101" t="s">
        <v>266</v>
      </c>
      <c r="GI101" t="s">
        <v>236</v>
      </c>
      <c r="GL101" t="s">
        <v>226</v>
      </c>
      <c r="GM101" t="s">
        <v>226</v>
      </c>
      <c r="GN101" t="s">
        <v>266</v>
      </c>
      <c r="GO101" t="s">
        <v>226</v>
      </c>
      <c r="GP101" t="s">
        <v>226</v>
      </c>
      <c r="GQ101" t="s">
        <v>267</v>
      </c>
      <c r="GR101" t="s">
        <v>226</v>
      </c>
      <c r="GS101" t="s">
        <v>236</v>
      </c>
      <c r="GU101" t="s">
        <v>236</v>
      </c>
      <c r="GX101" t="s">
        <v>236</v>
      </c>
      <c r="HB101" t="s">
        <v>318</v>
      </c>
      <c r="HC101" t="s">
        <v>1344</v>
      </c>
      <c r="HE101">
        <v>82789811</v>
      </c>
      <c r="HF101" t="s">
        <v>1345</v>
      </c>
      <c r="HG101" s="2">
        <v>45750.811782407407</v>
      </c>
      <c r="HJ101" t="s">
        <v>248</v>
      </c>
      <c r="HL101" t="s">
        <v>249</v>
      </c>
      <c r="HN101">
        <v>100</v>
      </c>
    </row>
    <row r="102" spans="1:222" x14ac:dyDescent="0.25">
      <c r="A102" s="2">
        <v>45750.60353025463</v>
      </c>
      <c r="B102" s="2">
        <v>45750.607512870367</v>
      </c>
      <c r="C102" t="s">
        <v>334</v>
      </c>
      <c r="D102">
        <v>236</v>
      </c>
      <c r="E102" s="2">
        <v>45730</v>
      </c>
      <c r="F102">
        <v>1</v>
      </c>
      <c r="G102" t="s">
        <v>507</v>
      </c>
      <c r="H102" t="s">
        <v>375</v>
      </c>
      <c r="I102">
        <v>81</v>
      </c>
      <c r="J102" t="str">
        <f t="shared" si="1"/>
        <v>de 56 a más</v>
      </c>
      <c r="K102" t="s">
        <v>251</v>
      </c>
      <c r="L102">
        <v>2</v>
      </c>
      <c r="M102">
        <v>0</v>
      </c>
      <c r="N102">
        <v>0</v>
      </c>
      <c r="O102">
        <v>0</v>
      </c>
      <c r="P102">
        <v>0</v>
      </c>
      <c r="Q102" t="s">
        <v>291</v>
      </c>
      <c r="R102" t="s">
        <v>226</v>
      </c>
      <c r="T102" t="s">
        <v>227</v>
      </c>
      <c r="V102" t="s">
        <v>612</v>
      </c>
      <c r="W102" t="s">
        <v>229</v>
      </c>
      <c r="X102" t="s">
        <v>230</v>
      </c>
      <c r="Z102" t="s">
        <v>231</v>
      </c>
      <c r="AA102" t="s">
        <v>232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0</v>
      </c>
      <c r="AI102" t="s">
        <v>256</v>
      </c>
      <c r="AJ102">
        <v>0</v>
      </c>
      <c r="AK102">
        <v>0</v>
      </c>
      <c r="AL102">
        <v>1</v>
      </c>
      <c r="AM102">
        <v>0</v>
      </c>
      <c r="AN102" t="s">
        <v>234</v>
      </c>
      <c r="AO102" t="s">
        <v>294</v>
      </c>
      <c r="AP102">
        <v>1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X102" t="s">
        <v>226</v>
      </c>
      <c r="AY102" t="s">
        <v>236</v>
      </c>
      <c r="AZ102" t="s">
        <v>237</v>
      </c>
      <c r="BA102" t="s">
        <v>825</v>
      </c>
      <c r="BE102" t="s">
        <v>237</v>
      </c>
      <c r="BF102" t="s">
        <v>237</v>
      </c>
      <c r="BG102" t="s">
        <v>259</v>
      </c>
      <c r="BH102" t="s">
        <v>259</v>
      </c>
      <c r="BI102" t="s">
        <v>237</v>
      </c>
      <c r="BJ102" t="s">
        <v>237</v>
      </c>
      <c r="BK102" t="s">
        <v>259</v>
      </c>
      <c r="BL102" t="s">
        <v>240</v>
      </c>
      <c r="BM102" t="s">
        <v>451</v>
      </c>
      <c r="BN102">
        <v>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 t="s">
        <v>264</v>
      </c>
      <c r="CB102" t="s">
        <v>264</v>
      </c>
      <c r="CC102" t="s">
        <v>328</v>
      </c>
      <c r="CD102" t="s">
        <v>236</v>
      </c>
      <c r="CE102" t="s">
        <v>236</v>
      </c>
      <c r="EA102" t="s">
        <v>236</v>
      </c>
      <c r="EC102" t="s">
        <v>226</v>
      </c>
      <c r="ED102" t="s">
        <v>244</v>
      </c>
      <c r="EE102" t="s">
        <v>226</v>
      </c>
      <c r="EF102" t="s">
        <v>245</v>
      </c>
      <c r="EG102" t="s">
        <v>226</v>
      </c>
      <c r="EH102" t="s">
        <v>245</v>
      </c>
      <c r="EI102" t="s">
        <v>236</v>
      </c>
      <c r="EK102" t="s">
        <v>236</v>
      </c>
      <c r="EM102" t="s">
        <v>226</v>
      </c>
      <c r="EN102" t="s">
        <v>244</v>
      </c>
      <c r="EO102" t="s">
        <v>236</v>
      </c>
      <c r="EQ102" t="s">
        <v>236</v>
      </c>
      <c r="ES102" t="s">
        <v>226</v>
      </c>
      <c r="ET102" t="s">
        <v>244</v>
      </c>
      <c r="EU102" t="s">
        <v>236</v>
      </c>
      <c r="EW102" t="s">
        <v>226</v>
      </c>
      <c r="EX102" t="s">
        <v>244</v>
      </c>
      <c r="EY102" t="s">
        <v>236</v>
      </c>
      <c r="FA102" t="s">
        <v>236</v>
      </c>
      <c r="FC102" t="s">
        <v>236</v>
      </c>
      <c r="FE102" t="s">
        <v>226</v>
      </c>
      <c r="FF102" t="s">
        <v>244</v>
      </c>
      <c r="FG102" t="s">
        <v>236</v>
      </c>
      <c r="FJ102" t="s">
        <v>236</v>
      </c>
      <c r="FM102" t="s">
        <v>236</v>
      </c>
      <c r="FW102" t="s">
        <v>236</v>
      </c>
      <c r="FZ102" t="s">
        <v>236</v>
      </c>
      <c r="GC102" t="s">
        <v>236</v>
      </c>
      <c r="GF102" t="s">
        <v>226</v>
      </c>
      <c r="GG102" t="s">
        <v>226</v>
      </c>
      <c r="GH102" t="s">
        <v>267</v>
      </c>
      <c r="GI102" t="s">
        <v>236</v>
      </c>
      <c r="GL102" t="s">
        <v>236</v>
      </c>
      <c r="GO102" t="s">
        <v>226</v>
      </c>
      <c r="GP102" t="s">
        <v>236</v>
      </c>
      <c r="GR102" t="s">
        <v>236</v>
      </c>
      <c r="GU102" t="s">
        <v>236</v>
      </c>
      <c r="GX102" t="s">
        <v>236</v>
      </c>
      <c r="HB102" t="s">
        <v>537</v>
      </c>
      <c r="HC102" t="s">
        <v>789</v>
      </c>
      <c r="HE102">
        <v>82789980</v>
      </c>
      <c r="HF102" t="s">
        <v>1340</v>
      </c>
      <c r="HG102" s="2">
        <v>45750.815752314818</v>
      </c>
      <c r="HJ102" t="s">
        <v>248</v>
      </c>
      <c r="HL102" t="s">
        <v>249</v>
      </c>
      <c r="HN102">
        <v>101</v>
      </c>
    </row>
    <row r="103" spans="1:222" x14ac:dyDescent="0.25">
      <c r="A103" s="2">
        <v>45750.607513460651</v>
      </c>
      <c r="B103" s="2">
        <v>45750.615150636571</v>
      </c>
      <c r="C103" t="s">
        <v>334</v>
      </c>
      <c r="D103">
        <v>235</v>
      </c>
      <c r="E103" s="2">
        <v>45730</v>
      </c>
      <c r="F103">
        <v>1</v>
      </c>
      <c r="G103" t="s">
        <v>1268</v>
      </c>
      <c r="H103" t="s">
        <v>375</v>
      </c>
      <c r="I103">
        <v>36</v>
      </c>
      <c r="J103" t="str">
        <f t="shared" si="1"/>
        <v>de 26 a 40 años</v>
      </c>
      <c r="K103" t="s">
        <v>224</v>
      </c>
      <c r="L103">
        <v>3</v>
      </c>
      <c r="M103">
        <v>0</v>
      </c>
      <c r="N103">
        <v>0</v>
      </c>
      <c r="O103">
        <v>0</v>
      </c>
      <c r="P103">
        <v>0</v>
      </c>
      <c r="Q103" t="s">
        <v>291</v>
      </c>
      <c r="R103" t="s">
        <v>226</v>
      </c>
      <c r="T103" t="s">
        <v>227</v>
      </c>
      <c r="V103" t="s">
        <v>228</v>
      </c>
      <c r="W103" t="s">
        <v>229</v>
      </c>
      <c r="X103" t="s">
        <v>230</v>
      </c>
      <c r="Z103" t="s">
        <v>351</v>
      </c>
      <c r="AA103" t="s">
        <v>255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I103" t="s">
        <v>233</v>
      </c>
      <c r="AJ103">
        <v>0</v>
      </c>
      <c r="AK103">
        <v>1</v>
      </c>
      <c r="AL103">
        <v>0</v>
      </c>
      <c r="AM103">
        <v>0</v>
      </c>
      <c r="AN103" t="s">
        <v>234</v>
      </c>
      <c r="AO103" t="s">
        <v>1099</v>
      </c>
      <c r="AP103">
        <v>0</v>
      </c>
      <c r="AQ103">
        <v>1</v>
      </c>
      <c r="AR103">
        <v>1</v>
      </c>
      <c r="AS103">
        <v>0</v>
      </c>
      <c r="AT103">
        <v>0</v>
      </c>
      <c r="AU103">
        <v>0</v>
      </c>
      <c r="AV103">
        <v>0</v>
      </c>
      <c r="AX103" t="s">
        <v>226</v>
      </c>
      <c r="AY103" t="s">
        <v>226</v>
      </c>
      <c r="AZ103" t="s">
        <v>237</v>
      </c>
      <c r="BA103" t="s">
        <v>1336</v>
      </c>
      <c r="BE103" t="s">
        <v>259</v>
      </c>
      <c r="BF103" t="s">
        <v>259</v>
      </c>
      <c r="BG103" t="s">
        <v>259</v>
      </c>
      <c r="BH103" t="s">
        <v>237</v>
      </c>
      <c r="BI103" t="s">
        <v>237</v>
      </c>
      <c r="BJ103" t="s">
        <v>237</v>
      </c>
      <c r="BK103" t="s">
        <v>259</v>
      </c>
      <c r="BL103" t="s">
        <v>262</v>
      </c>
      <c r="BM103" t="s">
        <v>296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 t="s">
        <v>242</v>
      </c>
      <c r="CB103" t="s">
        <v>242</v>
      </c>
      <c r="CC103" t="s">
        <v>264</v>
      </c>
      <c r="CD103" t="s">
        <v>236</v>
      </c>
      <c r="CE103" t="s">
        <v>236</v>
      </c>
      <c r="EA103" t="s">
        <v>226</v>
      </c>
      <c r="EB103" t="s">
        <v>245</v>
      </c>
      <c r="EC103" t="s">
        <v>226</v>
      </c>
      <c r="ED103" t="s">
        <v>245</v>
      </c>
      <c r="EE103" t="s">
        <v>236</v>
      </c>
      <c r="EG103" t="s">
        <v>236</v>
      </c>
      <c r="EI103" t="s">
        <v>236</v>
      </c>
      <c r="EK103" t="s">
        <v>226</v>
      </c>
      <c r="EL103" t="s">
        <v>244</v>
      </c>
      <c r="EM103" t="s">
        <v>236</v>
      </c>
      <c r="EO103" t="s">
        <v>236</v>
      </c>
      <c r="EQ103" t="s">
        <v>236</v>
      </c>
      <c r="ES103" t="s">
        <v>236</v>
      </c>
      <c r="EU103" t="s">
        <v>236</v>
      </c>
      <c r="EW103" t="s">
        <v>236</v>
      </c>
      <c r="EY103" t="s">
        <v>226</v>
      </c>
      <c r="EZ103" t="s">
        <v>245</v>
      </c>
      <c r="FA103" t="s">
        <v>236</v>
      </c>
      <c r="FC103" t="s">
        <v>236</v>
      </c>
      <c r="FE103" t="s">
        <v>226</v>
      </c>
      <c r="FF103" t="s">
        <v>265</v>
      </c>
      <c r="FG103" t="s">
        <v>236</v>
      </c>
      <c r="FJ103" t="s">
        <v>226</v>
      </c>
      <c r="FK103" t="s">
        <v>245</v>
      </c>
      <c r="FL103" t="s">
        <v>226</v>
      </c>
      <c r="FM103" t="s">
        <v>236</v>
      </c>
      <c r="FW103" t="s">
        <v>236</v>
      </c>
      <c r="FZ103" t="s">
        <v>236</v>
      </c>
      <c r="GC103" t="s">
        <v>236</v>
      </c>
      <c r="GF103" t="s">
        <v>236</v>
      </c>
      <c r="GI103" t="s">
        <v>236</v>
      </c>
      <c r="GL103" t="s">
        <v>236</v>
      </c>
      <c r="GO103" t="s">
        <v>236</v>
      </c>
      <c r="GR103" t="s">
        <v>236</v>
      </c>
      <c r="GU103" t="s">
        <v>236</v>
      </c>
      <c r="GX103" t="s">
        <v>236</v>
      </c>
      <c r="HB103" t="s">
        <v>1337</v>
      </c>
      <c r="HC103" t="s">
        <v>1338</v>
      </c>
      <c r="HE103">
        <v>82790541</v>
      </c>
      <c r="HF103" t="s">
        <v>1339</v>
      </c>
      <c r="HG103" s="2">
        <v>45750.82340277778</v>
      </c>
      <c r="HJ103" t="s">
        <v>248</v>
      </c>
      <c r="HL103" t="s">
        <v>249</v>
      </c>
      <c r="HN103">
        <v>102</v>
      </c>
    </row>
    <row r="104" spans="1:222" x14ac:dyDescent="0.25">
      <c r="A104" s="2">
        <v>45750.615151284721</v>
      </c>
      <c r="B104" s="2">
        <v>45750.61918454861</v>
      </c>
      <c r="C104" t="s">
        <v>334</v>
      </c>
      <c r="D104">
        <v>234</v>
      </c>
      <c r="E104" s="2">
        <v>45731</v>
      </c>
      <c r="F104">
        <v>3</v>
      </c>
      <c r="G104" t="s">
        <v>507</v>
      </c>
      <c r="H104" t="s">
        <v>375</v>
      </c>
      <c r="I104">
        <v>39</v>
      </c>
      <c r="J104" t="str">
        <f t="shared" si="1"/>
        <v>de 26 a 40 años</v>
      </c>
      <c r="K104" t="s">
        <v>251</v>
      </c>
      <c r="L104">
        <v>2</v>
      </c>
      <c r="M104">
        <v>0</v>
      </c>
      <c r="N104">
        <v>0</v>
      </c>
      <c r="O104">
        <v>0</v>
      </c>
      <c r="P104">
        <v>0</v>
      </c>
      <c r="Q104" t="s">
        <v>291</v>
      </c>
      <c r="R104" t="s">
        <v>226</v>
      </c>
      <c r="T104" t="s">
        <v>227</v>
      </c>
      <c r="V104" t="s">
        <v>228</v>
      </c>
      <c r="W104" t="s">
        <v>229</v>
      </c>
      <c r="X104" t="s">
        <v>350</v>
      </c>
      <c r="Z104" t="s">
        <v>231</v>
      </c>
      <c r="AA104" t="s">
        <v>352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I104" t="s">
        <v>256</v>
      </c>
      <c r="AJ104">
        <v>0</v>
      </c>
      <c r="AK104">
        <v>0</v>
      </c>
      <c r="AL104">
        <v>1</v>
      </c>
      <c r="AM104">
        <v>0</v>
      </c>
      <c r="AN104" t="s">
        <v>300</v>
      </c>
      <c r="AO104" t="s">
        <v>874</v>
      </c>
      <c r="AP104">
        <v>1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X104" t="s">
        <v>226</v>
      </c>
      <c r="AY104" t="s">
        <v>226</v>
      </c>
      <c r="AZ104" t="s">
        <v>259</v>
      </c>
      <c r="BA104" t="s">
        <v>1334</v>
      </c>
      <c r="BE104" t="s">
        <v>259</v>
      </c>
      <c r="BF104" t="s">
        <v>259</v>
      </c>
      <c r="BG104" t="s">
        <v>259</v>
      </c>
      <c r="BH104" t="s">
        <v>239</v>
      </c>
      <c r="BI104" t="s">
        <v>237</v>
      </c>
      <c r="BJ104" t="s">
        <v>239</v>
      </c>
      <c r="BK104" t="s">
        <v>239</v>
      </c>
      <c r="BL104" t="s">
        <v>313</v>
      </c>
      <c r="BM104" t="s">
        <v>278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 t="s">
        <v>264</v>
      </c>
      <c r="CB104" t="s">
        <v>264</v>
      </c>
      <c r="CC104" t="s">
        <v>264</v>
      </c>
      <c r="CD104" t="s">
        <v>236</v>
      </c>
      <c r="CE104" t="s">
        <v>236</v>
      </c>
      <c r="EA104" t="s">
        <v>236</v>
      </c>
      <c r="EC104" t="s">
        <v>236</v>
      </c>
      <c r="EE104" t="s">
        <v>226</v>
      </c>
      <c r="EF104" t="s">
        <v>244</v>
      </c>
      <c r="EG104" t="s">
        <v>236</v>
      </c>
      <c r="EI104" t="s">
        <v>236</v>
      </c>
      <c r="EK104" t="s">
        <v>236</v>
      </c>
      <c r="EM104" t="s">
        <v>226</v>
      </c>
      <c r="EN104" t="s">
        <v>244</v>
      </c>
      <c r="EO104" t="s">
        <v>226</v>
      </c>
      <c r="EP104" t="s">
        <v>244</v>
      </c>
      <c r="EQ104" t="s">
        <v>236</v>
      </c>
      <c r="ES104" t="s">
        <v>236</v>
      </c>
      <c r="EU104" t="s">
        <v>236</v>
      </c>
      <c r="EW104" t="s">
        <v>236</v>
      </c>
      <c r="EY104" t="s">
        <v>226</v>
      </c>
      <c r="EZ104" t="s">
        <v>244</v>
      </c>
      <c r="FA104" t="s">
        <v>226</v>
      </c>
      <c r="FB104" t="s">
        <v>244</v>
      </c>
      <c r="FC104" t="s">
        <v>236</v>
      </c>
      <c r="FE104" t="s">
        <v>226</v>
      </c>
      <c r="FF104" t="s">
        <v>244</v>
      </c>
      <c r="FG104" t="s">
        <v>236</v>
      </c>
      <c r="FJ104" t="s">
        <v>226</v>
      </c>
      <c r="FK104" t="s">
        <v>244</v>
      </c>
      <c r="FL104" t="s">
        <v>236</v>
      </c>
      <c r="FM104" t="s">
        <v>236</v>
      </c>
      <c r="FW104" t="s">
        <v>236</v>
      </c>
      <c r="FZ104" t="s">
        <v>236</v>
      </c>
      <c r="GC104" t="s">
        <v>236</v>
      </c>
      <c r="GF104" t="s">
        <v>226</v>
      </c>
      <c r="GG104" t="s">
        <v>236</v>
      </c>
      <c r="GI104" t="s">
        <v>236</v>
      </c>
      <c r="GL104" t="s">
        <v>236</v>
      </c>
      <c r="GO104" t="s">
        <v>226</v>
      </c>
      <c r="GP104" t="s">
        <v>236</v>
      </c>
      <c r="GR104" t="s">
        <v>226</v>
      </c>
      <c r="GS104" t="s">
        <v>226</v>
      </c>
      <c r="GT104" t="s">
        <v>267</v>
      </c>
      <c r="GU104" t="s">
        <v>236</v>
      </c>
      <c r="GX104" t="s">
        <v>236</v>
      </c>
      <c r="HB104" t="s">
        <v>510</v>
      </c>
      <c r="HC104" t="s">
        <v>318</v>
      </c>
      <c r="HE104">
        <v>82790766</v>
      </c>
      <c r="HF104" t="s">
        <v>1335</v>
      </c>
      <c r="HG104" s="2">
        <v>45750.82744212963</v>
      </c>
      <c r="HJ104" t="s">
        <v>248</v>
      </c>
      <c r="HL104" t="s">
        <v>249</v>
      </c>
      <c r="HN104">
        <v>103</v>
      </c>
    </row>
    <row r="105" spans="1:222" x14ac:dyDescent="0.25">
      <c r="A105" s="2">
        <v>45750.619185150463</v>
      </c>
      <c r="B105" s="2">
        <v>45750.622784050916</v>
      </c>
      <c r="C105" t="s">
        <v>334</v>
      </c>
      <c r="D105">
        <v>233</v>
      </c>
      <c r="E105" s="2">
        <v>45731</v>
      </c>
      <c r="F105">
        <v>1</v>
      </c>
      <c r="G105" t="s">
        <v>1268</v>
      </c>
      <c r="H105" t="s">
        <v>375</v>
      </c>
      <c r="I105">
        <v>49</v>
      </c>
      <c r="J105" t="str">
        <f t="shared" si="1"/>
        <v>de 41 a 55 años</v>
      </c>
      <c r="K105" t="s">
        <v>341</v>
      </c>
      <c r="L105">
        <v>1</v>
      </c>
      <c r="M105">
        <v>0</v>
      </c>
      <c r="N105">
        <v>0</v>
      </c>
      <c r="O105">
        <v>0</v>
      </c>
      <c r="P105">
        <v>0</v>
      </c>
      <c r="Q105" t="s">
        <v>225</v>
      </c>
      <c r="R105" t="s">
        <v>236</v>
      </c>
      <c r="S105" t="s">
        <v>771</v>
      </c>
      <c r="T105" t="s">
        <v>227</v>
      </c>
      <c r="V105" t="s">
        <v>252</v>
      </c>
      <c r="W105" t="s">
        <v>229</v>
      </c>
      <c r="X105" t="s">
        <v>230</v>
      </c>
      <c r="Z105" t="s">
        <v>254</v>
      </c>
      <c r="AA105" t="s">
        <v>376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I105" t="s">
        <v>233</v>
      </c>
      <c r="AJ105">
        <v>0</v>
      </c>
      <c r="AK105">
        <v>1</v>
      </c>
      <c r="AL105">
        <v>0</v>
      </c>
      <c r="AM105">
        <v>0</v>
      </c>
      <c r="AN105" t="s">
        <v>300</v>
      </c>
      <c r="AO105" t="s">
        <v>294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X105" t="s">
        <v>236</v>
      </c>
      <c r="AZ105" t="s">
        <v>237</v>
      </c>
      <c r="BA105" t="s">
        <v>1331</v>
      </c>
      <c r="BB105" t="s">
        <v>1332</v>
      </c>
      <c r="BE105" t="s">
        <v>237</v>
      </c>
      <c r="BF105" t="s">
        <v>237</v>
      </c>
      <c r="BG105" t="s">
        <v>259</v>
      </c>
      <c r="BH105" t="s">
        <v>259</v>
      </c>
      <c r="BI105" t="s">
        <v>237</v>
      </c>
      <c r="BJ105" t="s">
        <v>237</v>
      </c>
      <c r="BK105" t="s">
        <v>237</v>
      </c>
      <c r="BL105" t="s">
        <v>262</v>
      </c>
      <c r="BM105" t="s">
        <v>365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 t="s">
        <v>264</v>
      </c>
      <c r="CB105" t="s">
        <v>264</v>
      </c>
      <c r="CC105" t="s">
        <v>264</v>
      </c>
      <c r="CD105" t="s">
        <v>236</v>
      </c>
      <c r="CE105" t="s">
        <v>236</v>
      </c>
      <c r="EA105" t="s">
        <v>226</v>
      </c>
      <c r="EB105" t="s">
        <v>245</v>
      </c>
      <c r="EC105" t="s">
        <v>226</v>
      </c>
      <c r="ED105" t="s">
        <v>245</v>
      </c>
      <c r="EE105" t="s">
        <v>226</v>
      </c>
      <c r="EF105" t="s">
        <v>245</v>
      </c>
      <c r="EG105" t="s">
        <v>226</v>
      </c>
      <c r="EH105" t="s">
        <v>245</v>
      </c>
      <c r="EI105" t="s">
        <v>236</v>
      </c>
      <c r="EK105" t="s">
        <v>236</v>
      </c>
      <c r="EM105" t="s">
        <v>236</v>
      </c>
      <c r="EO105" t="s">
        <v>236</v>
      </c>
      <c r="EQ105" t="s">
        <v>226</v>
      </c>
      <c r="ER105" t="s">
        <v>244</v>
      </c>
      <c r="ES105" t="s">
        <v>226</v>
      </c>
      <c r="ET105" t="s">
        <v>244</v>
      </c>
      <c r="EU105" t="s">
        <v>226</v>
      </c>
      <c r="EV105" t="s">
        <v>244</v>
      </c>
      <c r="EW105" t="s">
        <v>236</v>
      </c>
      <c r="EY105" t="s">
        <v>236</v>
      </c>
      <c r="FA105" t="s">
        <v>236</v>
      </c>
      <c r="FC105" t="s">
        <v>236</v>
      </c>
      <c r="FE105" t="s">
        <v>226</v>
      </c>
      <c r="FF105" t="s">
        <v>245</v>
      </c>
      <c r="FG105" t="s">
        <v>236</v>
      </c>
      <c r="FJ105" t="s">
        <v>226</v>
      </c>
      <c r="FK105" t="s">
        <v>245</v>
      </c>
      <c r="FL105" t="s">
        <v>236</v>
      </c>
      <c r="FM105" t="s">
        <v>236</v>
      </c>
      <c r="FW105" t="s">
        <v>236</v>
      </c>
      <c r="FZ105" t="s">
        <v>236</v>
      </c>
      <c r="GC105" t="s">
        <v>236</v>
      </c>
      <c r="GF105" t="s">
        <v>226</v>
      </c>
      <c r="GG105" t="s">
        <v>236</v>
      </c>
      <c r="GI105" t="s">
        <v>236</v>
      </c>
      <c r="GL105" t="s">
        <v>236</v>
      </c>
      <c r="GO105" t="s">
        <v>236</v>
      </c>
      <c r="GR105" t="s">
        <v>226</v>
      </c>
      <c r="GS105" t="s">
        <v>236</v>
      </c>
      <c r="GU105" t="s">
        <v>236</v>
      </c>
      <c r="GX105" t="s">
        <v>236</v>
      </c>
      <c r="HB105" t="s">
        <v>510</v>
      </c>
      <c r="HC105" t="s">
        <v>288</v>
      </c>
      <c r="HE105">
        <v>82790982</v>
      </c>
      <c r="HF105" t="s">
        <v>1333</v>
      </c>
      <c r="HG105" s="2">
        <v>45750.831030092602</v>
      </c>
      <c r="HJ105" t="s">
        <v>248</v>
      </c>
      <c r="HL105" t="s">
        <v>249</v>
      </c>
      <c r="HN105">
        <v>104</v>
      </c>
    </row>
    <row r="106" spans="1:222" x14ac:dyDescent="0.25">
      <c r="A106" s="2">
        <v>45750.622784548606</v>
      </c>
      <c r="B106" s="2">
        <v>45750.626464768517</v>
      </c>
      <c r="C106" t="s">
        <v>334</v>
      </c>
      <c r="D106">
        <v>232</v>
      </c>
      <c r="E106" s="2">
        <v>45731</v>
      </c>
      <c r="F106">
        <v>1</v>
      </c>
      <c r="G106" t="s">
        <v>374</v>
      </c>
      <c r="H106" t="s">
        <v>375</v>
      </c>
      <c r="I106">
        <v>75</v>
      </c>
      <c r="J106" t="str">
        <f t="shared" si="1"/>
        <v>de 56 a más</v>
      </c>
      <c r="K106" t="s">
        <v>251</v>
      </c>
      <c r="L106">
        <v>0</v>
      </c>
      <c r="M106">
        <v>0</v>
      </c>
      <c r="N106">
        <v>0</v>
      </c>
      <c r="O106">
        <v>0</v>
      </c>
      <c r="P106">
        <v>1</v>
      </c>
      <c r="Q106" t="s">
        <v>225</v>
      </c>
      <c r="R106" t="s">
        <v>226</v>
      </c>
      <c r="T106" t="s">
        <v>227</v>
      </c>
      <c r="V106" t="s">
        <v>612</v>
      </c>
      <c r="W106" t="s">
        <v>229</v>
      </c>
      <c r="X106" t="s">
        <v>368</v>
      </c>
      <c r="Z106" t="s">
        <v>231</v>
      </c>
      <c r="AA106" t="s">
        <v>293</v>
      </c>
      <c r="AB106">
        <v>0</v>
      </c>
      <c r="AC106">
        <v>0</v>
      </c>
      <c r="AD106">
        <v>0</v>
      </c>
      <c r="AE106">
        <v>0</v>
      </c>
      <c r="AF106">
        <v>1</v>
      </c>
      <c r="AG106">
        <v>0</v>
      </c>
      <c r="AI106" t="s">
        <v>311</v>
      </c>
      <c r="AJ106">
        <v>0</v>
      </c>
      <c r="AK106">
        <v>1</v>
      </c>
      <c r="AL106">
        <v>1</v>
      </c>
      <c r="AM106">
        <v>0</v>
      </c>
      <c r="AN106" t="s">
        <v>274</v>
      </c>
      <c r="AO106" t="s">
        <v>929</v>
      </c>
      <c r="AP106">
        <v>0</v>
      </c>
      <c r="AQ106">
        <v>0</v>
      </c>
      <c r="AR106">
        <v>1</v>
      </c>
      <c r="AS106">
        <v>0</v>
      </c>
      <c r="AT106">
        <v>1</v>
      </c>
      <c r="AU106">
        <v>1</v>
      </c>
      <c r="AV106">
        <v>0</v>
      </c>
      <c r="AX106" t="s">
        <v>226</v>
      </c>
      <c r="AY106" t="s">
        <v>226</v>
      </c>
      <c r="AZ106" t="s">
        <v>237</v>
      </c>
      <c r="BA106" t="s">
        <v>1329</v>
      </c>
      <c r="BE106" t="s">
        <v>237</v>
      </c>
      <c r="BF106" t="s">
        <v>237</v>
      </c>
      <c r="BG106" t="s">
        <v>259</v>
      </c>
      <c r="BH106" t="s">
        <v>239</v>
      </c>
      <c r="BI106" t="s">
        <v>239</v>
      </c>
      <c r="BJ106" t="s">
        <v>259</v>
      </c>
      <c r="BK106" t="s">
        <v>239</v>
      </c>
      <c r="BL106" t="s">
        <v>262</v>
      </c>
      <c r="BM106" t="s">
        <v>365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 t="s">
        <v>264</v>
      </c>
      <c r="CB106" t="s">
        <v>328</v>
      </c>
      <c r="CC106" t="s">
        <v>328</v>
      </c>
      <c r="CD106" t="s">
        <v>236</v>
      </c>
      <c r="CE106" t="s">
        <v>236</v>
      </c>
      <c r="EA106" t="s">
        <v>236</v>
      </c>
      <c r="EC106" t="s">
        <v>236</v>
      </c>
      <c r="EE106" t="s">
        <v>226</v>
      </c>
      <c r="EF106" t="s">
        <v>244</v>
      </c>
      <c r="EG106" t="s">
        <v>226</v>
      </c>
      <c r="EH106" t="s">
        <v>244</v>
      </c>
      <c r="EI106" t="s">
        <v>236</v>
      </c>
      <c r="EK106" t="s">
        <v>226</v>
      </c>
      <c r="EL106" t="s">
        <v>244</v>
      </c>
      <c r="EM106" t="s">
        <v>226</v>
      </c>
      <c r="EN106" t="s">
        <v>244</v>
      </c>
      <c r="EO106" t="s">
        <v>236</v>
      </c>
      <c r="EQ106" t="s">
        <v>236</v>
      </c>
      <c r="ES106" t="s">
        <v>236</v>
      </c>
      <c r="EU106" t="s">
        <v>236</v>
      </c>
      <c r="EW106" t="s">
        <v>236</v>
      </c>
      <c r="EY106" t="s">
        <v>236</v>
      </c>
      <c r="FA106" t="s">
        <v>226</v>
      </c>
      <c r="FB106" t="s">
        <v>244</v>
      </c>
      <c r="FC106" t="s">
        <v>236</v>
      </c>
      <c r="FE106" t="s">
        <v>236</v>
      </c>
      <c r="FG106" t="s">
        <v>236</v>
      </c>
      <c r="FJ106" t="s">
        <v>226</v>
      </c>
      <c r="FK106" t="s">
        <v>244</v>
      </c>
      <c r="FL106" t="s">
        <v>236</v>
      </c>
      <c r="FM106" t="s">
        <v>236</v>
      </c>
      <c r="FW106" t="s">
        <v>236</v>
      </c>
      <c r="FZ106" t="s">
        <v>236</v>
      </c>
      <c r="GC106" t="s">
        <v>236</v>
      </c>
      <c r="GF106" t="s">
        <v>226</v>
      </c>
      <c r="GG106" t="s">
        <v>236</v>
      </c>
      <c r="GI106" t="s">
        <v>236</v>
      </c>
      <c r="GL106" t="s">
        <v>236</v>
      </c>
      <c r="GO106" t="s">
        <v>226</v>
      </c>
      <c r="GP106" t="s">
        <v>226</v>
      </c>
      <c r="GQ106" t="s">
        <v>267</v>
      </c>
      <c r="GR106" t="s">
        <v>236</v>
      </c>
      <c r="GU106" t="s">
        <v>236</v>
      </c>
      <c r="GX106" t="s">
        <v>236</v>
      </c>
      <c r="HB106" t="s">
        <v>338</v>
      </c>
      <c r="HE106">
        <v>82791348</v>
      </c>
      <c r="HF106" t="s">
        <v>1330</v>
      </c>
      <c r="HG106" s="2">
        <v>45750.834710648152</v>
      </c>
      <c r="HJ106" t="s">
        <v>248</v>
      </c>
      <c r="HL106" t="s">
        <v>249</v>
      </c>
      <c r="HN106">
        <v>105</v>
      </c>
    </row>
    <row r="107" spans="1:222" x14ac:dyDescent="0.25">
      <c r="A107" s="2">
        <v>45750.626465370369</v>
      </c>
      <c r="B107" s="2">
        <v>45750.6298140625</v>
      </c>
      <c r="C107" t="s">
        <v>334</v>
      </c>
      <c r="D107">
        <v>231</v>
      </c>
      <c r="E107" s="2">
        <v>45731</v>
      </c>
      <c r="F107">
        <v>1</v>
      </c>
      <c r="G107" t="s">
        <v>507</v>
      </c>
      <c r="H107" t="s">
        <v>375</v>
      </c>
      <c r="I107">
        <v>28</v>
      </c>
      <c r="J107" t="str">
        <f t="shared" si="1"/>
        <v>de 26 a 40 años</v>
      </c>
      <c r="K107" t="s">
        <v>251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291</v>
      </c>
      <c r="R107" t="s">
        <v>226</v>
      </c>
      <c r="T107" t="s">
        <v>284</v>
      </c>
      <c r="V107" t="s">
        <v>252</v>
      </c>
      <c r="W107" t="s">
        <v>229</v>
      </c>
      <c r="X107" t="s">
        <v>480</v>
      </c>
      <c r="Z107" t="s">
        <v>254</v>
      </c>
      <c r="AA107" t="s">
        <v>255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I107" t="s">
        <v>233</v>
      </c>
      <c r="AJ107">
        <v>0</v>
      </c>
      <c r="AK107">
        <v>1</v>
      </c>
      <c r="AL107">
        <v>0</v>
      </c>
      <c r="AM107">
        <v>0</v>
      </c>
      <c r="AN107" t="s">
        <v>300</v>
      </c>
      <c r="AO107" t="s">
        <v>382</v>
      </c>
      <c r="AP107">
        <v>0</v>
      </c>
      <c r="AQ107">
        <v>0</v>
      </c>
      <c r="AR107">
        <v>1</v>
      </c>
      <c r="AS107">
        <v>0</v>
      </c>
      <c r="AT107">
        <v>0</v>
      </c>
      <c r="AU107">
        <v>0</v>
      </c>
      <c r="AV107">
        <v>0</v>
      </c>
      <c r="AX107" t="s">
        <v>236</v>
      </c>
      <c r="AZ107" t="s">
        <v>237</v>
      </c>
      <c r="BA107" t="s">
        <v>938</v>
      </c>
      <c r="BE107" t="s">
        <v>237</v>
      </c>
      <c r="BF107" t="s">
        <v>259</v>
      </c>
      <c r="BG107" t="s">
        <v>259</v>
      </c>
      <c r="BH107" t="s">
        <v>237</v>
      </c>
      <c r="BI107" t="s">
        <v>237</v>
      </c>
      <c r="BJ107" t="s">
        <v>362</v>
      </c>
      <c r="BK107" t="s">
        <v>259</v>
      </c>
      <c r="BL107" t="s">
        <v>240</v>
      </c>
      <c r="BM107" t="s">
        <v>415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 t="s">
        <v>264</v>
      </c>
      <c r="CB107" t="s">
        <v>264</v>
      </c>
      <c r="CC107" t="s">
        <v>264</v>
      </c>
      <c r="CD107" t="s">
        <v>236</v>
      </c>
      <c r="CE107" t="s">
        <v>236</v>
      </c>
      <c r="EA107" t="s">
        <v>236</v>
      </c>
      <c r="EC107" t="s">
        <v>236</v>
      </c>
      <c r="EE107" t="s">
        <v>236</v>
      </c>
      <c r="EG107" t="s">
        <v>236</v>
      </c>
      <c r="EI107" t="s">
        <v>226</v>
      </c>
      <c r="EJ107" t="s">
        <v>244</v>
      </c>
      <c r="EK107" t="s">
        <v>236</v>
      </c>
      <c r="EM107" t="s">
        <v>236</v>
      </c>
      <c r="EO107" t="s">
        <v>226</v>
      </c>
      <c r="EP107" t="s">
        <v>244</v>
      </c>
      <c r="EQ107" t="s">
        <v>236</v>
      </c>
      <c r="ES107" t="s">
        <v>226</v>
      </c>
      <c r="ET107" t="s">
        <v>244</v>
      </c>
      <c r="EU107" t="s">
        <v>236</v>
      </c>
      <c r="EW107" t="s">
        <v>236</v>
      </c>
      <c r="EY107" t="s">
        <v>226</v>
      </c>
      <c r="EZ107" t="s">
        <v>244</v>
      </c>
      <c r="FA107" t="s">
        <v>236</v>
      </c>
      <c r="FC107" t="s">
        <v>236</v>
      </c>
      <c r="FE107" t="s">
        <v>236</v>
      </c>
      <c r="FG107" t="s">
        <v>236</v>
      </c>
      <c r="FJ107" t="s">
        <v>236</v>
      </c>
      <c r="FM107" t="s">
        <v>236</v>
      </c>
      <c r="FW107" t="s">
        <v>226</v>
      </c>
      <c r="FX107" t="s">
        <v>236</v>
      </c>
      <c r="FZ107" t="s">
        <v>236</v>
      </c>
      <c r="GC107" t="s">
        <v>236</v>
      </c>
      <c r="GF107" t="s">
        <v>226</v>
      </c>
      <c r="GG107" t="s">
        <v>236</v>
      </c>
      <c r="GI107" t="s">
        <v>236</v>
      </c>
      <c r="GL107" t="s">
        <v>236</v>
      </c>
      <c r="GO107" t="s">
        <v>226</v>
      </c>
      <c r="GP107" t="s">
        <v>226</v>
      </c>
      <c r="GQ107" t="s">
        <v>267</v>
      </c>
      <c r="GR107" t="s">
        <v>226</v>
      </c>
      <c r="GS107" t="s">
        <v>226</v>
      </c>
      <c r="GT107" t="s">
        <v>267</v>
      </c>
      <c r="GU107" t="s">
        <v>236</v>
      </c>
      <c r="GX107" t="s">
        <v>236</v>
      </c>
      <c r="HB107" t="s">
        <v>537</v>
      </c>
      <c r="HC107" t="s">
        <v>789</v>
      </c>
      <c r="HD107" t="s">
        <v>303</v>
      </c>
      <c r="HE107">
        <v>82791749</v>
      </c>
      <c r="HF107" t="s">
        <v>1328</v>
      </c>
      <c r="HG107" s="2">
        <v>45750.838055555563</v>
      </c>
      <c r="HJ107" t="s">
        <v>248</v>
      </c>
      <c r="HL107" t="s">
        <v>249</v>
      </c>
      <c r="HN107">
        <v>106</v>
      </c>
    </row>
    <row r="108" spans="1:222" x14ac:dyDescent="0.25">
      <c r="A108" s="2">
        <v>45750.629814537038</v>
      </c>
      <c r="B108" s="2">
        <v>45750.632968124999</v>
      </c>
      <c r="C108" t="s">
        <v>334</v>
      </c>
      <c r="D108">
        <v>230</v>
      </c>
      <c r="E108" s="2">
        <v>45731</v>
      </c>
      <c r="F108">
        <v>1</v>
      </c>
      <c r="G108" t="s">
        <v>1268</v>
      </c>
      <c r="H108" t="s">
        <v>375</v>
      </c>
      <c r="I108">
        <v>52</v>
      </c>
      <c r="J108" t="str">
        <f t="shared" si="1"/>
        <v>de 41 a 55 años</v>
      </c>
      <c r="K108" t="s">
        <v>341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225</v>
      </c>
      <c r="R108" t="s">
        <v>226</v>
      </c>
      <c r="T108" t="s">
        <v>227</v>
      </c>
      <c r="V108" t="s">
        <v>252</v>
      </c>
      <c r="W108" t="s">
        <v>229</v>
      </c>
      <c r="X108" t="s">
        <v>230</v>
      </c>
      <c r="Z108" t="s">
        <v>254</v>
      </c>
      <c r="AA108" t="s">
        <v>232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0</v>
      </c>
      <c r="AI108" t="s">
        <v>233</v>
      </c>
      <c r="AJ108">
        <v>0</v>
      </c>
      <c r="AK108">
        <v>1</v>
      </c>
      <c r="AL108">
        <v>0</v>
      </c>
      <c r="AM108">
        <v>0</v>
      </c>
      <c r="AN108" t="s">
        <v>300</v>
      </c>
      <c r="AO108" t="s">
        <v>294</v>
      </c>
      <c r="AP108">
        <v>1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X108" t="s">
        <v>236</v>
      </c>
      <c r="AZ108" t="s">
        <v>237</v>
      </c>
      <c r="BA108" t="s">
        <v>825</v>
      </c>
      <c r="BE108" t="s">
        <v>237</v>
      </c>
      <c r="BF108" t="s">
        <v>237</v>
      </c>
      <c r="BG108" t="s">
        <v>237</v>
      </c>
      <c r="BH108" t="s">
        <v>362</v>
      </c>
      <c r="BI108" t="s">
        <v>237</v>
      </c>
      <c r="BJ108" t="s">
        <v>259</v>
      </c>
      <c r="BK108" t="s">
        <v>261</v>
      </c>
      <c r="BL108" t="s">
        <v>262</v>
      </c>
      <c r="BM108" t="s">
        <v>650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0</v>
      </c>
      <c r="BY108">
        <v>0</v>
      </c>
      <c r="BZ108">
        <v>0</v>
      </c>
      <c r="CA108" t="s">
        <v>264</v>
      </c>
      <c r="CB108" t="s">
        <v>264</v>
      </c>
      <c r="CC108" t="s">
        <v>264</v>
      </c>
      <c r="CD108" t="s">
        <v>236</v>
      </c>
      <c r="CE108" t="s">
        <v>236</v>
      </c>
      <c r="EA108" t="s">
        <v>236</v>
      </c>
      <c r="EC108" t="s">
        <v>236</v>
      </c>
      <c r="EE108" t="s">
        <v>236</v>
      </c>
      <c r="EG108" t="s">
        <v>226</v>
      </c>
      <c r="EH108" t="s">
        <v>245</v>
      </c>
      <c r="EI108" t="s">
        <v>236</v>
      </c>
      <c r="EK108" t="s">
        <v>236</v>
      </c>
      <c r="EM108" t="s">
        <v>236</v>
      </c>
      <c r="EO108" t="s">
        <v>226</v>
      </c>
      <c r="EP108" t="s">
        <v>245</v>
      </c>
      <c r="EQ108" t="s">
        <v>236</v>
      </c>
      <c r="ES108" t="s">
        <v>226</v>
      </c>
      <c r="ET108" t="s">
        <v>245</v>
      </c>
      <c r="EU108" t="s">
        <v>236</v>
      </c>
      <c r="EW108" t="s">
        <v>236</v>
      </c>
      <c r="EY108" t="s">
        <v>236</v>
      </c>
      <c r="FA108" t="s">
        <v>236</v>
      </c>
      <c r="FC108" t="s">
        <v>236</v>
      </c>
      <c r="FE108" t="s">
        <v>236</v>
      </c>
      <c r="FG108" t="s">
        <v>236</v>
      </c>
      <c r="FJ108" t="s">
        <v>226</v>
      </c>
      <c r="FK108" t="s">
        <v>265</v>
      </c>
      <c r="FL108" t="s">
        <v>236</v>
      </c>
      <c r="FM108" t="s">
        <v>236</v>
      </c>
      <c r="FW108" t="s">
        <v>236</v>
      </c>
      <c r="FZ108" t="s">
        <v>236</v>
      </c>
      <c r="GC108" t="s">
        <v>236</v>
      </c>
      <c r="GF108" t="s">
        <v>226</v>
      </c>
      <c r="GG108" t="s">
        <v>236</v>
      </c>
      <c r="GI108" t="s">
        <v>236</v>
      </c>
      <c r="GL108" t="s">
        <v>236</v>
      </c>
      <c r="GO108" t="s">
        <v>226</v>
      </c>
      <c r="GP108" t="s">
        <v>236</v>
      </c>
      <c r="GR108" t="s">
        <v>226</v>
      </c>
      <c r="GS108" t="s">
        <v>236</v>
      </c>
      <c r="GU108" t="s">
        <v>236</v>
      </c>
      <c r="GX108" t="s">
        <v>236</v>
      </c>
      <c r="HB108" t="s">
        <v>668</v>
      </c>
      <c r="HC108" t="s">
        <v>288</v>
      </c>
      <c r="HE108">
        <v>82792003</v>
      </c>
      <c r="HF108" t="s">
        <v>1327</v>
      </c>
      <c r="HG108" s="2">
        <v>45750.841215277767</v>
      </c>
      <c r="HJ108" t="s">
        <v>248</v>
      </c>
      <c r="HL108" t="s">
        <v>249</v>
      </c>
      <c r="HN108">
        <v>107</v>
      </c>
    </row>
    <row r="109" spans="1:222" x14ac:dyDescent="0.25">
      <c r="A109" s="2">
        <v>45750.632968599537</v>
      </c>
      <c r="B109" s="2">
        <v>45750.639926956021</v>
      </c>
      <c r="C109" t="s">
        <v>334</v>
      </c>
      <c r="D109">
        <v>229</v>
      </c>
      <c r="E109" s="2">
        <v>45731</v>
      </c>
      <c r="F109">
        <v>1</v>
      </c>
      <c r="G109" t="s">
        <v>1268</v>
      </c>
      <c r="H109" t="s">
        <v>375</v>
      </c>
      <c r="I109">
        <v>41</v>
      </c>
      <c r="J109" t="str">
        <f t="shared" si="1"/>
        <v>de 41 a 55 años</v>
      </c>
      <c r="K109" t="s">
        <v>341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225</v>
      </c>
      <c r="R109" t="s">
        <v>226</v>
      </c>
      <c r="T109" t="s">
        <v>227</v>
      </c>
      <c r="V109" t="s">
        <v>228</v>
      </c>
      <c r="W109" t="s">
        <v>229</v>
      </c>
      <c r="X109" t="s">
        <v>350</v>
      </c>
      <c r="Z109" t="s">
        <v>231</v>
      </c>
      <c r="AA109" t="s">
        <v>293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I109" t="s">
        <v>1323</v>
      </c>
      <c r="AJ109">
        <v>1</v>
      </c>
      <c r="AK109">
        <v>1</v>
      </c>
      <c r="AL109">
        <v>0</v>
      </c>
      <c r="AM109">
        <v>0</v>
      </c>
      <c r="AN109" t="s">
        <v>300</v>
      </c>
      <c r="AO109" t="s">
        <v>275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</v>
      </c>
      <c r="AX109" t="s">
        <v>236</v>
      </c>
      <c r="AZ109" t="s">
        <v>237</v>
      </c>
      <c r="BA109" t="s">
        <v>1324</v>
      </c>
      <c r="BE109" t="s">
        <v>259</v>
      </c>
      <c r="BF109" t="s">
        <v>259</v>
      </c>
      <c r="BG109" t="s">
        <v>237</v>
      </c>
      <c r="BH109" t="s">
        <v>237</v>
      </c>
      <c r="BI109" t="s">
        <v>237</v>
      </c>
      <c r="BJ109" t="s">
        <v>237</v>
      </c>
      <c r="BK109" t="s">
        <v>259</v>
      </c>
      <c r="BL109" t="s">
        <v>262</v>
      </c>
      <c r="BM109" t="s">
        <v>296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 t="s">
        <v>264</v>
      </c>
      <c r="CB109" t="s">
        <v>264</v>
      </c>
      <c r="CC109" t="s">
        <v>242</v>
      </c>
      <c r="CD109" t="s">
        <v>236</v>
      </c>
      <c r="CE109" t="s">
        <v>236</v>
      </c>
      <c r="EA109" t="s">
        <v>236</v>
      </c>
      <c r="EC109" t="s">
        <v>236</v>
      </c>
      <c r="EE109" t="s">
        <v>226</v>
      </c>
      <c r="EF109" t="s">
        <v>244</v>
      </c>
      <c r="EG109" t="s">
        <v>236</v>
      </c>
      <c r="EI109" t="s">
        <v>236</v>
      </c>
      <c r="EK109" t="s">
        <v>236</v>
      </c>
      <c r="EM109" t="s">
        <v>236</v>
      </c>
      <c r="EO109" t="s">
        <v>236</v>
      </c>
      <c r="EQ109" t="s">
        <v>236</v>
      </c>
      <c r="ES109" t="s">
        <v>236</v>
      </c>
      <c r="EU109" t="s">
        <v>236</v>
      </c>
      <c r="EW109" t="s">
        <v>236</v>
      </c>
      <c r="EY109" t="s">
        <v>236</v>
      </c>
      <c r="FA109" t="s">
        <v>226</v>
      </c>
      <c r="FB109" t="s">
        <v>244</v>
      </c>
      <c r="FC109" t="s">
        <v>236</v>
      </c>
      <c r="FE109" t="s">
        <v>236</v>
      </c>
      <c r="FG109" t="s">
        <v>236</v>
      </c>
      <c r="FJ109" t="s">
        <v>226</v>
      </c>
      <c r="FK109" t="s">
        <v>265</v>
      </c>
      <c r="FL109" t="s">
        <v>236</v>
      </c>
      <c r="FM109" t="s">
        <v>236</v>
      </c>
      <c r="FW109" t="s">
        <v>226</v>
      </c>
      <c r="FX109" t="s">
        <v>236</v>
      </c>
      <c r="FZ109" t="s">
        <v>236</v>
      </c>
      <c r="GC109" t="s">
        <v>236</v>
      </c>
      <c r="GF109" t="s">
        <v>226</v>
      </c>
      <c r="GG109" t="s">
        <v>236</v>
      </c>
      <c r="GI109" t="s">
        <v>236</v>
      </c>
      <c r="GL109" t="s">
        <v>236</v>
      </c>
      <c r="GO109" t="s">
        <v>226</v>
      </c>
      <c r="GP109" t="s">
        <v>236</v>
      </c>
      <c r="GR109" t="s">
        <v>226</v>
      </c>
      <c r="GS109" t="s">
        <v>236</v>
      </c>
      <c r="GU109" t="s">
        <v>236</v>
      </c>
      <c r="GX109" t="s">
        <v>236</v>
      </c>
      <c r="HB109" t="s">
        <v>1325</v>
      </c>
      <c r="HC109" t="s">
        <v>339</v>
      </c>
      <c r="HE109">
        <v>82792795</v>
      </c>
      <c r="HF109" t="s">
        <v>1326</v>
      </c>
      <c r="HG109" s="2">
        <v>45750.848182870373</v>
      </c>
      <c r="HJ109" t="s">
        <v>248</v>
      </c>
      <c r="HL109" t="s">
        <v>249</v>
      </c>
      <c r="HN109">
        <v>108</v>
      </c>
    </row>
    <row r="110" spans="1:222" x14ac:dyDescent="0.25">
      <c r="A110" s="2">
        <v>45750.639927615739</v>
      </c>
      <c r="B110" s="2">
        <v>45750.644450914348</v>
      </c>
      <c r="C110" t="s">
        <v>334</v>
      </c>
      <c r="D110">
        <v>228</v>
      </c>
      <c r="E110" s="2">
        <v>45731</v>
      </c>
      <c r="F110">
        <v>1</v>
      </c>
      <c r="G110" t="s">
        <v>507</v>
      </c>
      <c r="H110" t="s">
        <v>375</v>
      </c>
      <c r="I110">
        <v>71</v>
      </c>
      <c r="J110" t="str">
        <f t="shared" si="1"/>
        <v>de 56 a más</v>
      </c>
      <c r="K110" t="s">
        <v>224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225</v>
      </c>
      <c r="R110" t="s">
        <v>226</v>
      </c>
      <c r="T110" t="s">
        <v>227</v>
      </c>
      <c r="V110" t="s">
        <v>228</v>
      </c>
      <c r="W110" t="s">
        <v>229</v>
      </c>
      <c r="X110" t="s">
        <v>368</v>
      </c>
      <c r="Z110" t="s">
        <v>231</v>
      </c>
      <c r="AA110" t="s">
        <v>232</v>
      </c>
      <c r="AB110">
        <v>1</v>
      </c>
      <c r="AC110">
        <v>0</v>
      </c>
      <c r="AD110">
        <v>0</v>
      </c>
      <c r="AE110">
        <v>0</v>
      </c>
      <c r="AF110">
        <v>0</v>
      </c>
      <c r="AG110">
        <v>0</v>
      </c>
      <c r="AI110" t="s">
        <v>311</v>
      </c>
      <c r="AJ110">
        <v>0</v>
      </c>
      <c r="AK110">
        <v>1</v>
      </c>
      <c r="AL110">
        <v>1</v>
      </c>
      <c r="AM110">
        <v>0</v>
      </c>
      <c r="AN110" t="s">
        <v>274</v>
      </c>
      <c r="AO110" t="s">
        <v>294</v>
      </c>
      <c r="AP110">
        <v>1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X110" t="s">
        <v>236</v>
      </c>
      <c r="AZ110" t="s">
        <v>259</v>
      </c>
      <c r="BA110" t="s">
        <v>1319</v>
      </c>
      <c r="BB110" t="s">
        <v>1320</v>
      </c>
      <c r="BE110" t="s">
        <v>239</v>
      </c>
      <c r="BF110" t="s">
        <v>237</v>
      </c>
      <c r="BG110" t="s">
        <v>259</v>
      </c>
      <c r="BH110" t="s">
        <v>259</v>
      </c>
      <c r="BI110" t="s">
        <v>259</v>
      </c>
      <c r="BJ110" t="s">
        <v>239</v>
      </c>
      <c r="BK110" t="s">
        <v>239</v>
      </c>
      <c r="BL110" t="s">
        <v>240</v>
      </c>
      <c r="BM110" t="s">
        <v>278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 t="s">
        <v>264</v>
      </c>
      <c r="CB110" t="s">
        <v>243</v>
      </c>
      <c r="CC110" t="s">
        <v>243</v>
      </c>
      <c r="CD110" t="s">
        <v>236</v>
      </c>
      <c r="CE110" t="s">
        <v>236</v>
      </c>
      <c r="EA110" t="s">
        <v>226</v>
      </c>
      <c r="EB110" t="s">
        <v>244</v>
      </c>
      <c r="EC110" t="s">
        <v>236</v>
      </c>
      <c r="EE110" t="s">
        <v>226</v>
      </c>
      <c r="EF110" t="s">
        <v>245</v>
      </c>
      <c r="EG110" t="s">
        <v>226</v>
      </c>
      <c r="EH110" t="s">
        <v>244</v>
      </c>
      <c r="EI110" t="s">
        <v>236</v>
      </c>
      <c r="EK110" t="s">
        <v>236</v>
      </c>
      <c r="EM110" t="s">
        <v>236</v>
      </c>
      <c r="EO110" t="s">
        <v>226</v>
      </c>
      <c r="EP110" t="s">
        <v>244</v>
      </c>
      <c r="EQ110" t="s">
        <v>236</v>
      </c>
      <c r="ES110" t="s">
        <v>236</v>
      </c>
      <c r="EU110" t="s">
        <v>236</v>
      </c>
      <c r="EW110" t="s">
        <v>236</v>
      </c>
      <c r="EY110" t="s">
        <v>236</v>
      </c>
      <c r="FA110" t="s">
        <v>226</v>
      </c>
      <c r="FB110" t="s">
        <v>244</v>
      </c>
      <c r="FC110" t="s">
        <v>236</v>
      </c>
      <c r="FE110" t="s">
        <v>236</v>
      </c>
      <c r="FG110" t="s">
        <v>236</v>
      </c>
      <c r="FJ110" t="s">
        <v>226</v>
      </c>
      <c r="FK110" t="s">
        <v>245</v>
      </c>
      <c r="FL110" t="s">
        <v>236</v>
      </c>
      <c r="FM110" t="s">
        <v>236</v>
      </c>
      <c r="FW110" t="s">
        <v>236</v>
      </c>
      <c r="FZ110" t="s">
        <v>236</v>
      </c>
      <c r="GC110" t="s">
        <v>236</v>
      </c>
      <c r="GF110" t="s">
        <v>236</v>
      </c>
      <c r="GI110" t="s">
        <v>236</v>
      </c>
      <c r="GL110" t="s">
        <v>236</v>
      </c>
      <c r="GO110" t="s">
        <v>226</v>
      </c>
      <c r="GP110" t="s">
        <v>236</v>
      </c>
      <c r="GR110" t="s">
        <v>226</v>
      </c>
      <c r="GS110" t="s">
        <v>236</v>
      </c>
      <c r="GU110" t="s">
        <v>236</v>
      </c>
      <c r="GX110" t="s">
        <v>236</v>
      </c>
      <c r="HB110" t="s">
        <v>338</v>
      </c>
      <c r="HC110" t="s">
        <v>1321</v>
      </c>
      <c r="HE110">
        <v>82793382</v>
      </c>
      <c r="HF110" t="s">
        <v>1322</v>
      </c>
      <c r="HG110" s="2">
        <v>45750.852708333332</v>
      </c>
      <c r="HJ110" t="s">
        <v>248</v>
      </c>
      <c r="HL110" t="s">
        <v>249</v>
      </c>
      <c r="HN110">
        <v>109</v>
      </c>
    </row>
    <row r="111" spans="1:222" x14ac:dyDescent="0.25">
      <c r="A111" s="2">
        <v>45750.644451608787</v>
      </c>
      <c r="B111" s="2">
        <v>45750.648057766201</v>
      </c>
      <c r="C111" t="s">
        <v>334</v>
      </c>
      <c r="D111">
        <v>227</v>
      </c>
      <c r="E111" s="2">
        <v>45731</v>
      </c>
      <c r="F111">
        <v>1</v>
      </c>
      <c r="G111" t="s">
        <v>450</v>
      </c>
      <c r="H111" t="s">
        <v>375</v>
      </c>
      <c r="I111">
        <v>36</v>
      </c>
      <c r="J111" t="str">
        <f t="shared" si="1"/>
        <v>de 26 a 40 años</v>
      </c>
      <c r="K111" t="s">
        <v>251</v>
      </c>
      <c r="L111">
        <v>1</v>
      </c>
      <c r="M111">
        <v>0</v>
      </c>
      <c r="N111">
        <v>0</v>
      </c>
      <c r="O111">
        <v>0</v>
      </c>
      <c r="P111">
        <v>0</v>
      </c>
      <c r="Q111" t="s">
        <v>225</v>
      </c>
      <c r="R111" t="s">
        <v>226</v>
      </c>
      <c r="T111" t="s">
        <v>227</v>
      </c>
      <c r="V111" t="s">
        <v>228</v>
      </c>
      <c r="W111" t="s">
        <v>229</v>
      </c>
      <c r="X111" t="s">
        <v>230</v>
      </c>
      <c r="Z111" t="s">
        <v>351</v>
      </c>
      <c r="AA111" t="s">
        <v>232</v>
      </c>
      <c r="AB111">
        <v>1</v>
      </c>
      <c r="AC111">
        <v>0</v>
      </c>
      <c r="AD111">
        <v>0</v>
      </c>
      <c r="AE111">
        <v>0</v>
      </c>
      <c r="AF111">
        <v>0</v>
      </c>
      <c r="AG111">
        <v>0</v>
      </c>
      <c r="AI111" t="s">
        <v>311</v>
      </c>
      <c r="AJ111">
        <v>0</v>
      </c>
      <c r="AK111">
        <v>1</v>
      </c>
      <c r="AL111">
        <v>1</v>
      </c>
      <c r="AM111">
        <v>0</v>
      </c>
      <c r="AN111" t="s">
        <v>234</v>
      </c>
      <c r="AO111" t="s">
        <v>874</v>
      </c>
      <c r="AP111">
        <v>1</v>
      </c>
      <c r="AQ111">
        <v>0</v>
      </c>
      <c r="AR111">
        <v>1</v>
      </c>
      <c r="AS111">
        <v>0</v>
      </c>
      <c r="AT111">
        <v>0</v>
      </c>
      <c r="AU111">
        <v>0</v>
      </c>
      <c r="AV111">
        <v>0</v>
      </c>
      <c r="AX111" t="s">
        <v>226</v>
      </c>
      <c r="AY111" t="s">
        <v>226</v>
      </c>
      <c r="AZ111" t="s">
        <v>237</v>
      </c>
      <c r="BA111" t="s">
        <v>1315</v>
      </c>
      <c r="BB111" t="s">
        <v>1316</v>
      </c>
      <c r="BE111" t="s">
        <v>259</v>
      </c>
      <c r="BF111" t="s">
        <v>259</v>
      </c>
      <c r="BG111" t="s">
        <v>259</v>
      </c>
      <c r="BH111" t="s">
        <v>237</v>
      </c>
      <c r="BI111" t="s">
        <v>237</v>
      </c>
      <c r="BJ111" t="s">
        <v>259</v>
      </c>
      <c r="BK111" t="s">
        <v>261</v>
      </c>
      <c r="BL111" t="s">
        <v>262</v>
      </c>
      <c r="BM111" t="s">
        <v>296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 t="s">
        <v>242</v>
      </c>
      <c r="CB111" t="s">
        <v>328</v>
      </c>
      <c r="CC111" t="s">
        <v>264</v>
      </c>
      <c r="CD111" t="s">
        <v>236</v>
      </c>
      <c r="CE111" t="s">
        <v>236</v>
      </c>
      <c r="EA111" t="s">
        <v>236</v>
      </c>
      <c r="EC111" t="s">
        <v>226</v>
      </c>
      <c r="ED111" t="s">
        <v>245</v>
      </c>
      <c r="EE111" t="s">
        <v>226</v>
      </c>
      <c r="EF111" t="s">
        <v>245</v>
      </c>
      <c r="EG111" t="s">
        <v>226</v>
      </c>
      <c r="EH111" t="s">
        <v>245</v>
      </c>
      <c r="EI111" t="s">
        <v>226</v>
      </c>
      <c r="EJ111" t="s">
        <v>244</v>
      </c>
      <c r="EK111" t="s">
        <v>236</v>
      </c>
      <c r="EM111" t="s">
        <v>236</v>
      </c>
      <c r="EO111" t="s">
        <v>236</v>
      </c>
      <c r="EQ111" t="s">
        <v>236</v>
      </c>
      <c r="ES111" t="s">
        <v>236</v>
      </c>
      <c r="EU111" t="s">
        <v>236</v>
      </c>
      <c r="EW111" t="s">
        <v>236</v>
      </c>
      <c r="EY111" t="s">
        <v>236</v>
      </c>
      <c r="FA111" t="s">
        <v>226</v>
      </c>
      <c r="FB111" t="s">
        <v>244</v>
      </c>
      <c r="FC111" t="s">
        <v>236</v>
      </c>
      <c r="FE111" t="s">
        <v>236</v>
      </c>
      <c r="FG111" t="s">
        <v>236</v>
      </c>
      <c r="FJ111" t="s">
        <v>226</v>
      </c>
      <c r="FK111" t="s">
        <v>265</v>
      </c>
      <c r="FL111" t="s">
        <v>226</v>
      </c>
      <c r="FM111" t="s">
        <v>236</v>
      </c>
      <c r="FW111" t="s">
        <v>226</v>
      </c>
      <c r="FX111" t="s">
        <v>236</v>
      </c>
      <c r="FZ111" t="s">
        <v>226</v>
      </c>
      <c r="GA111" t="s">
        <v>236</v>
      </c>
      <c r="GC111" t="s">
        <v>236</v>
      </c>
      <c r="GF111" t="s">
        <v>226</v>
      </c>
      <c r="GG111" t="s">
        <v>236</v>
      </c>
      <c r="GI111" t="s">
        <v>236</v>
      </c>
      <c r="GL111" t="s">
        <v>226</v>
      </c>
      <c r="GM111" t="s">
        <v>236</v>
      </c>
      <c r="GO111" t="s">
        <v>226</v>
      </c>
      <c r="GP111" t="s">
        <v>236</v>
      </c>
      <c r="GR111" t="s">
        <v>236</v>
      </c>
      <c r="GU111" t="s">
        <v>236</v>
      </c>
      <c r="GX111" t="s">
        <v>236</v>
      </c>
      <c r="HB111" t="s">
        <v>1317</v>
      </c>
      <c r="HC111" t="s">
        <v>280</v>
      </c>
      <c r="HE111">
        <v>82794108</v>
      </c>
      <c r="HF111" t="s">
        <v>1318</v>
      </c>
      <c r="HG111" s="2">
        <v>45750.856296296297</v>
      </c>
      <c r="HJ111" t="s">
        <v>248</v>
      </c>
      <c r="HL111" t="s">
        <v>249</v>
      </c>
      <c r="HN111">
        <v>110</v>
      </c>
    </row>
    <row r="112" spans="1:222" x14ac:dyDescent="0.25">
      <c r="A112" s="2">
        <v>45750.648058368053</v>
      </c>
      <c r="B112" s="2">
        <v>45750.652293032414</v>
      </c>
      <c r="C112" t="s">
        <v>334</v>
      </c>
      <c r="D112">
        <v>226</v>
      </c>
      <c r="E112" s="2">
        <v>45731</v>
      </c>
      <c r="F112">
        <v>1</v>
      </c>
      <c r="G112" t="s">
        <v>1268</v>
      </c>
      <c r="H112" t="s">
        <v>375</v>
      </c>
      <c r="I112">
        <v>47</v>
      </c>
      <c r="J112" t="str">
        <f t="shared" si="1"/>
        <v>de 41 a 55 años</v>
      </c>
      <c r="K112" t="s">
        <v>224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291</v>
      </c>
      <c r="R112" t="s">
        <v>226</v>
      </c>
      <c r="T112" t="s">
        <v>227</v>
      </c>
      <c r="V112" t="s">
        <v>228</v>
      </c>
      <c r="W112" t="s">
        <v>229</v>
      </c>
      <c r="X112" t="s">
        <v>230</v>
      </c>
      <c r="Z112" t="s">
        <v>231</v>
      </c>
      <c r="AA112" t="s">
        <v>232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I112" t="s">
        <v>256</v>
      </c>
      <c r="AJ112">
        <v>0</v>
      </c>
      <c r="AK112">
        <v>0</v>
      </c>
      <c r="AL112">
        <v>1</v>
      </c>
      <c r="AM112">
        <v>0</v>
      </c>
      <c r="AN112" t="s">
        <v>300</v>
      </c>
      <c r="AO112" t="s">
        <v>294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X112" t="s">
        <v>226</v>
      </c>
      <c r="AY112" t="s">
        <v>236</v>
      </c>
      <c r="AZ112" t="s">
        <v>237</v>
      </c>
      <c r="BA112" t="s">
        <v>938</v>
      </c>
      <c r="BB112" t="s">
        <v>1312</v>
      </c>
      <c r="BE112" t="s">
        <v>259</v>
      </c>
      <c r="BF112" t="s">
        <v>237</v>
      </c>
      <c r="BG112" t="s">
        <v>237</v>
      </c>
      <c r="BH112" t="s">
        <v>237</v>
      </c>
      <c r="BI112" t="s">
        <v>259</v>
      </c>
      <c r="BJ112" t="s">
        <v>259</v>
      </c>
      <c r="BK112" t="s">
        <v>259</v>
      </c>
      <c r="BL112" t="s">
        <v>262</v>
      </c>
      <c r="BM112" t="s">
        <v>365</v>
      </c>
      <c r="BN112">
        <v>0</v>
      </c>
      <c r="BO112">
        <v>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243</v>
      </c>
      <c r="CB112" t="s">
        <v>243</v>
      </c>
      <c r="CC112" t="s">
        <v>264</v>
      </c>
      <c r="CD112" t="s">
        <v>236</v>
      </c>
      <c r="CE112" t="s">
        <v>236</v>
      </c>
      <c r="EA112" t="s">
        <v>236</v>
      </c>
      <c r="EC112" t="s">
        <v>236</v>
      </c>
      <c r="EE112" t="s">
        <v>236</v>
      </c>
      <c r="EG112" t="s">
        <v>236</v>
      </c>
      <c r="EI112" t="s">
        <v>236</v>
      </c>
      <c r="EK112" t="s">
        <v>236</v>
      </c>
      <c r="EM112" t="s">
        <v>236</v>
      </c>
      <c r="EO112" t="s">
        <v>236</v>
      </c>
      <c r="EQ112" t="s">
        <v>236</v>
      </c>
      <c r="ES112" t="s">
        <v>236</v>
      </c>
      <c r="EU112" t="s">
        <v>236</v>
      </c>
      <c r="EW112" t="s">
        <v>236</v>
      </c>
      <c r="EY112" t="s">
        <v>236</v>
      </c>
      <c r="FA112" t="s">
        <v>236</v>
      </c>
      <c r="FC112" t="s">
        <v>236</v>
      </c>
      <c r="FE112" t="s">
        <v>236</v>
      </c>
      <c r="FG112" t="s">
        <v>236</v>
      </c>
      <c r="FJ112" t="s">
        <v>226</v>
      </c>
      <c r="FK112" t="s">
        <v>265</v>
      </c>
      <c r="FL112" t="s">
        <v>236</v>
      </c>
      <c r="FM112" t="s">
        <v>236</v>
      </c>
      <c r="FW112" t="s">
        <v>236</v>
      </c>
      <c r="FZ112" t="s">
        <v>236</v>
      </c>
      <c r="GC112" t="s">
        <v>236</v>
      </c>
      <c r="GF112" t="s">
        <v>226</v>
      </c>
      <c r="GG112" t="s">
        <v>236</v>
      </c>
      <c r="GI112" t="s">
        <v>236</v>
      </c>
      <c r="GL112" t="s">
        <v>236</v>
      </c>
      <c r="GO112" t="s">
        <v>226</v>
      </c>
      <c r="GP112" t="s">
        <v>236</v>
      </c>
      <c r="GR112" t="s">
        <v>226</v>
      </c>
      <c r="GS112" t="s">
        <v>236</v>
      </c>
      <c r="GU112" t="s">
        <v>236</v>
      </c>
      <c r="GX112" t="s">
        <v>236</v>
      </c>
      <c r="HB112" t="s">
        <v>338</v>
      </c>
      <c r="HC112" t="s">
        <v>1313</v>
      </c>
      <c r="HE112">
        <v>82794977</v>
      </c>
      <c r="HF112" t="s">
        <v>1314</v>
      </c>
      <c r="HG112" s="2">
        <v>45750.860543981478</v>
      </c>
      <c r="HJ112" t="s">
        <v>248</v>
      </c>
      <c r="HL112" t="s">
        <v>249</v>
      </c>
      <c r="HN112">
        <v>111</v>
      </c>
    </row>
    <row r="113" spans="1:222" x14ac:dyDescent="0.25">
      <c r="A113" s="2">
        <v>45750.652293541672</v>
      </c>
      <c r="B113" s="2">
        <v>45750.660108414348</v>
      </c>
      <c r="C113" t="s">
        <v>334</v>
      </c>
      <c r="D113">
        <v>225</v>
      </c>
      <c r="E113" s="2">
        <v>45730</v>
      </c>
      <c r="F113">
        <v>1</v>
      </c>
      <c r="G113" t="s">
        <v>507</v>
      </c>
      <c r="H113" t="s">
        <v>375</v>
      </c>
      <c r="I113">
        <v>47</v>
      </c>
      <c r="J113" t="str">
        <f t="shared" si="1"/>
        <v>de 41 a 55 años</v>
      </c>
      <c r="K113" t="s">
        <v>224</v>
      </c>
      <c r="L113">
        <v>2</v>
      </c>
      <c r="M113">
        <v>0</v>
      </c>
      <c r="N113">
        <v>0</v>
      </c>
      <c r="O113">
        <v>0</v>
      </c>
      <c r="P113">
        <v>0</v>
      </c>
      <c r="Q113" t="s">
        <v>225</v>
      </c>
      <c r="R113" t="s">
        <v>236</v>
      </c>
      <c r="S113" t="s">
        <v>771</v>
      </c>
      <c r="T113" t="s">
        <v>227</v>
      </c>
      <c r="V113" t="s">
        <v>252</v>
      </c>
      <c r="W113" t="s">
        <v>229</v>
      </c>
      <c r="X113" t="s">
        <v>230</v>
      </c>
      <c r="Z113" t="s">
        <v>231</v>
      </c>
      <c r="AA113" t="s">
        <v>255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0</v>
      </c>
      <c r="AI113" t="s">
        <v>233</v>
      </c>
      <c r="AJ113">
        <v>0</v>
      </c>
      <c r="AK113">
        <v>1</v>
      </c>
      <c r="AL113">
        <v>0</v>
      </c>
      <c r="AM113">
        <v>0</v>
      </c>
      <c r="AN113" t="s">
        <v>234</v>
      </c>
      <c r="AO113" t="s">
        <v>353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0</v>
      </c>
      <c r="AV113">
        <v>0</v>
      </c>
      <c r="AX113" t="s">
        <v>236</v>
      </c>
      <c r="AZ113" t="s">
        <v>237</v>
      </c>
      <c r="BA113" t="s">
        <v>825</v>
      </c>
      <c r="BB113" t="s">
        <v>1310</v>
      </c>
      <c r="BE113" t="s">
        <v>239</v>
      </c>
      <c r="BF113" t="s">
        <v>237</v>
      </c>
      <c r="BG113" t="s">
        <v>237</v>
      </c>
      <c r="BH113" t="s">
        <v>239</v>
      </c>
      <c r="BI113" t="s">
        <v>237</v>
      </c>
      <c r="BJ113" t="s">
        <v>237</v>
      </c>
      <c r="BK113" t="s">
        <v>239</v>
      </c>
      <c r="BL113" t="s">
        <v>262</v>
      </c>
      <c r="BM113" t="s">
        <v>278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 t="s">
        <v>264</v>
      </c>
      <c r="CB113" t="s">
        <v>264</v>
      </c>
      <c r="CC113" t="s">
        <v>264</v>
      </c>
      <c r="CD113" t="s">
        <v>236</v>
      </c>
      <c r="CE113" t="s">
        <v>236</v>
      </c>
      <c r="EA113" t="s">
        <v>226</v>
      </c>
      <c r="EB113" t="s">
        <v>244</v>
      </c>
      <c r="EC113" t="s">
        <v>236</v>
      </c>
      <c r="EE113" t="s">
        <v>236</v>
      </c>
      <c r="EG113" t="s">
        <v>226</v>
      </c>
      <c r="EH113" t="s">
        <v>244</v>
      </c>
      <c r="EI113" t="s">
        <v>236</v>
      </c>
      <c r="EK113" t="s">
        <v>236</v>
      </c>
      <c r="EM113" t="s">
        <v>236</v>
      </c>
      <c r="EO113" t="s">
        <v>226</v>
      </c>
      <c r="EP113" t="s">
        <v>244</v>
      </c>
      <c r="EQ113" t="s">
        <v>236</v>
      </c>
      <c r="ES113" t="s">
        <v>236</v>
      </c>
      <c r="EU113" t="s">
        <v>236</v>
      </c>
      <c r="EW113" t="s">
        <v>236</v>
      </c>
      <c r="EY113" t="s">
        <v>236</v>
      </c>
      <c r="FA113" t="s">
        <v>236</v>
      </c>
      <c r="FC113" t="s">
        <v>236</v>
      </c>
      <c r="FE113" t="s">
        <v>236</v>
      </c>
      <c r="FG113" t="s">
        <v>236</v>
      </c>
      <c r="FJ113" t="s">
        <v>226</v>
      </c>
      <c r="FK113" t="s">
        <v>244</v>
      </c>
      <c r="FL113" t="s">
        <v>236</v>
      </c>
      <c r="FM113" t="s">
        <v>236</v>
      </c>
      <c r="FW113" t="s">
        <v>236</v>
      </c>
      <c r="FZ113" t="s">
        <v>236</v>
      </c>
      <c r="GC113" t="s">
        <v>236</v>
      </c>
      <c r="GF113" t="s">
        <v>226</v>
      </c>
      <c r="GG113" t="s">
        <v>226</v>
      </c>
      <c r="GH113" t="s">
        <v>267</v>
      </c>
      <c r="GI113" t="s">
        <v>236</v>
      </c>
      <c r="GL113" t="s">
        <v>236</v>
      </c>
      <c r="GO113" t="s">
        <v>236</v>
      </c>
      <c r="GR113" t="s">
        <v>226</v>
      </c>
      <c r="GS113" t="s">
        <v>236</v>
      </c>
      <c r="GU113" t="s">
        <v>236</v>
      </c>
      <c r="GX113" t="s">
        <v>236</v>
      </c>
      <c r="HB113" t="s">
        <v>338</v>
      </c>
      <c r="HC113" t="s">
        <v>288</v>
      </c>
      <c r="HE113">
        <v>82796532</v>
      </c>
      <c r="HF113" t="s">
        <v>1311</v>
      </c>
      <c r="HG113" s="2">
        <v>45750.868356481478</v>
      </c>
      <c r="HJ113" t="s">
        <v>248</v>
      </c>
      <c r="HL113" t="s">
        <v>249</v>
      </c>
      <c r="HN113">
        <v>112</v>
      </c>
    </row>
    <row r="114" spans="1:222" x14ac:dyDescent="0.25">
      <c r="A114" s="2">
        <v>45750.660109131954</v>
      </c>
      <c r="B114" s="2">
        <v>45750.668962060183</v>
      </c>
      <c r="C114" t="s">
        <v>334</v>
      </c>
      <c r="D114">
        <v>224</v>
      </c>
      <c r="E114" s="2">
        <v>45731</v>
      </c>
      <c r="F114">
        <v>1</v>
      </c>
      <c r="G114" t="s">
        <v>450</v>
      </c>
      <c r="H114" t="s">
        <v>375</v>
      </c>
      <c r="I114">
        <v>39</v>
      </c>
      <c r="J114" t="str">
        <f t="shared" si="1"/>
        <v>de 26 a 40 años</v>
      </c>
      <c r="K114" t="s">
        <v>251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291</v>
      </c>
      <c r="R114" t="s">
        <v>226</v>
      </c>
      <c r="T114" t="s">
        <v>227</v>
      </c>
      <c r="V114" t="s">
        <v>228</v>
      </c>
      <c r="W114" t="s">
        <v>229</v>
      </c>
      <c r="X114" t="s">
        <v>230</v>
      </c>
      <c r="Z114" t="s">
        <v>231</v>
      </c>
      <c r="AA114" t="s">
        <v>232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I114" t="s">
        <v>233</v>
      </c>
      <c r="AJ114">
        <v>0</v>
      </c>
      <c r="AK114">
        <v>1</v>
      </c>
      <c r="AL114">
        <v>0</v>
      </c>
      <c r="AM114">
        <v>0</v>
      </c>
      <c r="AN114" t="s">
        <v>257</v>
      </c>
      <c r="AO114" t="s">
        <v>1306</v>
      </c>
      <c r="AP114">
        <v>0</v>
      </c>
      <c r="AQ114">
        <v>0</v>
      </c>
      <c r="AR114">
        <v>1</v>
      </c>
      <c r="AS114">
        <v>1</v>
      </c>
      <c r="AT114">
        <v>1</v>
      </c>
      <c r="AU114">
        <v>0</v>
      </c>
      <c r="AV114">
        <v>0</v>
      </c>
      <c r="AX114" t="s">
        <v>226</v>
      </c>
      <c r="AY114" t="s">
        <v>226</v>
      </c>
      <c r="AZ114" t="s">
        <v>237</v>
      </c>
      <c r="BA114" t="s">
        <v>1307</v>
      </c>
      <c r="BB114" t="s">
        <v>1308</v>
      </c>
      <c r="BE114" t="s">
        <v>259</v>
      </c>
      <c r="BF114" t="s">
        <v>237</v>
      </c>
      <c r="BG114" t="s">
        <v>261</v>
      </c>
      <c r="BH114" t="s">
        <v>237</v>
      </c>
      <c r="BI114" t="s">
        <v>237</v>
      </c>
      <c r="BJ114" t="s">
        <v>237</v>
      </c>
      <c r="BK114" t="s">
        <v>237</v>
      </c>
      <c r="BL114" t="s">
        <v>262</v>
      </c>
      <c r="BM114" t="s">
        <v>296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 t="s">
        <v>264</v>
      </c>
      <c r="CB114" t="s">
        <v>243</v>
      </c>
      <c r="CC114" t="s">
        <v>243</v>
      </c>
      <c r="CD114" t="s">
        <v>236</v>
      </c>
      <c r="CE114" t="s">
        <v>236</v>
      </c>
      <c r="EA114" t="s">
        <v>236</v>
      </c>
      <c r="EC114" t="s">
        <v>236</v>
      </c>
      <c r="EE114" t="s">
        <v>226</v>
      </c>
      <c r="EF114" t="s">
        <v>265</v>
      </c>
      <c r="EG114" t="s">
        <v>226</v>
      </c>
      <c r="EH114" t="s">
        <v>265</v>
      </c>
      <c r="EI114" t="s">
        <v>226</v>
      </c>
      <c r="EJ114" t="s">
        <v>244</v>
      </c>
      <c r="EK114" t="s">
        <v>236</v>
      </c>
      <c r="EM114" t="s">
        <v>226</v>
      </c>
      <c r="EN114" t="s">
        <v>244</v>
      </c>
      <c r="EO114" t="s">
        <v>226</v>
      </c>
      <c r="EP114" t="s">
        <v>244</v>
      </c>
      <c r="EQ114" t="s">
        <v>236</v>
      </c>
      <c r="ES114" t="s">
        <v>226</v>
      </c>
      <c r="ET114" t="s">
        <v>244</v>
      </c>
      <c r="EU114" t="s">
        <v>236</v>
      </c>
      <c r="EW114" t="s">
        <v>236</v>
      </c>
      <c r="EY114" t="s">
        <v>226</v>
      </c>
      <c r="EZ114" t="s">
        <v>244</v>
      </c>
      <c r="FA114" t="s">
        <v>226</v>
      </c>
      <c r="FB114" t="s">
        <v>265</v>
      </c>
      <c r="FC114" t="s">
        <v>236</v>
      </c>
      <c r="FE114" t="s">
        <v>226</v>
      </c>
      <c r="FF114" t="s">
        <v>244</v>
      </c>
      <c r="FG114" t="s">
        <v>236</v>
      </c>
      <c r="FJ114" t="s">
        <v>226</v>
      </c>
      <c r="FK114" t="s">
        <v>245</v>
      </c>
      <c r="FL114" t="s">
        <v>226</v>
      </c>
      <c r="FM114" t="s">
        <v>236</v>
      </c>
      <c r="FW114" t="s">
        <v>226</v>
      </c>
      <c r="FX114" t="s">
        <v>226</v>
      </c>
      <c r="FY114" t="s">
        <v>266</v>
      </c>
      <c r="FZ114" t="s">
        <v>226</v>
      </c>
      <c r="GA114" t="s">
        <v>226</v>
      </c>
      <c r="GB114" t="s">
        <v>266</v>
      </c>
      <c r="GC114" t="s">
        <v>236</v>
      </c>
      <c r="GF114" t="s">
        <v>226</v>
      </c>
      <c r="GG114" t="s">
        <v>226</v>
      </c>
      <c r="GH114" t="s">
        <v>266</v>
      </c>
      <c r="GI114" t="s">
        <v>236</v>
      </c>
      <c r="GL114" t="s">
        <v>226</v>
      </c>
      <c r="GM114" t="s">
        <v>226</v>
      </c>
      <c r="GN114" t="s">
        <v>266</v>
      </c>
      <c r="GO114" t="s">
        <v>236</v>
      </c>
      <c r="GR114" t="s">
        <v>236</v>
      </c>
      <c r="GU114" t="s">
        <v>236</v>
      </c>
      <c r="GX114" t="s">
        <v>236</v>
      </c>
      <c r="HB114" t="s">
        <v>279</v>
      </c>
      <c r="HC114" t="s">
        <v>409</v>
      </c>
      <c r="HE114">
        <v>82798612</v>
      </c>
      <c r="HF114" t="s">
        <v>1309</v>
      </c>
      <c r="HG114" s="2">
        <v>45750.877210648148</v>
      </c>
      <c r="HJ114" t="s">
        <v>248</v>
      </c>
      <c r="HL114" t="s">
        <v>249</v>
      </c>
      <c r="HN114">
        <v>113</v>
      </c>
    </row>
    <row r="115" spans="1:222" x14ac:dyDescent="0.25">
      <c r="A115" s="2">
        <v>45750.668962557873</v>
      </c>
      <c r="B115" s="2">
        <v>45750.674221747693</v>
      </c>
      <c r="C115" t="s">
        <v>334</v>
      </c>
      <c r="D115">
        <v>223</v>
      </c>
      <c r="E115" s="2">
        <v>45731</v>
      </c>
      <c r="F115">
        <v>1</v>
      </c>
      <c r="G115" t="s">
        <v>1268</v>
      </c>
      <c r="H115" t="s">
        <v>375</v>
      </c>
      <c r="I115">
        <v>61</v>
      </c>
      <c r="J115" t="str">
        <f t="shared" si="1"/>
        <v>de 56 a más</v>
      </c>
      <c r="K115" t="s">
        <v>341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225</v>
      </c>
      <c r="R115" t="s">
        <v>226</v>
      </c>
      <c r="T115" t="s">
        <v>227</v>
      </c>
      <c r="V115" t="s">
        <v>228</v>
      </c>
      <c r="W115" t="s">
        <v>229</v>
      </c>
      <c r="X115" t="s">
        <v>368</v>
      </c>
      <c r="Z115" t="s">
        <v>351</v>
      </c>
      <c r="AA115" t="s">
        <v>232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I115" t="s">
        <v>233</v>
      </c>
      <c r="AJ115">
        <v>0</v>
      </c>
      <c r="AK115">
        <v>1</v>
      </c>
      <c r="AL115">
        <v>0</v>
      </c>
      <c r="AM115">
        <v>0</v>
      </c>
      <c r="AN115" t="s">
        <v>300</v>
      </c>
      <c r="AO115" t="s">
        <v>275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1</v>
      </c>
      <c r="AV115">
        <v>0</v>
      </c>
      <c r="AX115" t="s">
        <v>236</v>
      </c>
      <c r="AZ115" t="s">
        <v>237</v>
      </c>
      <c r="BA115" t="s">
        <v>1302</v>
      </c>
      <c r="BB115" t="s">
        <v>1303</v>
      </c>
      <c r="BE115" t="s">
        <v>259</v>
      </c>
      <c r="BF115" t="s">
        <v>237</v>
      </c>
      <c r="BG115" t="s">
        <v>237</v>
      </c>
      <c r="BH115" t="s">
        <v>259</v>
      </c>
      <c r="BI115" t="s">
        <v>259</v>
      </c>
      <c r="BJ115" t="s">
        <v>362</v>
      </c>
      <c r="BK115" t="s">
        <v>237</v>
      </c>
      <c r="BL115" t="s">
        <v>240</v>
      </c>
      <c r="BM115" t="s">
        <v>451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 t="s">
        <v>264</v>
      </c>
      <c r="CB115" t="s">
        <v>242</v>
      </c>
      <c r="CC115" t="s">
        <v>243</v>
      </c>
      <c r="CD115" t="s">
        <v>236</v>
      </c>
      <c r="CE115" t="s">
        <v>236</v>
      </c>
      <c r="EA115" t="s">
        <v>226</v>
      </c>
      <c r="EB115" t="s">
        <v>244</v>
      </c>
      <c r="EC115" t="s">
        <v>236</v>
      </c>
      <c r="EE115" t="s">
        <v>236</v>
      </c>
      <c r="EG115" t="s">
        <v>226</v>
      </c>
      <c r="EH115" t="s">
        <v>245</v>
      </c>
      <c r="EI115" t="s">
        <v>236</v>
      </c>
      <c r="EK115" t="s">
        <v>236</v>
      </c>
      <c r="EM115" t="s">
        <v>236</v>
      </c>
      <c r="EO115" t="s">
        <v>236</v>
      </c>
      <c r="EQ115" t="s">
        <v>236</v>
      </c>
      <c r="ES115" t="s">
        <v>226</v>
      </c>
      <c r="ET115" t="s">
        <v>245</v>
      </c>
      <c r="EU115" t="s">
        <v>236</v>
      </c>
      <c r="EW115" t="s">
        <v>236</v>
      </c>
      <c r="EY115" t="s">
        <v>236</v>
      </c>
      <c r="FA115" t="s">
        <v>226</v>
      </c>
      <c r="FB115" t="s">
        <v>244</v>
      </c>
      <c r="FC115" t="s">
        <v>236</v>
      </c>
      <c r="FE115" t="s">
        <v>236</v>
      </c>
      <c r="FG115" t="s">
        <v>236</v>
      </c>
      <c r="FJ115" t="s">
        <v>226</v>
      </c>
      <c r="FK115" t="s">
        <v>265</v>
      </c>
      <c r="FL115" t="s">
        <v>236</v>
      </c>
      <c r="FM115" t="s">
        <v>236</v>
      </c>
      <c r="FW115" t="s">
        <v>236</v>
      </c>
      <c r="FZ115" t="s">
        <v>236</v>
      </c>
      <c r="GC115" t="s">
        <v>236</v>
      </c>
      <c r="GF115" t="s">
        <v>226</v>
      </c>
      <c r="GG115" t="s">
        <v>226</v>
      </c>
      <c r="GH115" t="s">
        <v>266</v>
      </c>
      <c r="GI115" t="s">
        <v>236</v>
      </c>
      <c r="GL115" t="s">
        <v>236</v>
      </c>
      <c r="GO115" t="s">
        <v>226</v>
      </c>
      <c r="GP115" t="s">
        <v>236</v>
      </c>
      <c r="GR115" t="s">
        <v>226</v>
      </c>
      <c r="GS115" t="s">
        <v>236</v>
      </c>
      <c r="GU115" t="s">
        <v>236</v>
      </c>
      <c r="GX115" t="s">
        <v>236</v>
      </c>
      <c r="HB115" t="s">
        <v>1304</v>
      </c>
      <c r="HC115" t="s">
        <v>345</v>
      </c>
      <c r="HD115" t="s">
        <v>338</v>
      </c>
      <c r="HE115">
        <v>82799637</v>
      </c>
      <c r="HF115" t="s">
        <v>1305</v>
      </c>
      <c r="HG115" s="2">
        <v>45750.882476851853</v>
      </c>
      <c r="HJ115" t="s">
        <v>248</v>
      </c>
      <c r="HL115" t="s">
        <v>249</v>
      </c>
      <c r="HN115">
        <v>114</v>
      </c>
    </row>
    <row r="116" spans="1:222" x14ac:dyDescent="0.25">
      <c r="A116" s="2">
        <v>45750.674222256937</v>
      </c>
      <c r="B116" s="2">
        <v>45750.677263333331</v>
      </c>
      <c r="C116" t="s">
        <v>334</v>
      </c>
      <c r="D116">
        <v>222</v>
      </c>
      <c r="E116" s="2">
        <v>45731</v>
      </c>
      <c r="F116">
        <v>1</v>
      </c>
      <c r="G116" t="s">
        <v>1268</v>
      </c>
      <c r="H116" t="s">
        <v>375</v>
      </c>
      <c r="I116">
        <v>58</v>
      </c>
      <c r="J116" t="str">
        <f t="shared" si="1"/>
        <v>de 56 a más</v>
      </c>
      <c r="K116" t="s">
        <v>341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225</v>
      </c>
      <c r="R116" t="s">
        <v>226</v>
      </c>
      <c r="T116" t="s">
        <v>227</v>
      </c>
      <c r="V116" t="s">
        <v>252</v>
      </c>
      <c r="W116" t="s">
        <v>229</v>
      </c>
      <c r="X116" t="s">
        <v>368</v>
      </c>
      <c r="Z116" t="s">
        <v>231</v>
      </c>
      <c r="AA116" t="s">
        <v>232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I116" t="s">
        <v>233</v>
      </c>
      <c r="AJ116">
        <v>0</v>
      </c>
      <c r="AK116">
        <v>1</v>
      </c>
      <c r="AL116">
        <v>0</v>
      </c>
      <c r="AM116">
        <v>0</v>
      </c>
      <c r="AN116" t="s">
        <v>300</v>
      </c>
      <c r="AO116" t="s">
        <v>294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X116" t="s">
        <v>236</v>
      </c>
      <c r="AZ116" t="s">
        <v>259</v>
      </c>
      <c r="BA116" t="s">
        <v>1298</v>
      </c>
      <c r="BB116" t="s">
        <v>1299</v>
      </c>
      <c r="BE116" t="s">
        <v>259</v>
      </c>
      <c r="BF116" t="s">
        <v>237</v>
      </c>
      <c r="BG116" t="s">
        <v>237</v>
      </c>
      <c r="BH116" t="s">
        <v>259</v>
      </c>
      <c r="BI116" t="s">
        <v>237</v>
      </c>
      <c r="BJ116" t="s">
        <v>237</v>
      </c>
      <c r="BK116" t="s">
        <v>259</v>
      </c>
      <c r="BL116" t="s">
        <v>240</v>
      </c>
      <c r="BM116" t="s">
        <v>451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 t="s">
        <v>264</v>
      </c>
      <c r="CB116" t="s">
        <v>264</v>
      </c>
      <c r="CC116" t="s">
        <v>242</v>
      </c>
      <c r="CD116" t="s">
        <v>236</v>
      </c>
      <c r="CE116" t="s">
        <v>236</v>
      </c>
      <c r="EA116" t="s">
        <v>236</v>
      </c>
      <c r="EC116" t="s">
        <v>236</v>
      </c>
      <c r="EE116" t="s">
        <v>226</v>
      </c>
      <c r="EF116" t="s">
        <v>244</v>
      </c>
      <c r="EG116" t="s">
        <v>236</v>
      </c>
      <c r="EI116" t="s">
        <v>236</v>
      </c>
      <c r="EK116" t="s">
        <v>236</v>
      </c>
      <c r="EM116" t="s">
        <v>236</v>
      </c>
      <c r="EO116" t="s">
        <v>226</v>
      </c>
      <c r="EP116" t="s">
        <v>244</v>
      </c>
      <c r="EQ116" t="s">
        <v>236</v>
      </c>
      <c r="ES116" t="s">
        <v>226</v>
      </c>
      <c r="ET116" t="s">
        <v>245</v>
      </c>
      <c r="EU116" t="s">
        <v>236</v>
      </c>
      <c r="EW116" t="s">
        <v>236</v>
      </c>
      <c r="EY116" t="s">
        <v>236</v>
      </c>
      <c r="FA116" t="s">
        <v>236</v>
      </c>
      <c r="FC116" t="s">
        <v>236</v>
      </c>
      <c r="FE116" t="s">
        <v>236</v>
      </c>
      <c r="FG116" t="s">
        <v>236</v>
      </c>
      <c r="FJ116" t="s">
        <v>226</v>
      </c>
      <c r="FK116" t="s">
        <v>245</v>
      </c>
      <c r="FL116" t="s">
        <v>236</v>
      </c>
      <c r="FM116" t="s">
        <v>236</v>
      </c>
      <c r="FW116" t="s">
        <v>236</v>
      </c>
      <c r="FZ116" t="s">
        <v>236</v>
      </c>
      <c r="GC116" t="s">
        <v>236</v>
      </c>
      <c r="GF116" t="s">
        <v>226</v>
      </c>
      <c r="GG116" t="s">
        <v>236</v>
      </c>
      <c r="GI116" t="s">
        <v>236</v>
      </c>
      <c r="GL116" t="s">
        <v>226</v>
      </c>
      <c r="GM116" t="s">
        <v>236</v>
      </c>
      <c r="GO116" t="s">
        <v>226</v>
      </c>
      <c r="GP116" t="s">
        <v>236</v>
      </c>
      <c r="GR116" t="s">
        <v>226</v>
      </c>
      <c r="GS116" t="s">
        <v>236</v>
      </c>
      <c r="GU116" t="s">
        <v>236</v>
      </c>
      <c r="GX116" t="s">
        <v>236</v>
      </c>
      <c r="HB116" t="s">
        <v>1300</v>
      </c>
      <c r="HC116" t="s">
        <v>510</v>
      </c>
      <c r="HE116">
        <v>82800138</v>
      </c>
      <c r="HF116" t="s">
        <v>1301</v>
      </c>
      <c r="HG116" s="2">
        <v>45750.885509259257</v>
      </c>
      <c r="HJ116" t="s">
        <v>248</v>
      </c>
      <c r="HL116" t="s">
        <v>249</v>
      </c>
      <c r="HN116">
        <v>115</v>
      </c>
    </row>
    <row r="117" spans="1:222" x14ac:dyDescent="0.25">
      <c r="A117" s="2">
        <v>45750.677264039346</v>
      </c>
      <c r="B117" s="2">
        <v>45750.679572453701</v>
      </c>
      <c r="C117" t="s">
        <v>334</v>
      </c>
      <c r="D117">
        <v>221</v>
      </c>
      <c r="E117" s="2">
        <v>45731</v>
      </c>
      <c r="F117">
        <v>1</v>
      </c>
      <c r="G117" t="s">
        <v>374</v>
      </c>
      <c r="H117" t="s">
        <v>375</v>
      </c>
      <c r="I117">
        <v>72</v>
      </c>
      <c r="J117" t="str">
        <f t="shared" si="1"/>
        <v>de 56 a más</v>
      </c>
      <c r="K117" t="s">
        <v>341</v>
      </c>
      <c r="L117">
        <v>1</v>
      </c>
      <c r="M117">
        <v>0</v>
      </c>
      <c r="N117">
        <v>0</v>
      </c>
      <c r="O117">
        <v>0</v>
      </c>
      <c r="P117">
        <v>1</v>
      </c>
      <c r="Q117" t="s">
        <v>225</v>
      </c>
      <c r="R117" t="s">
        <v>226</v>
      </c>
      <c r="T117" t="s">
        <v>227</v>
      </c>
      <c r="V117" t="s">
        <v>252</v>
      </c>
      <c r="W117" t="s">
        <v>229</v>
      </c>
      <c r="X117" t="s">
        <v>368</v>
      </c>
      <c r="Z117" t="s">
        <v>351</v>
      </c>
      <c r="AA117" t="s">
        <v>232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I117" t="s">
        <v>311</v>
      </c>
      <c r="AJ117">
        <v>0</v>
      </c>
      <c r="AK117">
        <v>1</v>
      </c>
      <c r="AL117">
        <v>1</v>
      </c>
      <c r="AM117">
        <v>0</v>
      </c>
      <c r="AN117" t="s">
        <v>274</v>
      </c>
      <c r="AO117" t="s">
        <v>294</v>
      </c>
      <c r="AP117">
        <v>1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X117" t="s">
        <v>236</v>
      </c>
      <c r="AZ117" t="s">
        <v>237</v>
      </c>
      <c r="BA117" t="s">
        <v>1296</v>
      </c>
      <c r="BE117" t="s">
        <v>237</v>
      </c>
      <c r="BF117" t="s">
        <v>237</v>
      </c>
      <c r="BG117" t="s">
        <v>237</v>
      </c>
      <c r="BH117" t="s">
        <v>239</v>
      </c>
      <c r="BI117" t="s">
        <v>239</v>
      </c>
      <c r="BJ117" t="s">
        <v>237</v>
      </c>
      <c r="BK117" t="s">
        <v>239</v>
      </c>
      <c r="BL117" t="s">
        <v>262</v>
      </c>
      <c r="BM117" t="s">
        <v>278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 t="s">
        <v>264</v>
      </c>
      <c r="CB117" t="s">
        <v>264</v>
      </c>
      <c r="CC117" t="s">
        <v>264</v>
      </c>
      <c r="CD117" t="s">
        <v>236</v>
      </c>
      <c r="CE117" t="s">
        <v>236</v>
      </c>
      <c r="EA117" t="s">
        <v>236</v>
      </c>
      <c r="EC117" t="s">
        <v>226</v>
      </c>
      <c r="ED117" t="s">
        <v>244</v>
      </c>
      <c r="EE117" t="s">
        <v>226</v>
      </c>
      <c r="EF117" t="s">
        <v>244</v>
      </c>
      <c r="EG117" t="s">
        <v>236</v>
      </c>
      <c r="EI117" t="s">
        <v>236</v>
      </c>
      <c r="EK117" t="s">
        <v>236</v>
      </c>
      <c r="EM117" t="s">
        <v>236</v>
      </c>
      <c r="EO117" t="s">
        <v>236</v>
      </c>
      <c r="EQ117" t="s">
        <v>236</v>
      </c>
      <c r="ES117" t="s">
        <v>236</v>
      </c>
      <c r="EU117" t="s">
        <v>236</v>
      </c>
      <c r="EW117" t="s">
        <v>236</v>
      </c>
      <c r="EY117" t="s">
        <v>236</v>
      </c>
      <c r="FA117" t="s">
        <v>236</v>
      </c>
      <c r="FC117" t="s">
        <v>236</v>
      </c>
      <c r="FE117" t="s">
        <v>236</v>
      </c>
      <c r="FG117" t="s">
        <v>236</v>
      </c>
      <c r="FJ117" t="s">
        <v>236</v>
      </c>
      <c r="FM117" t="s">
        <v>236</v>
      </c>
      <c r="FW117" t="s">
        <v>236</v>
      </c>
      <c r="FZ117" t="s">
        <v>236</v>
      </c>
      <c r="GC117" t="s">
        <v>236</v>
      </c>
      <c r="GF117" t="s">
        <v>236</v>
      </c>
      <c r="GI117" t="s">
        <v>236</v>
      </c>
      <c r="GL117" t="s">
        <v>236</v>
      </c>
      <c r="GO117" t="s">
        <v>226</v>
      </c>
      <c r="GP117" t="s">
        <v>226</v>
      </c>
      <c r="GQ117" t="s">
        <v>267</v>
      </c>
      <c r="GR117" t="s">
        <v>236</v>
      </c>
      <c r="GU117" t="s">
        <v>236</v>
      </c>
      <c r="GX117" t="s">
        <v>236</v>
      </c>
      <c r="HB117" t="s">
        <v>280</v>
      </c>
      <c r="HE117">
        <v>82800357</v>
      </c>
      <c r="HF117" t="s">
        <v>1297</v>
      </c>
      <c r="HG117" s="2">
        <v>45750.887812499997</v>
      </c>
      <c r="HJ117" t="s">
        <v>248</v>
      </c>
      <c r="HL117" t="s">
        <v>249</v>
      </c>
      <c r="HN117">
        <v>116</v>
      </c>
    </row>
    <row r="118" spans="1:222" x14ac:dyDescent="0.25">
      <c r="A118" s="2">
        <v>45751.334358749999</v>
      </c>
      <c r="B118" s="2">
        <v>45751.362209641207</v>
      </c>
      <c r="C118" t="s">
        <v>334</v>
      </c>
      <c r="D118">
        <v>220</v>
      </c>
      <c r="E118" s="2">
        <v>45731</v>
      </c>
      <c r="F118">
        <v>1</v>
      </c>
      <c r="G118" t="s">
        <v>507</v>
      </c>
      <c r="H118" t="s">
        <v>375</v>
      </c>
      <c r="I118">
        <v>63</v>
      </c>
      <c r="J118" t="str">
        <f t="shared" si="1"/>
        <v>de 56 a más</v>
      </c>
      <c r="K118" t="s">
        <v>224</v>
      </c>
      <c r="L118">
        <v>1</v>
      </c>
      <c r="M118">
        <v>0</v>
      </c>
      <c r="N118">
        <v>0</v>
      </c>
      <c r="O118">
        <v>0</v>
      </c>
      <c r="P118">
        <v>0</v>
      </c>
      <c r="Q118" t="s">
        <v>225</v>
      </c>
      <c r="R118" t="s">
        <v>226</v>
      </c>
      <c r="T118" t="s">
        <v>659</v>
      </c>
      <c r="V118" t="s">
        <v>252</v>
      </c>
      <c r="W118" t="s">
        <v>229</v>
      </c>
      <c r="X118" t="s">
        <v>480</v>
      </c>
      <c r="Z118" t="s">
        <v>231</v>
      </c>
      <c r="AA118" t="s">
        <v>823</v>
      </c>
      <c r="AB118">
        <v>1</v>
      </c>
      <c r="AC118">
        <v>0</v>
      </c>
      <c r="AD118">
        <v>0</v>
      </c>
      <c r="AE118">
        <v>1</v>
      </c>
      <c r="AF118">
        <v>0</v>
      </c>
      <c r="AG118">
        <v>0</v>
      </c>
      <c r="AI118" t="s">
        <v>233</v>
      </c>
      <c r="AJ118">
        <v>0</v>
      </c>
      <c r="AK118">
        <v>1</v>
      </c>
      <c r="AL118">
        <v>0</v>
      </c>
      <c r="AM118">
        <v>0</v>
      </c>
      <c r="AN118" t="s">
        <v>234</v>
      </c>
      <c r="AO118" t="s">
        <v>294</v>
      </c>
      <c r="AP118">
        <v>1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X118" t="s">
        <v>236</v>
      </c>
      <c r="AZ118" t="s">
        <v>259</v>
      </c>
      <c r="BA118" t="s">
        <v>1292</v>
      </c>
      <c r="BB118" t="s">
        <v>1293</v>
      </c>
      <c r="BC118" t="s">
        <v>1294</v>
      </c>
      <c r="BE118" t="s">
        <v>259</v>
      </c>
      <c r="BF118" t="s">
        <v>237</v>
      </c>
      <c r="BG118" t="s">
        <v>237</v>
      </c>
      <c r="BH118" t="s">
        <v>259</v>
      </c>
      <c r="BI118" t="s">
        <v>237</v>
      </c>
      <c r="BJ118" t="s">
        <v>259</v>
      </c>
      <c r="BK118" t="s">
        <v>259</v>
      </c>
      <c r="BL118" t="s">
        <v>313</v>
      </c>
      <c r="BM118" t="s">
        <v>296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 t="s">
        <v>243</v>
      </c>
      <c r="CB118" t="s">
        <v>264</v>
      </c>
      <c r="CC118" t="s">
        <v>243</v>
      </c>
      <c r="CD118" t="s">
        <v>236</v>
      </c>
      <c r="CE118" t="s">
        <v>236</v>
      </c>
      <c r="EA118" t="s">
        <v>236</v>
      </c>
      <c r="EC118" t="s">
        <v>236</v>
      </c>
      <c r="EE118" t="s">
        <v>226</v>
      </c>
      <c r="EF118" t="s">
        <v>265</v>
      </c>
      <c r="EG118" t="s">
        <v>236</v>
      </c>
      <c r="EI118" t="s">
        <v>236</v>
      </c>
      <c r="EK118" t="s">
        <v>226</v>
      </c>
      <c r="EL118" t="s">
        <v>265</v>
      </c>
      <c r="EM118" t="s">
        <v>236</v>
      </c>
      <c r="EO118" t="s">
        <v>226</v>
      </c>
      <c r="EP118" t="s">
        <v>245</v>
      </c>
      <c r="EQ118" t="s">
        <v>236</v>
      </c>
      <c r="ES118" t="s">
        <v>236</v>
      </c>
      <c r="EU118" t="s">
        <v>236</v>
      </c>
      <c r="EW118" t="s">
        <v>226</v>
      </c>
      <c r="EX118" t="s">
        <v>244</v>
      </c>
      <c r="EY118" t="s">
        <v>236</v>
      </c>
      <c r="FA118" t="s">
        <v>236</v>
      </c>
      <c r="FC118" t="s">
        <v>236</v>
      </c>
      <c r="FE118" t="s">
        <v>236</v>
      </c>
      <c r="FG118" t="s">
        <v>236</v>
      </c>
      <c r="FJ118" t="s">
        <v>236</v>
      </c>
      <c r="FM118" t="s">
        <v>226</v>
      </c>
      <c r="FN118" t="s">
        <v>416</v>
      </c>
      <c r="FO118">
        <v>0</v>
      </c>
      <c r="FP118">
        <v>1</v>
      </c>
      <c r="FQ118">
        <v>0</v>
      </c>
      <c r="FR118">
        <v>0</v>
      </c>
      <c r="FS118">
        <v>0</v>
      </c>
      <c r="FU118" t="s">
        <v>226</v>
      </c>
      <c r="FW118" t="s">
        <v>236</v>
      </c>
      <c r="FZ118" t="s">
        <v>236</v>
      </c>
      <c r="GC118" t="s">
        <v>236</v>
      </c>
      <c r="GF118" t="s">
        <v>236</v>
      </c>
      <c r="GI118" t="s">
        <v>236</v>
      </c>
      <c r="GL118" t="s">
        <v>236</v>
      </c>
      <c r="GO118" t="s">
        <v>236</v>
      </c>
      <c r="GR118" t="s">
        <v>226</v>
      </c>
      <c r="GS118" t="s">
        <v>236</v>
      </c>
      <c r="GU118" t="s">
        <v>236</v>
      </c>
      <c r="GX118" t="s">
        <v>236</v>
      </c>
      <c r="HB118" t="s">
        <v>358</v>
      </c>
      <c r="HC118" t="s">
        <v>735</v>
      </c>
      <c r="HE118">
        <v>82847929</v>
      </c>
      <c r="HF118" t="s">
        <v>1295</v>
      </c>
      <c r="HG118" s="2">
        <v>45751.570451388892</v>
      </c>
      <c r="HJ118" t="s">
        <v>248</v>
      </c>
      <c r="HL118" t="s">
        <v>249</v>
      </c>
      <c r="HN118">
        <v>117</v>
      </c>
    </row>
    <row r="119" spans="1:222" x14ac:dyDescent="0.25">
      <c r="A119" s="2">
        <v>45751.36221013889</v>
      </c>
      <c r="B119" s="2">
        <v>45751.36810122685</v>
      </c>
      <c r="C119" t="s">
        <v>334</v>
      </c>
      <c r="D119">
        <v>219</v>
      </c>
      <c r="E119" s="2">
        <v>45731</v>
      </c>
      <c r="F119">
        <v>1</v>
      </c>
      <c r="G119" t="s">
        <v>1268</v>
      </c>
      <c r="H119" t="s">
        <v>375</v>
      </c>
      <c r="I119">
        <v>30</v>
      </c>
      <c r="J119" t="str">
        <f t="shared" si="1"/>
        <v>de 26 a 40 años</v>
      </c>
      <c r="K119" t="s">
        <v>341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225</v>
      </c>
      <c r="R119" t="s">
        <v>226</v>
      </c>
      <c r="T119" t="s">
        <v>227</v>
      </c>
      <c r="V119" t="s">
        <v>228</v>
      </c>
      <c r="W119" t="s">
        <v>229</v>
      </c>
      <c r="X119" t="s">
        <v>230</v>
      </c>
      <c r="Z119" t="s">
        <v>231</v>
      </c>
      <c r="AA119" t="s">
        <v>232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I119" t="s">
        <v>233</v>
      </c>
      <c r="AJ119">
        <v>0</v>
      </c>
      <c r="AK119">
        <v>1</v>
      </c>
      <c r="AL119">
        <v>0</v>
      </c>
      <c r="AM119">
        <v>0</v>
      </c>
      <c r="AN119" t="s">
        <v>234</v>
      </c>
      <c r="AO119" t="s">
        <v>294</v>
      </c>
      <c r="AP119">
        <v>1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X119" t="s">
        <v>236</v>
      </c>
      <c r="AZ119" t="s">
        <v>237</v>
      </c>
      <c r="BA119" t="s">
        <v>825</v>
      </c>
      <c r="BB119" t="s">
        <v>1288</v>
      </c>
      <c r="BE119" t="s">
        <v>259</v>
      </c>
      <c r="BF119" t="s">
        <v>237</v>
      </c>
      <c r="BG119" t="s">
        <v>259</v>
      </c>
      <c r="BH119" t="s">
        <v>237</v>
      </c>
      <c r="BI119" t="s">
        <v>237</v>
      </c>
      <c r="BJ119" t="s">
        <v>237</v>
      </c>
      <c r="BK119" t="s">
        <v>259</v>
      </c>
      <c r="BL119" t="s">
        <v>313</v>
      </c>
      <c r="BM119" t="s">
        <v>415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 t="s">
        <v>242</v>
      </c>
      <c r="CB119" t="s">
        <v>264</v>
      </c>
      <c r="CC119" t="s">
        <v>243</v>
      </c>
      <c r="CD119" t="s">
        <v>236</v>
      </c>
      <c r="CE119" t="s">
        <v>236</v>
      </c>
      <c r="EA119" t="s">
        <v>236</v>
      </c>
      <c r="EC119" t="s">
        <v>236</v>
      </c>
      <c r="EE119" t="s">
        <v>236</v>
      </c>
      <c r="EG119" t="s">
        <v>236</v>
      </c>
      <c r="EI119" t="s">
        <v>226</v>
      </c>
      <c r="EJ119" t="s">
        <v>265</v>
      </c>
      <c r="EK119" t="s">
        <v>236</v>
      </c>
      <c r="EM119" t="s">
        <v>236</v>
      </c>
      <c r="EO119" t="s">
        <v>236</v>
      </c>
      <c r="EQ119" t="s">
        <v>236</v>
      </c>
      <c r="ES119" t="s">
        <v>236</v>
      </c>
      <c r="EU119" t="s">
        <v>236</v>
      </c>
      <c r="EW119" t="s">
        <v>236</v>
      </c>
      <c r="EY119" t="s">
        <v>236</v>
      </c>
      <c r="FA119" t="s">
        <v>236</v>
      </c>
      <c r="FC119" t="s">
        <v>236</v>
      </c>
      <c r="FE119" t="s">
        <v>226</v>
      </c>
      <c r="FF119" t="s">
        <v>245</v>
      </c>
      <c r="FG119" t="s">
        <v>236</v>
      </c>
      <c r="FJ119" t="s">
        <v>226</v>
      </c>
      <c r="FK119" t="s">
        <v>245</v>
      </c>
      <c r="FL119" t="s">
        <v>236</v>
      </c>
      <c r="FM119" t="s">
        <v>236</v>
      </c>
      <c r="FW119" t="s">
        <v>226</v>
      </c>
      <c r="FX119" t="s">
        <v>236</v>
      </c>
      <c r="FZ119" t="s">
        <v>236</v>
      </c>
      <c r="GC119" t="s">
        <v>236</v>
      </c>
      <c r="GF119" t="s">
        <v>236</v>
      </c>
      <c r="GI119" t="s">
        <v>236</v>
      </c>
      <c r="GL119" t="s">
        <v>226</v>
      </c>
      <c r="GM119" t="s">
        <v>236</v>
      </c>
      <c r="GO119" t="s">
        <v>236</v>
      </c>
      <c r="GR119" t="s">
        <v>226</v>
      </c>
      <c r="GS119" t="s">
        <v>236</v>
      </c>
      <c r="GU119" t="s">
        <v>236</v>
      </c>
      <c r="GX119" t="s">
        <v>236</v>
      </c>
      <c r="HB119" t="s">
        <v>1289</v>
      </c>
      <c r="HC119" t="s">
        <v>1290</v>
      </c>
      <c r="HE119">
        <v>82848155</v>
      </c>
      <c r="HF119" t="s">
        <v>1291</v>
      </c>
      <c r="HG119" s="2">
        <v>45751.576354166667</v>
      </c>
      <c r="HJ119" t="s">
        <v>248</v>
      </c>
      <c r="HL119" t="s">
        <v>249</v>
      </c>
      <c r="HN119">
        <v>118</v>
      </c>
    </row>
    <row r="120" spans="1:222" x14ac:dyDescent="0.25">
      <c r="A120" s="2">
        <v>45751.368101828702</v>
      </c>
      <c r="B120" s="2">
        <v>45751.371923842591</v>
      </c>
      <c r="C120" t="s">
        <v>334</v>
      </c>
      <c r="D120">
        <v>218</v>
      </c>
      <c r="E120" s="2">
        <v>45731</v>
      </c>
      <c r="F120">
        <v>1</v>
      </c>
      <c r="G120" t="s">
        <v>507</v>
      </c>
      <c r="H120" t="s">
        <v>375</v>
      </c>
      <c r="I120">
        <v>32</v>
      </c>
      <c r="J120" t="str">
        <f t="shared" si="1"/>
        <v>de 26 a 40 años</v>
      </c>
      <c r="K120" t="s">
        <v>224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225</v>
      </c>
      <c r="R120" t="s">
        <v>226</v>
      </c>
      <c r="T120" t="s">
        <v>227</v>
      </c>
      <c r="V120" t="s">
        <v>252</v>
      </c>
      <c r="W120" t="s">
        <v>229</v>
      </c>
      <c r="X120" t="s">
        <v>230</v>
      </c>
      <c r="Z120" t="s">
        <v>231</v>
      </c>
      <c r="AA120" t="s">
        <v>232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I120" t="s">
        <v>233</v>
      </c>
      <c r="AJ120">
        <v>0</v>
      </c>
      <c r="AK120">
        <v>1</v>
      </c>
      <c r="AL120">
        <v>0</v>
      </c>
      <c r="AM120">
        <v>0</v>
      </c>
      <c r="AN120" t="s">
        <v>300</v>
      </c>
      <c r="AO120" t="s">
        <v>1285</v>
      </c>
      <c r="AP120">
        <v>1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0</v>
      </c>
      <c r="AX120" t="s">
        <v>226</v>
      </c>
      <c r="AY120" t="s">
        <v>236</v>
      </c>
      <c r="AZ120" t="s">
        <v>237</v>
      </c>
      <c r="BA120" t="s">
        <v>512</v>
      </c>
      <c r="BB120" t="s">
        <v>1286</v>
      </c>
      <c r="BE120" t="s">
        <v>259</v>
      </c>
      <c r="BF120" t="s">
        <v>237</v>
      </c>
      <c r="BG120" t="s">
        <v>237</v>
      </c>
      <c r="BH120" t="s">
        <v>239</v>
      </c>
      <c r="BI120" t="s">
        <v>239</v>
      </c>
      <c r="BJ120" t="s">
        <v>237</v>
      </c>
      <c r="BK120" t="s">
        <v>239</v>
      </c>
      <c r="BL120" t="s">
        <v>262</v>
      </c>
      <c r="BM120" t="s">
        <v>451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 t="s">
        <v>264</v>
      </c>
      <c r="CB120" t="s">
        <v>264</v>
      </c>
      <c r="CC120" t="s">
        <v>243</v>
      </c>
      <c r="CD120" t="s">
        <v>236</v>
      </c>
      <c r="CE120" t="s">
        <v>236</v>
      </c>
      <c r="EA120" t="s">
        <v>236</v>
      </c>
      <c r="EC120" t="s">
        <v>236</v>
      </c>
      <c r="EE120" t="s">
        <v>236</v>
      </c>
      <c r="EG120" t="s">
        <v>226</v>
      </c>
      <c r="EH120" t="s">
        <v>244</v>
      </c>
      <c r="EI120" t="s">
        <v>236</v>
      </c>
      <c r="EK120" t="s">
        <v>236</v>
      </c>
      <c r="EM120" t="s">
        <v>236</v>
      </c>
      <c r="EO120" t="s">
        <v>236</v>
      </c>
      <c r="EQ120" t="s">
        <v>236</v>
      </c>
      <c r="ES120" t="s">
        <v>236</v>
      </c>
      <c r="EU120" t="s">
        <v>236</v>
      </c>
      <c r="EW120" t="s">
        <v>236</v>
      </c>
      <c r="EY120" t="s">
        <v>236</v>
      </c>
      <c r="FA120" t="s">
        <v>236</v>
      </c>
      <c r="FC120" t="s">
        <v>236</v>
      </c>
      <c r="FE120" t="s">
        <v>226</v>
      </c>
      <c r="FF120" t="s">
        <v>244</v>
      </c>
      <c r="FG120" t="s">
        <v>236</v>
      </c>
      <c r="FJ120" t="s">
        <v>226</v>
      </c>
      <c r="FK120" t="s">
        <v>244</v>
      </c>
      <c r="FL120" t="s">
        <v>236</v>
      </c>
      <c r="FM120" t="s">
        <v>236</v>
      </c>
      <c r="FW120" t="s">
        <v>236</v>
      </c>
      <c r="FZ120" t="s">
        <v>236</v>
      </c>
      <c r="GC120" t="s">
        <v>236</v>
      </c>
      <c r="GF120" t="s">
        <v>226</v>
      </c>
      <c r="GG120" t="s">
        <v>236</v>
      </c>
      <c r="GI120" t="s">
        <v>236</v>
      </c>
      <c r="GL120" t="s">
        <v>236</v>
      </c>
      <c r="GO120" t="s">
        <v>226</v>
      </c>
      <c r="GP120" t="s">
        <v>226</v>
      </c>
      <c r="GQ120" t="s">
        <v>267</v>
      </c>
      <c r="GR120" t="s">
        <v>236</v>
      </c>
      <c r="GU120" t="s">
        <v>236</v>
      </c>
      <c r="GX120" t="s">
        <v>236</v>
      </c>
      <c r="HB120" t="s">
        <v>513</v>
      </c>
      <c r="HC120" t="s">
        <v>537</v>
      </c>
      <c r="HE120">
        <v>82848347</v>
      </c>
      <c r="HF120" t="s">
        <v>1287</v>
      </c>
      <c r="HG120" s="2">
        <v>45751.58017361111</v>
      </c>
      <c r="HJ120" t="s">
        <v>248</v>
      </c>
      <c r="HL120" t="s">
        <v>249</v>
      </c>
      <c r="HN120">
        <v>119</v>
      </c>
    </row>
    <row r="121" spans="1:222" x14ac:dyDescent="0.25">
      <c r="A121" s="2">
        <v>45751.371924317129</v>
      </c>
      <c r="B121" s="2">
        <v>45751.375486157413</v>
      </c>
      <c r="C121" t="s">
        <v>334</v>
      </c>
      <c r="D121">
        <v>217</v>
      </c>
      <c r="E121" s="2">
        <v>45731</v>
      </c>
      <c r="F121">
        <v>1</v>
      </c>
      <c r="G121" t="s">
        <v>374</v>
      </c>
      <c r="H121" t="s">
        <v>375</v>
      </c>
      <c r="I121">
        <v>30</v>
      </c>
      <c r="J121" t="str">
        <f t="shared" si="1"/>
        <v>de 26 a 40 años</v>
      </c>
      <c r="K121" t="s">
        <v>251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291</v>
      </c>
      <c r="R121" t="s">
        <v>226</v>
      </c>
      <c r="T121" t="s">
        <v>227</v>
      </c>
      <c r="V121" t="s">
        <v>228</v>
      </c>
      <c r="W121" t="s">
        <v>229</v>
      </c>
      <c r="X121" t="s">
        <v>253</v>
      </c>
      <c r="Z121" t="s">
        <v>351</v>
      </c>
      <c r="AA121" t="s">
        <v>352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I121" t="s">
        <v>233</v>
      </c>
      <c r="AJ121">
        <v>0</v>
      </c>
      <c r="AK121">
        <v>1</v>
      </c>
      <c r="AL121">
        <v>0</v>
      </c>
      <c r="AM121">
        <v>0</v>
      </c>
      <c r="AN121" t="s">
        <v>300</v>
      </c>
      <c r="AO121" t="s">
        <v>258</v>
      </c>
      <c r="AP121">
        <v>1</v>
      </c>
      <c r="AQ121">
        <v>0</v>
      </c>
      <c r="AR121">
        <v>0</v>
      </c>
      <c r="AS121">
        <v>0</v>
      </c>
      <c r="AT121">
        <v>0</v>
      </c>
      <c r="AU121">
        <v>1</v>
      </c>
      <c r="AV121">
        <v>0</v>
      </c>
      <c r="AX121" t="s">
        <v>226</v>
      </c>
      <c r="AY121" t="s">
        <v>226</v>
      </c>
      <c r="AZ121" t="s">
        <v>237</v>
      </c>
      <c r="BA121" t="s">
        <v>1281</v>
      </c>
      <c r="BB121" t="s">
        <v>1282</v>
      </c>
      <c r="BE121" t="s">
        <v>259</v>
      </c>
      <c r="BF121" t="s">
        <v>259</v>
      </c>
      <c r="BG121" t="s">
        <v>259</v>
      </c>
      <c r="BH121" t="s">
        <v>259</v>
      </c>
      <c r="BI121" t="s">
        <v>237</v>
      </c>
      <c r="BJ121" t="s">
        <v>259</v>
      </c>
      <c r="BK121" t="s">
        <v>259</v>
      </c>
      <c r="BL121" t="s">
        <v>262</v>
      </c>
      <c r="BM121" t="s">
        <v>278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 t="s">
        <v>264</v>
      </c>
      <c r="CB121" t="s">
        <v>242</v>
      </c>
      <c r="CC121" t="s">
        <v>264</v>
      </c>
      <c r="CD121" t="s">
        <v>236</v>
      </c>
      <c r="CE121" t="s">
        <v>236</v>
      </c>
      <c r="EA121" t="s">
        <v>226</v>
      </c>
      <c r="EB121" t="s">
        <v>244</v>
      </c>
      <c r="EC121" t="s">
        <v>226</v>
      </c>
      <c r="ED121" t="s">
        <v>244</v>
      </c>
      <c r="EE121" t="s">
        <v>226</v>
      </c>
      <c r="EF121" t="s">
        <v>245</v>
      </c>
      <c r="EG121" t="s">
        <v>226</v>
      </c>
      <c r="EH121" t="s">
        <v>245</v>
      </c>
      <c r="EI121" t="s">
        <v>226</v>
      </c>
      <c r="EJ121" t="s">
        <v>244</v>
      </c>
      <c r="EK121" t="s">
        <v>226</v>
      </c>
      <c r="EL121" t="s">
        <v>245</v>
      </c>
      <c r="EM121" t="s">
        <v>226</v>
      </c>
      <c r="EN121" t="s">
        <v>245</v>
      </c>
      <c r="EO121" t="s">
        <v>226</v>
      </c>
      <c r="EP121" t="s">
        <v>244</v>
      </c>
      <c r="EQ121" t="s">
        <v>236</v>
      </c>
      <c r="ES121" t="s">
        <v>236</v>
      </c>
      <c r="EU121" t="s">
        <v>236</v>
      </c>
      <c r="EW121" t="s">
        <v>226</v>
      </c>
      <c r="EX121" t="s">
        <v>244</v>
      </c>
      <c r="EY121" t="s">
        <v>226</v>
      </c>
      <c r="EZ121" t="s">
        <v>245</v>
      </c>
      <c r="FA121" t="s">
        <v>226</v>
      </c>
      <c r="FB121" t="s">
        <v>244</v>
      </c>
      <c r="FC121" t="s">
        <v>236</v>
      </c>
      <c r="FE121" t="s">
        <v>226</v>
      </c>
      <c r="FF121" t="s">
        <v>245</v>
      </c>
      <c r="FG121" t="s">
        <v>236</v>
      </c>
      <c r="FJ121" t="s">
        <v>226</v>
      </c>
      <c r="FK121" t="s">
        <v>265</v>
      </c>
      <c r="FL121" t="s">
        <v>236</v>
      </c>
      <c r="FM121" t="s">
        <v>236</v>
      </c>
      <c r="FW121" t="s">
        <v>226</v>
      </c>
      <c r="FX121" t="s">
        <v>236</v>
      </c>
      <c r="FZ121" t="s">
        <v>226</v>
      </c>
      <c r="GA121" t="s">
        <v>226</v>
      </c>
      <c r="GB121" t="s">
        <v>266</v>
      </c>
      <c r="GC121" t="s">
        <v>236</v>
      </c>
      <c r="GF121" t="s">
        <v>226</v>
      </c>
      <c r="GG121" t="s">
        <v>236</v>
      </c>
      <c r="GI121" t="s">
        <v>236</v>
      </c>
      <c r="GL121" t="s">
        <v>236</v>
      </c>
      <c r="GO121" t="s">
        <v>236</v>
      </c>
      <c r="GR121" t="s">
        <v>226</v>
      </c>
      <c r="GS121" t="s">
        <v>236</v>
      </c>
      <c r="GU121" t="s">
        <v>236</v>
      </c>
      <c r="GX121" t="s">
        <v>236</v>
      </c>
      <c r="HB121" t="s">
        <v>358</v>
      </c>
      <c r="HC121" t="s">
        <v>1283</v>
      </c>
      <c r="HE121">
        <v>82848460</v>
      </c>
      <c r="HF121" t="s">
        <v>1284</v>
      </c>
      <c r="HG121" s="2">
        <v>45751.583738425928</v>
      </c>
      <c r="HJ121" t="s">
        <v>248</v>
      </c>
      <c r="HL121" t="s">
        <v>249</v>
      </c>
      <c r="HN121">
        <v>120</v>
      </c>
    </row>
    <row r="122" spans="1:222" x14ac:dyDescent="0.25">
      <c r="A122" s="2">
        <v>45751.37548678241</v>
      </c>
      <c r="B122" s="2">
        <v>45751.379180300923</v>
      </c>
      <c r="C122" t="s">
        <v>334</v>
      </c>
      <c r="D122">
        <v>216</v>
      </c>
      <c r="E122" s="2">
        <v>45731</v>
      </c>
      <c r="F122">
        <v>1</v>
      </c>
      <c r="G122" t="s">
        <v>374</v>
      </c>
      <c r="H122" t="s">
        <v>375</v>
      </c>
      <c r="I122">
        <v>51</v>
      </c>
      <c r="J122" t="str">
        <f t="shared" si="1"/>
        <v>de 41 a 55 años</v>
      </c>
      <c r="K122" t="s">
        <v>224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291</v>
      </c>
      <c r="R122" t="s">
        <v>226</v>
      </c>
      <c r="T122" t="s">
        <v>659</v>
      </c>
      <c r="V122" t="s">
        <v>252</v>
      </c>
      <c r="W122" t="s">
        <v>229</v>
      </c>
      <c r="X122" t="s">
        <v>299</v>
      </c>
      <c r="Z122" t="s">
        <v>254</v>
      </c>
      <c r="AA122" t="s">
        <v>352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I122" t="s">
        <v>233</v>
      </c>
      <c r="AJ122">
        <v>0</v>
      </c>
      <c r="AK122">
        <v>1</v>
      </c>
      <c r="AL122">
        <v>0</v>
      </c>
      <c r="AM122">
        <v>0</v>
      </c>
      <c r="AN122" t="s">
        <v>234</v>
      </c>
      <c r="AO122" t="s">
        <v>258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0</v>
      </c>
      <c r="AX122" t="s">
        <v>226</v>
      </c>
      <c r="AY122" t="s">
        <v>226</v>
      </c>
      <c r="AZ122" t="s">
        <v>259</v>
      </c>
      <c r="BA122" t="s">
        <v>1279</v>
      </c>
      <c r="BE122" t="s">
        <v>259</v>
      </c>
      <c r="BF122" t="s">
        <v>261</v>
      </c>
      <c r="BG122" t="s">
        <v>259</v>
      </c>
      <c r="BH122" t="s">
        <v>239</v>
      </c>
      <c r="BI122" t="s">
        <v>237</v>
      </c>
      <c r="BJ122" t="s">
        <v>259</v>
      </c>
      <c r="BK122" t="s">
        <v>239</v>
      </c>
      <c r="BL122" t="s">
        <v>262</v>
      </c>
      <c r="BM122" t="s">
        <v>490</v>
      </c>
      <c r="BN122">
        <v>1</v>
      </c>
      <c r="BO122">
        <v>0</v>
      </c>
      <c r="BP122">
        <v>1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 t="s">
        <v>264</v>
      </c>
      <c r="CB122" t="s">
        <v>328</v>
      </c>
      <c r="CC122" t="s">
        <v>328</v>
      </c>
      <c r="CD122" t="s">
        <v>236</v>
      </c>
      <c r="CE122" t="s">
        <v>236</v>
      </c>
      <c r="EA122" t="s">
        <v>226</v>
      </c>
      <c r="EB122" t="s">
        <v>244</v>
      </c>
      <c r="EC122" t="s">
        <v>236</v>
      </c>
      <c r="EE122" t="s">
        <v>236</v>
      </c>
      <c r="EG122" t="s">
        <v>226</v>
      </c>
      <c r="EH122" t="s">
        <v>245</v>
      </c>
      <c r="EI122" t="s">
        <v>236</v>
      </c>
      <c r="EK122" t="s">
        <v>236</v>
      </c>
      <c r="EM122" t="s">
        <v>226</v>
      </c>
      <c r="EN122" t="s">
        <v>245</v>
      </c>
      <c r="EO122" t="s">
        <v>226</v>
      </c>
      <c r="EP122" t="s">
        <v>245</v>
      </c>
      <c r="EQ122" t="s">
        <v>236</v>
      </c>
      <c r="ES122" t="s">
        <v>236</v>
      </c>
      <c r="EU122" t="s">
        <v>236</v>
      </c>
      <c r="EW122" t="s">
        <v>236</v>
      </c>
      <c r="EY122" t="s">
        <v>236</v>
      </c>
      <c r="FA122" t="s">
        <v>226</v>
      </c>
      <c r="FB122" t="s">
        <v>244</v>
      </c>
      <c r="FC122" t="s">
        <v>236</v>
      </c>
      <c r="FE122" t="s">
        <v>236</v>
      </c>
      <c r="FG122" t="s">
        <v>236</v>
      </c>
      <c r="FJ122" t="s">
        <v>226</v>
      </c>
      <c r="FK122" t="s">
        <v>265</v>
      </c>
      <c r="FL122" t="s">
        <v>236</v>
      </c>
      <c r="FM122" t="s">
        <v>236</v>
      </c>
      <c r="FW122" t="s">
        <v>226</v>
      </c>
      <c r="FX122" t="s">
        <v>236</v>
      </c>
      <c r="FZ122" t="s">
        <v>236</v>
      </c>
      <c r="GC122" t="s">
        <v>236</v>
      </c>
      <c r="GF122" t="s">
        <v>226</v>
      </c>
      <c r="GG122" t="s">
        <v>236</v>
      </c>
      <c r="GI122" t="s">
        <v>236</v>
      </c>
      <c r="GL122" t="s">
        <v>236</v>
      </c>
      <c r="GO122" t="s">
        <v>226</v>
      </c>
      <c r="GP122" t="s">
        <v>226</v>
      </c>
      <c r="GQ122" t="s">
        <v>267</v>
      </c>
      <c r="GR122" t="s">
        <v>236</v>
      </c>
      <c r="GU122" t="s">
        <v>236</v>
      </c>
      <c r="GX122" t="s">
        <v>236</v>
      </c>
      <c r="HB122" t="s">
        <v>956</v>
      </c>
      <c r="HE122">
        <v>82848675</v>
      </c>
      <c r="HF122" t="s">
        <v>1280</v>
      </c>
      <c r="HG122" s="2">
        <v>45751.587430555563</v>
      </c>
      <c r="HJ122" t="s">
        <v>248</v>
      </c>
      <c r="HL122" t="s">
        <v>249</v>
      </c>
      <c r="HN122">
        <v>121</v>
      </c>
    </row>
    <row r="123" spans="1:222" x14ac:dyDescent="0.25">
      <c r="A123" s="2">
        <v>45751.379180833334</v>
      </c>
      <c r="B123" s="2">
        <v>45751.382198715277</v>
      </c>
      <c r="C123" t="s">
        <v>334</v>
      </c>
      <c r="D123">
        <v>215</v>
      </c>
      <c r="E123" s="2">
        <v>45731</v>
      </c>
      <c r="F123">
        <v>1</v>
      </c>
      <c r="G123" t="s">
        <v>1268</v>
      </c>
      <c r="H123" t="s">
        <v>375</v>
      </c>
      <c r="I123">
        <v>50</v>
      </c>
      <c r="J123" t="str">
        <f t="shared" si="1"/>
        <v>de 41 a 55 años</v>
      </c>
      <c r="K123" t="s">
        <v>224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225</v>
      </c>
      <c r="R123" t="s">
        <v>226</v>
      </c>
      <c r="T123" t="s">
        <v>227</v>
      </c>
      <c r="V123" t="s">
        <v>252</v>
      </c>
      <c r="W123" t="s">
        <v>229</v>
      </c>
      <c r="X123" t="s">
        <v>350</v>
      </c>
      <c r="Z123" t="s">
        <v>231</v>
      </c>
      <c r="AA123" t="s">
        <v>232</v>
      </c>
      <c r="AB123">
        <v>1</v>
      </c>
      <c r="AC123">
        <v>0</v>
      </c>
      <c r="AD123">
        <v>0</v>
      </c>
      <c r="AE123">
        <v>0</v>
      </c>
      <c r="AF123">
        <v>0</v>
      </c>
      <c r="AG123">
        <v>0</v>
      </c>
      <c r="AI123" t="s">
        <v>233</v>
      </c>
      <c r="AJ123">
        <v>0</v>
      </c>
      <c r="AK123">
        <v>1</v>
      </c>
      <c r="AL123">
        <v>0</v>
      </c>
      <c r="AM123">
        <v>0</v>
      </c>
      <c r="AN123" t="s">
        <v>300</v>
      </c>
      <c r="AO123" t="s">
        <v>258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1</v>
      </c>
      <c r="AV123">
        <v>0</v>
      </c>
      <c r="AX123" t="s">
        <v>226</v>
      </c>
      <c r="AY123" t="s">
        <v>236</v>
      </c>
      <c r="AZ123" t="s">
        <v>259</v>
      </c>
      <c r="BA123" t="s">
        <v>1274</v>
      </c>
      <c r="BB123" t="s">
        <v>1275</v>
      </c>
      <c r="BE123" t="s">
        <v>259</v>
      </c>
      <c r="BF123" t="s">
        <v>259</v>
      </c>
      <c r="BG123" t="s">
        <v>259</v>
      </c>
      <c r="BH123" t="s">
        <v>237</v>
      </c>
      <c r="BI123" t="s">
        <v>237</v>
      </c>
      <c r="BJ123" t="s">
        <v>259</v>
      </c>
      <c r="BK123" t="s">
        <v>259</v>
      </c>
      <c r="BL123" t="s">
        <v>262</v>
      </c>
      <c r="BM123" t="s">
        <v>490</v>
      </c>
      <c r="BN123">
        <v>1</v>
      </c>
      <c r="BO123">
        <v>0</v>
      </c>
      <c r="BP123">
        <v>1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 t="s">
        <v>264</v>
      </c>
      <c r="CB123" t="s">
        <v>264</v>
      </c>
      <c r="CC123" t="s">
        <v>264</v>
      </c>
      <c r="CD123" t="s">
        <v>236</v>
      </c>
      <c r="CE123" t="s">
        <v>236</v>
      </c>
      <c r="EA123" t="s">
        <v>226</v>
      </c>
      <c r="EB123" t="s">
        <v>244</v>
      </c>
      <c r="EC123" t="s">
        <v>236</v>
      </c>
      <c r="EE123" t="s">
        <v>226</v>
      </c>
      <c r="EF123" t="s">
        <v>265</v>
      </c>
      <c r="EG123" t="s">
        <v>226</v>
      </c>
      <c r="EH123" t="s">
        <v>265</v>
      </c>
      <c r="EI123" t="s">
        <v>236</v>
      </c>
      <c r="EK123" t="s">
        <v>236</v>
      </c>
      <c r="EM123" t="s">
        <v>236</v>
      </c>
      <c r="EO123" t="s">
        <v>226</v>
      </c>
      <c r="EP123" t="s">
        <v>265</v>
      </c>
      <c r="EQ123" t="s">
        <v>236</v>
      </c>
      <c r="ES123" t="s">
        <v>226</v>
      </c>
      <c r="ET123" t="s">
        <v>265</v>
      </c>
      <c r="EU123" t="s">
        <v>236</v>
      </c>
      <c r="EW123" t="s">
        <v>236</v>
      </c>
      <c r="EY123" t="s">
        <v>236</v>
      </c>
      <c r="FA123" t="s">
        <v>226</v>
      </c>
      <c r="FB123" t="s">
        <v>244</v>
      </c>
      <c r="FC123" t="s">
        <v>236</v>
      </c>
      <c r="FE123" t="s">
        <v>236</v>
      </c>
      <c r="FG123" t="s">
        <v>236</v>
      </c>
      <c r="FJ123" t="s">
        <v>226</v>
      </c>
      <c r="FK123" t="s">
        <v>265</v>
      </c>
      <c r="FL123" t="s">
        <v>236</v>
      </c>
      <c r="FM123" t="s">
        <v>236</v>
      </c>
      <c r="FW123" t="s">
        <v>236</v>
      </c>
      <c r="FZ123" t="s">
        <v>236</v>
      </c>
      <c r="GC123" t="s">
        <v>236</v>
      </c>
      <c r="GF123" t="s">
        <v>226</v>
      </c>
      <c r="GG123" t="s">
        <v>236</v>
      </c>
      <c r="GI123" t="s">
        <v>236</v>
      </c>
      <c r="GL123" t="s">
        <v>236</v>
      </c>
      <c r="GO123" t="s">
        <v>226</v>
      </c>
      <c r="GP123" t="s">
        <v>236</v>
      </c>
      <c r="GR123" t="s">
        <v>226</v>
      </c>
      <c r="GS123" t="s">
        <v>236</v>
      </c>
      <c r="GU123" t="s">
        <v>236</v>
      </c>
      <c r="GX123" t="s">
        <v>236</v>
      </c>
      <c r="HB123" t="s">
        <v>1276</v>
      </c>
      <c r="HC123" t="s">
        <v>1277</v>
      </c>
      <c r="HE123">
        <v>82848860</v>
      </c>
      <c r="HF123" t="s">
        <v>1278</v>
      </c>
      <c r="HG123" s="2">
        <v>45751.590439814812</v>
      </c>
      <c r="HJ123" t="s">
        <v>248</v>
      </c>
      <c r="HL123" t="s">
        <v>249</v>
      </c>
      <c r="HN123">
        <v>122</v>
      </c>
    </row>
    <row r="124" spans="1:222" x14ac:dyDescent="0.25">
      <c r="A124" s="2">
        <v>45751.382199328713</v>
      </c>
      <c r="B124" s="2">
        <v>45751.385317488428</v>
      </c>
      <c r="C124" t="s">
        <v>334</v>
      </c>
      <c r="D124">
        <v>214</v>
      </c>
      <c r="E124" s="2">
        <v>45731</v>
      </c>
      <c r="F124">
        <v>1</v>
      </c>
      <c r="G124" t="s">
        <v>507</v>
      </c>
      <c r="H124" t="s">
        <v>375</v>
      </c>
      <c r="I124">
        <v>59</v>
      </c>
      <c r="J124" t="str">
        <f t="shared" si="1"/>
        <v>de 56 a más</v>
      </c>
      <c r="K124" t="s">
        <v>341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225</v>
      </c>
      <c r="R124" t="s">
        <v>226</v>
      </c>
      <c r="T124" t="s">
        <v>227</v>
      </c>
      <c r="V124" t="s">
        <v>252</v>
      </c>
      <c r="W124" t="s">
        <v>229</v>
      </c>
      <c r="X124" t="s">
        <v>350</v>
      </c>
      <c r="Z124" t="s">
        <v>231</v>
      </c>
      <c r="AA124" t="s">
        <v>232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I124" t="s">
        <v>233</v>
      </c>
      <c r="AJ124">
        <v>0</v>
      </c>
      <c r="AK124">
        <v>1</v>
      </c>
      <c r="AL124">
        <v>0</v>
      </c>
      <c r="AM124">
        <v>0</v>
      </c>
      <c r="AN124" t="s">
        <v>300</v>
      </c>
      <c r="AO124" t="s">
        <v>294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X124" t="s">
        <v>226</v>
      </c>
      <c r="AY124" t="s">
        <v>236</v>
      </c>
      <c r="AZ124" t="s">
        <v>237</v>
      </c>
      <c r="BA124" t="s">
        <v>512</v>
      </c>
      <c r="BB124" t="s">
        <v>825</v>
      </c>
      <c r="BE124" t="s">
        <v>237</v>
      </c>
      <c r="BF124" t="s">
        <v>237</v>
      </c>
      <c r="BG124" t="s">
        <v>259</v>
      </c>
      <c r="BH124" t="s">
        <v>237</v>
      </c>
      <c r="BI124" t="s">
        <v>237</v>
      </c>
      <c r="BJ124" t="s">
        <v>237</v>
      </c>
      <c r="BK124" t="s">
        <v>239</v>
      </c>
      <c r="BL124" t="s">
        <v>262</v>
      </c>
      <c r="BM124" t="s">
        <v>365</v>
      </c>
      <c r="BN124">
        <v>0</v>
      </c>
      <c r="BO124">
        <v>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 t="s">
        <v>328</v>
      </c>
      <c r="CB124" t="s">
        <v>243</v>
      </c>
      <c r="CC124" t="s">
        <v>243</v>
      </c>
      <c r="CD124" t="s">
        <v>236</v>
      </c>
      <c r="CE124" t="s">
        <v>236</v>
      </c>
      <c r="EA124" t="s">
        <v>226</v>
      </c>
      <c r="EB124" t="s">
        <v>244</v>
      </c>
      <c r="EC124" t="s">
        <v>236</v>
      </c>
      <c r="EE124" t="s">
        <v>236</v>
      </c>
      <c r="EG124" t="s">
        <v>236</v>
      </c>
      <c r="EI124" t="s">
        <v>236</v>
      </c>
      <c r="EK124" t="s">
        <v>236</v>
      </c>
      <c r="EM124" t="s">
        <v>236</v>
      </c>
      <c r="EO124" t="s">
        <v>236</v>
      </c>
      <c r="EQ124" t="s">
        <v>236</v>
      </c>
      <c r="ES124" t="s">
        <v>236</v>
      </c>
      <c r="EU124" t="s">
        <v>236</v>
      </c>
      <c r="EW124" t="s">
        <v>236</v>
      </c>
      <c r="EY124" t="s">
        <v>226</v>
      </c>
      <c r="EZ124" t="s">
        <v>244</v>
      </c>
      <c r="FA124" t="s">
        <v>236</v>
      </c>
      <c r="FC124" t="s">
        <v>236</v>
      </c>
      <c r="FE124" t="s">
        <v>226</v>
      </c>
      <c r="FF124" t="s">
        <v>245</v>
      </c>
      <c r="FG124" t="s">
        <v>236</v>
      </c>
      <c r="FJ124" t="s">
        <v>226</v>
      </c>
      <c r="FK124" t="s">
        <v>245</v>
      </c>
      <c r="FL124" t="s">
        <v>236</v>
      </c>
      <c r="FM124" t="s">
        <v>236</v>
      </c>
      <c r="FW124" t="s">
        <v>226</v>
      </c>
      <c r="FX124" t="s">
        <v>236</v>
      </c>
      <c r="FZ124" t="s">
        <v>236</v>
      </c>
      <c r="GC124" t="s">
        <v>236</v>
      </c>
      <c r="GF124" t="s">
        <v>226</v>
      </c>
      <c r="GG124" t="s">
        <v>236</v>
      </c>
      <c r="GI124" t="s">
        <v>236</v>
      </c>
      <c r="GL124" t="s">
        <v>236</v>
      </c>
      <c r="GO124" t="s">
        <v>226</v>
      </c>
      <c r="GP124" t="s">
        <v>236</v>
      </c>
      <c r="GR124" t="s">
        <v>226</v>
      </c>
      <c r="GS124" t="s">
        <v>236</v>
      </c>
      <c r="GU124" t="s">
        <v>236</v>
      </c>
      <c r="GX124" t="s">
        <v>236</v>
      </c>
      <c r="HB124" t="s">
        <v>323</v>
      </c>
      <c r="HC124" t="s">
        <v>513</v>
      </c>
      <c r="HE124">
        <v>82849130</v>
      </c>
      <c r="HF124" t="s">
        <v>1273</v>
      </c>
      <c r="HG124" s="2">
        <v>45751.593564814822</v>
      </c>
      <c r="HJ124" t="s">
        <v>248</v>
      </c>
      <c r="HL124" t="s">
        <v>249</v>
      </c>
      <c r="HN124">
        <v>123</v>
      </c>
    </row>
    <row r="125" spans="1:222" x14ac:dyDescent="0.25">
      <c r="A125" s="2">
        <v>45751.385318078697</v>
      </c>
      <c r="B125" s="2">
        <v>45751.38896423611</v>
      </c>
      <c r="C125" t="s">
        <v>334</v>
      </c>
      <c r="D125">
        <v>213</v>
      </c>
      <c r="E125" s="2">
        <v>45731</v>
      </c>
      <c r="F125">
        <v>1</v>
      </c>
      <c r="G125" t="s">
        <v>1268</v>
      </c>
      <c r="H125" t="s">
        <v>375</v>
      </c>
      <c r="I125">
        <v>48</v>
      </c>
      <c r="J125" t="str">
        <f t="shared" si="1"/>
        <v>de 41 a 55 años</v>
      </c>
      <c r="K125" t="s">
        <v>224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225</v>
      </c>
      <c r="R125" t="s">
        <v>226</v>
      </c>
      <c r="T125" t="s">
        <v>227</v>
      </c>
      <c r="V125" t="s">
        <v>321</v>
      </c>
      <c r="W125" t="s">
        <v>229</v>
      </c>
      <c r="X125" t="s">
        <v>350</v>
      </c>
      <c r="Z125" t="s">
        <v>351</v>
      </c>
      <c r="AA125" t="s">
        <v>232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I125" t="s">
        <v>233</v>
      </c>
      <c r="AJ125">
        <v>0</v>
      </c>
      <c r="AK125">
        <v>1</v>
      </c>
      <c r="AL125">
        <v>0</v>
      </c>
      <c r="AM125">
        <v>0</v>
      </c>
      <c r="AN125" t="s">
        <v>274</v>
      </c>
      <c r="AO125" t="s">
        <v>874</v>
      </c>
      <c r="AP125">
        <v>1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X125" t="s">
        <v>236</v>
      </c>
      <c r="AZ125" t="s">
        <v>237</v>
      </c>
      <c r="BA125" t="s">
        <v>1269</v>
      </c>
      <c r="BE125" t="s">
        <v>259</v>
      </c>
      <c r="BF125" t="s">
        <v>237</v>
      </c>
      <c r="BG125" t="s">
        <v>259</v>
      </c>
      <c r="BH125" t="s">
        <v>237</v>
      </c>
      <c r="BI125" t="s">
        <v>237</v>
      </c>
      <c r="BJ125" t="s">
        <v>259</v>
      </c>
      <c r="BK125" t="s">
        <v>259</v>
      </c>
      <c r="BL125" t="s">
        <v>313</v>
      </c>
      <c r="BM125" t="s">
        <v>1270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 t="s">
        <v>264</v>
      </c>
      <c r="CB125" t="s">
        <v>264</v>
      </c>
      <c r="CC125" t="s">
        <v>264</v>
      </c>
      <c r="CD125" t="s">
        <v>236</v>
      </c>
      <c r="CE125" t="s">
        <v>236</v>
      </c>
      <c r="EA125" t="s">
        <v>226</v>
      </c>
      <c r="EB125" t="s">
        <v>244</v>
      </c>
      <c r="EC125" t="s">
        <v>236</v>
      </c>
      <c r="EE125" t="s">
        <v>226</v>
      </c>
      <c r="EF125" t="s">
        <v>245</v>
      </c>
      <c r="EG125" t="s">
        <v>236</v>
      </c>
      <c r="EI125" t="s">
        <v>236</v>
      </c>
      <c r="EK125" t="s">
        <v>236</v>
      </c>
      <c r="EM125" t="s">
        <v>236</v>
      </c>
      <c r="EO125" t="s">
        <v>236</v>
      </c>
      <c r="EQ125" t="s">
        <v>236</v>
      </c>
      <c r="ES125" t="s">
        <v>226</v>
      </c>
      <c r="ET125" t="s">
        <v>245</v>
      </c>
      <c r="EU125" t="s">
        <v>226</v>
      </c>
      <c r="EV125" t="s">
        <v>245</v>
      </c>
      <c r="EW125" t="s">
        <v>236</v>
      </c>
      <c r="EY125" t="s">
        <v>236</v>
      </c>
      <c r="FA125" t="s">
        <v>236</v>
      </c>
      <c r="FC125" t="s">
        <v>236</v>
      </c>
      <c r="FE125" t="s">
        <v>236</v>
      </c>
      <c r="FG125" t="s">
        <v>236</v>
      </c>
      <c r="FJ125" t="s">
        <v>226</v>
      </c>
      <c r="FK125" t="s">
        <v>245</v>
      </c>
      <c r="FL125" t="s">
        <v>236</v>
      </c>
      <c r="FM125" t="s">
        <v>236</v>
      </c>
      <c r="FW125" t="s">
        <v>226</v>
      </c>
      <c r="FX125" t="s">
        <v>236</v>
      </c>
      <c r="FZ125" t="s">
        <v>226</v>
      </c>
      <c r="GA125" t="s">
        <v>236</v>
      </c>
      <c r="GC125" t="s">
        <v>236</v>
      </c>
      <c r="GF125" t="s">
        <v>226</v>
      </c>
      <c r="GG125" t="s">
        <v>236</v>
      </c>
      <c r="GI125" t="s">
        <v>236</v>
      </c>
      <c r="GL125" t="s">
        <v>236</v>
      </c>
      <c r="GO125" t="s">
        <v>236</v>
      </c>
      <c r="GR125" t="s">
        <v>226</v>
      </c>
      <c r="GS125" t="s">
        <v>236</v>
      </c>
      <c r="GU125" t="s">
        <v>226</v>
      </c>
      <c r="GV125" t="s">
        <v>236</v>
      </c>
      <c r="GX125" t="s">
        <v>236</v>
      </c>
      <c r="HB125" t="s">
        <v>510</v>
      </c>
      <c r="HC125" t="s">
        <v>1271</v>
      </c>
      <c r="HE125">
        <v>82849427</v>
      </c>
      <c r="HF125" t="s">
        <v>1272</v>
      </c>
      <c r="HG125" s="2">
        <v>45751.597210648149</v>
      </c>
      <c r="HJ125" t="s">
        <v>248</v>
      </c>
      <c r="HL125" t="s">
        <v>249</v>
      </c>
      <c r="HN125">
        <v>124</v>
      </c>
    </row>
    <row r="126" spans="1:222" x14ac:dyDescent="0.25">
      <c r="A126" s="2">
        <v>45751.388964733793</v>
      </c>
      <c r="B126" s="2">
        <v>45751.392613356482</v>
      </c>
      <c r="C126" t="s">
        <v>334</v>
      </c>
      <c r="D126">
        <v>212</v>
      </c>
      <c r="E126" s="2">
        <v>45731</v>
      </c>
      <c r="F126">
        <v>1</v>
      </c>
      <c r="G126" t="s">
        <v>374</v>
      </c>
      <c r="H126" t="s">
        <v>375</v>
      </c>
      <c r="I126">
        <v>47</v>
      </c>
      <c r="J126" t="str">
        <f t="shared" si="1"/>
        <v>de 41 a 55 años</v>
      </c>
      <c r="K126" t="s">
        <v>251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291</v>
      </c>
      <c r="R126" t="s">
        <v>226</v>
      </c>
      <c r="T126" t="s">
        <v>227</v>
      </c>
      <c r="V126" t="s">
        <v>1174</v>
      </c>
      <c r="W126" t="s">
        <v>229</v>
      </c>
      <c r="X126" t="s">
        <v>299</v>
      </c>
      <c r="Z126" t="s">
        <v>231</v>
      </c>
      <c r="AA126" t="s">
        <v>232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I126" t="s">
        <v>233</v>
      </c>
      <c r="AJ126">
        <v>0</v>
      </c>
      <c r="AK126">
        <v>1</v>
      </c>
      <c r="AL126">
        <v>0</v>
      </c>
      <c r="AM126">
        <v>0</v>
      </c>
      <c r="AN126" t="s">
        <v>274</v>
      </c>
      <c r="AO126" t="s">
        <v>294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X126" t="s">
        <v>226</v>
      </c>
      <c r="AY126" t="s">
        <v>226</v>
      </c>
      <c r="AZ126" t="s">
        <v>237</v>
      </c>
      <c r="BA126" t="s">
        <v>1266</v>
      </c>
      <c r="BE126" t="s">
        <v>259</v>
      </c>
      <c r="BF126" t="s">
        <v>259</v>
      </c>
      <c r="BG126" t="s">
        <v>259</v>
      </c>
      <c r="BH126" t="s">
        <v>239</v>
      </c>
      <c r="BI126" t="s">
        <v>239</v>
      </c>
      <c r="BJ126" t="s">
        <v>259</v>
      </c>
      <c r="BK126" t="s">
        <v>239</v>
      </c>
      <c r="BL126" t="s">
        <v>262</v>
      </c>
      <c r="BM126" t="s">
        <v>365</v>
      </c>
      <c r="BN126">
        <v>0</v>
      </c>
      <c r="BO126">
        <v>1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 t="s">
        <v>243</v>
      </c>
      <c r="CB126" t="s">
        <v>328</v>
      </c>
      <c r="CC126" t="s">
        <v>328</v>
      </c>
      <c r="CD126" t="s">
        <v>236</v>
      </c>
      <c r="CE126" t="s">
        <v>236</v>
      </c>
      <c r="EA126" t="s">
        <v>236</v>
      </c>
      <c r="EC126" t="s">
        <v>236</v>
      </c>
      <c r="EE126" t="s">
        <v>236</v>
      </c>
      <c r="EG126" t="s">
        <v>226</v>
      </c>
      <c r="EH126" t="s">
        <v>244</v>
      </c>
      <c r="EI126" t="s">
        <v>236</v>
      </c>
      <c r="EK126" t="s">
        <v>236</v>
      </c>
      <c r="EM126" t="s">
        <v>226</v>
      </c>
      <c r="EN126" t="s">
        <v>244</v>
      </c>
      <c r="EO126" t="s">
        <v>226</v>
      </c>
      <c r="EP126" t="s">
        <v>244</v>
      </c>
      <c r="EQ126" t="s">
        <v>236</v>
      </c>
      <c r="ES126" t="s">
        <v>236</v>
      </c>
      <c r="EU126" t="s">
        <v>236</v>
      </c>
      <c r="EW126" t="s">
        <v>226</v>
      </c>
      <c r="EX126" t="s">
        <v>244</v>
      </c>
      <c r="EY126" t="s">
        <v>236</v>
      </c>
      <c r="FA126" t="s">
        <v>226</v>
      </c>
      <c r="FB126" t="s">
        <v>244</v>
      </c>
      <c r="FC126" t="s">
        <v>236</v>
      </c>
      <c r="FE126" t="s">
        <v>226</v>
      </c>
      <c r="FF126" t="s">
        <v>244</v>
      </c>
      <c r="FG126" t="s">
        <v>236</v>
      </c>
      <c r="FJ126" t="s">
        <v>226</v>
      </c>
      <c r="FK126" t="s">
        <v>244</v>
      </c>
      <c r="FL126" t="s">
        <v>226</v>
      </c>
      <c r="FM126" t="s">
        <v>236</v>
      </c>
      <c r="FW126" t="s">
        <v>226</v>
      </c>
      <c r="FX126" t="s">
        <v>236</v>
      </c>
      <c r="FZ126" t="s">
        <v>236</v>
      </c>
      <c r="GC126" t="s">
        <v>226</v>
      </c>
      <c r="GD126" t="s">
        <v>236</v>
      </c>
      <c r="GF126" t="s">
        <v>226</v>
      </c>
      <c r="GG126" t="s">
        <v>236</v>
      </c>
      <c r="GI126" t="s">
        <v>236</v>
      </c>
      <c r="GL126" t="s">
        <v>236</v>
      </c>
      <c r="GO126" t="s">
        <v>226</v>
      </c>
      <c r="GP126" t="s">
        <v>226</v>
      </c>
      <c r="GQ126" t="s">
        <v>267</v>
      </c>
      <c r="GR126" t="s">
        <v>226</v>
      </c>
      <c r="GS126" t="s">
        <v>236</v>
      </c>
      <c r="GU126" t="s">
        <v>236</v>
      </c>
      <c r="GX126" t="s">
        <v>236</v>
      </c>
      <c r="HB126" t="s">
        <v>537</v>
      </c>
      <c r="HE126">
        <v>82849645</v>
      </c>
      <c r="HF126" t="s">
        <v>1267</v>
      </c>
      <c r="HG126" s="2">
        <v>45751.600856481477</v>
      </c>
      <c r="HJ126" t="s">
        <v>248</v>
      </c>
      <c r="HL126" t="s">
        <v>249</v>
      </c>
      <c r="HN126">
        <v>125</v>
      </c>
    </row>
    <row r="127" spans="1:222" x14ac:dyDescent="0.25">
      <c r="A127" s="2">
        <v>45751.39261383102</v>
      </c>
      <c r="B127" s="2">
        <v>45751.398147094907</v>
      </c>
      <c r="C127" t="s">
        <v>334</v>
      </c>
      <c r="D127">
        <v>211</v>
      </c>
      <c r="E127" s="2">
        <v>45731</v>
      </c>
      <c r="F127">
        <v>1</v>
      </c>
      <c r="G127" t="s">
        <v>507</v>
      </c>
      <c r="H127" t="s">
        <v>375</v>
      </c>
      <c r="I127">
        <v>48</v>
      </c>
      <c r="J127" t="str">
        <f t="shared" si="1"/>
        <v>de 41 a 55 años</v>
      </c>
      <c r="K127" t="s">
        <v>224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225</v>
      </c>
      <c r="R127" t="s">
        <v>226</v>
      </c>
      <c r="T127" t="s">
        <v>227</v>
      </c>
      <c r="V127" t="s">
        <v>228</v>
      </c>
      <c r="W127" t="s">
        <v>229</v>
      </c>
      <c r="X127" t="s">
        <v>350</v>
      </c>
      <c r="Z127" t="s">
        <v>231</v>
      </c>
      <c r="AA127" t="s">
        <v>232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I127" t="s">
        <v>233</v>
      </c>
      <c r="AJ127">
        <v>0</v>
      </c>
      <c r="AK127">
        <v>1</v>
      </c>
      <c r="AL127">
        <v>0</v>
      </c>
      <c r="AM127">
        <v>0</v>
      </c>
      <c r="AN127" t="s">
        <v>300</v>
      </c>
      <c r="AO127" t="s">
        <v>294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X127" t="s">
        <v>226</v>
      </c>
      <c r="AY127" t="s">
        <v>226</v>
      </c>
      <c r="AZ127" t="s">
        <v>237</v>
      </c>
      <c r="BA127" t="s">
        <v>1263</v>
      </c>
      <c r="BB127" t="s">
        <v>512</v>
      </c>
      <c r="BE127" t="s">
        <v>259</v>
      </c>
      <c r="BF127" t="s">
        <v>259</v>
      </c>
      <c r="BG127" t="s">
        <v>259</v>
      </c>
      <c r="BH127" t="s">
        <v>259</v>
      </c>
      <c r="BI127" t="s">
        <v>237</v>
      </c>
      <c r="BJ127" t="s">
        <v>259</v>
      </c>
      <c r="BK127" t="s">
        <v>261</v>
      </c>
      <c r="BL127" t="s">
        <v>313</v>
      </c>
      <c r="BM127" t="s">
        <v>365</v>
      </c>
      <c r="BN127">
        <v>0</v>
      </c>
      <c r="BO127">
        <v>1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 t="s">
        <v>243</v>
      </c>
      <c r="CB127" t="s">
        <v>243</v>
      </c>
      <c r="CC127" t="s">
        <v>264</v>
      </c>
      <c r="CD127" t="s">
        <v>236</v>
      </c>
      <c r="CE127" t="s">
        <v>236</v>
      </c>
      <c r="EA127" t="s">
        <v>236</v>
      </c>
      <c r="EC127" t="s">
        <v>236</v>
      </c>
      <c r="EE127" t="s">
        <v>226</v>
      </c>
      <c r="EF127" t="s">
        <v>245</v>
      </c>
      <c r="EG127" t="s">
        <v>226</v>
      </c>
      <c r="EH127" t="s">
        <v>245</v>
      </c>
      <c r="EI127" t="s">
        <v>236</v>
      </c>
      <c r="EK127" t="s">
        <v>236</v>
      </c>
      <c r="EM127" t="s">
        <v>226</v>
      </c>
      <c r="EN127" t="s">
        <v>245</v>
      </c>
      <c r="EO127" t="s">
        <v>236</v>
      </c>
      <c r="EQ127" t="s">
        <v>236</v>
      </c>
      <c r="ES127" t="s">
        <v>236</v>
      </c>
      <c r="EU127" t="s">
        <v>236</v>
      </c>
      <c r="EW127" t="s">
        <v>236</v>
      </c>
      <c r="EY127" t="s">
        <v>226</v>
      </c>
      <c r="EZ127" t="s">
        <v>245</v>
      </c>
      <c r="FA127" t="s">
        <v>226</v>
      </c>
      <c r="FB127" t="s">
        <v>265</v>
      </c>
      <c r="FC127" t="s">
        <v>236</v>
      </c>
      <c r="FE127" t="s">
        <v>236</v>
      </c>
      <c r="FG127" t="s">
        <v>236</v>
      </c>
      <c r="FJ127" t="s">
        <v>226</v>
      </c>
      <c r="FK127" t="s">
        <v>245</v>
      </c>
      <c r="FL127" t="s">
        <v>236</v>
      </c>
      <c r="FM127" t="s">
        <v>236</v>
      </c>
      <c r="FW127" t="s">
        <v>236</v>
      </c>
      <c r="FZ127" t="s">
        <v>236</v>
      </c>
      <c r="GC127" t="s">
        <v>236</v>
      </c>
      <c r="GF127" t="s">
        <v>226</v>
      </c>
      <c r="GG127" t="s">
        <v>236</v>
      </c>
      <c r="GI127" t="s">
        <v>236</v>
      </c>
      <c r="GL127" t="s">
        <v>236</v>
      </c>
      <c r="GO127" t="s">
        <v>226</v>
      </c>
      <c r="GP127" t="s">
        <v>236</v>
      </c>
      <c r="GR127" t="s">
        <v>226</v>
      </c>
      <c r="GS127" t="s">
        <v>236</v>
      </c>
      <c r="GU127" t="s">
        <v>236</v>
      </c>
      <c r="GX127" t="s">
        <v>236</v>
      </c>
      <c r="HB127" t="s">
        <v>323</v>
      </c>
      <c r="HC127" t="s">
        <v>1264</v>
      </c>
      <c r="HE127">
        <v>82849922</v>
      </c>
      <c r="HF127" t="s">
        <v>1265</v>
      </c>
      <c r="HG127" s="2">
        <v>45751.606400462973</v>
      </c>
      <c r="HJ127" t="s">
        <v>248</v>
      </c>
      <c r="HL127" t="s">
        <v>249</v>
      </c>
      <c r="HN127">
        <v>126</v>
      </c>
    </row>
    <row r="128" spans="1:222" x14ac:dyDescent="0.25">
      <c r="A128" s="2">
        <v>45751.408073749997</v>
      </c>
      <c r="B128" s="2">
        <v>45751.41356011574</v>
      </c>
      <c r="C128" t="s">
        <v>221</v>
      </c>
      <c r="D128">
        <v>161</v>
      </c>
      <c r="E128" s="2">
        <v>45730</v>
      </c>
      <c r="F128">
        <v>3</v>
      </c>
      <c r="G128" t="s">
        <v>472</v>
      </c>
      <c r="H128" t="s">
        <v>335</v>
      </c>
      <c r="I128">
        <v>39</v>
      </c>
      <c r="J128" t="str">
        <f t="shared" si="1"/>
        <v>de 26 a 40 años</v>
      </c>
      <c r="K128" t="s">
        <v>341</v>
      </c>
      <c r="L128">
        <v>1</v>
      </c>
      <c r="M128">
        <v>0</v>
      </c>
      <c r="N128">
        <v>0</v>
      </c>
      <c r="O128">
        <v>0</v>
      </c>
      <c r="P128">
        <v>0</v>
      </c>
      <c r="Q128" t="s">
        <v>225</v>
      </c>
      <c r="R128" t="s">
        <v>226</v>
      </c>
      <c r="T128" t="s">
        <v>284</v>
      </c>
      <c r="V128" t="s">
        <v>252</v>
      </c>
      <c r="W128" t="s">
        <v>229</v>
      </c>
      <c r="X128" t="s">
        <v>230</v>
      </c>
      <c r="Z128" t="s">
        <v>254</v>
      </c>
      <c r="AA128" t="s">
        <v>376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I128" t="s">
        <v>256</v>
      </c>
      <c r="AJ128">
        <v>0</v>
      </c>
      <c r="AK128">
        <v>0</v>
      </c>
      <c r="AL128">
        <v>1</v>
      </c>
      <c r="AM128">
        <v>0</v>
      </c>
      <c r="AN128" t="s">
        <v>274</v>
      </c>
      <c r="AO128" t="s">
        <v>1099</v>
      </c>
      <c r="AP128">
        <v>0</v>
      </c>
      <c r="AQ128">
        <v>1</v>
      </c>
      <c r="AR128">
        <v>1</v>
      </c>
      <c r="AS128">
        <v>0</v>
      </c>
      <c r="AT128">
        <v>0</v>
      </c>
      <c r="AU128">
        <v>0</v>
      </c>
      <c r="AV128">
        <v>0</v>
      </c>
      <c r="AX128" t="s">
        <v>236</v>
      </c>
      <c r="AZ128" t="s">
        <v>237</v>
      </c>
      <c r="BA128" t="s">
        <v>470</v>
      </c>
      <c r="BB128" t="s">
        <v>301</v>
      </c>
      <c r="BE128" t="s">
        <v>237</v>
      </c>
      <c r="BF128" t="s">
        <v>237</v>
      </c>
      <c r="BG128" t="s">
        <v>237</v>
      </c>
      <c r="BH128" t="s">
        <v>237</v>
      </c>
      <c r="BI128" t="s">
        <v>237</v>
      </c>
      <c r="BJ128" t="s">
        <v>237</v>
      </c>
      <c r="BK128" t="s">
        <v>259</v>
      </c>
      <c r="BL128" t="s">
        <v>240</v>
      </c>
      <c r="BM128" t="s">
        <v>415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 t="s">
        <v>242</v>
      </c>
      <c r="CB128" t="s">
        <v>264</v>
      </c>
      <c r="CC128" t="s">
        <v>264</v>
      </c>
      <c r="CD128" t="s">
        <v>236</v>
      </c>
      <c r="CE128" t="s">
        <v>236</v>
      </c>
      <c r="EA128" t="s">
        <v>236</v>
      </c>
      <c r="EC128" t="s">
        <v>236</v>
      </c>
      <c r="EE128" t="s">
        <v>236</v>
      </c>
      <c r="EG128" t="s">
        <v>236</v>
      </c>
      <c r="EI128" t="s">
        <v>226</v>
      </c>
      <c r="EJ128" t="s">
        <v>245</v>
      </c>
      <c r="EK128" t="s">
        <v>236</v>
      </c>
      <c r="EM128" t="s">
        <v>226</v>
      </c>
      <c r="EN128" t="s">
        <v>244</v>
      </c>
      <c r="EO128" t="s">
        <v>236</v>
      </c>
      <c r="EQ128" t="s">
        <v>236</v>
      </c>
      <c r="ES128" t="s">
        <v>236</v>
      </c>
      <c r="EU128" t="s">
        <v>236</v>
      </c>
      <c r="EW128" t="s">
        <v>236</v>
      </c>
      <c r="EY128" t="s">
        <v>236</v>
      </c>
      <c r="FA128" t="s">
        <v>236</v>
      </c>
      <c r="FC128" t="s">
        <v>236</v>
      </c>
      <c r="FE128" t="s">
        <v>226</v>
      </c>
      <c r="FF128" t="s">
        <v>244</v>
      </c>
      <c r="FG128" t="s">
        <v>236</v>
      </c>
      <c r="FJ128" t="s">
        <v>226</v>
      </c>
      <c r="FK128" t="s">
        <v>244</v>
      </c>
      <c r="FL128" t="s">
        <v>236</v>
      </c>
      <c r="FM128" t="s">
        <v>236</v>
      </c>
      <c r="FW128" t="s">
        <v>226</v>
      </c>
      <c r="FX128" t="s">
        <v>236</v>
      </c>
      <c r="FZ128" t="s">
        <v>226</v>
      </c>
      <c r="GA128" t="s">
        <v>236</v>
      </c>
      <c r="GC128" t="s">
        <v>236</v>
      </c>
      <c r="GF128" t="s">
        <v>226</v>
      </c>
      <c r="GG128" t="s">
        <v>236</v>
      </c>
      <c r="GI128" t="s">
        <v>236</v>
      </c>
      <c r="GL128" t="s">
        <v>236</v>
      </c>
      <c r="GO128" t="s">
        <v>226</v>
      </c>
      <c r="GP128" t="s">
        <v>226</v>
      </c>
      <c r="GQ128" t="s">
        <v>267</v>
      </c>
      <c r="GR128" t="s">
        <v>226</v>
      </c>
      <c r="GS128" t="s">
        <v>226</v>
      </c>
      <c r="GT128" t="s">
        <v>266</v>
      </c>
      <c r="GU128" t="s">
        <v>226</v>
      </c>
      <c r="GV128" t="s">
        <v>226</v>
      </c>
      <c r="GW128" t="s">
        <v>266</v>
      </c>
      <c r="GX128" t="s">
        <v>236</v>
      </c>
      <c r="HB128" t="s">
        <v>280</v>
      </c>
      <c r="HC128" t="s">
        <v>323</v>
      </c>
      <c r="HE128">
        <v>82850801</v>
      </c>
      <c r="HF128" t="s">
        <v>1100</v>
      </c>
      <c r="HG128" s="2">
        <v>45751.621817129628</v>
      </c>
      <c r="HJ128" t="s">
        <v>248</v>
      </c>
      <c r="HL128" t="s">
        <v>249</v>
      </c>
      <c r="HN128">
        <v>127</v>
      </c>
    </row>
    <row r="129" spans="1:222" x14ac:dyDescent="0.25">
      <c r="A129" s="2">
        <v>45751.413560682871</v>
      </c>
      <c r="B129" s="2">
        <v>45751.419110902767</v>
      </c>
      <c r="C129" t="s">
        <v>221</v>
      </c>
      <c r="D129">
        <v>163</v>
      </c>
      <c r="E129" s="2">
        <v>45730</v>
      </c>
      <c r="F129">
        <v>4</v>
      </c>
      <c r="G129" t="s">
        <v>436</v>
      </c>
      <c r="H129" t="s">
        <v>270</v>
      </c>
      <c r="I129">
        <v>36</v>
      </c>
      <c r="J129" t="str">
        <f t="shared" si="1"/>
        <v>de 26 a 40 años</v>
      </c>
      <c r="K129" t="s">
        <v>341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291</v>
      </c>
      <c r="R129" t="s">
        <v>226</v>
      </c>
      <c r="T129" t="s">
        <v>227</v>
      </c>
      <c r="V129" t="s">
        <v>228</v>
      </c>
      <c r="W129" t="s">
        <v>229</v>
      </c>
      <c r="X129" t="s">
        <v>230</v>
      </c>
      <c r="Z129" t="s">
        <v>231</v>
      </c>
      <c r="AA129" t="s">
        <v>823</v>
      </c>
      <c r="AB129">
        <v>1</v>
      </c>
      <c r="AC129">
        <v>0</v>
      </c>
      <c r="AD129">
        <v>0</v>
      </c>
      <c r="AE129">
        <v>1</v>
      </c>
      <c r="AF129">
        <v>0</v>
      </c>
      <c r="AG129">
        <v>0</v>
      </c>
      <c r="AI129" t="s">
        <v>233</v>
      </c>
      <c r="AJ129">
        <v>0</v>
      </c>
      <c r="AK129">
        <v>1</v>
      </c>
      <c r="AL129">
        <v>0</v>
      </c>
      <c r="AM129">
        <v>0</v>
      </c>
      <c r="AN129" t="s">
        <v>257</v>
      </c>
      <c r="AO129" t="s">
        <v>369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 t="s">
        <v>1103</v>
      </c>
      <c r="AX129" t="s">
        <v>226</v>
      </c>
      <c r="AY129" t="s">
        <v>226</v>
      </c>
      <c r="AZ129" t="s">
        <v>259</v>
      </c>
      <c r="BA129" t="s">
        <v>1104</v>
      </c>
      <c r="BB129" t="s">
        <v>1105</v>
      </c>
      <c r="BE129" t="s">
        <v>308</v>
      </c>
      <c r="BF129" t="s">
        <v>237</v>
      </c>
      <c r="BG129" t="s">
        <v>239</v>
      </c>
      <c r="BH129" t="s">
        <v>237</v>
      </c>
      <c r="BI129" t="s">
        <v>259</v>
      </c>
      <c r="BJ129" t="s">
        <v>259</v>
      </c>
      <c r="BK129" t="s">
        <v>261</v>
      </c>
      <c r="BL129" t="s">
        <v>313</v>
      </c>
      <c r="BM129" t="s">
        <v>1106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1</v>
      </c>
      <c r="BZ129">
        <v>0</v>
      </c>
      <c r="CA129" t="s">
        <v>243</v>
      </c>
      <c r="CB129" t="s">
        <v>264</v>
      </c>
      <c r="CC129" t="s">
        <v>243</v>
      </c>
      <c r="CD129" t="s">
        <v>236</v>
      </c>
      <c r="CE129" t="s">
        <v>236</v>
      </c>
      <c r="EA129" t="s">
        <v>226</v>
      </c>
      <c r="EB129" t="s">
        <v>245</v>
      </c>
      <c r="EC129" t="s">
        <v>236</v>
      </c>
      <c r="EE129" t="s">
        <v>226</v>
      </c>
      <c r="EF129" t="s">
        <v>265</v>
      </c>
      <c r="EG129" t="s">
        <v>226</v>
      </c>
      <c r="EH129" t="s">
        <v>244</v>
      </c>
      <c r="EI129" t="s">
        <v>226</v>
      </c>
      <c r="EJ129" t="s">
        <v>265</v>
      </c>
      <c r="EK129" t="s">
        <v>236</v>
      </c>
      <c r="EM129" t="s">
        <v>236</v>
      </c>
      <c r="EO129" t="s">
        <v>226</v>
      </c>
      <c r="EP129" t="s">
        <v>244</v>
      </c>
      <c r="EQ129" t="s">
        <v>236</v>
      </c>
      <c r="ES129" t="s">
        <v>226</v>
      </c>
      <c r="ET129" t="s">
        <v>245</v>
      </c>
      <c r="EU129" t="s">
        <v>236</v>
      </c>
      <c r="EW129" t="s">
        <v>226</v>
      </c>
      <c r="EX129" t="s">
        <v>244</v>
      </c>
      <c r="EY129" t="s">
        <v>226</v>
      </c>
      <c r="EZ129" t="s">
        <v>244</v>
      </c>
      <c r="FA129" t="s">
        <v>226</v>
      </c>
      <c r="FB129" t="s">
        <v>244</v>
      </c>
      <c r="FC129" t="s">
        <v>236</v>
      </c>
      <c r="FE129" t="s">
        <v>226</v>
      </c>
      <c r="FF129" t="s">
        <v>245</v>
      </c>
      <c r="FG129" t="s">
        <v>236</v>
      </c>
      <c r="FJ129" t="s">
        <v>226</v>
      </c>
      <c r="FK129" t="s">
        <v>265</v>
      </c>
      <c r="FL129" t="s">
        <v>236</v>
      </c>
      <c r="FM129" t="s">
        <v>236</v>
      </c>
      <c r="FW129" t="s">
        <v>236</v>
      </c>
      <c r="FZ129" t="s">
        <v>236</v>
      </c>
      <c r="GC129" t="s">
        <v>236</v>
      </c>
      <c r="GF129" t="s">
        <v>226</v>
      </c>
      <c r="GG129" t="s">
        <v>226</v>
      </c>
      <c r="GH129" t="s">
        <v>266</v>
      </c>
      <c r="GI129" t="s">
        <v>236</v>
      </c>
      <c r="GL129" t="s">
        <v>236</v>
      </c>
      <c r="GO129" t="s">
        <v>226</v>
      </c>
      <c r="GP129" t="s">
        <v>226</v>
      </c>
      <c r="GQ129" t="s">
        <v>266</v>
      </c>
      <c r="GR129" t="s">
        <v>226</v>
      </c>
      <c r="GS129" t="s">
        <v>226</v>
      </c>
      <c r="GT129" t="s">
        <v>266</v>
      </c>
      <c r="GU129" t="s">
        <v>236</v>
      </c>
      <c r="GX129" t="s">
        <v>236</v>
      </c>
      <c r="HB129" t="s">
        <v>537</v>
      </c>
      <c r="HC129" t="s">
        <v>1107</v>
      </c>
      <c r="HE129">
        <v>82851156</v>
      </c>
      <c r="HF129" t="s">
        <v>1108</v>
      </c>
      <c r="HG129" s="2">
        <v>45751.62736111111</v>
      </c>
      <c r="HJ129" t="s">
        <v>248</v>
      </c>
      <c r="HL129" t="s">
        <v>249</v>
      </c>
      <c r="HN129">
        <v>128</v>
      </c>
    </row>
    <row r="130" spans="1:222" x14ac:dyDescent="0.25">
      <c r="A130" s="2">
        <v>45751.419111377312</v>
      </c>
      <c r="B130" s="2">
        <v>45751.445984872676</v>
      </c>
      <c r="C130" t="s">
        <v>221</v>
      </c>
      <c r="D130">
        <v>164</v>
      </c>
      <c r="E130" s="2">
        <v>45730</v>
      </c>
      <c r="F130">
        <v>4</v>
      </c>
      <c r="G130" t="s">
        <v>436</v>
      </c>
      <c r="H130" t="s">
        <v>270</v>
      </c>
      <c r="I130">
        <v>25</v>
      </c>
      <c r="J130" t="str">
        <f t="shared" ref="J130:J193" si="2">IF(AND(I130&gt;=18,I130&lt;=25), "de 18 a 25 años",IF(AND(I130&gt;=26,I130&lt;=40),"de 26 a 40 años",IF(AND(I130&gt;=41,I130&lt;=55),"de 41 a 55 años","de 56 a más")))</f>
        <v>de 18 a 25 años</v>
      </c>
      <c r="K130" t="s">
        <v>341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291</v>
      </c>
      <c r="R130" t="s">
        <v>226</v>
      </c>
      <c r="T130" t="s">
        <v>227</v>
      </c>
      <c r="V130" t="s">
        <v>252</v>
      </c>
      <c r="W130" t="s">
        <v>229</v>
      </c>
      <c r="X130" t="s">
        <v>230</v>
      </c>
      <c r="Z130" t="s">
        <v>308</v>
      </c>
      <c r="AA130" t="s">
        <v>823</v>
      </c>
      <c r="AB130">
        <v>1</v>
      </c>
      <c r="AC130">
        <v>0</v>
      </c>
      <c r="AD130">
        <v>0</v>
      </c>
      <c r="AE130">
        <v>1</v>
      </c>
      <c r="AF130">
        <v>0</v>
      </c>
      <c r="AG130">
        <v>0</v>
      </c>
      <c r="AI130" t="s">
        <v>311</v>
      </c>
      <c r="AJ130">
        <v>0</v>
      </c>
      <c r="AK130">
        <v>1</v>
      </c>
      <c r="AL130">
        <v>1</v>
      </c>
      <c r="AM130">
        <v>0</v>
      </c>
      <c r="AN130" t="s">
        <v>257</v>
      </c>
      <c r="AO130" t="s">
        <v>275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</v>
      </c>
      <c r="AV130">
        <v>0</v>
      </c>
      <c r="AX130" t="s">
        <v>236</v>
      </c>
      <c r="AZ130" t="s">
        <v>259</v>
      </c>
      <c r="BA130" t="s">
        <v>1109</v>
      </c>
      <c r="BB130" t="s">
        <v>1110</v>
      </c>
      <c r="BE130" t="s">
        <v>308</v>
      </c>
      <c r="BF130" t="s">
        <v>259</v>
      </c>
      <c r="BG130" t="s">
        <v>237</v>
      </c>
      <c r="BH130" t="s">
        <v>259</v>
      </c>
      <c r="BI130" t="s">
        <v>259</v>
      </c>
      <c r="BJ130" t="s">
        <v>237</v>
      </c>
      <c r="BK130" t="s">
        <v>237</v>
      </c>
      <c r="BL130" t="s">
        <v>262</v>
      </c>
      <c r="BM130" t="s">
        <v>389</v>
      </c>
      <c r="BN130">
        <v>0</v>
      </c>
      <c r="BO130">
        <v>0</v>
      </c>
      <c r="BP130">
        <v>1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 t="s">
        <v>243</v>
      </c>
      <c r="CB130" t="s">
        <v>264</v>
      </c>
      <c r="CC130" t="s">
        <v>243</v>
      </c>
      <c r="CD130" t="s">
        <v>236</v>
      </c>
      <c r="CE130" t="s">
        <v>236</v>
      </c>
      <c r="EA130" t="s">
        <v>226</v>
      </c>
      <c r="EB130" t="s">
        <v>244</v>
      </c>
      <c r="EC130" t="s">
        <v>236</v>
      </c>
      <c r="EE130" t="s">
        <v>226</v>
      </c>
      <c r="EF130" t="s">
        <v>245</v>
      </c>
      <c r="EG130" t="s">
        <v>226</v>
      </c>
      <c r="EH130" t="s">
        <v>265</v>
      </c>
      <c r="EI130" t="s">
        <v>226</v>
      </c>
      <c r="EJ130" t="s">
        <v>244</v>
      </c>
      <c r="EK130" t="s">
        <v>236</v>
      </c>
      <c r="EM130" t="s">
        <v>236</v>
      </c>
      <c r="EO130" t="s">
        <v>236</v>
      </c>
      <c r="EQ130" t="s">
        <v>236</v>
      </c>
      <c r="ES130" t="s">
        <v>236</v>
      </c>
      <c r="EU130" t="s">
        <v>226</v>
      </c>
      <c r="EV130" t="s">
        <v>244</v>
      </c>
      <c r="EW130" t="s">
        <v>226</v>
      </c>
      <c r="EX130" t="s">
        <v>245</v>
      </c>
      <c r="EY130" t="s">
        <v>236</v>
      </c>
      <c r="FA130" t="s">
        <v>226</v>
      </c>
      <c r="FB130" t="s">
        <v>245</v>
      </c>
      <c r="FC130" t="s">
        <v>236</v>
      </c>
      <c r="FE130" t="s">
        <v>236</v>
      </c>
      <c r="FG130" t="s">
        <v>236</v>
      </c>
      <c r="FJ130" t="s">
        <v>236</v>
      </c>
      <c r="FM130" t="s">
        <v>236</v>
      </c>
      <c r="FW130" t="s">
        <v>236</v>
      </c>
      <c r="FZ130" t="s">
        <v>236</v>
      </c>
      <c r="GC130" t="s">
        <v>236</v>
      </c>
      <c r="GF130" t="s">
        <v>226</v>
      </c>
      <c r="GG130" t="s">
        <v>226</v>
      </c>
      <c r="GH130" t="s">
        <v>266</v>
      </c>
      <c r="GI130" t="s">
        <v>236</v>
      </c>
      <c r="GL130" t="s">
        <v>236</v>
      </c>
      <c r="GO130" t="s">
        <v>226</v>
      </c>
      <c r="GP130" t="s">
        <v>226</v>
      </c>
      <c r="GQ130" t="s">
        <v>266</v>
      </c>
      <c r="GR130" t="s">
        <v>226</v>
      </c>
      <c r="GS130" t="s">
        <v>226</v>
      </c>
      <c r="GT130" t="s">
        <v>266</v>
      </c>
      <c r="GU130" t="s">
        <v>236</v>
      </c>
      <c r="GX130" t="s">
        <v>236</v>
      </c>
      <c r="HB130" t="s">
        <v>338</v>
      </c>
      <c r="HC130" t="s">
        <v>1107</v>
      </c>
      <c r="HE130">
        <v>82853072</v>
      </c>
      <c r="HF130" t="s">
        <v>1111</v>
      </c>
      <c r="HG130" s="2">
        <v>45751.654236111113</v>
      </c>
      <c r="HJ130" t="s">
        <v>248</v>
      </c>
      <c r="HL130" t="s">
        <v>249</v>
      </c>
      <c r="HN130">
        <v>129</v>
      </c>
    </row>
    <row r="131" spans="1:222" x14ac:dyDescent="0.25">
      <c r="A131" s="2">
        <v>45751.445985393519</v>
      </c>
      <c r="B131" s="2">
        <v>45751.451900416672</v>
      </c>
      <c r="C131" t="s">
        <v>221</v>
      </c>
      <c r="D131">
        <v>165</v>
      </c>
      <c r="E131" s="2">
        <v>45730</v>
      </c>
      <c r="F131">
        <v>4</v>
      </c>
      <c r="G131" t="s">
        <v>413</v>
      </c>
      <c r="H131" t="s">
        <v>270</v>
      </c>
      <c r="I131">
        <v>39</v>
      </c>
      <c r="J131" t="str">
        <f t="shared" si="2"/>
        <v>de 26 a 40 años</v>
      </c>
      <c r="K131" t="s">
        <v>341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225</v>
      </c>
      <c r="R131" t="s">
        <v>226</v>
      </c>
      <c r="T131" t="s">
        <v>1093</v>
      </c>
      <c r="V131" t="s">
        <v>252</v>
      </c>
      <c r="W131" t="s">
        <v>292</v>
      </c>
      <c r="X131" t="s">
        <v>230</v>
      </c>
      <c r="Z131" t="s">
        <v>254</v>
      </c>
      <c r="AA131" t="s">
        <v>255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I131" t="s">
        <v>233</v>
      </c>
      <c r="AJ131">
        <v>0</v>
      </c>
      <c r="AK131">
        <v>1</v>
      </c>
      <c r="AL131">
        <v>0</v>
      </c>
      <c r="AM131">
        <v>0</v>
      </c>
      <c r="AN131" t="s">
        <v>234</v>
      </c>
      <c r="AO131" t="s">
        <v>235</v>
      </c>
      <c r="AP131">
        <v>0</v>
      </c>
      <c r="AQ131">
        <v>0</v>
      </c>
      <c r="AR131">
        <v>0</v>
      </c>
      <c r="AS131">
        <v>1</v>
      </c>
      <c r="AT131">
        <v>0</v>
      </c>
      <c r="AU131">
        <v>0</v>
      </c>
      <c r="AV131">
        <v>0</v>
      </c>
      <c r="AX131" t="s">
        <v>226</v>
      </c>
      <c r="AY131" t="s">
        <v>226</v>
      </c>
      <c r="AZ131" t="s">
        <v>237</v>
      </c>
      <c r="BA131" t="s">
        <v>1112</v>
      </c>
      <c r="BB131" t="s">
        <v>1113</v>
      </c>
      <c r="BE131" t="s">
        <v>237</v>
      </c>
      <c r="BF131" t="s">
        <v>259</v>
      </c>
      <c r="BG131" t="s">
        <v>239</v>
      </c>
      <c r="BH131" t="s">
        <v>308</v>
      </c>
      <c r="BI131" t="s">
        <v>237</v>
      </c>
      <c r="BJ131" t="s">
        <v>237</v>
      </c>
      <c r="BK131" t="s">
        <v>237</v>
      </c>
      <c r="BL131" t="s">
        <v>262</v>
      </c>
      <c r="BM131" t="s">
        <v>372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1</v>
      </c>
      <c r="CA131" t="s">
        <v>243</v>
      </c>
      <c r="CB131" t="s">
        <v>328</v>
      </c>
      <c r="CC131" t="s">
        <v>264</v>
      </c>
      <c r="CD131" t="s">
        <v>236</v>
      </c>
      <c r="CE131" t="s">
        <v>236</v>
      </c>
      <c r="EA131" t="s">
        <v>236</v>
      </c>
      <c r="EC131" t="s">
        <v>236</v>
      </c>
      <c r="EE131" t="s">
        <v>236</v>
      </c>
      <c r="EG131" t="s">
        <v>236</v>
      </c>
      <c r="EI131" t="s">
        <v>226</v>
      </c>
      <c r="EJ131" t="s">
        <v>245</v>
      </c>
      <c r="EK131" t="s">
        <v>236</v>
      </c>
      <c r="EM131" t="s">
        <v>226</v>
      </c>
      <c r="EN131" t="s">
        <v>245</v>
      </c>
      <c r="EO131" t="s">
        <v>236</v>
      </c>
      <c r="EQ131" t="s">
        <v>236</v>
      </c>
      <c r="ES131" t="s">
        <v>236</v>
      </c>
      <c r="EU131" t="s">
        <v>236</v>
      </c>
      <c r="EW131" t="s">
        <v>236</v>
      </c>
      <c r="EY131" t="s">
        <v>236</v>
      </c>
      <c r="FA131" t="s">
        <v>236</v>
      </c>
      <c r="FC131" t="s">
        <v>236</v>
      </c>
      <c r="FE131" t="s">
        <v>236</v>
      </c>
      <c r="FG131" t="s">
        <v>236</v>
      </c>
      <c r="FJ131" t="s">
        <v>226</v>
      </c>
      <c r="FK131" t="s">
        <v>265</v>
      </c>
      <c r="FL131" t="s">
        <v>226</v>
      </c>
      <c r="FM131" t="s">
        <v>236</v>
      </c>
      <c r="FW131" t="s">
        <v>226</v>
      </c>
      <c r="FX131" t="s">
        <v>226</v>
      </c>
      <c r="FY131" t="s">
        <v>266</v>
      </c>
      <c r="FZ131" t="s">
        <v>236</v>
      </c>
      <c r="GC131" t="s">
        <v>236</v>
      </c>
      <c r="GF131" t="s">
        <v>236</v>
      </c>
      <c r="GI131" t="s">
        <v>236</v>
      </c>
      <c r="GL131" t="s">
        <v>236</v>
      </c>
      <c r="GO131" t="s">
        <v>226</v>
      </c>
      <c r="GP131" t="s">
        <v>226</v>
      </c>
      <c r="GQ131" t="s">
        <v>267</v>
      </c>
      <c r="GR131" t="s">
        <v>236</v>
      </c>
      <c r="GU131" t="s">
        <v>236</v>
      </c>
      <c r="GX131" t="s">
        <v>236</v>
      </c>
      <c r="HB131" t="s">
        <v>1114</v>
      </c>
      <c r="HE131">
        <v>82853727</v>
      </c>
      <c r="HF131" t="s">
        <v>1115</v>
      </c>
      <c r="HG131" s="2">
        <v>45751.660150462973</v>
      </c>
      <c r="HJ131" t="s">
        <v>248</v>
      </c>
      <c r="HL131" t="s">
        <v>249</v>
      </c>
      <c r="HN131">
        <v>130</v>
      </c>
    </row>
    <row r="132" spans="1:222" x14ac:dyDescent="0.25">
      <c r="A132" s="2">
        <v>45751.450669768521</v>
      </c>
      <c r="B132" s="2">
        <v>45751.454042731479</v>
      </c>
      <c r="C132" t="s">
        <v>334</v>
      </c>
      <c r="D132">
        <v>210</v>
      </c>
      <c r="E132" s="2">
        <v>45730</v>
      </c>
      <c r="F132">
        <v>1</v>
      </c>
      <c r="G132" t="s">
        <v>374</v>
      </c>
      <c r="H132" t="s">
        <v>375</v>
      </c>
      <c r="I132">
        <v>28</v>
      </c>
      <c r="J132" t="str">
        <f t="shared" si="2"/>
        <v>de 26 a 40 años</v>
      </c>
      <c r="K132" t="s">
        <v>251</v>
      </c>
      <c r="L132">
        <v>1</v>
      </c>
      <c r="M132">
        <v>0</v>
      </c>
      <c r="N132">
        <v>0</v>
      </c>
      <c r="O132">
        <v>0</v>
      </c>
      <c r="P132">
        <v>0</v>
      </c>
      <c r="Q132" t="s">
        <v>225</v>
      </c>
      <c r="R132" t="s">
        <v>226</v>
      </c>
      <c r="T132" t="s">
        <v>227</v>
      </c>
      <c r="V132" t="s">
        <v>252</v>
      </c>
      <c r="W132" t="s">
        <v>229</v>
      </c>
      <c r="X132" t="s">
        <v>230</v>
      </c>
      <c r="Z132" t="s">
        <v>351</v>
      </c>
      <c r="AA132" t="s">
        <v>293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0</v>
      </c>
      <c r="AI132" t="s">
        <v>311</v>
      </c>
      <c r="AJ132">
        <v>0</v>
      </c>
      <c r="AK132">
        <v>1</v>
      </c>
      <c r="AL132">
        <v>1</v>
      </c>
      <c r="AM132">
        <v>0</v>
      </c>
      <c r="AN132" t="s">
        <v>274</v>
      </c>
      <c r="AO132" t="s">
        <v>1259</v>
      </c>
      <c r="AP132">
        <v>0</v>
      </c>
      <c r="AQ132">
        <v>0</v>
      </c>
      <c r="AR132">
        <v>0</v>
      </c>
      <c r="AS132">
        <v>1</v>
      </c>
      <c r="AT132">
        <v>1</v>
      </c>
      <c r="AU132">
        <v>0</v>
      </c>
      <c r="AV132">
        <v>1</v>
      </c>
      <c r="AW132" t="s">
        <v>1260</v>
      </c>
      <c r="AX132" t="s">
        <v>226</v>
      </c>
      <c r="AY132" t="s">
        <v>226</v>
      </c>
      <c r="AZ132" t="s">
        <v>237</v>
      </c>
      <c r="BA132" t="s">
        <v>1261</v>
      </c>
      <c r="BE132" t="s">
        <v>261</v>
      </c>
      <c r="BF132" t="s">
        <v>259</v>
      </c>
      <c r="BG132" t="s">
        <v>237</v>
      </c>
      <c r="BH132" t="s">
        <v>237</v>
      </c>
      <c r="BI132" t="s">
        <v>239</v>
      </c>
      <c r="BJ132" t="s">
        <v>237</v>
      </c>
      <c r="BK132" t="s">
        <v>261</v>
      </c>
      <c r="BL132" t="s">
        <v>262</v>
      </c>
      <c r="BM132" t="s">
        <v>278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 t="s">
        <v>264</v>
      </c>
      <c r="CB132" t="s">
        <v>243</v>
      </c>
      <c r="CC132" t="s">
        <v>328</v>
      </c>
      <c r="CD132" t="s">
        <v>226</v>
      </c>
      <c r="CE132" t="s">
        <v>236</v>
      </c>
      <c r="EA132" t="s">
        <v>226</v>
      </c>
      <c r="EB132" t="s">
        <v>265</v>
      </c>
      <c r="EC132" t="s">
        <v>226</v>
      </c>
      <c r="ED132" t="s">
        <v>245</v>
      </c>
      <c r="EE132" t="s">
        <v>226</v>
      </c>
      <c r="EF132" t="s">
        <v>265</v>
      </c>
      <c r="EG132" t="s">
        <v>236</v>
      </c>
      <c r="EI132" t="s">
        <v>226</v>
      </c>
      <c r="EJ132" t="s">
        <v>265</v>
      </c>
      <c r="EK132" t="s">
        <v>236</v>
      </c>
      <c r="EM132" t="s">
        <v>226</v>
      </c>
      <c r="EN132" t="s">
        <v>265</v>
      </c>
      <c r="EO132" t="s">
        <v>226</v>
      </c>
      <c r="EP132" t="s">
        <v>245</v>
      </c>
      <c r="EQ132" t="s">
        <v>236</v>
      </c>
      <c r="ES132" t="s">
        <v>226</v>
      </c>
      <c r="ET132" t="s">
        <v>245</v>
      </c>
      <c r="EU132" t="s">
        <v>236</v>
      </c>
      <c r="EW132" t="s">
        <v>226</v>
      </c>
      <c r="EX132" t="s">
        <v>265</v>
      </c>
      <c r="EY132" t="s">
        <v>236</v>
      </c>
      <c r="FA132" t="s">
        <v>236</v>
      </c>
      <c r="FC132" t="s">
        <v>236</v>
      </c>
      <c r="FE132" t="s">
        <v>226</v>
      </c>
      <c r="FF132" t="s">
        <v>245</v>
      </c>
      <c r="FG132" t="s">
        <v>236</v>
      </c>
      <c r="FJ132" t="s">
        <v>226</v>
      </c>
      <c r="FK132" t="s">
        <v>265</v>
      </c>
      <c r="FL132" t="s">
        <v>236</v>
      </c>
      <c r="FM132" t="s">
        <v>236</v>
      </c>
      <c r="FW132" t="s">
        <v>226</v>
      </c>
      <c r="FX132" t="s">
        <v>236</v>
      </c>
      <c r="FZ132" t="s">
        <v>236</v>
      </c>
      <c r="GC132" t="s">
        <v>236</v>
      </c>
      <c r="GF132" t="s">
        <v>226</v>
      </c>
      <c r="GG132" t="s">
        <v>236</v>
      </c>
      <c r="GI132" t="s">
        <v>236</v>
      </c>
      <c r="GL132" t="s">
        <v>226</v>
      </c>
      <c r="GM132" t="s">
        <v>226</v>
      </c>
      <c r="GN132" t="s">
        <v>266</v>
      </c>
      <c r="GO132" t="s">
        <v>226</v>
      </c>
      <c r="GP132" t="s">
        <v>226</v>
      </c>
      <c r="GQ132" t="s">
        <v>267</v>
      </c>
      <c r="GR132" t="s">
        <v>226</v>
      </c>
      <c r="GS132" t="s">
        <v>226</v>
      </c>
      <c r="GT132" t="s">
        <v>266</v>
      </c>
      <c r="GU132" t="s">
        <v>236</v>
      </c>
      <c r="GX132" t="s">
        <v>236</v>
      </c>
      <c r="HB132" t="s">
        <v>339</v>
      </c>
      <c r="HE132">
        <v>82853973</v>
      </c>
      <c r="HF132" t="s">
        <v>1262</v>
      </c>
      <c r="HG132" s="2">
        <v>45751.662291666667</v>
      </c>
      <c r="HJ132" t="s">
        <v>248</v>
      </c>
      <c r="HL132" t="s">
        <v>249</v>
      </c>
      <c r="HN132">
        <v>131</v>
      </c>
    </row>
    <row r="133" spans="1:222" x14ac:dyDescent="0.25">
      <c r="A133" s="2">
        <v>45751.451900891203</v>
      </c>
      <c r="B133" s="2">
        <v>45751.457611481477</v>
      </c>
      <c r="C133" t="s">
        <v>221</v>
      </c>
      <c r="D133">
        <v>166</v>
      </c>
      <c r="E133" s="2">
        <v>45730</v>
      </c>
      <c r="F133">
        <v>4</v>
      </c>
      <c r="G133" t="s">
        <v>413</v>
      </c>
      <c r="H133" t="s">
        <v>270</v>
      </c>
      <c r="I133">
        <v>70</v>
      </c>
      <c r="J133" t="str">
        <f t="shared" si="2"/>
        <v>de 56 a más</v>
      </c>
      <c r="K133" t="s">
        <v>251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225</v>
      </c>
      <c r="R133" t="s">
        <v>226</v>
      </c>
      <c r="T133" t="s">
        <v>227</v>
      </c>
      <c r="V133" t="s">
        <v>228</v>
      </c>
      <c r="W133" t="s">
        <v>229</v>
      </c>
      <c r="X133" t="s">
        <v>368</v>
      </c>
      <c r="Z133" t="s">
        <v>308</v>
      </c>
      <c r="AA133" t="s">
        <v>232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I133" t="s">
        <v>233</v>
      </c>
      <c r="AJ133">
        <v>0</v>
      </c>
      <c r="AK133">
        <v>1</v>
      </c>
      <c r="AL133">
        <v>0</v>
      </c>
      <c r="AM133">
        <v>0</v>
      </c>
      <c r="AN133" t="s">
        <v>300</v>
      </c>
      <c r="AO133" t="s">
        <v>326</v>
      </c>
      <c r="AP133">
        <v>0</v>
      </c>
      <c r="AQ133">
        <v>0</v>
      </c>
      <c r="AR133">
        <v>1</v>
      </c>
      <c r="AS133">
        <v>1</v>
      </c>
      <c r="AT133">
        <v>0</v>
      </c>
      <c r="AU133">
        <v>0</v>
      </c>
      <c r="AV133">
        <v>0</v>
      </c>
      <c r="AX133" t="s">
        <v>236</v>
      </c>
      <c r="AZ133" t="s">
        <v>237</v>
      </c>
      <c r="BA133" t="s">
        <v>1116</v>
      </c>
      <c r="BB133" t="s">
        <v>1117</v>
      </c>
      <c r="BE133" t="s">
        <v>259</v>
      </c>
      <c r="BF133" t="s">
        <v>259</v>
      </c>
      <c r="BG133" t="s">
        <v>239</v>
      </c>
      <c r="BH133" t="s">
        <v>239</v>
      </c>
      <c r="BI133" t="s">
        <v>239</v>
      </c>
      <c r="BJ133" t="s">
        <v>259</v>
      </c>
      <c r="BK133" t="s">
        <v>259</v>
      </c>
      <c r="BL133" t="s">
        <v>240</v>
      </c>
      <c r="BM133" t="s">
        <v>389</v>
      </c>
      <c r="BN133">
        <v>0</v>
      </c>
      <c r="BO133">
        <v>0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 t="s">
        <v>264</v>
      </c>
      <c r="CB133" t="s">
        <v>328</v>
      </c>
      <c r="CC133" t="s">
        <v>328</v>
      </c>
      <c r="CD133" t="s">
        <v>236</v>
      </c>
      <c r="CE133" t="s">
        <v>236</v>
      </c>
      <c r="EA133" t="s">
        <v>236</v>
      </c>
      <c r="EC133" t="s">
        <v>236</v>
      </c>
      <c r="EE133" t="s">
        <v>226</v>
      </c>
      <c r="EF133" t="s">
        <v>245</v>
      </c>
      <c r="EG133" t="s">
        <v>226</v>
      </c>
      <c r="EH133" t="s">
        <v>245</v>
      </c>
      <c r="EI133" t="s">
        <v>226</v>
      </c>
      <c r="EJ133" t="s">
        <v>245</v>
      </c>
      <c r="EK133" t="s">
        <v>236</v>
      </c>
      <c r="EM133" t="s">
        <v>226</v>
      </c>
      <c r="EN133" t="s">
        <v>245</v>
      </c>
      <c r="EO133" t="s">
        <v>226</v>
      </c>
      <c r="EP133" t="s">
        <v>245</v>
      </c>
      <c r="EQ133" t="s">
        <v>236</v>
      </c>
      <c r="ES133" t="s">
        <v>236</v>
      </c>
      <c r="EU133" t="s">
        <v>236</v>
      </c>
      <c r="EW133" t="s">
        <v>308</v>
      </c>
      <c r="EY133" t="s">
        <v>236</v>
      </c>
      <c r="FA133" t="s">
        <v>226</v>
      </c>
      <c r="FB133" t="s">
        <v>245</v>
      </c>
      <c r="FC133" t="s">
        <v>308</v>
      </c>
      <c r="FE133" t="s">
        <v>236</v>
      </c>
      <c r="FG133" t="s">
        <v>236</v>
      </c>
      <c r="FJ133" t="s">
        <v>226</v>
      </c>
      <c r="FK133" t="s">
        <v>245</v>
      </c>
      <c r="FL133" t="s">
        <v>226</v>
      </c>
      <c r="FM133" t="s">
        <v>236</v>
      </c>
      <c r="FW133" t="s">
        <v>226</v>
      </c>
      <c r="FX133" t="s">
        <v>226</v>
      </c>
      <c r="FY133" t="s">
        <v>266</v>
      </c>
      <c r="FZ133" t="s">
        <v>236</v>
      </c>
      <c r="GC133" t="s">
        <v>236</v>
      </c>
      <c r="GF133" t="s">
        <v>236</v>
      </c>
      <c r="GI133" t="s">
        <v>236</v>
      </c>
      <c r="GL133" t="s">
        <v>236</v>
      </c>
      <c r="GO133" t="s">
        <v>226</v>
      </c>
      <c r="GP133" t="s">
        <v>226</v>
      </c>
      <c r="GQ133" t="s">
        <v>266</v>
      </c>
      <c r="GR133" t="s">
        <v>236</v>
      </c>
      <c r="GU133" t="s">
        <v>236</v>
      </c>
      <c r="GX133" t="s">
        <v>236</v>
      </c>
      <c r="HB133" t="s">
        <v>1118</v>
      </c>
      <c r="HE133">
        <v>82854271</v>
      </c>
      <c r="HF133" t="s">
        <v>1119</v>
      </c>
      <c r="HG133" s="2">
        <v>45751.665868055563</v>
      </c>
      <c r="HJ133" t="s">
        <v>248</v>
      </c>
      <c r="HL133" t="s">
        <v>249</v>
      </c>
      <c r="HN133">
        <v>132</v>
      </c>
    </row>
    <row r="134" spans="1:222" x14ac:dyDescent="0.25">
      <c r="A134" s="2">
        <v>45751.454043240738</v>
      </c>
      <c r="B134" s="2">
        <v>45751.460908287037</v>
      </c>
      <c r="C134" t="s">
        <v>334</v>
      </c>
      <c r="D134">
        <v>209</v>
      </c>
      <c r="E134" s="2">
        <v>45730</v>
      </c>
      <c r="F134">
        <v>1</v>
      </c>
      <c r="G134" t="s">
        <v>374</v>
      </c>
      <c r="H134" t="s">
        <v>375</v>
      </c>
      <c r="I134">
        <v>50</v>
      </c>
      <c r="J134" t="str">
        <f t="shared" si="2"/>
        <v>de 41 a 55 años</v>
      </c>
      <c r="K134" t="s">
        <v>341</v>
      </c>
      <c r="L134">
        <v>1</v>
      </c>
      <c r="M134">
        <v>0</v>
      </c>
      <c r="N134">
        <v>0</v>
      </c>
      <c r="O134">
        <v>0</v>
      </c>
      <c r="P134">
        <v>0</v>
      </c>
      <c r="Q134" t="s">
        <v>225</v>
      </c>
      <c r="R134" t="s">
        <v>226</v>
      </c>
      <c r="T134" t="s">
        <v>227</v>
      </c>
      <c r="V134" t="s">
        <v>272</v>
      </c>
      <c r="W134" t="s">
        <v>292</v>
      </c>
      <c r="X134" t="s">
        <v>230</v>
      </c>
      <c r="Z134" t="s">
        <v>351</v>
      </c>
      <c r="AA134" t="s">
        <v>232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I134" t="s">
        <v>233</v>
      </c>
      <c r="AJ134">
        <v>0</v>
      </c>
      <c r="AK134">
        <v>1</v>
      </c>
      <c r="AL134">
        <v>0</v>
      </c>
      <c r="AM134">
        <v>0</v>
      </c>
      <c r="AN134" t="s">
        <v>300</v>
      </c>
      <c r="AO134" t="s">
        <v>454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1</v>
      </c>
      <c r="AV134">
        <v>0</v>
      </c>
      <c r="AX134" t="s">
        <v>236</v>
      </c>
      <c r="AZ134" t="s">
        <v>259</v>
      </c>
      <c r="BA134" t="s">
        <v>371</v>
      </c>
      <c r="BE134" t="s">
        <v>259</v>
      </c>
      <c r="BF134" t="s">
        <v>259</v>
      </c>
      <c r="BG134" t="s">
        <v>259</v>
      </c>
      <c r="BH134" t="s">
        <v>239</v>
      </c>
      <c r="BI134" t="s">
        <v>237</v>
      </c>
      <c r="BJ134" t="s">
        <v>259</v>
      </c>
      <c r="BK134" t="s">
        <v>239</v>
      </c>
      <c r="BL134" t="s">
        <v>313</v>
      </c>
      <c r="BM134" t="s">
        <v>1257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0</v>
      </c>
      <c r="CA134" t="s">
        <v>243</v>
      </c>
      <c r="CB134" t="s">
        <v>328</v>
      </c>
      <c r="CC134" t="s">
        <v>264</v>
      </c>
      <c r="CD134" t="s">
        <v>236</v>
      </c>
      <c r="CE134" t="s">
        <v>236</v>
      </c>
      <c r="EA134" t="s">
        <v>226</v>
      </c>
      <c r="EB134" t="s">
        <v>244</v>
      </c>
      <c r="EC134" t="s">
        <v>226</v>
      </c>
      <c r="ED134" t="s">
        <v>265</v>
      </c>
      <c r="EE134" t="s">
        <v>226</v>
      </c>
      <c r="EF134" t="s">
        <v>265</v>
      </c>
      <c r="EG134" t="s">
        <v>226</v>
      </c>
      <c r="EH134" t="s">
        <v>244</v>
      </c>
      <c r="EI134" t="s">
        <v>226</v>
      </c>
      <c r="EJ134" t="s">
        <v>245</v>
      </c>
      <c r="EK134" t="s">
        <v>236</v>
      </c>
      <c r="EM134" t="s">
        <v>226</v>
      </c>
      <c r="EN134" t="s">
        <v>265</v>
      </c>
      <c r="EO134" t="s">
        <v>226</v>
      </c>
      <c r="EP134" t="s">
        <v>245</v>
      </c>
      <c r="EQ134" t="s">
        <v>226</v>
      </c>
      <c r="ER134" t="s">
        <v>245</v>
      </c>
      <c r="ES134" t="s">
        <v>226</v>
      </c>
      <c r="ET134" t="s">
        <v>245</v>
      </c>
      <c r="EU134" t="s">
        <v>226</v>
      </c>
      <c r="EV134" t="s">
        <v>244</v>
      </c>
      <c r="EW134" t="s">
        <v>226</v>
      </c>
      <c r="EX134" t="s">
        <v>244</v>
      </c>
      <c r="EY134" t="s">
        <v>226</v>
      </c>
      <c r="EZ134" t="s">
        <v>244</v>
      </c>
      <c r="FA134" t="s">
        <v>226</v>
      </c>
      <c r="FB134" t="s">
        <v>244</v>
      </c>
      <c r="FC134" t="s">
        <v>236</v>
      </c>
      <c r="FE134" t="s">
        <v>236</v>
      </c>
      <c r="FG134" t="s">
        <v>236</v>
      </c>
      <c r="FJ134" t="s">
        <v>226</v>
      </c>
      <c r="FK134" t="s">
        <v>265</v>
      </c>
      <c r="FL134" t="s">
        <v>236</v>
      </c>
      <c r="FM134" t="s">
        <v>226</v>
      </c>
      <c r="FN134" t="s">
        <v>476</v>
      </c>
      <c r="FO134">
        <v>1</v>
      </c>
      <c r="FP134">
        <v>1</v>
      </c>
      <c r="FQ134">
        <v>0</v>
      </c>
      <c r="FR134">
        <v>0</v>
      </c>
      <c r="FS134">
        <v>0</v>
      </c>
      <c r="FU134" t="s">
        <v>236</v>
      </c>
      <c r="FW134" t="s">
        <v>236</v>
      </c>
      <c r="FZ134" t="s">
        <v>236</v>
      </c>
      <c r="GC134" t="s">
        <v>236</v>
      </c>
      <c r="GF134" t="s">
        <v>236</v>
      </c>
      <c r="GI134" t="s">
        <v>236</v>
      </c>
      <c r="GL134" t="s">
        <v>236</v>
      </c>
      <c r="GO134" t="s">
        <v>236</v>
      </c>
      <c r="GR134" t="s">
        <v>236</v>
      </c>
      <c r="GU134" t="s">
        <v>236</v>
      </c>
      <c r="GX134" t="s">
        <v>236</v>
      </c>
      <c r="HB134" t="s">
        <v>358</v>
      </c>
      <c r="HE134">
        <v>82854435</v>
      </c>
      <c r="HF134" t="s">
        <v>1258</v>
      </c>
      <c r="HG134" s="2">
        <v>45751.66915509259</v>
      </c>
      <c r="HJ134" t="s">
        <v>248</v>
      </c>
      <c r="HL134" t="s">
        <v>249</v>
      </c>
      <c r="HN134">
        <v>133</v>
      </c>
    </row>
    <row r="135" spans="1:222" x14ac:dyDescent="0.25">
      <c r="A135" s="2">
        <v>45751.45761203704</v>
      </c>
      <c r="B135" s="2">
        <v>45751.597440902777</v>
      </c>
      <c r="C135" t="s">
        <v>221</v>
      </c>
      <c r="D135">
        <v>167</v>
      </c>
      <c r="E135" s="2">
        <v>45730</v>
      </c>
      <c r="F135">
        <v>4</v>
      </c>
      <c r="G135" t="s">
        <v>436</v>
      </c>
      <c r="H135" t="s">
        <v>270</v>
      </c>
      <c r="I135">
        <v>46</v>
      </c>
      <c r="J135" t="str">
        <f t="shared" si="2"/>
        <v>de 41 a 55 años</v>
      </c>
      <c r="K135" t="s">
        <v>251</v>
      </c>
      <c r="L135">
        <v>1</v>
      </c>
      <c r="M135">
        <v>0</v>
      </c>
      <c r="N135">
        <v>0</v>
      </c>
      <c r="O135">
        <v>0</v>
      </c>
      <c r="P135">
        <v>0</v>
      </c>
      <c r="Q135" t="s">
        <v>225</v>
      </c>
      <c r="R135" t="s">
        <v>226</v>
      </c>
      <c r="T135" t="s">
        <v>227</v>
      </c>
      <c r="V135" t="s">
        <v>228</v>
      </c>
      <c r="W135" t="s">
        <v>229</v>
      </c>
      <c r="X135" t="s">
        <v>230</v>
      </c>
      <c r="Z135" t="s">
        <v>351</v>
      </c>
      <c r="AA135" t="s">
        <v>232</v>
      </c>
      <c r="AB135">
        <v>1</v>
      </c>
      <c r="AC135">
        <v>0</v>
      </c>
      <c r="AD135">
        <v>0</v>
      </c>
      <c r="AE135">
        <v>0</v>
      </c>
      <c r="AF135">
        <v>0</v>
      </c>
      <c r="AG135">
        <v>0</v>
      </c>
      <c r="AI135" t="s">
        <v>256</v>
      </c>
      <c r="AJ135">
        <v>0</v>
      </c>
      <c r="AK135">
        <v>0</v>
      </c>
      <c r="AL135">
        <v>1</v>
      </c>
      <c r="AM135">
        <v>0</v>
      </c>
      <c r="AN135" t="s">
        <v>257</v>
      </c>
      <c r="AO135" t="s">
        <v>369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 t="s">
        <v>551</v>
      </c>
      <c r="AX135" t="s">
        <v>236</v>
      </c>
      <c r="AZ135" t="s">
        <v>259</v>
      </c>
      <c r="BA135" t="s">
        <v>594</v>
      </c>
      <c r="BB135" t="s">
        <v>1120</v>
      </c>
      <c r="BE135" t="s">
        <v>259</v>
      </c>
      <c r="BF135" t="s">
        <v>259</v>
      </c>
      <c r="BG135" t="s">
        <v>239</v>
      </c>
      <c r="BH135" t="s">
        <v>259</v>
      </c>
      <c r="BI135" t="s">
        <v>237</v>
      </c>
      <c r="BJ135" t="s">
        <v>237</v>
      </c>
      <c r="BK135" t="s">
        <v>239</v>
      </c>
      <c r="BL135" t="s">
        <v>262</v>
      </c>
      <c r="BM135" t="s">
        <v>451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 t="s">
        <v>264</v>
      </c>
      <c r="CB135" t="s">
        <v>243</v>
      </c>
      <c r="CC135" t="s">
        <v>243</v>
      </c>
      <c r="CD135" t="s">
        <v>236</v>
      </c>
      <c r="CE135" t="s">
        <v>236</v>
      </c>
      <c r="EA135" t="s">
        <v>236</v>
      </c>
      <c r="EC135" t="s">
        <v>236</v>
      </c>
      <c r="EE135" t="s">
        <v>226</v>
      </c>
      <c r="EF135" t="s">
        <v>244</v>
      </c>
      <c r="EG135" t="s">
        <v>226</v>
      </c>
      <c r="EH135" t="s">
        <v>244</v>
      </c>
      <c r="EI135" t="s">
        <v>226</v>
      </c>
      <c r="EJ135" t="s">
        <v>265</v>
      </c>
      <c r="EK135" t="s">
        <v>236</v>
      </c>
      <c r="EM135" t="s">
        <v>226</v>
      </c>
      <c r="EN135" t="s">
        <v>244</v>
      </c>
      <c r="EO135" t="s">
        <v>236</v>
      </c>
      <c r="EQ135" t="s">
        <v>236</v>
      </c>
      <c r="ES135" t="s">
        <v>226</v>
      </c>
      <c r="ET135" t="s">
        <v>244</v>
      </c>
      <c r="EU135" t="s">
        <v>236</v>
      </c>
      <c r="EW135" t="s">
        <v>226</v>
      </c>
      <c r="EX135" t="s">
        <v>245</v>
      </c>
      <c r="EY135" t="s">
        <v>236</v>
      </c>
      <c r="FA135" t="s">
        <v>236</v>
      </c>
      <c r="FC135" t="s">
        <v>236</v>
      </c>
      <c r="FE135" t="s">
        <v>226</v>
      </c>
      <c r="FF135" t="s">
        <v>245</v>
      </c>
      <c r="FG135" t="s">
        <v>236</v>
      </c>
      <c r="FJ135" t="s">
        <v>226</v>
      </c>
      <c r="FK135" t="s">
        <v>265</v>
      </c>
      <c r="FL135" t="s">
        <v>226</v>
      </c>
      <c r="FM135" t="s">
        <v>236</v>
      </c>
      <c r="FW135" t="s">
        <v>236</v>
      </c>
      <c r="FZ135" t="s">
        <v>236</v>
      </c>
      <c r="GC135" t="s">
        <v>236</v>
      </c>
      <c r="GF135" t="s">
        <v>226</v>
      </c>
      <c r="GG135" t="s">
        <v>226</v>
      </c>
      <c r="GH135" t="s">
        <v>570</v>
      </c>
      <c r="GI135" t="s">
        <v>236</v>
      </c>
      <c r="GL135" t="s">
        <v>236</v>
      </c>
      <c r="GO135" t="s">
        <v>226</v>
      </c>
      <c r="GP135" t="s">
        <v>226</v>
      </c>
      <c r="GQ135" t="s">
        <v>267</v>
      </c>
      <c r="GR135" t="s">
        <v>226</v>
      </c>
      <c r="GS135" t="s">
        <v>226</v>
      </c>
      <c r="GT135" t="s">
        <v>570</v>
      </c>
      <c r="GU135" t="s">
        <v>236</v>
      </c>
      <c r="GX135" t="s">
        <v>236</v>
      </c>
      <c r="HB135" t="s">
        <v>1107</v>
      </c>
      <c r="HC135" t="s">
        <v>734</v>
      </c>
      <c r="HE135">
        <v>82865235</v>
      </c>
      <c r="HF135" t="s">
        <v>1121</v>
      </c>
      <c r="HG135" s="2">
        <v>45751.805694444447</v>
      </c>
      <c r="HJ135" t="s">
        <v>248</v>
      </c>
      <c r="HL135" t="s">
        <v>249</v>
      </c>
      <c r="HN135">
        <v>142</v>
      </c>
    </row>
    <row r="136" spans="1:222" x14ac:dyDescent="0.25">
      <c r="A136" s="2">
        <v>45751.46090888889</v>
      </c>
      <c r="B136" s="2">
        <v>45751.465272824084</v>
      </c>
      <c r="C136" t="s">
        <v>334</v>
      </c>
      <c r="D136">
        <v>208</v>
      </c>
      <c r="E136" s="2">
        <v>45731</v>
      </c>
      <c r="F136">
        <v>1</v>
      </c>
      <c r="G136" t="s">
        <v>374</v>
      </c>
      <c r="H136" t="s">
        <v>375</v>
      </c>
      <c r="I136">
        <v>30</v>
      </c>
      <c r="J136" t="str">
        <f t="shared" si="2"/>
        <v>de 26 a 40 años</v>
      </c>
      <c r="K136" t="s">
        <v>341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225</v>
      </c>
      <c r="R136" t="s">
        <v>226</v>
      </c>
      <c r="T136" t="s">
        <v>284</v>
      </c>
      <c r="V136" t="s">
        <v>228</v>
      </c>
      <c r="W136" t="s">
        <v>229</v>
      </c>
      <c r="X136" t="s">
        <v>230</v>
      </c>
      <c r="Z136" t="s">
        <v>231</v>
      </c>
      <c r="AA136" t="s">
        <v>232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0</v>
      </c>
      <c r="AI136" t="s">
        <v>311</v>
      </c>
      <c r="AJ136">
        <v>0</v>
      </c>
      <c r="AK136">
        <v>1</v>
      </c>
      <c r="AL136">
        <v>1</v>
      </c>
      <c r="AM136">
        <v>0</v>
      </c>
      <c r="AN136" t="s">
        <v>234</v>
      </c>
      <c r="AO136" t="s">
        <v>235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X136" t="s">
        <v>226</v>
      </c>
      <c r="AY136" t="s">
        <v>226</v>
      </c>
      <c r="AZ136" t="s">
        <v>259</v>
      </c>
      <c r="BA136" t="s">
        <v>1254</v>
      </c>
      <c r="BE136" t="s">
        <v>259</v>
      </c>
      <c r="BF136" t="s">
        <v>362</v>
      </c>
      <c r="BG136" t="s">
        <v>259</v>
      </c>
      <c r="BH136" t="s">
        <v>259</v>
      </c>
      <c r="BI136" t="s">
        <v>237</v>
      </c>
      <c r="BJ136" t="s">
        <v>237</v>
      </c>
      <c r="BK136" t="s">
        <v>259</v>
      </c>
      <c r="BL136" t="s">
        <v>313</v>
      </c>
      <c r="BM136" t="s">
        <v>650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1</v>
      </c>
      <c r="BW136">
        <v>0</v>
      </c>
      <c r="BX136">
        <v>0</v>
      </c>
      <c r="BY136">
        <v>0</v>
      </c>
      <c r="BZ136">
        <v>0</v>
      </c>
      <c r="CA136" t="s">
        <v>264</v>
      </c>
      <c r="CB136" t="s">
        <v>243</v>
      </c>
      <c r="CC136" t="s">
        <v>328</v>
      </c>
      <c r="CD136" t="s">
        <v>226</v>
      </c>
      <c r="CE136" t="s">
        <v>226</v>
      </c>
      <c r="CF136" t="s">
        <v>315</v>
      </c>
      <c r="CG136">
        <v>1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S136" t="s">
        <v>236</v>
      </c>
      <c r="DD136" t="s">
        <v>316</v>
      </c>
      <c r="EA136" t="s">
        <v>236</v>
      </c>
      <c r="EC136" t="s">
        <v>236</v>
      </c>
      <c r="EE136" t="s">
        <v>226</v>
      </c>
      <c r="EF136" t="s">
        <v>245</v>
      </c>
      <c r="EG136" t="s">
        <v>226</v>
      </c>
      <c r="EH136" t="s">
        <v>265</v>
      </c>
      <c r="EI136" t="s">
        <v>226</v>
      </c>
      <c r="EJ136" t="s">
        <v>265</v>
      </c>
      <c r="EK136" t="s">
        <v>226</v>
      </c>
      <c r="EL136" t="s">
        <v>245</v>
      </c>
      <c r="EM136" t="s">
        <v>226</v>
      </c>
      <c r="EN136" t="s">
        <v>265</v>
      </c>
      <c r="EO136" t="s">
        <v>226</v>
      </c>
      <c r="EP136" t="s">
        <v>244</v>
      </c>
      <c r="EQ136" t="s">
        <v>236</v>
      </c>
      <c r="ES136" t="s">
        <v>226</v>
      </c>
      <c r="ET136" t="s">
        <v>265</v>
      </c>
      <c r="EU136" t="s">
        <v>226</v>
      </c>
      <c r="EV136" t="s">
        <v>244</v>
      </c>
      <c r="EW136" t="s">
        <v>226</v>
      </c>
      <c r="EX136" t="s">
        <v>244</v>
      </c>
      <c r="EY136" t="s">
        <v>236</v>
      </c>
      <c r="FA136" t="s">
        <v>226</v>
      </c>
      <c r="FB136" t="s">
        <v>244</v>
      </c>
      <c r="FC136" t="s">
        <v>236</v>
      </c>
      <c r="FE136" t="s">
        <v>226</v>
      </c>
      <c r="FF136" t="s">
        <v>244</v>
      </c>
      <c r="FG136" t="s">
        <v>236</v>
      </c>
      <c r="FJ136" t="s">
        <v>226</v>
      </c>
      <c r="FK136" t="s">
        <v>245</v>
      </c>
      <c r="FL136" t="s">
        <v>236</v>
      </c>
      <c r="FM136" t="s">
        <v>226</v>
      </c>
      <c r="FN136" t="s">
        <v>416</v>
      </c>
      <c r="FO136">
        <v>0</v>
      </c>
      <c r="FP136">
        <v>1</v>
      </c>
      <c r="FQ136">
        <v>0</v>
      </c>
      <c r="FR136">
        <v>0</v>
      </c>
      <c r="FS136">
        <v>0</v>
      </c>
      <c r="FU136" t="s">
        <v>226</v>
      </c>
      <c r="FW136" t="s">
        <v>226</v>
      </c>
      <c r="FX136" t="s">
        <v>236</v>
      </c>
      <c r="FZ136" t="s">
        <v>226</v>
      </c>
      <c r="GA136" t="s">
        <v>236</v>
      </c>
      <c r="GC136" t="s">
        <v>236</v>
      </c>
      <c r="GF136" t="s">
        <v>236</v>
      </c>
      <c r="GI136" t="s">
        <v>226</v>
      </c>
      <c r="GJ136" t="s">
        <v>236</v>
      </c>
      <c r="GL136" t="s">
        <v>236</v>
      </c>
      <c r="GO136" t="s">
        <v>226</v>
      </c>
      <c r="GP136" t="s">
        <v>226</v>
      </c>
      <c r="GQ136" t="s">
        <v>267</v>
      </c>
      <c r="GR136" t="s">
        <v>226</v>
      </c>
      <c r="GS136" t="s">
        <v>226</v>
      </c>
      <c r="GT136" t="s">
        <v>267</v>
      </c>
      <c r="GU136" t="s">
        <v>236</v>
      </c>
      <c r="GX136" t="s">
        <v>236</v>
      </c>
      <c r="HB136" t="s">
        <v>1255</v>
      </c>
      <c r="HE136">
        <v>82854827</v>
      </c>
      <c r="HF136" t="s">
        <v>1256</v>
      </c>
      <c r="HG136" s="2">
        <v>45751.673518518517</v>
      </c>
      <c r="HJ136" t="s">
        <v>248</v>
      </c>
      <c r="HL136" t="s">
        <v>249</v>
      </c>
      <c r="HN136">
        <v>134</v>
      </c>
    </row>
    <row r="137" spans="1:222" x14ac:dyDescent="0.25">
      <c r="A137" s="2">
        <v>45751.465273449066</v>
      </c>
      <c r="B137" s="2">
        <v>45751.470175590279</v>
      </c>
      <c r="C137" t="s">
        <v>334</v>
      </c>
      <c r="D137">
        <v>207</v>
      </c>
      <c r="E137" s="2">
        <v>45731</v>
      </c>
      <c r="F137">
        <v>1</v>
      </c>
      <c r="G137" t="s">
        <v>374</v>
      </c>
      <c r="H137" t="s">
        <v>375</v>
      </c>
      <c r="I137">
        <v>30</v>
      </c>
      <c r="J137" t="str">
        <f t="shared" si="2"/>
        <v>de 26 a 40 años</v>
      </c>
      <c r="K137" t="s">
        <v>251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291</v>
      </c>
      <c r="R137" t="s">
        <v>226</v>
      </c>
      <c r="T137" t="s">
        <v>227</v>
      </c>
      <c r="V137" t="s">
        <v>228</v>
      </c>
      <c r="W137" t="s">
        <v>229</v>
      </c>
      <c r="X137" t="s">
        <v>350</v>
      </c>
      <c r="Z137" t="s">
        <v>308</v>
      </c>
      <c r="AA137" t="s">
        <v>293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I137" t="s">
        <v>233</v>
      </c>
      <c r="AJ137">
        <v>0</v>
      </c>
      <c r="AK137">
        <v>1</v>
      </c>
      <c r="AL137">
        <v>0</v>
      </c>
      <c r="AM137">
        <v>0</v>
      </c>
      <c r="AN137" t="s">
        <v>300</v>
      </c>
      <c r="AO137" t="s">
        <v>369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</v>
      </c>
      <c r="AW137" t="s">
        <v>1250</v>
      </c>
      <c r="AX137" t="s">
        <v>226</v>
      </c>
      <c r="AY137" t="s">
        <v>226</v>
      </c>
      <c r="AZ137" t="s">
        <v>237</v>
      </c>
      <c r="BA137" t="s">
        <v>1251</v>
      </c>
      <c r="BE137" t="s">
        <v>259</v>
      </c>
      <c r="BF137" t="s">
        <v>239</v>
      </c>
      <c r="BG137" t="s">
        <v>237</v>
      </c>
      <c r="BH137" t="s">
        <v>237</v>
      </c>
      <c r="BI137" t="s">
        <v>237</v>
      </c>
      <c r="BJ137" t="s">
        <v>259</v>
      </c>
      <c r="BK137" t="s">
        <v>259</v>
      </c>
      <c r="BL137" t="s">
        <v>313</v>
      </c>
      <c r="BM137" t="s">
        <v>415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 t="s">
        <v>243</v>
      </c>
      <c r="CB137" t="s">
        <v>264</v>
      </c>
      <c r="CC137" t="s">
        <v>328</v>
      </c>
      <c r="CD137" t="s">
        <v>226</v>
      </c>
      <c r="CE137" t="s">
        <v>236</v>
      </c>
      <c r="EA137" t="s">
        <v>236</v>
      </c>
      <c r="EC137" t="s">
        <v>236</v>
      </c>
      <c r="EE137" t="s">
        <v>226</v>
      </c>
      <c r="EF137" t="s">
        <v>244</v>
      </c>
      <c r="EG137" t="s">
        <v>236</v>
      </c>
      <c r="EI137" t="s">
        <v>236</v>
      </c>
      <c r="EK137" t="s">
        <v>236</v>
      </c>
      <c r="EM137" t="s">
        <v>226</v>
      </c>
      <c r="EN137" t="s">
        <v>265</v>
      </c>
      <c r="EO137" t="s">
        <v>236</v>
      </c>
      <c r="EQ137" t="s">
        <v>236</v>
      </c>
      <c r="ES137" t="s">
        <v>236</v>
      </c>
      <c r="EU137" t="s">
        <v>236</v>
      </c>
      <c r="EW137" t="s">
        <v>236</v>
      </c>
      <c r="EY137" t="s">
        <v>236</v>
      </c>
      <c r="FA137" t="s">
        <v>226</v>
      </c>
      <c r="FB137" t="s">
        <v>244</v>
      </c>
      <c r="FC137" t="s">
        <v>236</v>
      </c>
      <c r="FE137" t="s">
        <v>226</v>
      </c>
      <c r="FF137" t="s">
        <v>245</v>
      </c>
      <c r="FG137" t="s">
        <v>236</v>
      </c>
      <c r="FJ137" t="s">
        <v>226</v>
      </c>
      <c r="FK137" t="s">
        <v>265</v>
      </c>
      <c r="FL137" t="s">
        <v>236</v>
      </c>
      <c r="FM137" t="s">
        <v>236</v>
      </c>
      <c r="FW137" t="s">
        <v>226</v>
      </c>
      <c r="FX137" t="s">
        <v>226</v>
      </c>
      <c r="FY137" t="s">
        <v>267</v>
      </c>
      <c r="FZ137" t="s">
        <v>226</v>
      </c>
      <c r="GA137" t="s">
        <v>236</v>
      </c>
      <c r="GC137" t="s">
        <v>236</v>
      </c>
      <c r="GF137" t="s">
        <v>226</v>
      </c>
      <c r="GG137" t="s">
        <v>226</v>
      </c>
      <c r="GH137" t="s">
        <v>267</v>
      </c>
      <c r="GI137" t="s">
        <v>236</v>
      </c>
      <c r="GL137" t="s">
        <v>236</v>
      </c>
      <c r="GO137" t="s">
        <v>236</v>
      </c>
      <c r="GR137" t="s">
        <v>226</v>
      </c>
      <c r="GS137" t="s">
        <v>236</v>
      </c>
      <c r="GU137" t="s">
        <v>236</v>
      </c>
      <c r="GX137" t="s">
        <v>236</v>
      </c>
      <c r="HB137" t="s">
        <v>1252</v>
      </c>
      <c r="HE137">
        <v>82855354</v>
      </c>
      <c r="HF137" t="s">
        <v>1253</v>
      </c>
      <c r="HG137" s="2">
        <v>45751.678425925929</v>
      </c>
      <c r="HJ137" t="s">
        <v>248</v>
      </c>
      <c r="HL137" t="s">
        <v>249</v>
      </c>
      <c r="HN137">
        <v>135</v>
      </c>
    </row>
    <row r="138" spans="1:222" x14ac:dyDescent="0.25">
      <c r="A138" s="2">
        <v>45751.470176215284</v>
      </c>
      <c r="B138" s="2">
        <v>45751.475529733798</v>
      </c>
      <c r="C138" t="s">
        <v>334</v>
      </c>
      <c r="D138">
        <v>206</v>
      </c>
      <c r="E138" s="2">
        <v>45731</v>
      </c>
      <c r="F138">
        <v>1</v>
      </c>
      <c r="G138" t="s">
        <v>450</v>
      </c>
      <c r="H138" t="s">
        <v>375</v>
      </c>
      <c r="I138">
        <v>48</v>
      </c>
      <c r="J138" t="str">
        <f t="shared" si="2"/>
        <v>de 41 a 55 años</v>
      </c>
      <c r="K138" t="s">
        <v>341</v>
      </c>
      <c r="L138">
        <v>1</v>
      </c>
      <c r="M138">
        <v>0</v>
      </c>
      <c r="N138">
        <v>0</v>
      </c>
      <c r="O138">
        <v>0</v>
      </c>
      <c r="P138">
        <v>0</v>
      </c>
      <c r="Q138" t="s">
        <v>225</v>
      </c>
      <c r="R138" t="s">
        <v>226</v>
      </c>
      <c r="T138" t="s">
        <v>659</v>
      </c>
      <c r="V138" t="s">
        <v>612</v>
      </c>
      <c r="W138" t="s">
        <v>229</v>
      </c>
      <c r="X138" t="s">
        <v>230</v>
      </c>
      <c r="Z138" t="s">
        <v>254</v>
      </c>
      <c r="AA138" t="s">
        <v>255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0</v>
      </c>
      <c r="AI138" t="s">
        <v>256</v>
      </c>
      <c r="AJ138">
        <v>0</v>
      </c>
      <c r="AK138">
        <v>0</v>
      </c>
      <c r="AL138">
        <v>1</v>
      </c>
      <c r="AM138">
        <v>0</v>
      </c>
      <c r="AN138" t="s">
        <v>234</v>
      </c>
      <c r="AO138" t="s">
        <v>275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1</v>
      </c>
      <c r="AV138">
        <v>0</v>
      </c>
      <c r="AX138" t="s">
        <v>226</v>
      </c>
      <c r="AY138" t="s">
        <v>226</v>
      </c>
      <c r="AZ138" t="s">
        <v>237</v>
      </c>
      <c r="BA138" t="s">
        <v>1248</v>
      </c>
      <c r="BB138" t="s">
        <v>276</v>
      </c>
      <c r="BE138" t="s">
        <v>237</v>
      </c>
      <c r="BF138" t="s">
        <v>237</v>
      </c>
      <c r="BG138" t="s">
        <v>237</v>
      </c>
      <c r="BH138" t="s">
        <v>237</v>
      </c>
      <c r="BI138" t="s">
        <v>237</v>
      </c>
      <c r="BJ138" t="s">
        <v>237</v>
      </c>
      <c r="BK138" t="s">
        <v>239</v>
      </c>
      <c r="BL138" t="s">
        <v>240</v>
      </c>
      <c r="BM138" t="s">
        <v>451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 t="s">
        <v>264</v>
      </c>
      <c r="CB138" t="s">
        <v>264</v>
      </c>
      <c r="CC138" t="s">
        <v>243</v>
      </c>
      <c r="CD138" t="s">
        <v>226</v>
      </c>
      <c r="CE138" t="s">
        <v>236</v>
      </c>
      <c r="EA138" t="s">
        <v>236</v>
      </c>
      <c r="EC138" t="s">
        <v>236</v>
      </c>
      <c r="EE138" t="s">
        <v>226</v>
      </c>
      <c r="EF138" t="s">
        <v>244</v>
      </c>
      <c r="EG138" t="s">
        <v>236</v>
      </c>
      <c r="EI138" t="s">
        <v>236</v>
      </c>
      <c r="EK138" t="s">
        <v>236</v>
      </c>
      <c r="EM138" t="s">
        <v>236</v>
      </c>
      <c r="EO138" t="s">
        <v>236</v>
      </c>
      <c r="EQ138" t="s">
        <v>236</v>
      </c>
      <c r="ES138" t="s">
        <v>236</v>
      </c>
      <c r="EU138" t="s">
        <v>236</v>
      </c>
      <c r="EW138" t="s">
        <v>236</v>
      </c>
      <c r="EY138" t="s">
        <v>226</v>
      </c>
      <c r="EZ138" t="s">
        <v>245</v>
      </c>
      <c r="FA138" t="s">
        <v>236</v>
      </c>
      <c r="FC138" t="s">
        <v>236</v>
      </c>
      <c r="FE138" t="s">
        <v>226</v>
      </c>
      <c r="FF138" t="s">
        <v>245</v>
      </c>
      <c r="FG138" t="s">
        <v>236</v>
      </c>
      <c r="FJ138" t="s">
        <v>236</v>
      </c>
      <c r="FM138" t="s">
        <v>236</v>
      </c>
      <c r="FW138" t="s">
        <v>226</v>
      </c>
      <c r="FX138" t="s">
        <v>226</v>
      </c>
      <c r="FY138" t="s">
        <v>266</v>
      </c>
      <c r="FZ138" t="s">
        <v>226</v>
      </c>
      <c r="GA138" t="s">
        <v>226</v>
      </c>
      <c r="GB138" t="s">
        <v>267</v>
      </c>
      <c r="GC138" t="s">
        <v>226</v>
      </c>
      <c r="GD138" t="s">
        <v>226</v>
      </c>
      <c r="GE138" t="s">
        <v>267</v>
      </c>
      <c r="GF138" t="s">
        <v>226</v>
      </c>
      <c r="GG138" t="s">
        <v>226</v>
      </c>
      <c r="GH138" t="s">
        <v>267</v>
      </c>
      <c r="GI138" t="s">
        <v>226</v>
      </c>
      <c r="GJ138" t="s">
        <v>226</v>
      </c>
      <c r="GK138" t="s">
        <v>267</v>
      </c>
      <c r="GL138" t="s">
        <v>226</v>
      </c>
      <c r="GM138" t="s">
        <v>226</v>
      </c>
      <c r="GN138" t="s">
        <v>267</v>
      </c>
      <c r="GO138" t="s">
        <v>226</v>
      </c>
      <c r="GP138" t="s">
        <v>226</v>
      </c>
      <c r="GQ138" t="s">
        <v>267</v>
      </c>
      <c r="GR138" t="s">
        <v>226</v>
      </c>
      <c r="GS138" t="s">
        <v>226</v>
      </c>
      <c r="GT138" t="s">
        <v>267</v>
      </c>
      <c r="GU138" t="s">
        <v>226</v>
      </c>
      <c r="GV138" t="s">
        <v>236</v>
      </c>
      <c r="GX138" t="s">
        <v>236</v>
      </c>
      <c r="HB138" t="s">
        <v>279</v>
      </c>
      <c r="HC138" t="s">
        <v>452</v>
      </c>
      <c r="HE138">
        <v>82856130</v>
      </c>
      <c r="HF138" t="s">
        <v>1249</v>
      </c>
      <c r="HG138" s="2">
        <v>45751.68378472222</v>
      </c>
      <c r="HJ138" t="s">
        <v>248</v>
      </c>
      <c r="HL138" t="s">
        <v>249</v>
      </c>
      <c r="HN138">
        <v>136</v>
      </c>
    </row>
    <row r="139" spans="1:222" x14ac:dyDescent="0.25">
      <c r="A139" s="2">
        <v>45751.475530312498</v>
      </c>
      <c r="B139" s="2">
        <v>45751.524577037038</v>
      </c>
      <c r="C139" t="s">
        <v>334</v>
      </c>
      <c r="D139">
        <v>205</v>
      </c>
      <c r="E139" s="2">
        <v>45730</v>
      </c>
      <c r="F139">
        <v>4</v>
      </c>
      <c r="G139" t="s">
        <v>361</v>
      </c>
      <c r="H139" t="s">
        <v>270</v>
      </c>
      <c r="I139">
        <v>42</v>
      </c>
      <c r="J139" t="str">
        <f t="shared" si="2"/>
        <v>de 41 a 55 años</v>
      </c>
      <c r="K139" t="s">
        <v>341</v>
      </c>
      <c r="L139">
        <v>1</v>
      </c>
      <c r="M139">
        <v>0</v>
      </c>
      <c r="N139">
        <v>0</v>
      </c>
      <c r="O139">
        <v>0</v>
      </c>
      <c r="P139">
        <v>0</v>
      </c>
      <c r="Q139" t="s">
        <v>291</v>
      </c>
      <c r="R139" t="s">
        <v>226</v>
      </c>
      <c r="T139" t="s">
        <v>227</v>
      </c>
      <c r="V139" t="s">
        <v>321</v>
      </c>
      <c r="W139" t="s">
        <v>229</v>
      </c>
      <c r="X139" t="s">
        <v>230</v>
      </c>
      <c r="Z139" t="s">
        <v>231</v>
      </c>
      <c r="AA139" t="s">
        <v>255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I139" t="s">
        <v>311</v>
      </c>
      <c r="AJ139">
        <v>0</v>
      </c>
      <c r="AK139">
        <v>1</v>
      </c>
      <c r="AL139">
        <v>1</v>
      </c>
      <c r="AM139">
        <v>0</v>
      </c>
      <c r="AN139" t="s">
        <v>257</v>
      </c>
      <c r="AO139" t="s">
        <v>382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0</v>
      </c>
      <c r="AV139">
        <v>0</v>
      </c>
      <c r="AX139" t="s">
        <v>236</v>
      </c>
      <c r="AZ139" t="s">
        <v>237</v>
      </c>
      <c r="BA139" t="s">
        <v>501</v>
      </c>
      <c r="BB139" t="s">
        <v>322</v>
      </c>
      <c r="BE139" t="s">
        <v>259</v>
      </c>
      <c r="BF139" t="s">
        <v>259</v>
      </c>
      <c r="BG139" t="s">
        <v>259</v>
      </c>
      <c r="BH139" t="s">
        <v>259</v>
      </c>
      <c r="BI139" t="s">
        <v>237</v>
      </c>
      <c r="BJ139" t="s">
        <v>259</v>
      </c>
      <c r="BK139" t="s">
        <v>259</v>
      </c>
      <c r="BL139" t="s">
        <v>262</v>
      </c>
      <c r="BM139" t="s">
        <v>389</v>
      </c>
      <c r="BN139">
        <v>0</v>
      </c>
      <c r="BO139">
        <v>0</v>
      </c>
      <c r="BP139">
        <v>1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 t="s">
        <v>243</v>
      </c>
      <c r="CB139" t="s">
        <v>243</v>
      </c>
      <c r="CC139" t="s">
        <v>243</v>
      </c>
      <c r="CD139" t="s">
        <v>236</v>
      </c>
      <c r="CE139" t="s">
        <v>236</v>
      </c>
      <c r="EA139" t="s">
        <v>236</v>
      </c>
      <c r="EC139" t="s">
        <v>236</v>
      </c>
      <c r="EE139" t="s">
        <v>226</v>
      </c>
      <c r="EF139" t="s">
        <v>245</v>
      </c>
      <c r="EG139" t="s">
        <v>226</v>
      </c>
      <c r="EH139" t="s">
        <v>265</v>
      </c>
      <c r="EI139" t="s">
        <v>236</v>
      </c>
      <c r="EK139" t="s">
        <v>236</v>
      </c>
      <c r="EM139" t="s">
        <v>226</v>
      </c>
      <c r="EN139" t="s">
        <v>244</v>
      </c>
      <c r="EO139" t="s">
        <v>226</v>
      </c>
      <c r="EP139" t="s">
        <v>245</v>
      </c>
      <c r="EQ139" t="s">
        <v>236</v>
      </c>
      <c r="ES139" t="s">
        <v>226</v>
      </c>
      <c r="ET139" t="s">
        <v>245</v>
      </c>
      <c r="EU139" t="s">
        <v>236</v>
      </c>
      <c r="EW139" t="s">
        <v>236</v>
      </c>
      <c r="EY139" t="s">
        <v>236</v>
      </c>
      <c r="FA139" t="s">
        <v>236</v>
      </c>
      <c r="FC139" t="s">
        <v>236</v>
      </c>
      <c r="FE139" t="s">
        <v>236</v>
      </c>
      <c r="FG139" t="s">
        <v>236</v>
      </c>
      <c r="FJ139" t="s">
        <v>226</v>
      </c>
      <c r="FK139" t="s">
        <v>245</v>
      </c>
      <c r="FL139" t="s">
        <v>236</v>
      </c>
      <c r="FM139" t="s">
        <v>236</v>
      </c>
      <c r="FW139" t="s">
        <v>236</v>
      </c>
      <c r="FZ139" t="s">
        <v>236</v>
      </c>
      <c r="GC139" t="s">
        <v>236</v>
      </c>
      <c r="GF139" t="s">
        <v>236</v>
      </c>
      <c r="GI139" t="s">
        <v>236</v>
      </c>
      <c r="GL139" t="s">
        <v>236</v>
      </c>
      <c r="GO139" t="s">
        <v>226</v>
      </c>
      <c r="GP139" t="s">
        <v>236</v>
      </c>
      <c r="GR139" t="s">
        <v>226</v>
      </c>
      <c r="GS139" t="s">
        <v>236</v>
      </c>
      <c r="GU139" t="s">
        <v>236</v>
      </c>
      <c r="GX139" t="s">
        <v>236</v>
      </c>
      <c r="HB139" t="s">
        <v>288</v>
      </c>
      <c r="HC139" t="s">
        <v>338</v>
      </c>
      <c r="HE139">
        <v>82859667</v>
      </c>
      <c r="HF139" t="s">
        <v>502</v>
      </c>
      <c r="HG139" s="2">
        <v>45751.732824074083</v>
      </c>
      <c r="HJ139" t="s">
        <v>248</v>
      </c>
      <c r="HL139" t="s">
        <v>249</v>
      </c>
      <c r="HN139">
        <v>137</v>
      </c>
    </row>
    <row r="140" spans="1:222" x14ac:dyDescent="0.25">
      <c r="A140" s="2">
        <v>45751.524577638891</v>
      </c>
      <c r="B140" s="2">
        <v>45751.534160208343</v>
      </c>
      <c r="C140" t="s">
        <v>334</v>
      </c>
      <c r="D140">
        <v>203</v>
      </c>
      <c r="E140" s="2">
        <v>45730</v>
      </c>
      <c r="F140">
        <v>4</v>
      </c>
      <c r="G140" t="s">
        <v>361</v>
      </c>
      <c r="H140" t="s">
        <v>270</v>
      </c>
      <c r="I140">
        <v>65</v>
      </c>
      <c r="J140" t="str">
        <f t="shared" si="2"/>
        <v>de 56 a más</v>
      </c>
      <c r="K140" t="s">
        <v>341</v>
      </c>
      <c r="L140">
        <v>2</v>
      </c>
      <c r="M140">
        <v>0</v>
      </c>
      <c r="N140">
        <v>1</v>
      </c>
      <c r="O140">
        <v>0</v>
      </c>
      <c r="P140">
        <v>0</v>
      </c>
      <c r="Q140" t="s">
        <v>291</v>
      </c>
      <c r="R140" t="s">
        <v>226</v>
      </c>
      <c r="T140" t="s">
        <v>227</v>
      </c>
      <c r="V140" t="s">
        <v>228</v>
      </c>
      <c r="W140" t="s">
        <v>229</v>
      </c>
      <c r="X140" t="s">
        <v>368</v>
      </c>
      <c r="Z140" t="s">
        <v>351</v>
      </c>
      <c r="AA140" t="s">
        <v>1239</v>
      </c>
      <c r="AB140">
        <v>0</v>
      </c>
      <c r="AC140">
        <v>1</v>
      </c>
      <c r="AD140">
        <v>0</v>
      </c>
      <c r="AE140">
        <v>1</v>
      </c>
      <c r="AF140">
        <v>0</v>
      </c>
      <c r="AG140">
        <v>0</v>
      </c>
      <c r="AI140" t="s">
        <v>311</v>
      </c>
      <c r="AJ140">
        <v>0</v>
      </c>
      <c r="AK140">
        <v>1</v>
      </c>
      <c r="AL140">
        <v>1</v>
      </c>
      <c r="AM140">
        <v>0</v>
      </c>
      <c r="AN140" t="s">
        <v>257</v>
      </c>
      <c r="AO140" t="s">
        <v>382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X140" t="s">
        <v>236</v>
      </c>
      <c r="AZ140" t="s">
        <v>237</v>
      </c>
      <c r="BA140" t="s">
        <v>322</v>
      </c>
      <c r="BB140" t="s">
        <v>1240</v>
      </c>
      <c r="BE140" t="s">
        <v>259</v>
      </c>
      <c r="BF140" t="s">
        <v>259</v>
      </c>
      <c r="BG140" t="s">
        <v>259</v>
      </c>
      <c r="BH140" t="s">
        <v>239</v>
      </c>
      <c r="BI140" t="s">
        <v>239</v>
      </c>
      <c r="BJ140" t="s">
        <v>237</v>
      </c>
      <c r="BK140" t="s">
        <v>239</v>
      </c>
      <c r="BL140" t="s">
        <v>262</v>
      </c>
      <c r="BM140" t="s">
        <v>733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 t="s">
        <v>264</v>
      </c>
      <c r="CB140" t="s">
        <v>264</v>
      </c>
      <c r="CC140" t="s">
        <v>328</v>
      </c>
      <c r="CD140" t="s">
        <v>236</v>
      </c>
      <c r="CE140" t="s">
        <v>236</v>
      </c>
      <c r="EA140" t="s">
        <v>236</v>
      </c>
      <c r="EC140" t="s">
        <v>226</v>
      </c>
      <c r="ED140" t="s">
        <v>244</v>
      </c>
      <c r="EE140" t="s">
        <v>236</v>
      </c>
      <c r="EG140" t="s">
        <v>236</v>
      </c>
      <c r="EI140" t="s">
        <v>308</v>
      </c>
      <c r="EK140" t="s">
        <v>236</v>
      </c>
      <c r="EM140" t="s">
        <v>236</v>
      </c>
      <c r="EO140" t="s">
        <v>236</v>
      </c>
      <c r="EQ140" t="s">
        <v>236</v>
      </c>
      <c r="ES140" t="s">
        <v>236</v>
      </c>
      <c r="EU140" t="s">
        <v>236</v>
      </c>
      <c r="EW140" t="s">
        <v>236</v>
      </c>
      <c r="EY140" t="s">
        <v>236</v>
      </c>
      <c r="FA140" t="s">
        <v>236</v>
      </c>
      <c r="FC140" t="s">
        <v>236</v>
      </c>
      <c r="FE140" t="s">
        <v>226</v>
      </c>
      <c r="FF140" t="s">
        <v>244</v>
      </c>
      <c r="FG140" t="s">
        <v>226</v>
      </c>
      <c r="FH140" t="s">
        <v>1241</v>
      </c>
      <c r="FI140" t="s">
        <v>265</v>
      </c>
      <c r="FJ140" t="s">
        <v>226</v>
      </c>
      <c r="FK140" t="s">
        <v>245</v>
      </c>
      <c r="FL140" t="s">
        <v>226</v>
      </c>
      <c r="FM140" t="s">
        <v>236</v>
      </c>
      <c r="FW140" t="s">
        <v>226</v>
      </c>
      <c r="FX140" t="s">
        <v>236</v>
      </c>
      <c r="FZ140" t="s">
        <v>236</v>
      </c>
      <c r="GC140" t="s">
        <v>236</v>
      </c>
      <c r="GF140" t="s">
        <v>236</v>
      </c>
      <c r="GI140" t="s">
        <v>236</v>
      </c>
      <c r="GL140" t="s">
        <v>236</v>
      </c>
      <c r="GO140" t="s">
        <v>236</v>
      </c>
      <c r="GR140" t="s">
        <v>226</v>
      </c>
      <c r="GS140" t="s">
        <v>236</v>
      </c>
      <c r="GU140" t="s">
        <v>236</v>
      </c>
      <c r="GX140" t="s">
        <v>236</v>
      </c>
      <c r="HB140" t="s">
        <v>288</v>
      </c>
      <c r="HC140" t="s">
        <v>338</v>
      </c>
      <c r="HD140" t="s">
        <v>1242</v>
      </c>
      <c r="HE140">
        <v>82860227</v>
      </c>
      <c r="HF140" t="s">
        <v>1243</v>
      </c>
      <c r="HG140" s="2">
        <v>45751.742395833331</v>
      </c>
      <c r="HJ140" t="s">
        <v>248</v>
      </c>
      <c r="HL140" t="s">
        <v>249</v>
      </c>
      <c r="HN140">
        <v>138</v>
      </c>
    </row>
    <row r="141" spans="1:222" x14ac:dyDescent="0.25">
      <c r="A141" s="2">
        <v>45751.534160798612</v>
      </c>
      <c r="B141" s="2">
        <v>45751.567541724537</v>
      </c>
      <c r="C141" t="s">
        <v>334</v>
      </c>
      <c r="D141">
        <v>204</v>
      </c>
      <c r="E141" s="2">
        <v>45730</v>
      </c>
      <c r="F141">
        <v>4</v>
      </c>
      <c r="G141" t="s">
        <v>436</v>
      </c>
      <c r="H141" t="s">
        <v>270</v>
      </c>
      <c r="I141">
        <v>38</v>
      </c>
      <c r="J141" t="str">
        <f t="shared" si="2"/>
        <v>de 26 a 40 años</v>
      </c>
      <c r="K141" t="s">
        <v>251</v>
      </c>
      <c r="L141">
        <v>1</v>
      </c>
      <c r="M141">
        <v>0</v>
      </c>
      <c r="N141">
        <v>0</v>
      </c>
      <c r="O141">
        <v>0</v>
      </c>
      <c r="P141">
        <v>0</v>
      </c>
      <c r="Q141" t="s">
        <v>225</v>
      </c>
      <c r="R141" t="s">
        <v>226</v>
      </c>
      <c r="T141" t="s">
        <v>227</v>
      </c>
      <c r="V141" t="s">
        <v>228</v>
      </c>
      <c r="W141" t="s">
        <v>229</v>
      </c>
      <c r="X141" t="s">
        <v>230</v>
      </c>
      <c r="Z141" t="s">
        <v>308</v>
      </c>
      <c r="AA141" t="s">
        <v>232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0</v>
      </c>
      <c r="AI141" t="s">
        <v>256</v>
      </c>
      <c r="AJ141">
        <v>0</v>
      </c>
      <c r="AK141">
        <v>0</v>
      </c>
      <c r="AL141">
        <v>1</v>
      </c>
      <c r="AM141">
        <v>0</v>
      </c>
      <c r="AN141" t="s">
        <v>300</v>
      </c>
      <c r="AO141" t="s">
        <v>444</v>
      </c>
      <c r="AP141">
        <v>1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1</v>
      </c>
      <c r="AW141" t="s">
        <v>828</v>
      </c>
      <c r="AX141" t="s">
        <v>226</v>
      </c>
      <c r="AY141" t="s">
        <v>226</v>
      </c>
      <c r="AZ141" t="s">
        <v>259</v>
      </c>
      <c r="BA141" t="s">
        <v>276</v>
      </c>
      <c r="BB141" t="s">
        <v>1244</v>
      </c>
      <c r="BC141" t="s">
        <v>1245</v>
      </c>
      <c r="BE141" t="s">
        <v>239</v>
      </c>
      <c r="BF141" t="s">
        <v>259</v>
      </c>
      <c r="BG141" t="s">
        <v>239</v>
      </c>
      <c r="BH141" t="s">
        <v>237</v>
      </c>
      <c r="BI141" t="s">
        <v>237</v>
      </c>
      <c r="BJ141" t="s">
        <v>237</v>
      </c>
      <c r="BK141" t="s">
        <v>239</v>
      </c>
      <c r="BL141" t="s">
        <v>262</v>
      </c>
      <c r="BM141" t="s">
        <v>553</v>
      </c>
      <c r="BN141">
        <v>0</v>
      </c>
      <c r="BO141">
        <v>0</v>
      </c>
      <c r="BP141">
        <v>1</v>
      </c>
      <c r="BQ141">
        <v>1</v>
      </c>
      <c r="BR141">
        <v>1</v>
      </c>
      <c r="BS141">
        <v>0</v>
      </c>
      <c r="BT141">
        <v>0</v>
      </c>
      <c r="BU141">
        <v>0</v>
      </c>
      <c r="BV141">
        <v>1</v>
      </c>
      <c r="BW141">
        <v>1</v>
      </c>
      <c r="BX141">
        <v>0</v>
      </c>
      <c r="BY141">
        <v>0</v>
      </c>
      <c r="BZ141">
        <v>0</v>
      </c>
      <c r="CA141" t="s">
        <v>243</v>
      </c>
      <c r="CB141" t="s">
        <v>328</v>
      </c>
      <c r="CC141" t="s">
        <v>264</v>
      </c>
      <c r="CD141" t="s">
        <v>236</v>
      </c>
      <c r="CE141" t="s">
        <v>236</v>
      </c>
      <c r="EA141" t="s">
        <v>236</v>
      </c>
      <c r="EC141" t="s">
        <v>226</v>
      </c>
      <c r="ED141" t="s">
        <v>244</v>
      </c>
      <c r="EE141" t="s">
        <v>226</v>
      </c>
      <c r="EF141" t="s">
        <v>245</v>
      </c>
      <c r="EG141" t="s">
        <v>226</v>
      </c>
      <c r="EH141" t="s">
        <v>245</v>
      </c>
      <c r="EI141" t="s">
        <v>236</v>
      </c>
      <c r="EK141" t="s">
        <v>236</v>
      </c>
      <c r="EM141" t="s">
        <v>226</v>
      </c>
      <c r="EN141" t="s">
        <v>244</v>
      </c>
      <c r="EO141" t="s">
        <v>226</v>
      </c>
      <c r="EP141" t="s">
        <v>245</v>
      </c>
      <c r="EQ141" t="s">
        <v>236</v>
      </c>
      <c r="ES141" t="s">
        <v>226</v>
      </c>
      <c r="ET141" t="s">
        <v>245</v>
      </c>
      <c r="EU141" t="s">
        <v>236</v>
      </c>
      <c r="EW141" t="s">
        <v>236</v>
      </c>
      <c r="EY141" t="s">
        <v>226</v>
      </c>
      <c r="EZ141" t="s">
        <v>244</v>
      </c>
      <c r="FA141" t="s">
        <v>236</v>
      </c>
      <c r="FC141" t="s">
        <v>236</v>
      </c>
      <c r="FE141" t="s">
        <v>236</v>
      </c>
      <c r="FG141" t="s">
        <v>236</v>
      </c>
      <c r="FJ141" t="s">
        <v>226</v>
      </c>
      <c r="FK141" t="s">
        <v>245</v>
      </c>
      <c r="FL141" t="s">
        <v>236</v>
      </c>
      <c r="FM141" t="s">
        <v>236</v>
      </c>
      <c r="FW141" t="s">
        <v>236</v>
      </c>
      <c r="FZ141" t="s">
        <v>236</v>
      </c>
      <c r="GC141" t="s">
        <v>236</v>
      </c>
      <c r="GF141" t="s">
        <v>226</v>
      </c>
      <c r="GG141" t="s">
        <v>226</v>
      </c>
      <c r="GH141" t="s">
        <v>266</v>
      </c>
      <c r="GI141" t="s">
        <v>226</v>
      </c>
      <c r="GJ141" t="s">
        <v>226</v>
      </c>
      <c r="GK141" t="s">
        <v>266</v>
      </c>
      <c r="GL141" t="s">
        <v>236</v>
      </c>
      <c r="GO141" t="s">
        <v>226</v>
      </c>
      <c r="GP141" t="s">
        <v>226</v>
      </c>
      <c r="GQ141" t="s">
        <v>267</v>
      </c>
      <c r="GR141" t="s">
        <v>226</v>
      </c>
      <c r="GS141" t="s">
        <v>226</v>
      </c>
      <c r="GT141" t="s">
        <v>570</v>
      </c>
      <c r="GU141" t="s">
        <v>236</v>
      </c>
      <c r="GX141" t="s">
        <v>236</v>
      </c>
      <c r="HB141" t="s">
        <v>1246</v>
      </c>
      <c r="HC141" t="s">
        <v>1107</v>
      </c>
      <c r="HE141">
        <v>82863517</v>
      </c>
      <c r="HF141" t="s">
        <v>1247</v>
      </c>
      <c r="HG141" s="2">
        <v>45751.775787037041</v>
      </c>
      <c r="HJ141" t="s">
        <v>248</v>
      </c>
      <c r="HL141" t="s">
        <v>249</v>
      </c>
      <c r="HN141">
        <v>139</v>
      </c>
    </row>
    <row r="142" spans="1:222" x14ac:dyDescent="0.25">
      <c r="A142" s="2">
        <v>45751.571712962963</v>
      </c>
      <c r="B142" s="2">
        <v>45751.575028715277</v>
      </c>
      <c r="C142" t="s">
        <v>334</v>
      </c>
      <c r="D142">
        <v>201</v>
      </c>
      <c r="E142" s="2">
        <v>45730</v>
      </c>
      <c r="F142">
        <v>4</v>
      </c>
      <c r="G142" t="s">
        <v>436</v>
      </c>
      <c r="H142" t="s">
        <v>270</v>
      </c>
      <c r="I142">
        <v>54</v>
      </c>
      <c r="J142" t="str">
        <f t="shared" si="2"/>
        <v>de 41 a 55 años</v>
      </c>
      <c r="K142" t="s">
        <v>224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225</v>
      </c>
      <c r="R142" t="s">
        <v>226</v>
      </c>
      <c r="T142" t="s">
        <v>227</v>
      </c>
      <c r="V142" t="s">
        <v>612</v>
      </c>
      <c r="W142" t="s">
        <v>229</v>
      </c>
      <c r="X142" t="s">
        <v>230</v>
      </c>
      <c r="Z142" t="s">
        <v>308</v>
      </c>
      <c r="AA142" t="s">
        <v>255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0</v>
      </c>
      <c r="AI142" t="s">
        <v>256</v>
      </c>
      <c r="AJ142">
        <v>0</v>
      </c>
      <c r="AK142">
        <v>0</v>
      </c>
      <c r="AL142">
        <v>1</v>
      </c>
      <c r="AM142">
        <v>0</v>
      </c>
      <c r="AN142" t="s">
        <v>257</v>
      </c>
      <c r="AO142" t="s">
        <v>369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1</v>
      </c>
      <c r="AW142" t="s">
        <v>1236</v>
      </c>
      <c r="AX142" t="s">
        <v>236</v>
      </c>
      <c r="AZ142" t="s">
        <v>237</v>
      </c>
      <c r="BA142" t="s">
        <v>1237</v>
      </c>
      <c r="BB142" t="s">
        <v>276</v>
      </c>
      <c r="BE142" t="s">
        <v>239</v>
      </c>
      <c r="BF142" t="s">
        <v>237</v>
      </c>
      <c r="BG142" t="s">
        <v>239</v>
      </c>
      <c r="BH142" t="s">
        <v>237</v>
      </c>
      <c r="BI142" t="s">
        <v>237</v>
      </c>
      <c r="BJ142" t="s">
        <v>237</v>
      </c>
      <c r="BK142" t="s">
        <v>239</v>
      </c>
      <c r="BL142" t="s">
        <v>313</v>
      </c>
      <c r="BM142" t="s">
        <v>1010</v>
      </c>
      <c r="BN142">
        <v>1</v>
      </c>
      <c r="BO142">
        <v>0</v>
      </c>
      <c r="BP142">
        <v>1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 t="s">
        <v>242</v>
      </c>
      <c r="CB142" t="s">
        <v>264</v>
      </c>
      <c r="CC142" t="s">
        <v>264</v>
      </c>
      <c r="CD142" t="s">
        <v>236</v>
      </c>
      <c r="CE142" t="s">
        <v>236</v>
      </c>
      <c r="EA142" t="s">
        <v>226</v>
      </c>
      <c r="EB142" t="s">
        <v>244</v>
      </c>
      <c r="EC142" t="s">
        <v>236</v>
      </c>
      <c r="EE142" t="s">
        <v>236</v>
      </c>
      <c r="EG142" t="s">
        <v>236</v>
      </c>
      <c r="EI142" t="s">
        <v>226</v>
      </c>
      <c r="EJ142" t="s">
        <v>265</v>
      </c>
      <c r="EK142" t="s">
        <v>236</v>
      </c>
      <c r="EM142" t="s">
        <v>236</v>
      </c>
      <c r="EO142" t="s">
        <v>236</v>
      </c>
      <c r="EQ142" t="s">
        <v>226</v>
      </c>
      <c r="ER142" t="s">
        <v>244</v>
      </c>
      <c r="ES142" t="s">
        <v>236</v>
      </c>
      <c r="EU142" t="s">
        <v>236</v>
      </c>
      <c r="EW142" t="s">
        <v>236</v>
      </c>
      <c r="EY142" t="s">
        <v>236</v>
      </c>
      <c r="FA142" t="s">
        <v>236</v>
      </c>
      <c r="FC142" t="s">
        <v>236</v>
      </c>
      <c r="FE142" t="s">
        <v>226</v>
      </c>
      <c r="FF142" t="s">
        <v>244</v>
      </c>
      <c r="FG142" t="s">
        <v>236</v>
      </c>
      <c r="FJ142" t="s">
        <v>226</v>
      </c>
      <c r="FK142" t="s">
        <v>245</v>
      </c>
      <c r="FL142" t="s">
        <v>236</v>
      </c>
      <c r="FM142" t="s">
        <v>236</v>
      </c>
      <c r="FW142" t="s">
        <v>226</v>
      </c>
      <c r="FX142" t="s">
        <v>226</v>
      </c>
      <c r="FY142" t="s">
        <v>570</v>
      </c>
      <c r="FZ142" t="s">
        <v>236</v>
      </c>
      <c r="GC142" t="s">
        <v>236</v>
      </c>
      <c r="GF142" t="s">
        <v>226</v>
      </c>
      <c r="GG142" t="s">
        <v>226</v>
      </c>
      <c r="GH142" t="s">
        <v>266</v>
      </c>
      <c r="GI142" t="s">
        <v>236</v>
      </c>
      <c r="GL142" t="s">
        <v>236</v>
      </c>
      <c r="GO142" t="s">
        <v>226</v>
      </c>
      <c r="GP142" t="s">
        <v>226</v>
      </c>
      <c r="GQ142" t="s">
        <v>267</v>
      </c>
      <c r="GR142" t="s">
        <v>226</v>
      </c>
      <c r="GS142" t="s">
        <v>226</v>
      </c>
      <c r="GT142" t="s">
        <v>266</v>
      </c>
      <c r="GU142" t="s">
        <v>236</v>
      </c>
      <c r="GX142" t="s">
        <v>236</v>
      </c>
      <c r="HB142" t="s">
        <v>338</v>
      </c>
      <c r="HC142" t="s">
        <v>288</v>
      </c>
      <c r="HE142">
        <v>82863877</v>
      </c>
      <c r="HF142" t="s">
        <v>1238</v>
      </c>
      <c r="HG142" s="2">
        <v>45751.783275462964</v>
      </c>
      <c r="HJ142" t="s">
        <v>248</v>
      </c>
      <c r="HL142" t="s">
        <v>249</v>
      </c>
      <c r="HN142">
        <v>140</v>
      </c>
    </row>
    <row r="143" spans="1:222" x14ac:dyDescent="0.25">
      <c r="A143" s="2">
        <v>45751.583931435183</v>
      </c>
      <c r="B143" s="2">
        <v>45751.588598483802</v>
      </c>
      <c r="C143" t="s">
        <v>465</v>
      </c>
      <c r="D143">
        <v>503</v>
      </c>
      <c r="E143" s="2">
        <v>45738</v>
      </c>
      <c r="F143">
        <v>2</v>
      </c>
      <c r="G143" t="s">
        <v>507</v>
      </c>
      <c r="H143" t="s">
        <v>221</v>
      </c>
      <c r="I143">
        <v>55</v>
      </c>
      <c r="J143" t="str">
        <f t="shared" si="2"/>
        <v>de 41 a 55 años</v>
      </c>
      <c r="K143" t="s">
        <v>251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225</v>
      </c>
      <c r="R143" t="s">
        <v>226</v>
      </c>
      <c r="T143" t="s">
        <v>227</v>
      </c>
      <c r="V143" t="s">
        <v>612</v>
      </c>
      <c r="W143" t="s">
        <v>229</v>
      </c>
      <c r="X143" t="s">
        <v>230</v>
      </c>
      <c r="Z143" t="s">
        <v>231</v>
      </c>
      <c r="AA143" t="s">
        <v>420</v>
      </c>
      <c r="AB143">
        <v>1</v>
      </c>
      <c r="AC143">
        <v>0</v>
      </c>
      <c r="AD143">
        <v>0</v>
      </c>
      <c r="AE143">
        <v>1</v>
      </c>
      <c r="AF143">
        <v>1</v>
      </c>
      <c r="AG143">
        <v>0</v>
      </c>
      <c r="AI143" t="s">
        <v>233</v>
      </c>
      <c r="AJ143">
        <v>0</v>
      </c>
      <c r="AK143">
        <v>1</v>
      </c>
      <c r="AL143">
        <v>0</v>
      </c>
      <c r="AM143">
        <v>0</v>
      </c>
      <c r="AN143" t="s">
        <v>300</v>
      </c>
      <c r="AO143" t="s">
        <v>2151</v>
      </c>
      <c r="AP143">
        <v>0</v>
      </c>
      <c r="AQ143">
        <v>1</v>
      </c>
      <c r="AR143">
        <v>0</v>
      </c>
      <c r="AS143">
        <v>1</v>
      </c>
      <c r="AT143">
        <v>1</v>
      </c>
      <c r="AU143">
        <v>0</v>
      </c>
      <c r="AV143">
        <v>0</v>
      </c>
      <c r="AX143" t="s">
        <v>226</v>
      </c>
      <c r="AY143" t="s">
        <v>226</v>
      </c>
      <c r="AZ143" t="s">
        <v>237</v>
      </c>
      <c r="BA143" t="s">
        <v>2152</v>
      </c>
      <c r="BB143" t="s">
        <v>438</v>
      </c>
      <c r="BE143" t="s">
        <v>239</v>
      </c>
      <c r="BF143" t="s">
        <v>237</v>
      </c>
      <c r="BG143" t="s">
        <v>237</v>
      </c>
      <c r="BH143" t="s">
        <v>237</v>
      </c>
      <c r="BI143" t="s">
        <v>239</v>
      </c>
      <c r="BJ143" t="s">
        <v>237</v>
      </c>
      <c r="BK143" t="s">
        <v>237</v>
      </c>
      <c r="BL143" t="s">
        <v>240</v>
      </c>
      <c r="BM143" t="s">
        <v>415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 t="s">
        <v>264</v>
      </c>
      <c r="CB143" t="s">
        <v>264</v>
      </c>
      <c r="CC143" t="s">
        <v>243</v>
      </c>
      <c r="CD143" t="s">
        <v>226</v>
      </c>
      <c r="CE143" t="s">
        <v>236</v>
      </c>
      <c r="EA143" t="s">
        <v>236</v>
      </c>
      <c r="EC143" t="s">
        <v>236</v>
      </c>
      <c r="EE143" t="s">
        <v>236</v>
      </c>
      <c r="EG143" t="s">
        <v>236</v>
      </c>
      <c r="EI143" t="s">
        <v>236</v>
      </c>
      <c r="EK143" t="s">
        <v>236</v>
      </c>
      <c r="EM143" t="s">
        <v>236</v>
      </c>
      <c r="EO143" t="s">
        <v>236</v>
      </c>
      <c r="EQ143" t="s">
        <v>236</v>
      </c>
      <c r="ES143" t="s">
        <v>236</v>
      </c>
      <c r="EU143" t="s">
        <v>236</v>
      </c>
      <c r="EW143" t="s">
        <v>236</v>
      </c>
      <c r="EY143" t="s">
        <v>226</v>
      </c>
      <c r="EZ143" t="s">
        <v>244</v>
      </c>
      <c r="FA143" t="s">
        <v>226</v>
      </c>
      <c r="FB143" t="s">
        <v>244</v>
      </c>
      <c r="FC143" t="s">
        <v>236</v>
      </c>
      <c r="FE143" t="s">
        <v>236</v>
      </c>
      <c r="FG143" t="s">
        <v>236</v>
      </c>
      <c r="FJ143" t="s">
        <v>236</v>
      </c>
      <c r="FM143" t="s">
        <v>236</v>
      </c>
      <c r="FW143" t="s">
        <v>236</v>
      </c>
      <c r="FZ143" t="s">
        <v>236</v>
      </c>
      <c r="GC143" t="s">
        <v>236</v>
      </c>
      <c r="GF143" t="s">
        <v>226</v>
      </c>
      <c r="GG143" t="s">
        <v>226</v>
      </c>
      <c r="GH143" t="s">
        <v>267</v>
      </c>
      <c r="GI143" t="s">
        <v>236</v>
      </c>
      <c r="GL143" t="s">
        <v>236</v>
      </c>
      <c r="GO143" t="s">
        <v>226</v>
      </c>
      <c r="GP143" t="s">
        <v>226</v>
      </c>
      <c r="GQ143" t="s">
        <v>267</v>
      </c>
      <c r="GR143" t="s">
        <v>226</v>
      </c>
      <c r="GS143" t="s">
        <v>236</v>
      </c>
      <c r="GU143" t="s">
        <v>236</v>
      </c>
      <c r="GX143" t="s">
        <v>236</v>
      </c>
      <c r="HB143" t="s">
        <v>280</v>
      </c>
      <c r="HC143" t="s">
        <v>323</v>
      </c>
      <c r="HD143" t="s">
        <v>408</v>
      </c>
      <c r="HE143">
        <v>82864735</v>
      </c>
      <c r="HF143" t="s">
        <v>2153</v>
      </c>
      <c r="HG143" s="2">
        <v>45751.796851851846</v>
      </c>
      <c r="HJ143" t="s">
        <v>248</v>
      </c>
      <c r="HL143" t="s">
        <v>249</v>
      </c>
      <c r="HN143">
        <v>141</v>
      </c>
    </row>
    <row r="144" spans="1:222" x14ac:dyDescent="0.25">
      <c r="A144" s="2">
        <v>45751.588598981478</v>
      </c>
      <c r="B144" s="2">
        <v>45751.597489050917</v>
      </c>
      <c r="C144" t="s">
        <v>465</v>
      </c>
      <c r="D144">
        <v>502</v>
      </c>
      <c r="E144" s="2">
        <v>45738</v>
      </c>
      <c r="F144">
        <v>2</v>
      </c>
      <c r="G144" t="s">
        <v>1268</v>
      </c>
      <c r="H144" t="s">
        <v>221</v>
      </c>
      <c r="I144">
        <v>40</v>
      </c>
      <c r="J144" t="str">
        <f t="shared" si="2"/>
        <v>de 26 a 40 años</v>
      </c>
      <c r="K144" t="s">
        <v>341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225</v>
      </c>
      <c r="R144" t="s">
        <v>226</v>
      </c>
      <c r="T144" t="s">
        <v>227</v>
      </c>
      <c r="V144" t="s">
        <v>228</v>
      </c>
      <c r="W144" t="s">
        <v>229</v>
      </c>
      <c r="X144" t="s">
        <v>230</v>
      </c>
      <c r="Z144" t="s">
        <v>351</v>
      </c>
      <c r="AA144" t="s">
        <v>232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I144" t="s">
        <v>233</v>
      </c>
      <c r="AJ144">
        <v>0</v>
      </c>
      <c r="AK144">
        <v>1</v>
      </c>
      <c r="AL144">
        <v>0</v>
      </c>
      <c r="AM144">
        <v>0</v>
      </c>
      <c r="AN144" t="s">
        <v>300</v>
      </c>
      <c r="AO144" t="s">
        <v>294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X144" t="s">
        <v>236</v>
      </c>
      <c r="AZ144" t="s">
        <v>237</v>
      </c>
      <c r="BA144" t="s">
        <v>2148</v>
      </c>
      <c r="BB144" t="s">
        <v>2149</v>
      </c>
      <c r="BE144" t="s">
        <v>237</v>
      </c>
      <c r="BF144" t="s">
        <v>259</v>
      </c>
      <c r="BG144" t="s">
        <v>259</v>
      </c>
      <c r="BH144" t="s">
        <v>259</v>
      </c>
      <c r="BI144" t="s">
        <v>237</v>
      </c>
      <c r="BJ144" t="s">
        <v>237</v>
      </c>
      <c r="BK144" t="s">
        <v>237</v>
      </c>
      <c r="BL144" t="s">
        <v>262</v>
      </c>
      <c r="BM144" t="s">
        <v>2091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1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1</v>
      </c>
      <c r="BZ144">
        <v>0</v>
      </c>
      <c r="CA144" t="s">
        <v>264</v>
      </c>
      <c r="CB144" t="s">
        <v>264</v>
      </c>
      <c r="CC144" t="s">
        <v>243</v>
      </c>
      <c r="CD144" t="s">
        <v>236</v>
      </c>
      <c r="CE144" t="s">
        <v>236</v>
      </c>
      <c r="EA144" t="s">
        <v>236</v>
      </c>
      <c r="EC144" t="s">
        <v>236</v>
      </c>
      <c r="EE144" t="s">
        <v>226</v>
      </c>
      <c r="EF144" t="s">
        <v>244</v>
      </c>
      <c r="EG144" t="s">
        <v>226</v>
      </c>
      <c r="EH144" t="s">
        <v>244</v>
      </c>
      <c r="EI144" t="s">
        <v>236</v>
      </c>
      <c r="EK144" t="s">
        <v>236</v>
      </c>
      <c r="EM144" t="s">
        <v>236</v>
      </c>
      <c r="EO144" t="s">
        <v>226</v>
      </c>
      <c r="EP144" t="s">
        <v>244</v>
      </c>
      <c r="EQ144" t="s">
        <v>236</v>
      </c>
      <c r="ES144" t="s">
        <v>226</v>
      </c>
      <c r="ET144" t="s">
        <v>245</v>
      </c>
      <c r="EU144" t="s">
        <v>236</v>
      </c>
      <c r="EW144" t="s">
        <v>236</v>
      </c>
      <c r="EY144" t="s">
        <v>236</v>
      </c>
      <c r="FA144" t="s">
        <v>226</v>
      </c>
      <c r="FB144" t="s">
        <v>244</v>
      </c>
      <c r="FC144" t="s">
        <v>236</v>
      </c>
      <c r="FE144" t="s">
        <v>236</v>
      </c>
      <c r="FG144" t="s">
        <v>236</v>
      </c>
      <c r="FJ144" t="s">
        <v>226</v>
      </c>
      <c r="FK144" t="s">
        <v>245</v>
      </c>
      <c r="FL144" t="s">
        <v>236</v>
      </c>
      <c r="FM144" t="s">
        <v>236</v>
      </c>
      <c r="FW144" t="s">
        <v>226</v>
      </c>
      <c r="FX144" t="s">
        <v>236</v>
      </c>
      <c r="FZ144" t="s">
        <v>236</v>
      </c>
      <c r="GC144" t="s">
        <v>236</v>
      </c>
      <c r="GF144" t="s">
        <v>226</v>
      </c>
      <c r="GG144" t="s">
        <v>236</v>
      </c>
      <c r="GI144" t="s">
        <v>236</v>
      </c>
      <c r="GL144" t="s">
        <v>226</v>
      </c>
      <c r="GM144" t="s">
        <v>236</v>
      </c>
      <c r="GO144" t="s">
        <v>226</v>
      </c>
      <c r="GP144" t="s">
        <v>236</v>
      </c>
      <c r="GR144" t="s">
        <v>226</v>
      </c>
      <c r="GS144" t="s">
        <v>236</v>
      </c>
      <c r="GU144" t="s">
        <v>236</v>
      </c>
      <c r="GX144" t="s">
        <v>236</v>
      </c>
      <c r="HB144" t="s">
        <v>548</v>
      </c>
      <c r="HC144" t="s">
        <v>668</v>
      </c>
      <c r="HE144">
        <v>82865240</v>
      </c>
      <c r="HF144" t="s">
        <v>2150</v>
      </c>
      <c r="HG144" s="2">
        <v>45751.80574074074</v>
      </c>
      <c r="HJ144" t="s">
        <v>248</v>
      </c>
      <c r="HL144" t="s">
        <v>249</v>
      </c>
      <c r="HN144">
        <v>143</v>
      </c>
    </row>
    <row r="145" spans="1:222" x14ac:dyDescent="0.25">
      <c r="A145" s="2">
        <v>45751.597441469909</v>
      </c>
      <c r="B145" s="2">
        <v>45751.60141570602</v>
      </c>
      <c r="C145" t="s">
        <v>221</v>
      </c>
      <c r="D145">
        <v>168</v>
      </c>
      <c r="E145" s="2">
        <v>45730</v>
      </c>
      <c r="F145">
        <v>4</v>
      </c>
      <c r="G145" t="s">
        <v>413</v>
      </c>
      <c r="H145" t="s">
        <v>270</v>
      </c>
      <c r="I145">
        <v>29</v>
      </c>
      <c r="J145" t="str">
        <f t="shared" si="2"/>
        <v>de 26 a 40 años</v>
      </c>
      <c r="K145" t="s">
        <v>341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225</v>
      </c>
      <c r="R145" t="s">
        <v>226</v>
      </c>
      <c r="T145" t="s">
        <v>227</v>
      </c>
      <c r="V145" t="s">
        <v>228</v>
      </c>
      <c r="W145" t="s">
        <v>229</v>
      </c>
      <c r="X145" t="s">
        <v>253</v>
      </c>
      <c r="Z145" t="s">
        <v>308</v>
      </c>
      <c r="AA145" t="s">
        <v>352</v>
      </c>
      <c r="AB145">
        <v>1</v>
      </c>
      <c r="AC145">
        <v>0</v>
      </c>
      <c r="AD145">
        <v>0</v>
      </c>
      <c r="AE145">
        <v>0</v>
      </c>
      <c r="AF145">
        <v>1</v>
      </c>
      <c r="AG145">
        <v>0</v>
      </c>
      <c r="AI145" t="s">
        <v>311</v>
      </c>
      <c r="AJ145">
        <v>0</v>
      </c>
      <c r="AK145">
        <v>1</v>
      </c>
      <c r="AL145">
        <v>1</v>
      </c>
      <c r="AM145">
        <v>0</v>
      </c>
      <c r="AN145" t="s">
        <v>300</v>
      </c>
      <c r="AO145" t="s">
        <v>382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X145" t="s">
        <v>226</v>
      </c>
      <c r="AY145" t="s">
        <v>226</v>
      </c>
      <c r="AZ145" t="s">
        <v>259</v>
      </c>
      <c r="BA145" t="s">
        <v>1122</v>
      </c>
      <c r="BB145" t="s">
        <v>1123</v>
      </c>
      <c r="BE145" t="s">
        <v>259</v>
      </c>
      <c r="BF145" t="s">
        <v>237</v>
      </c>
      <c r="BG145" t="s">
        <v>259</v>
      </c>
      <c r="BH145" t="s">
        <v>237</v>
      </c>
      <c r="BI145" t="s">
        <v>237</v>
      </c>
      <c r="BJ145" t="s">
        <v>259</v>
      </c>
      <c r="BK145" t="s">
        <v>259</v>
      </c>
      <c r="BL145" t="s">
        <v>262</v>
      </c>
      <c r="BM145" t="s">
        <v>415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 t="s">
        <v>264</v>
      </c>
      <c r="CB145" t="s">
        <v>243</v>
      </c>
      <c r="CC145" t="s">
        <v>243</v>
      </c>
      <c r="CD145" t="s">
        <v>226</v>
      </c>
      <c r="CE145" t="s">
        <v>236</v>
      </c>
      <c r="EA145" t="s">
        <v>236</v>
      </c>
      <c r="EC145" t="s">
        <v>236</v>
      </c>
      <c r="EE145" t="s">
        <v>226</v>
      </c>
      <c r="EF145" t="s">
        <v>245</v>
      </c>
      <c r="EG145" t="s">
        <v>236</v>
      </c>
      <c r="EI145" t="s">
        <v>236</v>
      </c>
      <c r="EK145" t="s">
        <v>236</v>
      </c>
      <c r="EM145" t="s">
        <v>226</v>
      </c>
      <c r="EN145" t="s">
        <v>245</v>
      </c>
      <c r="EO145" t="s">
        <v>236</v>
      </c>
      <c r="EQ145" t="s">
        <v>236</v>
      </c>
      <c r="ES145" t="s">
        <v>226</v>
      </c>
      <c r="ET145" t="s">
        <v>245</v>
      </c>
      <c r="EU145" t="s">
        <v>236</v>
      </c>
      <c r="EW145" t="s">
        <v>226</v>
      </c>
      <c r="EX145" t="s">
        <v>265</v>
      </c>
      <c r="EY145" t="s">
        <v>236</v>
      </c>
      <c r="FA145" t="s">
        <v>226</v>
      </c>
      <c r="FB145" t="s">
        <v>245</v>
      </c>
      <c r="FC145" t="s">
        <v>236</v>
      </c>
      <c r="FE145" t="s">
        <v>226</v>
      </c>
      <c r="FF145" t="s">
        <v>245</v>
      </c>
      <c r="FG145" t="s">
        <v>236</v>
      </c>
      <c r="FJ145" t="s">
        <v>226</v>
      </c>
      <c r="FK145" t="s">
        <v>245</v>
      </c>
      <c r="FL145" t="s">
        <v>236</v>
      </c>
      <c r="FM145" t="s">
        <v>236</v>
      </c>
      <c r="FW145" t="s">
        <v>226</v>
      </c>
      <c r="FX145" t="s">
        <v>236</v>
      </c>
      <c r="FZ145" t="s">
        <v>236</v>
      </c>
      <c r="GC145" t="s">
        <v>236</v>
      </c>
      <c r="GF145" t="s">
        <v>226</v>
      </c>
      <c r="GG145" t="s">
        <v>236</v>
      </c>
      <c r="GI145" t="s">
        <v>236</v>
      </c>
      <c r="GL145" t="s">
        <v>236</v>
      </c>
      <c r="GO145" t="s">
        <v>226</v>
      </c>
      <c r="GP145" t="s">
        <v>226</v>
      </c>
      <c r="GQ145" t="s">
        <v>266</v>
      </c>
      <c r="GR145" t="s">
        <v>226</v>
      </c>
      <c r="GS145" t="s">
        <v>226</v>
      </c>
      <c r="GT145" t="s">
        <v>266</v>
      </c>
      <c r="GU145" t="s">
        <v>226</v>
      </c>
      <c r="GV145" t="s">
        <v>226</v>
      </c>
      <c r="GW145" t="s">
        <v>266</v>
      </c>
      <c r="GX145" t="s">
        <v>236</v>
      </c>
      <c r="HB145" t="s">
        <v>1124</v>
      </c>
      <c r="HE145">
        <v>82865518</v>
      </c>
      <c r="HF145" t="s">
        <v>1125</v>
      </c>
      <c r="HG145" s="2">
        <v>45751.809664351851</v>
      </c>
      <c r="HJ145" t="s">
        <v>248</v>
      </c>
      <c r="HL145" t="s">
        <v>249</v>
      </c>
      <c r="HN145">
        <v>144</v>
      </c>
    </row>
    <row r="146" spans="1:222" x14ac:dyDescent="0.25">
      <c r="A146" s="2">
        <v>45751.597489687498</v>
      </c>
      <c r="B146" s="2">
        <v>45751.625225891214</v>
      </c>
      <c r="C146" t="s">
        <v>465</v>
      </c>
      <c r="D146">
        <v>501</v>
      </c>
      <c r="E146" s="2">
        <v>45738</v>
      </c>
      <c r="F146">
        <v>2</v>
      </c>
      <c r="G146" t="s">
        <v>1268</v>
      </c>
      <c r="H146" t="s">
        <v>221</v>
      </c>
      <c r="I146">
        <v>45</v>
      </c>
      <c r="J146" t="str">
        <f t="shared" si="2"/>
        <v>de 41 a 55 años</v>
      </c>
      <c r="K146" t="s">
        <v>341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291</v>
      </c>
      <c r="R146" t="s">
        <v>226</v>
      </c>
      <c r="T146" t="s">
        <v>227</v>
      </c>
      <c r="V146" t="s">
        <v>228</v>
      </c>
      <c r="W146" t="s">
        <v>229</v>
      </c>
      <c r="X146" t="s">
        <v>230</v>
      </c>
      <c r="Z146" t="s">
        <v>351</v>
      </c>
      <c r="AA146" t="s">
        <v>232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I146" t="s">
        <v>504</v>
      </c>
      <c r="AJ146">
        <v>1</v>
      </c>
      <c r="AK146">
        <v>0</v>
      </c>
      <c r="AL146">
        <v>0</v>
      </c>
      <c r="AM146">
        <v>0</v>
      </c>
      <c r="AN146" t="s">
        <v>257</v>
      </c>
      <c r="AO146" t="s">
        <v>353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0</v>
      </c>
      <c r="AX146" t="s">
        <v>226</v>
      </c>
      <c r="AY146" t="s">
        <v>236</v>
      </c>
      <c r="AZ146" t="s">
        <v>259</v>
      </c>
      <c r="BA146" t="s">
        <v>2146</v>
      </c>
      <c r="BB146" t="s">
        <v>377</v>
      </c>
      <c r="BE146" t="s">
        <v>259</v>
      </c>
      <c r="BF146" t="s">
        <v>237</v>
      </c>
      <c r="BG146" t="s">
        <v>237</v>
      </c>
      <c r="BH146" t="s">
        <v>237</v>
      </c>
      <c r="BI146" t="s">
        <v>259</v>
      </c>
      <c r="BJ146" t="s">
        <v>259</v>
      </c>
      <c r="BK146" t="s">
        <v>261</v>
      </c>
      <c r="BL146" t="s">
        <v>262</v>
      </c>
      <c r="BM146" t="s">
        <v>930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 t="s">
        <v>243</v>
      </c>
      <c r="CB146" t="s">
        <v>243</v>
      </c>
      <c r="CC146" t="s">
        <v>264</v>
      </c>
      <c r="CD146" t="s">
        <v>226</v>
      </c>
      <c r="CE146" t="s">
        <v>236</v>
      </c>
      <c r="EA146" t="s">
        <v>236</v>
      </c>
      <c r="EC146" t="s">
        <v>236</v>
      </c>
      <c r="EE146" t="s">
        <v>226</v>
      </c>
      <c r="EF146" t="s">
        <v>245</v>
      </c>
      <c r="EG146" t="s">
        <v>226</v>
      </c>
      <c r="EH146" t="s">
        <v>244</v>
      </c>
      <c r="EI146" t="s">
        <v>236</v>
      </c>
      <c r="EK146" t="s">
        <v>226</v>
      </c>
      <c r="EL146" t="s">
        <v>244</v>
      </c>
      <c r="EM146" t="s">
        <v>226</v>
      </c>
      <c r="EN146" t="s">
        <v>245</v>
      </c>
      <c r="EO146" t="s">
        <v>236</v>
      </c>
      <c r="EQ146" t="s">
        <v>236</v>
      </c>
      <c r="ES146" t="s">
        <v>236</v>
      </c>
      <c r="EU146" t="s">
        <v>236</v>
      </c>
      <c r="EW146" t="s">
        <v>236</v>
      </c>
      <c r="EY146" t="s">
        <v>236</v>
      </c>
      <c r="FA146" t="s">
        <v>236</v>
      </c>
      <c r="FC146" t="s">
        <v>236</v>
      </c>
      <c r="FE146" t="s">
        <v>236</v>
      </c>
      <c r="FG146" t="s">
        <v>236</v>
      </c>
      <c r="FJ146" t="s">
        <v>226</v>
      </c>
      <c r="FK146" t="s">
        <v>245</v>
      </c>
      <c r="FL146" t="s">
        <v>236</v>
      </c>
      <c r="FM146" t="s">
        <v>236</v>
      </c>
      <c r="FW146" t="s">
        <v>236</v>
      </c>
      <c r="FZ146" t="s">
        <v>236</v>
      </c>
      <c r="GC146" t="s">
        <v>236</v>
      </c>
      <c r="GF146" t="s">
        <v>226</v>
      </c>
      <c r="GG146" t="s">
        <v>236</v>
      </c>
      <c r="GI146" t="s">
        <v>236</v>
      </c>
      <c r="GL146" t="s">
        <v>226</v>
      </c>
      <c r="GM146" t="s">
        <v>236</v>
      </c>
      <c r="GO146" t="s">
        <v>236</v>
      </c>
      <c r="GR146" t="s">
        <v>226</v>
      </c>
      <c r="GS146" t="s">
        <v>236</v>
      </c>
      <c r="GU146" t="s">
        <v>236</v>
      </c>
      <c r="GX146" t="s">
        <v>236</v>
      </c>
      <c r="HB146" t="s">
        <v>668</v>
      </c>
      <c r="HC146" t="s">
        <v>338</v>
      </c>
      <c r="HE146">
        <v>82867730</v>
      </c>
      <c r="HF146" t="s">
        <v>2147</v>
      </c>
      <c r="HG146" s="2">
        <v>45751.833472222221</v>
      </c>
      <c r="HJ146" t="s">
        <v>248</v>
      </c>
      <c r="HL146" t="s">
        <v>249</v>
      </c>
      <c r="HN146">
        <v>147</v>
      </c>
    </row>
    <row r="147" spans="1:222" x14ac:dyDescent="0.25">
      <c r="A147" s="2">
        <v>45751.601416342593</v>
      </c>
      <c r="B147" s="2">
        <v>45751.604933912044</v>
      </c>
      <c r="C147" t="s">
        <v>221</v>
      </c>
      <c r="D147">
        <v>170</v>
      </c>
      <c r="E147" s="2">
        <v>45730</v>
      </c>
      <c r="F147">
        <v>4</v>
      </c>
      <c r="G147" t="s">
        <v>413</v>
      </c>
      <c r="H147" t="s">
        <v>270</v>
      </c>
      <c r="I147">
        <v>40</v>
      </c>
      <c r="J147" t="str">
        <f t="shared" si="2"/>
        <v>de 26 a 40 años</v>
      </c>
      <c r="K147" t="s">
        <v>224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225</v>
      </c>
      <c r="R147" t="s">
        <v>226</v>
      </c>
      <c r="T147" t="s">
        <v>227</v>
      </c>
      <c r="V147" t="s">
        <v>612</v>
      </c>
      <c r="W147" t="s">
        <v>229</v>
      </c>
      <c r="X147" t="s">
        <v>230</v>
      </c>
      <c r="Z147" t="s">
        <v>254</v>
      </c>
      <c r="AA147" t="s">
        <v>255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I147" t="s">
        <v>233</v>
      </c>
      <c r="AJ147">
        <v>0</v>
      </c>
      <c r="AK147">
        <v>1</v>
      </c>
      <c r="AL147">
        <v>0</v>
      </c>
      <c r="AM147">
        <v>0</v>
      </c>
      <c r="AN147" t="s">
        <v>300</v>
      </c>
      <c r="AO147" t="s">
        <v>235</v>
      </c>
      <c r="AP147">
        <v>0</v>
      </c>
      <c r="AQ147">
        <v>0</v>
      </c>
      <c r="AR147">
        <v>0</v>
      </c>
      <c r="AS147">
        <v>1</v>
      </c>
      <c r="AT147">
        <v>0</v>
      </c>
      <c r="AU147">
        <v>0</v>
      </c>
      <c r="AV147">
        <v>0</v>
      </c>
      <c r="AX147" t="s">
        <v>226</v>
      </c>
      <c r="AY147" t="s">
        <v>226</v>
      </c>
      <c r="AZ147" t="s">
        <v>259</v>
      </c>
      <c r="BA147" t="s">
        <v>1128</v>
      </c>
      <c r="BB147" t="s">
        <v>1129</v>
      </c>
      <c r="BE147" t="s">
        <v>259</v>
      </c>
      <c r="BF147" t="s">
        <v>259</v>
      </c>
      <c r="BG147" t="s">
        <v>259</v>
      </c>
      <c r="BH147" t="s">
        <v>308</v>
      </c>
      <c r="BI147" t="s">
        <v>308</v>
      </c>
      <c r="BJ147" t="s">
        <v>237</v>
      </c>
      <c r="BK147" t="s">
        <v>237</v>
      </c>
      <c r="BL147" t="s">
        <v>313</v>
      </c>
      <c r="BM147" t="s">
        <v>415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 t="s">
        <v>264</v>
      </c>
      <c r="CB147" t="s">
        <v>328</v>
      </c>
      <c r="CC147" t="s">
        <v>328</v>
      </c>
      <c r="CD147" t="s">
        <v>236</v>
      </c>
      <c r="CE147" t="s">
        <v>236</v>
      </c>
      <c r="EA147" t="s">
        <v>226</v>
      </c>
      <c r="EB147" t="s">
        <v>245</v>
      </c>
      <c r="EC147" t="s">
        <v>236</v>
      </c>
      <c r="EE147" t="s">
        <v>236</v>
      </c>
      <c r="EG147" t="s">
        <v>226</v>
      </c>
      <c r="EH147" t="s">
        <v>245</v>
      </c>
      <c r="EI147" t="s">
        <v>236</v>
      </c>
      <c r="EK147" t="s">
        <v>236</v>
      </c>
      <c r="EM147" t="s">
        <v>226</v>
      </c>
      <c r="EN147" t="s">
        <v>245</v>
      </c>
      <c r="EO147" t="s">
        <v>226</v>
      </c>
      <c r="EP147" t="s">
        <v>245</v>
      </c>
      <c r="EQ147" t="s">
        <v>226</v>
      </c>
      <c r="ER147" t="s">
        <v>245</v>
      </c>
      <c r="ES147" t="s">
        <v>226</v>
      </c>
      <c r="ET147" t="s">
        <v>245</v>
      </c>
      <c r="EU147" t="s">
        <v>226</v>
      </c>
      <c r="EV147" t="s">
        <v>245</v>
      </c>
      <c r="EW147" t="s">
        <v>226</v>
      </c>
      <c r="EX147" t="s">
        <v>245</v>
      </c>
      <c r="EY147" t="s">
        <v>226</v>
      </c>
      <c r="EZ147" t="s">
        <v>245</v>
      </c>
      <c r="FA147" t="s">
        <v>236</v>
      </c>
      <c r="FC147" t="s">
        <v>236</v>
      </c>
      <c r="FE147" t="s">
        <v>236</v>
      </c>
      <c r="FG147" t="s">
        <v>236</v>
      </c>
      <c r="FJ147" t="s">
        <v>226</v>
      </c>
      <c r="FK147" t="s">
        <v>244</v>
      </c>
      <c r="FL147" t="s">
        <v>226</v>
      </c>
      <c r="FM147" t="s">
        <v>236</v>
      </c>
      <c r="FW147" t="s">
        <v>236</v>
      </c>
      <c r="FZ147" t="s">
        <v>236</v>
      </c>
      <c r="GC147" t="s">
        <v>236</v>
      </c>
      <c r="GF147" t="s">
        <v>236</v>
      </c>
      <c r="GI147" t="s">
        <v>236</v>
      </c>
      <c r="GL147" t="s">
        <v>236</v>
      </c>
      <c r="GO147" t="s">
        <v>226</v>
      </c>
      <c r="GP147" t="s">
        <v>226</v>
      </c>
      <c r="GQ147" t="s">
        <v>266</v>
      </c>
      <c r="GR147" t="s">
        <v>226</v>
      </c>
      <c r="GS147" t="s">
        <v>226</v>
      </c>
      <c r="GT147" t="s">
        <v>266</v>
      </c>
      <c r="GU147" t="s">
        <v>226</v>
      </c>
      <c r="GV147" t="s">
        <v>226</v>
      </c>
      <c r="GW147" t="s">
        <v>266</v>
      </c>
      <c r="GX147" t="s">
        <v>226</v>
      </c>
      <c r="GY147" t="s">
        <v>226</v>
      </c>
      <c r="GZ147" t="s">
        <v>266</v>
      </c>
      <c r="HB147" t="s">
        <v>1130</v>
      </c>
      <c r="HE147">
        <v>82865795</v>
      </c>
      <c r="HF147" t="s">
        <v>1131</v>
      </c>
      <c r="HG147" s="2">
        <v>45751.81318287037</v>
      </c>
      <c r="HJ147" t="s">
        <v>248</v>
      </c>
      <c r="HL147" t="s">
        <v>249</v>
      </c>
      <c r="HN147">
        <v>145</v>
      </c>
    </row>
    <row r="148" spans="1:222" x14ac:dyDescent="0.25">
      <c r="A148" s="2">
        <v>45751.604934432871</v>
      </c>
      <c r="B148" s="2">
        <v>45751.61294900463</v>
      </c>
      <c r="C148" t="s">
        <v>221</v>
      </c>
      <c r="D148">
        <v>172</v>
      </c>
      <c r="E148" s="2">
        <v>45730</v>
      </c>
      <c r="F148">
        <v>4</v>
      </c>
      <c r="G148" t="s">
        <v>436</v>
      </c>
      <c r="H148" t="s">
        <v>270</v>
      </c>
      <c r="I148">
        <v>69</v>
      </c>
      <c r="J148" t="str">
        <f t="shared" si="2"/>
        <v>de 56 a más</v>
      </c>
      <c r="K148" t="s">
        <v>224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291</v>
      </c>
      <c r="R148" t="s">
        <v>226</v>
      </c>
      <c r="T148" t="s">
        <v>227</v>
      </c>
      <c r="V148" t="s">
        <v>272</v>
      </c>
      <c r="W148" t="s">
        <v>229</v>
      </c>
      <c r="X148" t="s">
        <v>368</v>
      </c>
      <c r="Z148" t="s">
        <v>398</v>
      </c>
      <c r="AA148" t="s">
        <v>255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0</v>
      </c>
      <c r="AI148" t="s">
        <v>233</v>
      </c>
      <c r="AJ148">
        <v>0</v>
      </c>
      <c r="AK148">
        <v>1</v>
      </c>
      <c r="AL148">
        <v>0</v>
      </c>
      <c r="AM148">
        <v>0</v>
      </c>
      <c r="AN148" t="s">
        <v>300</v>
      </c>
      <c r="AO148" t="s">
        <v>235</v>
      </c>
      <c r="AP148">
        <v>0</v>
      </c>
      <c r="AQ148">
        <v>0</v>
      </c>
      <c r="AR148">
        <v>0</v>
      </c>
      <c r="AS148">
        <v>1</v>
      </c>
      <c r="AT148">
        <v>0</v>
      </c>
      <c r="AU148">
        <v>0</v>
      </c>
      <c r="AV148">
        <v>0</v>
      </c>
      <c r="AX148" t="s">
        <v>226</v>
      </c>
      <c r="AY148" t="s">
        <v>226</v>
      </c>
      <c r="AZ148" t="s">
        <v>261</v>
      </c>
      <c r="BA148" t="s">
        <v>594</v>
      </c>
      <c r="BE148" t="s">
        <v>261</v>
      </c>
      <c r="BF148" t="s">
        <v>261</v>
      </c>
      <c r="BG148" t="s">
        <v>237</v>
      </c>
      <c r="BH148" t="s">
        <v>239</v>
      </c>
      <c r="BI148" t="s">
        <v>239</v>
      </c>
      <c r="BJ148" t="s">
        <v>261</v>
      </c>
      <c r="BK148" t="s">
        <v>239</v>
      </c>
      <c r="BL148" t="s">
        <v>313</v>
      </c>
      <c r="BM148" t="s">
        <v>1135</v>
      </c>
      <c r="BN148">
        <v>0</v>
      </c>
      <c r="BO148">
        <v>1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1</v>
      </c>
      <c r="BW148">
        <v>1</v>
      </c>
      <c r="BX148">
        <v>1</v>
      </c>
      <c r="BY148">
        <v>1</v>
      </c>
      <c r="BZ148">
        <v>0</v>
      </c>
      <c r="CA148" t="s">
        <v>242</v>
      </c>
      <c r="CB148" t="s">
        <v>328</v>
      </c>
      <c r="CC148" t="s">
        <v>328</v>
      </c>
      <c r="CD148" t="s">
        <v>236</v>
      </c>
      <c r="CE148" t="s">
        <v>236</v>
      </c>
      <c r="EA148" t="s">
        <v>226</v>
      </c>
      <c r="EB148" t="s">
        <v>245</v>
      </c>
      <c r="EC148" t="s">
        <v>236</v>
      </c>
      <c r="EE148" t="s">
        <v>226</v>
      </c>
      <c r="EF148" t="s">
        <v>265</v>
      </c>
      <c r="EG148" t="s">
        <v>226</v>
      </c>
      <c r="EH148" t="s">
        <v>245</v>
      </c>
      <c r="EI148" t="s">
        <v>236</v>
      </c>
      <c r="EK148" t="s">
        <v>226</v>
      </c>
      <c r="EL148" t="s">
        <v>244</v>
      </c>
      <c r="EM148" t="s">
        <v>226</v>
      </c>
      <c r="EN148" t="s">
        <v>244</v>
      </c>
      <c r="EO148" t="s">
        <v>226</v>
      </c>
      <c r="EP148" t="s">
        <v>245</v>
      </c>
      <c r="EQ148" t="s">
        <v>236</v>
      </c>
      <c r="ES148" t="s">
        <v>226</v>
      </c>
      <c r="ET148" t="s">
        <v>245</v>
      </c>
      <c r="EU148" t="s">
        <v>226</v>
      </c>
      <c r="EV148" t="s">
        <v>244</v>
      </c>
      <c r="EW148" t="s">
        <v>236</v>
      </c>
      <c r="EY148" t="s">
        <v>226</v>
      </c>
      <c r="EZ148" t="s">
        <v>265</v>
      </c>
      <c r="FA148" t="s">
        <v>226</v>
      </c>
      <c r="FB148" t="s">
        <v>265</v>
      </c>
      <c r="FC148" t="s">
        <v>236</v>
      </c>
      <c r="FE148" t="s">
        <v>226</v>
      </c>
      <c r="FF148" t="s">
        <v>245</v>
      </c>
      <c r="FG148" t="s">
        <v>236</v>
      </c>
      <c r="FJ148" t="s">
        <v>226</v>
      </c>
      <c r="FK148" t="s">
        <v>265</v>
      </c>
      <c r="FL148" t="s">
        <v>236</v>
      </c>
      <c r="FM148" t="s">
        <v>236</v>
      </c>
      <c r="FW148" t="s">
        <v>236</v>
      </c>
      <c r="FZ148" t="s">
        <v>236</v>
      </c>
      <c r="GC148" t="s">
        <v>236</v>
      </c>
      <c r="GF148" t="s">
        <v>226</v>
      </c>
      <c r="GG148" t="s">
        <v>226</v>
      </c>
      <c r="GH148" t="s">
        <v>266</v>
      </c>
      <c r="GI148" t="s">
        <v>236</v>
      </c>
      <c r="GL148" t="s">
        <v>236</v>
      </c>
      <c r="GO148" t="s">
        <v>236</v>
      </c>
      <c r="GR148" t="s">
        <v>226</v>
      </c>
      <c r="GS148" t="s">
        <v>226</v>
      </c>
      <c r="GT148" t="s">
        <v>601</v>
      </c>
      <c r="GU148" t="s">
        <v>236</v>
      </c>
      <c r="GX148" t="s">
        <v>236</v>
      </c>
      <c r="HB148" t="s">
        <v>734</v>
      </c>
      <c r="HE148">
        <v>82866387</v>
      </c>
      <c r="HF148" t="s">
        <v>1136</v>
      </c>
      <c r="HG148" s="2">
        <v>45751.821203703701</v>
      </c>
      <c r="HJ148" t="s">
        <v>248</v>
      </c>
      <c r="HL148" t="s">
        <v>249</v>
      </c>
      <c r="HN148">
        <v>146</v>
      </c>
    </row>
    <row r="149" spans="1:222" x14ac:dyDescent="0.25">
      <c r="A149" s="2">
        <v>45751.612949629627</v>
      </c>
      <c r="B149" s="2">
        <v>45751.628554583331</v>
      </c>
      <c r="C149" t="s">
        <v>221</v>
      </c>
      <c r="D149">
        <v>173</v>
      </c>
      <c r="E149" s="2">
        <v>45730</v>
      </c>
      <c r="F149">
        <v>4</v>
      </c>
      <c r="G149" t="s">
        <v>413</v>
      </c>
      <c r="H149" t="s">
        <v>270</v>
      </c>
      <c r="I149">
        <v>45</v>
      </c>
      <c r="J149" t="str">
        <f t="shared" si="2"/>
        <v>de 41 a 55 años</v>
      </c>
      <c r="K149" t="s">
        <v>224</v>
      </c>
      <c r="L149">
        <v>1</v>
      </c>
      <c r="M149">
        <v>0</v>
      </c>
      <c r="N149">
        <v>0</v>
      </c>
      <c r="O149">
        <v>0</v>
      </c>
      <c r="P149">
        <v>0</v>
      </c>
      <c r="Q149" t="s">
        <v>225</v>
      </c>
      <c r="R149" t="s">
        <v>226</v>
      </c>
      <c r="T149" t="s">
        <v>227</v>
      </c>
      <c r="V149" t="s">
        <v>228</v>
      </c>
      <c r="W149" t="s">
        <v>229</v>
      </c>
      <c r="X149" t="s">
        <v>230</v>
      </c>
      <c r="Z149" t="s">
        <v>398</v>
      </c>
      <c r="AA149" t="s">
        <v>232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I149" t="s">
        <v>233</v>
      </c>
      <c r="AJ149">
        <v>0</v>
      </c>
      <c r="AK149">
        <v>1</v>
      </c>
      <c r="AL149">
        <v>0</v>
      </c>
      <c r="AM149">
        <v>0</v>
      </c>
      <c r="AN149" t="s">
        <v>300</v>
      </c>
      <c r="AO149" t="s">
        <v>326</v>
      </c>
      <c r="AP149">
        <v>0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0</v>
      </c>
      <c r="AX149" t="s">
        <v>226</v>
      </c>
      <c r="AY149" t="s">
        <v>226</v>
      </c>
      <c r="AZ149" t="s">
        <v>237</v>
      </c>
      <c r="BA149" t="s">
        <v>1137</v>
      </c>
      <c r="BB149" t="s">
        <v>1138</v>
      </c>
      <c r="BE149" t="s">
        <v>259</v>
      </c>
      <c r="BF149" t="s">
        <v>237</v>
      </c>
      <c r="BG149" t="s">
        <v>259</v>
      </c>
      <c r="BH149" t="s">
        <v>308</v>
      </c>
      <c r="BI149" t="s">
        <v>237</v>
      </c>
      <c r="BJ149" t="s">
        <v>237</v>
      </c>
      <c r="BK149" t="s">
        <v>237</v>
      </c>
      <c r="BL149" t="s">
        <v>240</v>
      </c>
      <c r="BM149" t="s">
        <v>278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 t="s">
        <v>264</v>
      </c>
      <c r="CB149" t="s">
        <v>328</v>
      </c>
      <c r="CC149" t="s">
        <v>264</v>
      </c>
      <c r="CD149" t="s">
        <v>236</v>
      </c>
      <c r="CE149" t="s">
        <v>236</v>
      </c>
      <c r="EA149" t="s">
        <v>236</v>
      </c>
      <c r="EC149" t="s">
        <v>226</v>
      </c>
      <c r="ED149" t="s">
        <v>245</v>
      </c>
      <c r="EE149" t="s">
        <v>236</v>
      </c>
      <c r="EG149" t="s">
        <v>226</v>
      </c>
      <c r="EH149" t="s">
        <v>245</v>
      </c>
      <c r="EI149" t="s">
        <v>226</v>
      </c>
      <c r="EJ149" t="s">
        <v>245</v>
      </c>
      <c r="EK149" t="s">
        <v>236</v>
      </c>
      <c r="EM149" t="s">
        <v>226</v>
      </c>
      <c r="EN149" t="s">
        <v>265</v>
      </c>
      <c r="EO149" t="s">
        <v>236</v>
      </c>
      <c r="EQ149" t="s">
        <v>236</v>
      </c>
      <c r="ES149" t="s">
        <v>236</v>
      </c>
      <c r="EU149" t="s">
        <v>236</v>
      </c>
      <c r="EW149" t="s">
        <v>226</v>
      </c>
      <c r="EX149" t="s">
        <v>245</v>
      </c>
      <c r="EY149" t="s">
        <v>226</v>
      </c>
      <c r="EZ149" t="s">
        <v>245</v>
      </c>
      <c r="FA149" t="s">
        <v>226</v>
      </c>
      <c r="FB149" t="s">
        <v>245</v>
      </c>
      <c r="FC149" t="s">
        <v>236</v>
      </c>
      <c r="FE149" t="s">
        <v>226</v>
      </c>
      <c r="FF149" t="s">
        <v>245</v>
      </c>
      <c r="FG149" t="s">
        <v>236</v>
      </c>
      <c r="FJ149" t="s">
        <v>226</v>
      </c>
      <c r="FK149" t="s">
        <v>265</v>
      </c>
      <c r="FL149" t="s">
        <v>226</v>
      </c>
      <c r="FM149" t="s">
        <v>236</v>
      </c>
      <c r="FW149" t="s">
        <v>226</v>
      </c>
      <c r="FX149" t="s">
        <v>236</v>
      </c>
      <c r="FZ149" t="s">
        <v>236</v>
      </c>
      <c r="GC149" t="s">
        <v>236</v>
      </c>
      <c r="GF149" t="s">
        <v>236</v>
      </c>
      <c r="GI149" t="s">
        <v>236</v>
      </c>
      <c r="GL149" t="s">
        <v>236</v>
      </c>
      <c r="GO149" t="s">
        <v>226</v>
      </c>
      <c r="GP149" t="s">
        <v>226</v>
      </c>
      <c r="GQ149" t="s">
        <v>266</v>
      </c>
      <c r="GR149" t="s">
        <v>226</v>
      </c>
      <c r="GS149" t="s">
        <v>226</v>
      </c>
      <c r="GT149" t="s">
        <v>266</v>
      </c>
      <c r="GU149" t="s">
        <v>226</v>
      </c>
      <c r="GV149" t="s">
        <v>226</v>
      </c>
      <c r="GW149" t="s">
        <v>266</v>
      </c>
      <c r="GX149" t="s">
        <v>226</v>
      </c>
      <c r="GY149" t="s">
        <v>226</v>
      </c>
      <c r="GZ149" t="s">
        <v>266</v>
      </c>
      <c r="HB149" t="s">
        <v>1139</v>
      </c>
      <c r="HC149" t="s">
        <v>1140</v>
      </c>
      <c r="HE149">
        <v>82867972</v>
      </c>
      <c r="HF149" t="s">
        <v>1141</v>
      </c>
      <c r="HG149" s="2">
        <v>45751.836805555547</v>
      </c>
      <c r="HJ149" t="s">
        <v>248</v>
      </c>
      <c r="HL149" t="s">
        <v>249</v>
      </c>
      <c r="HN149">
        <v>148</v>
      </c>
    </row>
    <row r="150" spans="1:222" x14ac:dyDescent="0.25">
      <c r="A150" s="2">
        <v>45751.659704351849</v>
      </c>
      <c r="B150" s="2">
        <v>45751.664138680557</v>
      </c>
      <c r="C150" t="s">
        <v>385</v>
      </c>
      <c r="D150">
        <v>320</v>
      </c>
      <c r="E150" s="2">
        <v>45730</v>
      </c>
      <c r="F150">
        <v>2</v>
      </c>
      <c r="G150" t="s">
        <v>419</v>
      </c>
      <c r="H150" t="s">
        <v>375</v>
      </c>
      <c r="I150">
        <v>30</v>
      </c>
      <c r="J150" t="str">
        <f t="shared" si="2"/>
        <v>de 26 a 40 años</v>
      </c>
      <c r="K150" t="s">
        <v>224</v>
      </c>
      <c r="L150">
        <v>2</v>
      </c>
      <c r="M150">
        <v>0</v>
      </c>
      <c r="N150">
        <v>0</v>
      </c>
      <c r="O150">
        <v>0</v>
      </c>
      <c r="P150">
        <v>0</v>
      </c>
      <c r="Q150" t="s">
        <v>225</v>
      </c>
      <c r="R150" t="s">
        <v>226</v>
      </c>
      <c r="T150" t="s">
        <v>227</v>
      </c>
      <c r="V150" t="s">
        <v>252</v>
      </c>
      <c r="W150" t="s">
        <v>229</v>
      </c>
      <c r="X150" t="s">
        <v>230</v>
      </c>
      <c r="Z150" t="s">
        <v>254</v>
      </c>
      <c r="AA150" t="s">
        <v>481</v>
      </c>
      <c r="AB150">
        <v>0</v>
      </c>
      <c r="AC150">
        <v>0</v>
      </c>
      <c r="AD150">
        <v>0</v>
      </c>
      <c r="AE150">
        <v>1</v>
      </c>
      <c r="AF150">
        <v>1</v>
      </c>
      <c r="AG150">
        <v>0</v>
      </c>
      <c r="AI150" t="s">
        <v>256</v>
      </c>
      <c r="AJ150">
        <v>0</v>
      </c>
      <c r="AK150">
        <v>0</v>
      </c>
      <c r="AL150">
        <v>1</v>
      </c>
      <c r="AM150">
        <v>0</v>
      </c>
      <c r="AN150" t="s">
        <v>300</v>
      </c>
      <c r="AO150" t="s">
        <v>275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X150" t="s">
        <v>226</v>
      </c>
      <c r="AY150" t="s">
        <v>226</v>
      </c>
      <c r="AZ150" t="s">
        <v>237</v>
      </c>
      <c r="BA150" t="s">
        <v>1592</v>
      </c>
      <c r="BE150" t="s">
        <v>259</v>
      </c>
      <c r="BF150" t="s">
        <v>259</v>
      </c>
      <c r="BG150" t="s">
        <v>259</v>
      </c>
      <c r="BH150" t="s">
        <v>237</v>
      </c>
      <c r="BI150" t="s">
        <v>237</v>
      </c>
      <c r="BJ150" t="s">
        <v>237</v>
      </c>
      <c r="BK150" t="s">
        <v>261</v>
      </c>
      <c r="BL150" t="s">
        <v>313</v>
      </c>
      <c r="BM150" t="s">
        <v>296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 t="s">
        <v>264</v>
      </c>
      <c r="CB150" t="s">
        <v>243</v>
      </c>
      <c r="CC150" t="s">
        <v>243</v>
      </c>
      <c r="CD150" t="s">
        <v>226</v>
      </c>
      <c r="CE150" t="s">
        <v>236</v>
      </c>
      <c r="EA150" t="s">
        <v>236</v>
      </c>
      <c r="EC150" t="s">
        <v>226</v>
      </c>
      <c r="ED150" t="s">
        <v>245</v>
      </c>
      <c r="EE150" t="s">
        <v>226</v>
      </c>
      <c r="EF150" t="s">
        <v>245</v>
      </c>
      <c r="EG150" t="s">
        <v>236</v>
      </c>
      <c r="EI150" t="s">
        <v>236</v>
      </c>
      <c r="EK150" t="s">
        <v>236</v>
      </c>
      <c r="EM150" t="s">
        <v>226</v>
      </c>
      <c r="EN150" t="s">
        <v>245</v>
      </c>
      <c r="EO150" t="s">
        <v>226</v>
      </c>
      <c r="EP150" t="s">
        <v>245</v>
      </c>
      <c r="EQ150" t="s">
        <v>236</v>
      </c>
      <c r="ES150" t="s">
        <v>226</v>
      </c>
      <c r="ET150" t="s">
        <v>265</v>
      </c>
      <c r="EU150" t="s">
        <v>236</v>
      </c>
      <c r="EW150" t="s">
        <v>226</v>
      </c>
      <c r="EX150" t="s">
        <v>244</v>
      </c>
      <c r="EY150" t="s">
        <v>236</v>
      </c>
      <c r="FA150" t="s">
        <v>226</v>
      </c>
      <c r="FB150" t="s">
        <v>245</v>
      </c>
      <c r="FC150" t="s">
        <v>236</v>
      </c>
      <c r="FE150" t="s">
        <v>236</v>
      </c>
      <c r="FG150" t="s">
        <v>236</v>
      </c>
      <c r="FJ150" t="s">
        <v>226</v>
      </c>
      <c r="FK150" t="s">
        <v>245</v>
      </c>
      <c r="FL150" t="s">
        <v>226</v>
      </c>
      <c r="FM150" t="s">
        <v>236</v>
      </c>
      <c r="FW150" t="s">
        <v>226</v>
      </c>
      <c r="FX150" t="s">
        <v>236</v>
      </c>
      <c r="FZ150" t="s">
        <v>226</v>
      </c>
      <c r="GA150" t="s">
        <v>236</v>
      </c>
      <c r="GC150" t="s">
        <v>236</v>
      </c>
      <c r="GF150" t="s">
        <v>236</v>
      </c>
      <c r="GI150" t="s">
        <v>236</v>
      </c>
      <c r="GL150" t="s">
        <v>226</v>
      </c>
      <c r="GM150" t="s">
        <v>236</v>
      </c>
      <c r="GO150" t="s">
        <v>226</v>
      </c>
      <c r="GP150" t="s">
        <v>236</v>
      </c>
      <c r="GR150" t="s">
        <v>226</v>
      </c>
      <c r="GS150" t="s">
        <v>236</v>
      </c>
      <c r="GU150" t="s">
        <v>236</v>
      </c>
      <c r="GX150" t="s">
        <v>236</v>
      </c>
      <c r="HB150" t="s">
        <v>338</v>
      </c>
      <c r="HE150">
        <v>82871101</v>
      </c>
      <c r="HF150" t="s">
        <v>1593</v>
      </c>
      <c r="HG150" s="2">
        <v>45751.872384259259</v>
      </c>
      <c r="HJ150" t="s">
        <v>248</v>
      </c>
      <c r="HL150" t="s">
        <v>249</v>
      </c>
      <c r="HN150">
        <v>149</v>
      </c>
    </row>
    <row r="151" spans="1:222" x14ac:dyDescent="0.25">
      <c r="A151" s="2">
        <v>45752.484358495371</v>
      </c>
      <c r="B151" s="2">
        <v>45752.545367650462</v>
      </c>
      <c r="C151" t="s">
        <v>305</v>
      </c>
      <c r="D151">
        <v>241</v>
      </c>
      <c r="E151" s="2">
        <v>45730</v>
      </c>
      <c r="F151">
        <v>1</v>
      </c>
      <c r="G151" t="s">
        <v>374</v>
      </c>
      <c r="H151" t="s">
        <v>375</v>
      </c>
      <c r="I151">
        <v>21</v>
      </c>
      <c r="J151" t="str">
        <f t="shared" si="2"/>
        <v>de 18 a 25 años</v>
      </c>
      <c r="K151" t="s">
        <v>251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291</v>
      </c>
      <c r="R151" t="s">
        <v>226</v>
      </c>
      <c r="T151" t="s">
        <v>284</v>
      </c>
      <c r="V151" t="s">
        <v>228</v>
      </c>
      <c r="W151" t="s">
        <v>229</v>
      </c>
      <c r="X151" t="s">
        <v>253</v>
      </c>
      <c r="Z151" t="s">
        <v>231</v>
      </c>
      <c r="AA151" t="s">
        <v>376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I151" t="s">
        <v>233</v>
      </c>
      <c r="AJ151">
        <v>0</v>
      </c>
      <c r="AK151">
        <v>1</v>
      </c>
      <c r="AL151">
        <v>0</v>
      </c>
      <c r="AM151">
        <v>0</v>
      </c>
      <c r="AN151" t="s">
        <v>300</v>
      </c>
      <c r="AO151" t="s">
        <v>275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X151" t="s">
        <v>226</v>
      </c>
      <c r="AY151" t="s">
        <v>226</v>
      </c>
      <c r="AZ151" t="s">
        <v>259</v>
      </c>
      <c r="BA151" t="s">
        <v>377</v>
      </c>
      <c r="BE151" t="s">
        <v>259</v>
      </c>
      <c r="BF151" t="s">
        <v>259</v>
      </c>
      <c r="BG151" t="s">
        <v>259</v>
      </c>
      <c r="BH151" t="s">
        <v>239</v>
      </c>
      <c r="BI151" t="s">
        <v>239</v>
      </c>
      <c r="BJ151" t="s">
        <v>259</v>
      </c>
      <c r="BK151" t="s">
        <v>239</v>
      </c>
      <c r="BL151" t="s">
        <v>262</v>
      </c>
      <c r="BM151" t="s">
        <v>278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 t="s">
        <v>264</v>
      </c>
      <c r="CB151" t="s">
        <v>328</v>
      </c>
      <c r="CC151" t="s">
        <v>328</v>
      </c>
      <c r="CD151" t="s">
        <v>226</v>
      </c>
      <c r="CE151" t="s">
        <v>236</v>
      </c>
      <c r="EA151" t="s">
        <v>226</v>
      </c>
      <c r="EB151" t="s">
        <v>244</v>
      </c>
      <c r="EC151" t="s">
        <v>236</v>
      </c>
      <c r="EE151" t="s">
        <v>236</v>
      </c>
      <c r="EG151" t="s">
        <v>226</v>
      </c>
      <c r="EH151" t="s">
        <v>244</v>
      </c>
      <c r="EI151" t="s">
        <v>236</v>
      </c>
      <c r="EK151" t="s">
        <v>236</v>
      </c>
      <c r="EM151" t="s">
        <v>226</v>
      </c>
      <c r="EN151" t="s">
        <v>244</v>
      </c>
      <c r="EO151" t="s">
        <v>236</v>
      </c>
      <c r="EQ151" t="s">
        <v>236</v>
      </c>
      <c r="ES151" t="s">
        <v>236</v>
      </c>
      <c r="EU151" t="s">
        <v>236</v>
      </c>
      <c r="EW151" t="s">
        <v>236</v>
      </c>
      <c r="EY151" t="s">
        <v>236</v>
      </c>
      <c r="FA151" t="s">
        <v>236</v>
      </c>
      <c r="FC151" t="s">
        <v>236</v>
      </c>
      <c r="FE151" t="s">
        <v>226</v>
      </c>
      <c r="FF151" t="s">
        <v>244</v>
      </c>
      <c r="FG151" t="s">
        <v>236</v>
      </c>
      <c r="FJ151" t="s">
        <v>226</v>
      </c>
      <c r="FK151" t="s">
        <v>245</v>
      </c>
      <c r="FL151" t="s">
        <v>236</v>
      </c>
      <c r="FM151" t="s">
        <v>236</v>
      </c>
      <c r="FW151" t="s">
        <v>236</v>
      </c>
      <c r="FZ151" t="s">
        <v>236</v>
      </c>
      <c r="GC151" t="s">
        <v>236</v>
      </c>
      <c r="GF151" t="s">
        <v>236</v>
      </c>
      <c r="GI151" t="s">
        <v>236</v>
      </c>
      <c r="GL151" t="s">
        <v>226</v>
      </c>
      <c r="GM151" t="s">
        <v>226</v>
      </c>
      <c r="GN151" t="s">
        <v>266</v>
      </c>
      <c r="GO151" t="s">
        <v>236</v>
      </c>
      <c r="GR151" t="s">
        <v>236</v>
      </c>
      <c r="GU151" t="s">
        <v>236</v>
      </c>
      <c r="GX151" t="s">
        <v>236</v>
      </c>
      <c r="HB151" t="s">
        <v>288</v>
      </c>
      <c r="HC151" t="s">
        <v>338</v>
      </c>
      <c r="HD151" t="s">
        <v>378</v>
      </c>
      <c r="HE151">
        <v>82910622</v>
      </c>
      <c r="HF151" t="s">
        <v>379</v>
      </c>
      <c r="HG151" s="2">
        <v>45752.75371527778</v>
      </c>
      <c r="HJ151" t="s">
        <v>248</v>
      </c>
      <c r="HL151" t="s">
        <v>249</v>
      </c>
      <c r="HN151">
        <v>155</v>
      </c>
    </row>
    <row r="152" spans="1:222" x14ac:dyDescent="0.25">
      <c r="A152" s="2">
        <v>45752.514604490738</v>
      </c>
      <c r="B152" s="2">
        <v>45752.519621446758</v>
      </c>
      <c r="C152" t="s">
        <v>385</v>
      </c>
      <c r="D152">
        <v>319</v>
      </c>
      <c r="E152" s="2">
        <v>45731</v>
      </c>
      <c r="F152">
        <v>2</v>
      </c>
      <c r="G152" t="s">
        <v>271</v>
      </c>
      <c r="H152" t="s">
        <v>391</v>
      </c>
      <c r="I152">
        <v>77</v>
      </c>
      <c r="J152" t="str">
        <f t="shared" si="2"/>
        <v>de 56 a más</v>
      </c>
      <c r="K152" t="s">
        <v>251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225</v>
      </c>
      <c r="R152" t="s">
        <v>226</v>
      </c>
      <c r="T152" t="s">
        <v>392</v>
      </c>
      <c r="V152" t="s">
        <v>228</v>
      </c>
      <c r="W152" t="s">
        <v>229</v>
      </c>
      <c r="X152" t="s">
        <v>368</v>
      </c>
      <c r="Z152" t="s">
        <v>231</v>
      </c>
      <c r="AA152" t="s">
        <v>255</v>
      </c>
      <c r="AB152">
        <v>0</v>
      </c>
      <c r="AC152">
        <v>0</v>
      </c>
      <c r="AD152">
        <v>0</v>
      </c>
      <c r="AE152">
        <v>1</v>
      </c>
      <c r="AF152">
        <v>0</v>
      </c>
      <c r="AG152">
        <v>0</v>
      </c>
      <c r="AI152" t="s">
        <v>233</v>
      </c>
      <c r="AJ152">
        <v>0</v>
      </c>
      <c r="AK152">
        <v>1</v>
      </c>
      <c r="AL152">
        <v>0</v>
      </c>
      <c r="AM152">
        <v>0</v>
      </c>
      <c r="AN152" t="s">
        <v>257</v>
      </c>
      <c r="AO152" t="s">
        <v>294</v>
      </c>
      <c r="AP152">
        <v>1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X152" t="s">
        <v>226</v>
      </c>
      <c r="AY152" t="s">
        <v>236</v>
      </c>
      <c r="AZ152" t="s">
        <v>237</v>
      </c>
      <c r="BA152" t="s">
        <v>276</v>
      </c>
      <c r="BB152" t="s">
        <v>336</v>
      </c>
      <c r="BE152" t="s">
        <v>237</v>
      </c>
      <c r="BF152" t="s">
        <v>237</v>
      </c>
      <c r="BG152" t="s">
        <v>237</v>
      </c>
      <c r="BH152" t="s">
        <v>237</v>
      </c>
      <c r="BI152" t="s">
        <v>259</v>
      </c>
      <c r="BJ152" t="s">
        <v>237</v>
      </c>
      <c r="BK152" t="s">
        <v>259</v>
      </c>
      <c r="BL152" t="s">
        <v>313</v>
      </c>
      <c r="BM152" t="s">
        <v>433</v>
      </c>
      <c r="BN152">
        <v>0</v>
      </c>
      <c r="BO152">
        <v>0</v>
      </c>
      <c r="BP152">
        <v>1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 t="s">
        <v>264</v>
      </c>
      <c r="CB152" t="s">
        <v>264</v>
      </c>
      <c r="CC152" t="s">
        <v>264</v>
      </c>
      <c r="CD152" t="s">
        <v>236</v>
      </c>
      <c r="CE152" t="s">
        <v>236</v>
      </c>
      <c r="EA152" t="s">
        <v>236</v>
      </c>
      <c r="EC152" t="s">
        <v>226</v>
      </c>
      <c r="ED152" t="s">
        <v>244</v>
      </c>
      <c r="EE152" t="s">
        <v>236</v>
      </c>
      <c r="EG152" t="s">
        <v>236</v>
      </c>
      <c r="EI152" t="s">
        <v>236</v>
      </c>
      <c r="EK152" t="s">
        <v>236</v>
      </c>
      <c r="EM152" t="s">
        <v>226</v>
      </c>
      <c r="EN152" t="s">
        <v>245</v>
      </c>
      <c r="EO152" t="s">
        <v>236</v>
      </c>
      <c r="EQ152" t="s">
        <v>236</v>
      </c>
      <c r="ES152" t="s">
        <v>236</v>
      </c>
      <c r="EU152" t="s">
        <v>236</v>
      </c>
      <c r="EW152" t="s">
        <v>236</v>
      </c>
      <c r="EY152" t="s">
        <v>226</v>
      </c>
      <c r="EZ152" t="s">
        <v>244</v>
      </c>
      <c r="FA152" t="s">
        <v>226</v>
      </c>
      <c r="FB152" t="s">
        <v>244</v>
      </c>
      <c r="FC152" t="s">
        <v>236</v>
      </c>
      <c r="FE152" t="s">
        <v>226</v>
      </c>
      <c r="FF152" t="s">
        <v>245</v>
      </c>
      <c r="FG152" t="s">
        <v>236</v>
      </c>
      <c r="FJ152" t="s">
        <v>226</v>
      </c>
      <c r="FK152" t="s">
        <v>265</v>
      </c>
      <c r="FL152" t="s">
        <v>236</v>
      </c>
      <c r="FM152" t="s">
        <v>236</v>
      </c>
      <c r="FW152" t="s">
        <v>226</v>
      </c>
      <c r="FX152" t="s">
        <v>236</v>
      </c>
      <c r="FZ152" t="s">
        <v>226</v>
      </c>
      <c r="GA152" t="s">
        <v>236</v>
      </c>
      <c r="GC152" t="s">
        <v>236</v>
      </c>
      <c r="GF152" t="s">
        <v>226</v>
      </c>
      <c r="GG152" t="s">
        <v>236</v>
      </c>
      <c r="GI152" t="s">
        <v>236</v>
      </c>
      <c r="GL152" t="s">
        <v>226</v>
      </c>
      <c r="GM152" t="s">
        <v>236</v>
      </c>
      <c r="GO152" t="s">
        <v>236</v>
      </c>
      <c r="GR152" t="s">
        <v>226</v>
      </c>
      <c r="GS152" t="s">
        <v>236</v>
      </c>
      <c r="GU152" t="s">
        <v>236</v>
      </c>
      <c r="GX152" t="s">
        <v>236</v>
      </c>
      <c r="HB152" t="s">
        <v>515</v>
      </c>
      <c r="HC152" t="s">
        <v>288</v>
      </c>
      <c r="HD152" t="s">
        <v>317</v>
      </c>
      <c r="HE152">
        <v>82910002</v>
      </c>
      <c r="HF152" t="s">
        <v>516</v>
      </c>
      <c r="HG152" s="2">
        <v>45752.727893518517</v>
      </c>
      <c r="HJ152" t="s">
        <v>248</v>
      </c>
      <c r="HL152" t="s">
        <v>249</v>
      </c>
      <c r="HN152">
        <v>150</v>
      </c>
    </row>
    <row r="153" spans="1:222" x14ac:dyDescent="0.25">
      <c r="A153" s="2">
        <v>45752.51962204861</v>
      </c>
      <c r="B153" s="2">
        <v>45752.524772986108</v>
      </c>
      <c r="C153" t="s">
        <v>385</v>
      </c>
      <c r="D153">
        <v>318</v>
      </c>
      <c r="E153" s="2">
        <v>45730</v>
      </c>
      <c r="F153">
        <v>2</v>
      </c>
      <c r="G153" t="s">
        <v>419</v>
      </c>
      <c r="H153" t="s">
        <v>391</v>
      </c>
      <c r="I153">
        <v>30</v>
      </c>
      <c r="J153" t="str">
        <f t="shared" si="2"/>
        <v>de 26 a 40 años</v>
      </c>
      <c r="K153" t="s">
        <v>251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225</v>
      </c>
      <c r="R153" t="s">
        <v>226</v>
      </c>
      <c r="T153" t="s">
        <v>227</v>
      </c>
      <c r="V153" t="s">
        <v>228</v>
      </c>
      <c r="W153" t="s">
        <v>292</v>
      </c>
      <c r="X153" t="s">
        <v>230</v>
      </c>
      <c r="Z153" t="s">
        <v>254</v>
      </c>
      <c r="AA153" t="s">
        <v>255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0</v>
      </c>
      <c r="AI153" t="s">
        <v>233</v>
      </c>
      <c r="AJ153">
        <v>0</v>
      </c>
      <c r="AK153">
        <v>1</v>
      </c>
      <c r="AL153">
        <v>0</v>
      </c>
      <c r="AM153">
        <v>0</v>
      </c>
      <c r="AN153" t="s">
        <v>234</v>
      </c>
      <c r="AO153" t="s">
        <v>275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0</v>
      </c>
      <c r="AX153" t="s">
        <v>236</v>
      </c>
      <c r="AZ153" t="s">
        <v>237</v>
      </c>
      <c r="BA153" t="s">
        <v>1589</v>
      </c>
      <c r="BB153" t="s">
        <v>1590</v>
      </c>
      <c r="BE153" t="s">
        <v>239</v>
      </c>
      <c r="BF153" t="s">
        <v>259</v>
      </c>
      <c r="BG153" t="s">
        <v>237</v>
      </c>
      <c r="BH153" t="s">
        <v>237</v>
      </c>
      <c r="BI153" t="s">
        <v>237</v>
      </c>
      <c r="BJ153" t="s">
        <v>237</v>
      </c>
      <c r="BK153" t="s">
        <v>261</v>
      </c>
      <c r="BL153" t="s">
        <v>240</v>
      </c>
      <c r="BM153" t="s">
        <v>415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 t="s">
        <v>264</v>
      </c>
      <c r="CB153" t="s">
        <v>243</v>
      </c>
      <c r="CC153" t="s">
        <v>243</v>
      </c>
      <c r="CD153" t="s">
        <v>236</v>
      </c>
      <c r="CE153" t="s">
        <v>236</v>
      </c>
      <c r="EA153" t="s">
        <v>236</v>
      </c>
      <c r="EC153" t="s">
        <v>226</v>
      </c>
      <c r="ED153" t="s">
        <v>244</v>
      </c>
      <c r="EE153" t="s">
        <v>236</v>
      </c>
      <c r="EG153" t="s">
        <v>236</v>
      </c>
      <c r="EI153" t="s">
        <v>236</v>
      </c>
      <c r="EK153" t="s">
        <v>236</v>
      </c>
      <c r="EM153" t="s">
        <v>226</v>
      </c>
      <c r="EN153" t="s">
        <v>244</v>
      </c>
      <c r="EO153" t="s">
        <v>236</v>
      </c>
      <c r="EQ153" t="s">
        <v>236</v>
      </c>
      <c r="ES153" t="s">
        <v>226</v>
      </c>
      <c r="ET153" t="s">
        <v>244</v>
      </c>
      <c r="EU153" t="s">
        <v>236</v>
      </c>
      <c r="EW153" t="s">
        <v>236</v>
      </c>
      <c r="EY153" t="s">
        <v>236</v>
      </c>
      <c r="FA153" t="s">
        <v>226</v>
      </c>
      <c r="FB153" t="s">
        <v>244</v>
      </c>
      <c r="FC153" t="s">
        <v>236</v>
      </c>
      <c r="FE153" t="s">
        <v>236</v>
      </c>
      <c r="FG153" t="s">
        <v>236</v>
      </c>
      <c r="FJ153" t="s">
        <v>226</v>
      </c>
      <c r="FK153" t="s">
        <v>244</v>
      </c>
      <c r="FL153" t="s">
        <v>226</v>
      </c>
      <c r="FM153" t="s">
        <v>236</v>
      </c>
      <c r="FW153" t="s">
        <v>226</v>
      </c>
      <c r="FX153" t="s">
        <v>236</v>
      </c>
      <c r="FZ153" t="s">
        <v>226</v>
      </c>
      <c r="GA153" t="s">
        <v>226</v>
      </c>
      <c r="GB153" t="s">
        <v>267</v>
      </c>
      <c r="GC153" t="s">
        <v>236</v>
      </c>
      <c r="GF153" t="s">
        <v>226</v>
      </c>
      <c r="GG153" t="s">
        <v>236</v>
      </c>
      <c r="GI153" t="s">
        <v>236</v>
      </c>
      <c r="GL153" t="s">
        <v>236</v>
      </c>
      <c r="GO153" t="s">
        <v>226</v>
      </c>
      <c r="GP153" t="s">
        <v>236</v>
      </c>
      <c r="GR153" t="s">
        <v>226</v>
      </c>
      <c r="GS153" t="s">
        <v>226</v>
      </c>
      <c r="GT153" t="s">
        <v>267</v>
      </c>
      <c r="GU153" t="s">
        <v>226</v>
      </c>
      <c r="GV153" t="s">
        <v>236</v>
      </c>
      <c r="GX153" t="s">
        <v>236</v>
      </c>
      <c r="HB153" t="s">
        <v>338</v>
      </c>
      <c r="HE153">
        <v>82910089</v>
      </c>
      <c r="HF153" t="s">
        <v>1591</v>
      </c>
      <c r="HG153" s="2">
        <v>45752.733043981483</v>
      </c>
      <c r="HJ153" t="s">
        <v>248</v>
      </c>
      <c r="HL153" t="s">
        <v>249</v>
      </c>
      <c r="HN153">
        <v>151</v>
      </c>
    </row>
    <row r="154" spans="1:222" x14ac:dyDescent="0.25">
      <c r="A154" s="2">
        <v>45752.524773576391</v>
      </c>
      <c r="B154" s="2">
        <v>45752.529993796299</v>
      </c>
      <c r="C154" t="s">
        <v>1586</v>
      </c>
      <c r="D154">
        <v>317</v>
      </c>
      <c r="E154" s="2">
        <v>45731</v>
      </c>
      <c r="F154">
        <v>2</v>
      </c>
      <c r="G154" t="s">
        <v>271</v>
      </c>
      <c r="H154" t="s">
        <v>391</v>
      </c>
      <c r="I154">
        <v>38</v>
      </c>
      <c r="J154" t="str">
        <f t="shared" si="2"/>
        <v>de 26 a 40 años</v>
      </c>
      <c r="K154" t="s">
        <v>341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225</v>
      </c>
      <c r="R154" t="s">
        <v>226</v>
      </c>
      <c r="T154" t="s">
        <v>284</v>
      </c>
      <c r="V154" t="s">
        <v>321</v>
      </c>
      <c r="W154" t="s">
        <v>229</v>
      </c>
      <c r="X154" t="s">
        <v>350</v>
      </c>
      <c r="Z154" t="s">
        <v>398</v>
      </c>
      <c r="AA154" t="s">
        <v>255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I154" t="s">
        <v>256</v>
      </c>
      <c r="AJ154">
        <v>0</v>
      </c>
      <c r="AK154">
        <v>0</v>
      </c>
      <c r="AL154">
        <v>1</v>
      </c>
      <c r="AM154">
        <v>0</v>
      </c>
      <c r="AN154" t="s">
        <v>257</v>
      </c>
      <c r="AO154" t="s">
        <v>275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X154" t="s">
        <v>226</v>
      </c>
      <c r="AY154" t="s">
        <v>236</v>
      </c>
      <c r="AZ154" t="s">
        <v>237</v>
      </c>
      <c r="BA154" t="s">
        <v>590</v>
      </c>
      <c r="BB154" t="s">
        <v>1587</v>
      </c>
      <c r="BC154" t="s">
        <v>391</v>
      </c>
      <c r="BE154" t="s">
        <v>259</v>
      </c>
      <c r="BF154" t="s">
        <v>259</v>
      </c>
      <c r="BG154" t="s">
        <v>259</v>
      </c>
      <c r="BH154" t="s">
        <v>259</v>
      </c>
      <c r="BI154" t="s">
        <v>259</v>
      </c>
      <c r="BJ154" t="s">
        <v>259</v>
      </c>
      <c r="BK154" t="s">
        <v>259</v>
      </c>
      <c r="BL154" t="s">
        <v>262</v>
      </c>
      <c r="BM154" t="s">
        <v>365</v>
      </c>
      <c r="BN154">
        <v>0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 t="s">
        <v>264</v>
      </c>
      <c r="CB154" t="s">
        <v>264</v>
      </c>
      <c r="CC154" t="s">
        <v>264</v>
      </c>
      <c r="CD154" t="s">
        <v>236</v>
      </c>
      <c r="CE154" t="s">
        <v>236</v>
      </c>
      <c r="EA154" t="s">
        <v>236</v>
      </c>
      <c r="EC154" t="s">
        <v>236</v>
      </c>
      <c r="EE154" t="s">
        <v>236</v>
      </c>
      <c r="EG154" t="s">
        <v>236</v>
      </c>
      <c r="EI154" t="s">
        <v>236</v>
      </c>
      <c r="EK154" t="s">
        <v>236</v>
      </c>
      <c r="EM154" t="s">
        <v>226</v>
      </c>
      <c r="EN154" t="s">
        <v>244</v>
      </c>
      <c r="EO154" t="s">
        <v>236</v>
      </c>
      <c r="EQ154" t="s">
        <v>236</v>
      </c>
      <c r="ES154" t="s">
        <v>236</v>
      </c>
      <c r="EU154" t="s">
        <v>236</v>
      </c>
      <c r="EW154" t="s">
        <v>226</v>
      </c>
      <c r="EX154" t="s">
        <v>244</v>
      </c>
      <c r="EY154" t="s">
        <v>226</v>
      </c>
      <c r="EZ154" t="s">
        <v>244</v>
      </c>
      <c r="FA154" t="s">
        <v>236</v>
      </c>
      <c r="FC154" t="s">
        <v>236</v>
      </c>
      <c r="FE154" t="s">
        <v>236</v>
      </c>
      <c r="FG154" t="s">
        <v>236</v>
      </c>
      <c r="FJ154" t="s">
        <v>226</v>
      </c>
      <c r="FK154" t="s">
        <v>265</v>
      </c>
      <c r="FL154" t="s">
        <v>236</v>
      </c>
      <c r="FM154" t="s">
        <v>236</v>
      </c>
      <c r="FW154" t="s">
        <v>226</v>
      </c>
      <c r="FX154" t="s">
        <v>236</v>
      </c>
      <c r="FZ154" t="s">
        <v>236</v>
      </c>
      <c r="GC154" t="s">
        <v>236</v>
      </c>
      <c r="GF154" t="s">
        <v>226</v>
      </c>
      <c r="GG154" t="s">
        <v>236</v>
      </c>
      <c r="GI154" t="s">
        <v>236</v>
      </c>
      <c r="GL154" t="s">
        <v>236</v>
      </c>
      <c r="GO154" t="s">
        <v>236</v>
      </c>
      <c r="GR154" t="s">
        <v>226</v>
      </c>
      <c r="GS154" t="s">
        <v>236</v>
      </c>
      <c r="GU154" t="s">
        <v>236</v>
      </c>
      <c r="GX154" t="s">
        <v>236</v>
      </c>
      <c r="HB154" t="s">
        <v>279</v>
      </c>
      <c r="HC154" t="s">
        <v>338</v>
      </c>
      <c r="HE154">
        <v>82910183</v>
      </c>
      <c r="HF154" t="s">
        <v>1588</v>
      </c>
      <c r="HG154" s="2">
        <v>45752.738275462973</v>
      </c>
      <c r="HJ154" t="s">
        <v>248</v>
      </c>
      <c r="HL154" t="s">
        <v>249</v>
      </c>
      <c r="HN154">
        <v>152</v>
      </c>
    </row>
    <row r="155" spans="1:222" x14ac:dyDescent="0.25">
      <c r="A155" s="2">
        <v>45752.529994537043</v>
      </c>
      <c r="B155" s="2">
        <v>45752.535841342593</v>
      </c>
      <c r="C155" t="s">
        <v>385</v>
      </c>
      <c r="D155">
        <v>316</v>
      </c>
      <c r="E155" s="2">
        <v>45730</v>
      </c>
      <c r="F155">
        <v>2</v>
      </c>
      <c r="G155" t="s">
        <v>290</v>
      </c>
      <c r="H155" t="s">
        <v>391</v>
      </c>
      <c r="I155">
        <v>58</v>
      </c>
      <c r="J155" t="str">
        <f t="shared" si="2"/>
        <v>de 56 a más</v>
      </c>
      <c r="K155" t="s">
        <v>251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291</v>
      </c>
      <c r="R155" t="s">
        <v>226</v>
      </c>
      <c r="T155" t="s">
        <v>392</v>
      </c>
      <c r="V155" t="s">
        <v>393</v>
      </c>
      <c r="W155" t="s">
        <v>229</v>
      </c>
      <c r="X155" t="s">
        <v>350</v>
      </c>
      <c r="Z155" t="s">
        <v>273</v>
      </c>
      <c r="AA155" t="s">
        <v>232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I155" t="s">
        <v>233</v>
      </c>
      <c r="AJ155">
        <v>0</v>
      </c>
      <c r="AK155">
        <v>1</v>
      </c>
      <c r="AL155">
        <v>0</v>
      </c>
      <c r="AM155">
        <v>0</v>
      </c>
      <c r="AN155" t="s">
        <v>274</v>
      </c>
      <c r="AO155" t="s">
        <v>275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1</v>
      </c>
      <c r="AV155">
        <v>0</v>
      </c>
      <c r="AX155" t="s">
        <v>226</v>
      </c>
      <c r="AY155" t="s">
        <v>226</v>
      </c>
      <c r="AZ155" t="s">
        <v>259</v>
      </c>
      <c r="BA155" t="s">
        <v>394</v>
      </c>
      <c r="BB155" t="s">
        <v>395</v>
      </c>
      <c r="BE155" t="s">
        <v>259</v>
      </c>
      <c r="BF155" t="s">
        <v>237</v>
      </c>
      <c r="BG155" t="s">
        <v>259</v>
      </c>
      <c r="BH155" t="s">
        <v>239</v>
      </c>
      <c r="BI155" t="s">
        <v>237</v>
      </c>
      <c r="BJ155" t="s">
        <v>362</v>
      </c>
      <c r="BK155" t="s">
        <v>259</v>
      </c>
      <c r="BL155" t="s">
        <v>313</v>
      </c>
      <c r="BM155" t="s">
        <v>296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 t="s">
        <v>264</v>
      </c>
      <c r="CB155" t="s">
        <v>328</v>
      </c>
      <c r="CC155" t="s">
        <v>264</v>
      </c>
      <c r="CD155" t="s">
        <v>236</v>
      </c>
      <c r="CE155" t="s">
        <v>236</v>
      </c>
      <c r="EA155" t="s">
        <v>226</v>
      </c>
      <c r="EB155" t="s">
        <v>245</v>
      </c>
      <c r="EC155" t="s">
        <v>236</v>
      </c>
      <c r="EE155" t="s">
        <v>226</v>
      </c>
      <c r="EF155" t="s">
        <v>245</v>
      </c>
      <c r="EG155" t="s">
        <v>236</v>
      </c>
      <c r="EI155" t="s">
        <v>236</v>
      </c>
      <c r="EK155" t="s">
        <v>236</v>
      </c>
      <c r="EM155" t="s">
        <v>236</v>
      </c>
      <c r="EO155" t="s">
        <v>236</v>
      </c>
      <c r="EQ155" t="s">
        <v>236</v>
      </c>
      <c r="ES155" t="s">
        <v>236</v>
      </c>
      <c r="EU155" t="s">
        <v>236</v>
      </c>
      <c r="EW155" t="s">
        <v>226</v>
      </c>
      <c r="EX155" t="s">
        <v>244</v>
      </c>
      <c r="EY155" t="s">
        <v>226</v>
      </c>
      <c r="EZ155" t="s">
        <v>245</v>
      </c>
      <c r="FA155" t="s">
        <v>226</v>
      </c>
      <c r="FB155" t="s">
        <v>245</v>
      </c>
      <c r="FC155" t="s">
        <v>236</v>
      </c>
      <c r="FE155" t="s">
        <v>236</v>
      </c>
      <c r="FG155" t="s">
        <v>236</v>
      </c>
      <c r="FJ155" t="s">
        <v>226</v>
      </c>
      <c r="FK155" t="s">
        <v>244</v>
      </c>
      <c r="FL155" t="s">
        <v>236</v>
      </c>
      <c r="FM155" t="s">
        <v>236</v>
      </c>
      <c r="FW155" t="s">
        <v>226</v>
      </c>
      <c r="FX155" t="s">
        <v>236</v>
      </c>
      <c r="FZ155" t="s">
        <v>236</v>
      </c>
      <c r="GC155" t="s">
        <v>236</v>
      </c>
      <c r="GF155" t="s">
        <v>226</v>
      </c>
      <c r="GG155" t="s">
        <v>236</v>
      </c>
      <c r="GI155" t="s">
        <v>236</v>
      </c>
      <c r="GL155" t="s">
        <v>226</v>
      </c>
      <c r="GM155" t="s">
        <v>236</v>
      </c>
      <c r="GO155" t="s">
        <v>226</v>
      </c>
      <c r="GP155" t="s">
        <v>236</v>
      </c>
      <c r="GR155" t="s">
        <v>226</v>
      </c>
      <c r="GS155" t="s">
        <v>236</v>
      </c>
      <c r="GU155" t="s">
        <v>236</v>
      </c>
      <c r="GX155" t="s">
        <v>236</v>
      </c>
      <c r="HB155" t="s">
        <v>396</v>
      </c>
      <c r="HE155">
        <v>82910418</v>
      </c>
      <c r="HF155" t="s">
        <v>397</v>
      </c>
      <c r="HG155" s="2">
        <v>45752.744120370371</v>
      </c>
      <c r="HJ155" t="s">
        <v>248</v>
      </c>
      <c r="HL155" t="s">
        <v>249</v>
      </c>
      <c r="HN155">
        <v>153</v>
      </c>
    </row>
    <row r="156" spans="1:222" x14ac:dyDescent="0.25">
      <c r="A156" s="2">
        <v>45752.535841828707</v>
      </c>
      <c r="B156" s="2">
        <v>45752.54032753472</v>
      </c>
      <c r="C156" t="s">
        <v>385</v>
      </c>
      <c r="D156">
        <v>315</v>
      </c>
      <c r="E156" s="2">
        <v>45730</v>
      </c>
      <c r="F156">
        <v>2</v>
      </c>
      <c r="G156" t="s">
        <v>290</v>
      </c>
      <c r="H156" t="s">
        <v>391</v>
      </c>
      <c r="I156">
        <v>31</v>
      </c>
      <c r="J156" t="str">
        <f t="shared" si="2"/>
        <v>de 26 a 40 años</v>
      </c>
      <c r="K156" t="s">
        <v>251</v>
      </c>
      <c r="L156">
        <v>3</v>
      </c>
      <c r="M156">
        <v>0</v>
      </c>
      <c r="N156">
        <v>0</v>
      </c>
      <c r="O156">
        <v>0</v>
      </c>
      <c r="P156">
        <v>0</v>
      </c>
      <c r="Q156" t="s">
        <v>291</v>
      </c>
      <c r="R156" t="s">
        <v>226</v>
      </c>
      <c r="T156" t="s">
        <v>227</v>
      </c>
      <c r="V156" t="s">
        <v>612</v>
      </c>
      <c r="W156" t="s">
        <v>229</v>
      </c>
      <c r="X156" t="s">
        <v>230</v>
      </c>
      <c r="Z156" t="s">
        <v>254</v>
      </c>
      <c r="AA156" t="s">
        <v>232</v>
      </c>
      <c r="AB156">
        <v>1</v>
      </c>
      <c r="AC156">
        <v>0</v>
      </c>
      <c r="AD156">
        <v>0</v>
      </c>
      <c r="AE156">
        <v>0</v>
      </c>
      <c r="AF156">
        <v>0</v>
      </c>
      <c r="AG156">
        <v>0</v>
      </c>
      <c r="AI156" t="s">
        <v>233</v>
      </c>
      <c r="AJ156">
        <v>0</v>
      </c>
      <c r="AK156">
        <v>1</v>
      </c>
      <c r="AL156">
        <v>0</v>
      </c>
      <c r="AM156">
        <v>0</v>
      </c>
      <c r="AN156" t="s">
        <v>274</v>
      </c>
      <c r="AO156" t="s">
        <v>294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X156" t="s">
        <v>226</v>
      </c>
      <c r="AY156" t="s">
        <v>226</v>
      </c>
      <c r="AZ156" t="s">
        <v>259</v>
      </c>
      <c r="BA156" t="s">
        <v>1583</v>
      </c>
      <c r="BE156" t="s">
        <v>259</v>
      </c>
      <c r="BF156" t="s">
        <v>237</v>
      </c>
      <c r="BG156" t="s">
        <v>259</v>
      </c>
      <c r="BH156" t="s">
        <v>239</v>
      </c>
      <c r="BI156" t="s">
        <v>362</v>
      </c>
      <c r="BJ156" t="s">
        <v>362</v>
      </c>
      <c r="BK156" t="s">
        <v>259</v>
      </c>
      <c r="BL156" t="s">
        <v>262</v>
      </c>
      <c r="BM156" t="s">
        <v>650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 t="s">
        <v>264</v>
      </c>
      <c r="CB156" t="s">
        <v>264</v>
      </c>
      <c r="CC156" t="s">
        <v>264</v>
      </c>
      <c r="CD156" t="s">
        <v>236</v>
      </c>
      <c r="CE156" t="s">
        <v>236</v>
      </c>
      <c r="EA156" t="s">
        <v>236</v>
      </c>
      <c r="EC156" t="s">
        <v>236</v>
      </c>
      <c r="EE156" t="s">
        <v>226</v>
      </c>
      <c r="EF156" t="s">
        <v>244</v>
      </c>
      <c r="EG156" t="s">
        <v>236</v>
      </c>
      <c r="EI156" t="s">
        <v>236</v>
      </c>
      <c r="EK156" t="s">
        <v>236</v>
      </c>
      <c r="EM156" t="s">
        <v>226</v>
      </c>
      <c r="EN156" t="s">
        <v>245</v>
      </c>
      <c r="EO156" t="s">
        <v>236</v>
      </c>
      <c r="EQ156" t="s">
        <v>236</v>
      </c>
      <c r="ES156" t="s">
        <v>236</v>
      </c>
      <c r="EU156" t="s">
        <v>236</v>
      </c>
      <c r="EW156" t="s">
        <v>236</v>
      </c>
      <c r="EY156" t="s">
        <v>236</v>
      </c>
      <c r="FA156" t="s">
        <v>226</v>
      </c>
      <c r="FB156" t="s">
        <v>244</v>
      </c>
      <c r="FC156" t="s">
        <v>236</v>
      </c>
      <c r="FE156" t="s">
        <v>236</v>
      </c>
      <c r="FG156" t="s">
        <v>236</v>
      </c>
      <c r="FJ156" t="s">
        <v>226</v>
      </c>
      <c r="FK156" t="s">
        <v>245</v>
      </c>
      <c r="FL156" t="s">
        <v>236</v>
      </c>
      <c r="FM156" t="s">
        <v>236</v>
      </c>
      <c r="FW156" t="s">
        <v>236</v>
      </c>
      <c r="FZ156" t="s">
        <v>236</v>
      </c>
      <c r="GC156" t="s">
        <v>236</v>
      </c>
      <c r="GF156" t="s">
        <v>226</v>
      </c>
      <c r="GG156" t="s">
        <v>226</v>
      </c>
      <c r="GH156" t="s">
        <v>267</v>
      </c>
      <c r="GI156" t="s">
        <v>226</v>
      </c>
      <c r="GJ156" t="s">
        <v>236</v>
      </c>
      <c r="GL156" t="s">
        <v>236</v>
      </c>
      <c r="GO156" t="s">
        <v>226</v>
      </c>
      <c r="GP156" t="s">
        <v>236</v>
      </c>
      <c r="GR156" t="s">
        <v>226</v>
      </c>
      <c r="GS156" t="s">
        <v>236</v>
      </c>
      <c r="GU156" t="s">
        <v>236</v>
      </c>
      <c r="GX156" t="s">
        <v>236</v>
      </c>
      <c r="HB156" t="s">
        <v>1584</v>
      </c>
      <c r="HE156">
        <v>82910563</v>
      </c>
      <c r="HF156" t="s">
        <v>1585</v>
      </c>
      <c r="HG156" s="2">
        <v>45752.748599537037</v>
      </c>
      <c r="HJ156" t="s">
        <v>248</v>
      </c>
      <c r="HL156" t="s">
        <v>249</v>
      </c>
      <c r="HN156">
        <v>154</v>
      </c>
    </row>
    <row r="157" spans="1:222" x14ac:dyDescent="0.25">
      <c r="A157" s="2">
        <v>45752.540328020827</v>
      </c>
      <c r="B157" s="2">
        <v>45752.54616701389</v>
      </c>
      <c r="C157" t="s">
        <v>385</v>
      </c>
      <c r="D157">
        <v>314</v>
      </c>
      <c r="E157" s="2">
        <v>45730</v>
      </c>
      <c r="F157">
        <v>2</v>
      </c>
      <c r="G157" t="s">
        <v>419</v>
      </c>
      <c r="H157" t="s">
        <v>391</v>
      </c>
      <c r="I157">
        <v>37</v>
      </c>
      <c r="J157" t="str">
        <f t="shared" si="2"/>
        <v>de 26 a 40 años</v>
      </c>
      <c r="K157" t="s">
        <v>341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291</v>
      </c>
      <c r="R157" t="s">
        <v>226</v>
      </c>
      <c r="T157" t="s">
        <v>227</v>
      </c>
      <c r="V157" t="s">
        <v>612</v>
      </c>
      <c r="W157" t="s">
        <v>229</v>
      </c>
      <c r="X157" t="s">
        <v>230</v>
      </c>
      <c r="Z157" t="s">
        <v>254</v>
      </c>
      <c r="AA157" t="s">
        <v>232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0</v>
      </c>
      <c r="AI157" t="s">
        <v>233</v>
      </c>
      <c r="AJ157">
        <v>0</v>
      </c>
      <c r="AK157">
        <v>1</v>
      </c>
      <c r="AL157">
        <v>0</v>
      </c>
      <c r="AM157">
        <v>0</v>
      </c>
      <c r="AN157" t="s">
        <v>274</v>
      </c>
      <c r="AO157" t="s">
        <v>1491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 t="s">
        <v>1250</v>
      </c>
      <c r="AX157" t="s">
        <v>226</v>
      </c>
      <c r="AY157" t="s">
        <v>226</v>
      </c>
      <c r="AZ157" t="s">
        <v>259</v>
      </c>
      <c r="BA157" t="s">
        <v>781</v>
      </c>
      <c r="BE157" t="s">
        <v>259</v>
      </c>
      <c r="BF157" t="s">
        <v>237</v>
      </c>
      <c r="BG157" t="s">
        <v>237</v>
      </c>
      <c r="BH157" t="s">
        <v>259</v>
      </c>
      <c r="BI157" t="s">
        <v>237</v>
      </c>
      <c r="BJ157" t="s">
        <v>259</v>
      </c>
      <c r="BK157" t="s">
        <v>261</v>
      </c>
      <c r="BL157" t="s">
        <v>313</v>
      </c>
      <c r="BM157" t="s">
        <v>314</v>
      </c>
      <c r="BN157">
        <v>0</v>
      </c>
      <c r="BO157">
        <v>0</v>
      </c>
      <c r="BP157">
        <v>0</v>
      </c>
      <c r="BQ157">
        <v>1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 t="s">
        <v>264</v>
      </c>
      <c r="CB157" t="s">
        <v>242</v>
      </c>
      <c r="CC157" t="s">
        <v>328</v>
      </c>
      <c r="CD157" t="s">
        <v>236</v>
      </c>
      <c r="CE157" t="s">
        <v>226</v>
      </c>
      <c r="CF157" t="s">
        <v>1576</v>
      </c>
      <c r="CG157">
        <v>1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1</v>
      </c>
      <c r="CR157" t="s">
        <v>1577</v>
      </c>
      <c r="CS157" t="s">
        <v>236</v>
      </c>
      <c r="DC157" t="s">
        <v>236</v>
      </c>
      <c r="DD157" t="s">
        <v>1578</v>
      </c>
      <c r="DE157" t="s">
        <v>1579</v>
      </c>
      <c r="DX157" t="s">
        <v>1580</v>
      </c>
      <c r="EA157" t="s">
        <v>236</v>
      </c>
      <c r="EC157" t="s">
        <v>236</v>
      </c>
      <c r="EE157" t="s">
        <v>226</v>
      </c>
      <c r="EF157" t="s">
        <v>245</v>
      </c>
      <c r="EG157" t="s">
        <v>236</v>
      </c>
      <c r="EI157" t="s">
        <v>226</v>
      </c>
      <c r="EJ157" t="s">
        <v>244</v>
      </c>
      <c r="EK157" t="s">
        <v>236</v>
      </c>
      <c r="EM157" t="s">
        <v>226</v>
      </c>
      <c r="EN157" t="s">
        <v>244</v>
      </c>
      <c r="EO157" t="s">
        <v>236</v>
      </c>
      <c r="EQ157" t="s">
        <v>236</v>
      </c>
      <c r="ES157" t="s">
        <v>226</v>
      </c>
      <c r="ET157" t="s">
        <v>265</v>
      </c>
      <c r="EU157" t="s">
        <v>226</v>
      </c>
      <c r="EV157" t="s">
        <v>245</v>
      </c>
      <c r="EW157" t="s">
        <v>226</v>
      </c>
      <c r="EX157" t="s">
        <v>265</v>
      </c>
      <c r="EY157" t="s">
        <v>226</v>
      </c>
      <c r="EZ157" t="s">
        <v>265</v>
      </c>
      <c r="FA157" t="s">
        <v>236</v>
      </c>
      <c r="FC157" t="s">
        <v>236</v>
      </c>
      <c r="FE157" t="s">
        <v>226</v>
      </c>
      <c r="FF157" t="s">
        <v>245</v>
      </c>
      <c r="FG157" t="s">
        <v>236</v>
      </c>
      <c r="FJ157" t="s">
        <v>226</v>
      </c>
      <c r="FK157" t="s">
        <v>245</v>
      </c>
      <c r="FL157" t="s">
        <v>236</v>
      </c>
      <c r="FM157" t="s">
        <v>236</v>
      </c>
      <c r="FW157" t="s">
        <v>226</v>
      </c>
      <c r="FX157" t="s">
        <v>236</v>
      </c>
      <c r="FZ157" t="s">
        <v>226</v>
      </c>
      <c r="GA157" t="s">
        <v>236</v>
      </c>
      <c r="GC157" t="s">
        <v>236</v>
      </c>
      <c r="GF157" t="s">
        <v>226</v>
      </c>
      <c r="GG157" t="s">
        <v>236</v>
      </c>
      <c r="GI157" t="s">
        <v>226</v>
      </c>
      <c r="GJ157" t="s">
        <v>236</v>
      </c>
      <c r="GL157" t="s">
        <v>226</v>
      </c>
      <c r="GM157" t="s">
        <v>236</v>
      </c>
      <c r="GO157" t="s">
        <v>226</v>
      </c>
      <c r="GP157" t="s">
        <v>226</v>
      </c>
      <c r="GQ157" t="s">
        <v>267</v>
      </c>
      <c r="GR157" t="s">
        <v>226</v>
      </c>
      <c r="GS157" t="s">
        <v>226</v>
      </c>
      <c r="GT157" t="s">
        <v>267</v>
      </c>
      <c r="GU157" t="s">
        <v>236</v>
      </c>
      <c r="GX157" t="s">
        <v>236</v>
      </c>
      <c r="HB157" t="s">
        <v>522</v>
      </c>
      <c r="HC157" t="s">
        <v>1581</v>
      </c>
      <c r="HE157">
        <v>82910653</v>
      </c>
      <c r="HF157" t="s">
        <v>1582</v>
      </c>
      <c r="HG157" s="2">
        <v>45752.754444444443</v>
      </c>
      <c r="HJ157" t="s">
        <v>248</v>
      </c>
      <c r="HL157" t="s">
        <v>249</v>
      </c>
      <c r="HN157">
        <v>156</v>
      </c>
    </row>
    <row r="158" spans="1:222" x14ac:dyDescent="0.25">
      <c r="A158" s="2">
        <v>45752.545368125</v>
      </c>
      <c r="B158" s="2">
        <v>45752.54803395833</v>
      </c>
      <c r="C158" t="s">
        <v>305</v>
      </c>
      <c r="D158">
        <v>242</v>
      </c>
      <c r="E158" s="2">
        <v>45731</v>
      </c>
      <c r="F158">
        <v>1</v>
      </c>
      <c r="G158" t="s">
        <v>507</v>
      </c>
      <c r="H158" t="s">
        <v>375</v>
      </c>
      <c r="I158">
        <v>49</v>
      </c>
      <c r="J158" t="str">
        <f t="shared" si="2"/>
        <v>de 41 a 55 años</v>
      </c>
      <c r="K158" t="s">
        <v>251</v>
      </c>
      <c r="L158">
        <v>1</v>
      </c>
      <c r="M158">
        <v>0</v>
      </c>
      <c r="N158">
        <v>0</v>
      </c>
      <c r="O158">
        <v>0</v>
      </c>
      <c r="P158">
        <v>0</v>
      </c>
      <c r="Q158" t="s">
        <v>225</v>
      </c>
      <c r="R158" t="s">
        <v>226</v>
      </c>
      <c r="T158" t="s">
        <v>227</v>
      </c>
      <c r="V158" t="s">
        <v>228</v>
      </c>
      <c r="W158" t="s">
        <v>229</v>
      </c>
      <c r="X158" t="s">
        <v>350</v>
      </c>
      <c r="Z158" t="s">
        <v>351</v>
      </c>
      <c r="AA158" t="s">
        <v>255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I158" t="s">
        <v>233</v>
      </c>
      <c r="AJ158">
        <v>0</v>
      </c>
      <c r="AK158">
        <v>1</v>
      </c>
      <c r="AL158">
        <v>0</v>
      </c>
      <c r="AM158">
        <v>0</v>
      </c>
      <c r="AN158" t="s">
        <v>234</v>
      </c>
      <c r="AO158" t="s">
        <v>326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X158" t="s">
        <v>226</v>
      </c>
      <c r="AY158" t="s">
        <v>236</v>
      </c>
      <c r="AZ158" t="s">
        <v>362</v>
      </c>
      <c r="BA158" t="s">
        <v>512</v>
      </c>
      <c r="BB158" t="s">
        <v>1356</v>
      </c>
      <c r="BE158" t="s">
        <v>239</v>
      </c>
      <c r="BF158" t="s">
        <v>237</v>
      </c>
      <c r="BG158" t="s">
        <v>237</v>
      </c>
      <c r="BH158" t="s">
        <v>239</v>
      </c>
      <c r="BI158" t="s">
        <v>239</v>
      </c>
      <c r="BJ158" t="s">
        <v>237</v>
      </c>
      <c r="BK158" t="s">
        <v>239</v>
      </c>
      <c r="BL158" t="s">
        <v>262</v>
      </c>
      <c r="BM158" t="s">
        <v>296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 t="s">
        <v>264</v>
      </c>
      <c r="CB158" t="s">
        <v>264</v>
      </c>
      <c r="CC158" t="s">
        <v>264</v>
      </c>
      <c r="CD158" t="s">
        <v>236</v>
      </c>
      <c r="CE158" t="s">
        <v>236</v>
      </c>
      <c r="EA158" t="s">
        <v>236</v>
      </c>
      <c r="EC158" t="s">
        <v>236</v>
      </c>
      <c r="EE158" t="s">
        <v>236</v>
      </c>
      <c r="EG158" t="s">
        <v>236</v>
      </c>
      <c r="EI158" t="s">
        <v>236</v>
      </c>
      <c r="EK158" t="s">
        <v>236</v>
      </c>
      <c r="EM158" t="s">
        <v>236</v>
      </c>
      <c r="EO158" t="s">
        <v>236</v>
      </c>
      <c r="EQ158" t="s">
        <v>236</v>
      </c>
      <c r="ES158" t="s">
        <v>236</v>
      </c>
      <c r="EU158" t="s">
        <v>236</v>
      </c>
      <c r="EW158" t="s">
        <v>236</v>
      </c>
      <c r="EY158" t="s">
        <v>236</v>
      </c>
      <c r="FA158" t="s">
        <v>226</v>
      </c>
      <c r="FB158" t="s">
        <v>244</v>
      </c>
      <c r="FC158" t="s">
        <v>236</v>
      </c>
      <c r="FE158" t="s">
        <v>226</v>
      </c>
      <c r="FF158" t="s">
        <v>265</v>
      </c>
      <c r="FG158" t="s">
        <v>236</v>
      </c>
      <c r="FJ158" t="s">
        <v>226</v>
      </c>
      <c r="FK158" t="s">
        <v>244</v>
      </c>
      <c r="FL158" t="s">
        <v>236</v>
      </c>
      <c r="FM158" t="s">
        <v>236</v>
      </c>
      <c r="FW158" t="s">
        <v>226</v>
      </c>
      <c r="FX158" t="s">
        <v>236</v>
      </c>
      <c r="FZ158" t="s">
        <v>236</v>
      </c>
      <c r="GC158" t="s">
        <v>236</v>
      </c>
      <c r="GF158" t="s">
        <v>226</v>
      </c>
      <c r="GG158" t="s">
        <v>236</v>
      </c>
      <c r="GI158" t="s">
        <v>236</v>
      </c>
      <c r="GL158" t="s">
        <v>226</v>
      </c>
      <c r="GM158" t="s">
        <v>226</v>
      </c>
      <c r="GN158" t="s">
        <v>267</v>
      </c>
      <c r="GO158" t="s">
        <v>226</v>
      </c>
      <c r="GP158" t="s">
        <v>226</v>
      </c>
      <c r="GQ158" t="s">
        <v>267</v>
      </c>
      <c r="GR158" t="s">
        <v>226</v>
      </c>
      <c r="GS158" t="s">
        <v>236</v>
      </c>
      <c r="GU158" t="s">
        <v>236</v>
      </c>
      <c r="GX158" t="s">
        <v>236</v>
      </c>
      <c r="HB158" t="s">
        <v>338</v>
      </c>
      <c r="HC158" t="s">
        <v>318</v>
      </c>
      <c r="HE158">
        <v>82910686</v>
      </c>
      <c r="HF158" t="s">
        <v>1357</v>
      </c>
      <c r="HG158" s="2">
        <v>45752.756377314807</v>
      </c>
      <c r="HJ158" t="s">
        <v>248</v>
      </c>
      <c r="HL158" t="s">
        <v>249</v>
      </c>
      <c r="HN158">
        <v>157</v>
      </c>
    </row>
    <row r="159" spans="1:222" x14ac:dyDescent="0.25">
      <c r="A159" s="2">
        <v>45752.546167569453</v>
      </c>
      <c r="B159" s="2">
        <v>45752.550506111111</v>
      </c>
      <c r="C159" t="s">
        <v>385</v>
      </c>
      <c r="D159">
        <v>313</v>
      </c>
      <c r="E159" s="2">
        <v>45730</v>
      </c>
      <c r="F159">
        <v>1</v>
      </c>
      <c r="G159" t="s">
        <v>1268</v>
      </c>
      <c r="H159" t="s">
        <v>375</v>
      </c>
      <c r="I159">
        <v>21</v>
      </c>
      <c r="J159" t="str">
        <f t="shared" si="2"/>
        <v>de 18 a 25 años</v>
      </c>
      <c r="K159" t="s">
        <v>224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291</v>
      </c>
      <c r="R159" t="s">
        <v>226</v>
      </c>
      <c r="T159" t="s">
        <v>227</v>
      </c>
      <c r="V159" t="s">
        <v>321</v>
      </c>
      <c r="W159" t="s">
        <v>229</v>
      </c>
      <c r="X159" t="s">
        <v>253</v>
      </c>
      <c r="Z159" t="s">
        <v>231</v>
      </c>
      <c r="AA159" t="s">
        <v>232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I159" t="s">
        <v>233</v>
      </c>
      <c r="AJ159">
        <v>0</v>
      </c>
      <c r="AK159">
        <v>1</v>
      </c>
      <c r="AL159">
        <v>0</v>
      </c>
      <c r="AM159">
        <v>0</v>
      </c>
      <c r="AN159" t="s">
        <v>300</v>
      </c>
      <c r="AO159" t="s">
        <v>1562</v>
      </c>
      <c r="AP159">
        <v>0</v>
      </c>
      <c r="AQ159">
        <v>1</v>
      </c>
      <c r="AR159">
        <v>0</v>
      </c>
      <c r="AS159">
        <v>0</v>
      </c>
      <c r="AT159">
        <v>0</v>
      </c>
      <c r="AU159">
        <v>0</v>
      </c>
      <c r="AV159">
        <v>0</v>
      </c>
      <c r="AX159" t="s">
        <v>226</v>
      </c>
      <c r="AY159" t="s">
        <v>236</v>
      </c>
      <c r="AZ159" t="s">
        <v>259</v>
      </c>
      <c r="BA159" t="s">
        <v>1572</v>
      </c>
      <c r="BB159" t="s">
        <v>1573</v>
      </c>
      <c r="BE159" t="s">
        <v>259</v>
      </c>
      <c r="BF159" t="s">
        <v>259</v>
      </c>
      <c r="BG159" t="s">
        <v>259</v>
      </c>
      <c r="BH159" t="s">
        <v>259</v>
      </c>
      <c r="BI159" t="s">
        <v>237</v>
      </c>
      <c r="BJ159" t="s">
        <v>237</v>
      </c>
      <c r="BK159" t="s">
        <v>259</v>
      </c>
      <c r="BL159" t="s">
        <v>262</v>
      </c>
      <c r="BM159" t="s">
        <v>296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 t="s">
        <v>264</v>
      </c>
      <c r="CB159" t="s">
        <v>264</v>
      </c>
      <c r="CC159" t="s">
        <v>243</v>
      </c>
      <c r="CD159" t="s">
        <v>236</v>
      </c>
      <c r="CE159" t="s">
        <v>236</v>
      </c>
      <c r="EA159" t="s">
        <v>236</v>
      </c>
      <c r="EC159" t="s">
        <v>236</v>
      </c>
      <c r="EE159" t="s">
        <v>236</v>
      </c>
      <c r="EG159" t="s">
        <v>236</v>
      </c>
      <c r="EI159" t="s">
        <v>226</v>
      </c>
      <c r="EJ159" t="s">
        <v>245</v>
      </c>
      <c r="EK159" t="s">
        <v>236</v>
      </c>
      <c r="EM159" t="s">
        <v>236</v>
      </c>
      <c r="EO159" t="s">
        <v>236</v>
      </c>
      <c r="EQ159" t="s">
        <v>236</v>
      </c>
      <c r="ES159" t="s">
        <v>236</v>
      </c>
      <c r="EU159" t="s">
        <v>236</v>
      </c>
      <c r="EW159" t="s">
        <v>236</v>
      </c>
      <c r="EY159" t="s">
        <v>236</v>
      </c>
      <c r="FA159" t="s">
        <v>226</v>
      </c>
      <c r="FB159" t="s">
        <v>265</v>
      </c>
      <c r="FC159" t="s">
        <v>236</v>
      </c>
      <c r="FE159" t="s">
        <v>226</v>
      </c>
      <c r="FF159" t="s">
        <v>245</v>
      </c>
      <c r="FG159" t="s">
        <v>236</v>
      </c>
      <c r="FJ159" t="s">
        <v>226</v>
      </c>
      <c r="FK159" t="s">
        <v>245</v>
      </c>
      <c r="FL159" t="s">
        <v>236</v>
      </c>
      <c r="FM159" t="s">
        <v>236</v>
      </c>
      <c r="FW159" t="s">
        <v>236</v>
      </c>
      <c r="FZ159" t="s">
        <v>236</v>
      </c>
      <c r="GC159" t="s">
        <v>236</v>
      </c>
      <c r="GF159" t="s">
        <v>226</v>
      </c>
      <c r="GG159" t="s">
        <v>236</v>
      </c>
      <c r="GI159" t="s">
        <v>236</v>
      </c>
      <c r="GL159" t="s">
        <v>236</v>
      </c>
      <c r="GO159" t="s">
        <v>236</v>
      </c>
      <c r="GR159" t="s">
        <v>226</v>
      </c>
      <c r="GS159" t="s">
        <v>236</v>
      </c>
      <c r="GU159" t="s">
        <v>236</v>
      </c>
      <c r="GX159" t="s">
        <v>236</v>
      </c>
      <c r="HB159" t="s">
        <v>358</v>
      </c>
      <c r="HC159" t="s">
        <v>1574</v>
      </c>
      <c r="HE159">
        <v>82910712</v>
      </c>
      <c r="HF159" t="s">
        <v>1575</v>
      </c>
      <c r="HG159" s="2">
        <v>45752.758784722217</v>
      </c>
      <c r="HJ159" t="s">
        <v>248</v>
      </c>
      <c r="HL159" t="s">
        <v>249</v>
      </c>
      <c r="HN159">
        <v>158</v>
      </c>
    </row>
    <row r="160" spans="1:222" x14ac:dyDescent="0.25">
      <c r="A160" s="2">
        <v>45752.548034479158</v>
      </c>
      <c r="B160" s="2">
        <v>45752.550963298607</v>
      </c>
      <c r="C160" t="s">
        <v>305</v>
      </c>
      <c r="D160">
        <v>243</v>
      </c>
      <c r="E160" s="2">
        <v>45730</v>
      </c>
      <c r="F160">
        <v>5</v>
      </c>
      <c r="G160" t="s">
        <v>503</v>
      </c>
      <c r="H160" t="s">
        <v>223</v>
      </c>
      <c r="I160">
        <v>35</v>
      </c>
      <c r="J160" t="str">
        <f t="shared" si="2"/>
        <v>de 26 a 40 años</v>
      </c>
      <c r="K160" t="s">
        <v>341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291</v>
      </c>
      <c r="R160" t="s">
        <v>226</v>
      </c>
      <c r="T160" t="s">
        <v>227</v>
      </c>
      <c r="V160" t="s">
        <v>228</v>
      </c>
      <c r="W160" t="s">
        <v>229</v>
      </c>
      <c r="X160" t="s">
        <v>299</v>
      </c>
      <c r="Z160" t="s">
        <v>231</v>
      </c>
      <c r="AA160" t="s">
        <v>293</v>
      </c>
      <c r="AB160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I160" t="s">
        <v>233</v>
      </c>
      <c r="AJ160">
        <v>0</v>
      </c>
      <c r="AK160">
        <v>1</v>
      </c>
      <c r="AL160">
        <v>0</v>
      </c>
      <c r="AM160">
        <v>0</v>
      </c>
      <c r="AN160" t="s">
        <v>257</v>
      </c>
      <c r="AO160" t="s">
        <v>275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1</v>
      </c>
      <c r="AV160">
        <v>0</v>
      </c>
      <c r="AX160" t="s">
        <v>236</v>
      </c>
      <c r="AZ160" t="s">
        <v>237</v>
      </c>
      <c r="BA160" t="s">
        <v>1358</v>
      </c>
      <c r="BE160" t="s">
        <v>237</v>
      </c>
      <c r="BF160" t="s">
        <v>237</v>
      </c>
      <c r="BG160" t="s">
        <v>237</v>
      </c>
      <c r="BH160" t="s">
        <v>237</v>
      </c>
      <c r="BI160" t="s">
        <v>237</v>
      </c>
      <c r="BJ160" t="s">
        <v>237</v>
      </c>
      <c r="BK160" t="s">
        <v>237</v>
      </c>
      <c r="BL160" t="s">
        <v>240</v>
      </c>
      <c r="BM160" t="s">
        <v>389</v>
      </c>
      <c r="BN160">
        <v>0</v>
      </c>
      <c r="BO160">
        <v>0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 t="s">
        <v>264</v>
      </c>
      <c r="CB160" t="s">
        <v>264</v>
      </c>
      <c r="CC160" t="s">
        <v>243</v>
      </c>
      <c r="CD160" t="s">
        <v>236</v>
      </c>
      <c r="CE160" t="s">
        <v>236</v>
      </c>
      <c r="EA160" t="s">
        <v>236</v>
      </c>
      <c r="EC160" t="s">
        <v>236</v>
      </c>
      <c r="EE160" t="s">
        <v>226</v>
      </c>
      <c r="EF160" t="s">
        <v>244</v>
      </c>
      <c r="EG160" t="s">
        <v>226</v>
      </c>
      <c r="EH160" t="s">
        <v>265</v>
      </c>
      <c r="EI160" t="s">
        <v>236</v>
      </c>
      <c r="EK160" t="s">
        <v>236</v>
      </c>
      <c r="EM160" t="s">
        <v>236</v>
      </c>
      <c r="EO160" t="s">
        <v>236</v>
      </c>
      <c r="EQ160" t="s">
        <v>236</v>
      </c>
      <c r="ES160" t="s">
        <v>236</v>
      </c>
      <c r="EU160" t="s">
        <v>236</v>
      </c>
      <c r="EW160" t="s">
        <v>236</v>
      </c>
      <c r="EY160" t="s">
        <v>236</v>
      </c>
      <c r="FA160" t="s">
        <v>226</v>
      </c>
      <c r="FB160" t="s">
        <v>265</v>
      </c>
      <c r="FC160" t="s">
        <v>236</v>
      </c>
      <c r="FE160" t="s">
        <v>236</v>
      </c>
      <c r="FG160" t="s">
        <v>236</v>
      </c>
      <c r="FJ160" t="s">
        <v>226</v>
      </c>
      <c r="FK160" t="s">
        <v>265</v>
      </c>
      <c r="FL160" t="s">
        <v>236</v>
      </c>
      <c r="FM160" t="s">
        <v>236</v>
      </c>
      <c r="FW160" t="s">
        <v>236</v>
      </c>
      <c r="FZ160" t="s">
        <v>236</v>
      </c>
      <c r="GC160" t="s">
        <v>236</v>
      </c>
      <c r="GF160" t="s">
        <v>226</v>
      </c>
      <c r="GG160" t="s">
        <v>226</v>
      </c>
      <c r="GH160" t="s">
        <v>267</v>
      </c>
      <c r="GI160" t="s">
        <v>236</v>
      </c>
      <c r="GL160" t="s">
        <v>236</v>
      </c>
      <c r="GO160" t="s">
        <v>226</v>
      </c>
      <c r="GP160" t="s">
        <v>226</v>
      </c>
      <c r="GQ160" t="s">
        <v>266</v>
      </c>
      <c r="GR160" t="s">
        <v>226</v>
      </c>
      <c r="GS160" t="s">
        <v>226</v>
      </c>
      <c r="GT160" t="s">
        <v>267</v>
      </c>
      <c r="GU160" t="s">
        <v>236</v>
      </c>
      <c r="GX160" t="s">
        <v>236</v>
      </c>
      <c r="HB160" t="s">
        <v>537</v>
      </c>
      <c r="HC160" t="s">
        <v>1359</v>
      </c>
      <c r="HE160">
        <v>82910715</v>
      </c>
      <c r="HF160" t="s">
        <v>1360</v>
      </c>
      <c r="HG160" s="2">
        <v>45752.759305555563</v>
      </c>
      <c r="HJ160" t="s">
        <v>248</v>
      </c>
      <c r="HL160" t="s">
        <v>249</v>
      </c>
      <c r="HN160">
        <v>159</v>
      </c>
    </row>
    <row r="161" spans="1:222" x14ac:dyDescent="0.25">
      <c r="A161" s="2">
        <v>45752.550506631953</v>
      </c>
      <c r="B161" s="2">
        <v>45752.55493309028</v>
      </c>
      <c r="C161" t="s">
        <v>385</v>
      </c>
      <c r="D161">
        <v>312</v>
      </c>
      <c r="E161" s="2">
        <v>45730</v>
      </c>
      <c r="F161">
        <v>1</v>
      </c>
      <c r="G161" t="s">
        <v>1268</v>
      </c>
      <c r="H161" t="s">
        <v>375</v>
      </c>
      <c r="I161">
        <v>36</v>
      </c>
      <c r="J161" t="str">
        <f t="shared" si="2"/>
        <v>de 26 a 40 años</v>
      </c>
      <c r="K161" t="s">
        <v>341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291</v>
      </c>
      <c r="R161" t="s">
        <v>226</v>
      </c>
      <c r="T161" t="s">
        <v>227</v>
      </c>
      <c r="V161" t="s">
        <v>272</v>
      </c>
      <c r="W161" t="s">
        <v>229</v>
      </c>
      <c r="X161" t="s">
        <v>230</v>
      </c>
      <c r="Z161" t="s">
        <v>351</v>
      </c>
      <c r="AA161" t="s">
        <v>232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I161" t="s">
        <v>256</v>
      </c>
      <c r="AJ161">
        <v>0</v>
      </c>
      <c r="AK161">
        <v>0</v>
      </c>
      <c r="AL161">
        <v>1</v>
      </c>
      <c r="AM161">
        <v>0</v>
      </c>
      <c r="AN161" t="s">
        <v>257</v>
      </c>
      <c r="AO161" t="s">
        <v>235</v>
      </c>
      <c r="AP161">
        <v>0</v>
      </c>
      <c r="AQ161">
        <v>0</v>
      </c>
      <c r="AR161">
        <v>0</v>
      </c>
      <c r="AS161">
        <v>1</v>
      </c>
      <c r="AT161">
        <v>0</v>
      </c>
      <c r="AU161">
        <v>0</v>
      </c>
      <c r="AV161">
        <v>0</v>
      </c>
      <c r="AX161" t="s">
        <v>236</v>
      </c>
      <c r="AZ161" t="s">
        <v>237</v>
      </c>
      <c r="BA161" t="s">
        <v>512</v>
      </c>
      <c r="BB161" t="s">
        <v>1568</v>
      </c>
      <c r="BE161" t="s">
        <v>259</v>
      </c>
      <c r="BF161" t="s">
        <v>259</v>
      </c>
      <c r="BG161" t="s">
        <v>259</v>
      </c>
      <c r="BH161" t="s">
        <v>237</v>
      </c>
      <c r="BI161" t="s">
        <v>237</v>
      </c>
      <c r="BJ161" t="s">
        <v>237</v>
      </c>
      <c r="BK161" t="s">
        <v>259</v>
      </c>
      <c r="BL161" t="s">
        <v>262</v>
      </c>
      <c r="BM161" t="s">
        <v>296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 t="s">
        <v>264</v>
      </c>
      <c r="CB161" t="s">
        <v>264</v>
      </c>
      <c r="CC161" t="s">
        <v>243</v>
      </c>
      <c r="CD161" t="s">
        <v>236</v>
      </c>
      <c r="CE161" t="s">
        <v>236</v>
      </c>
      <c r="EA161" t="s">
        <v>236</v>
      </c>
      <c r="EC161" t="s">
        <v>236</v>
      </c>
      <c r="EE161" t="s">
        <v>236</v>
      </c>
      <c r="EG161" t="s">
        <v>236</v>
      </c>
      <c r="EI161" t="s">
        <v>236</v>
      </c>
      <c r="EK161" t="s">
        <v>236</v>
      </c>
      <c r="EM161" t="s">
        <v>236</v>
      </c>
      <c r="EO161" t="s">
        <v>236</v>
      </c>
      <c r="EQ161" t="s">
        <v>236</v>
      </c>
      <c r="ES161" t="s">
        <v>236</v>
      </c>
      <c r="EU161" t="s">
        <v>226</v>
      </c>
      <c r="EV161" t="s">
        <v>265</v>
      </c>
      <c r="EW161" t="s">
        <v>236</v>
      </c>
      <c r="EY161" t="s">
        <v>236</v>
      </c>
      <c r="FA161" t="s">
        <v>236</v>
      </c>
      <c r="FC161" t="s">
        <v>236</v>
      </c>
      <c r="FE161" t="s">
        <v>236</v>
      </c>
      <c r="FG161" t="s">
        <v>236</v>
      </c>
      <c r="FJ161" t="s">
        <v>226</v>
      </c>
      <c r="FK161" t="s">
        <v>245</v>
      </c>
      <c r="FL161" t="s">
        <v>236</v>
      </c>
      <c r="FM161" t="s">
        <v>236</v>
      </c>
      <c r="FW161" t="s">
        <v>236</v>
      </c>
      <c r="FZ161" t="s">
        <v>236</v>
      </c>
      <c r="GC161" t="s">
        <v>236</v>
      </c>
      <c r="GF161" t="s">
        <v>236</v>
      </c>
      <c r="GI161" t="s">
        <v>236</v>
      </c>
      <c r="GL161" t="s">
        <v>236</v>
      </c>
      <c r="GO161" t="s">
        <v>226</v>
      </c>
      <c r="GP161" t="s">
        <v>236</v>
      </c>
      <c r="GR161" t="s">
        <v>236</v>
      </c>
      <c r="GU161" t="s">
        <v>236</v>
      </c>
      <c r="GX161" t="s">
        <v>236</v>
      </c>
      <c r="HB161" t="s">
        <v>1569</v>
      </c>
      <c r="HC161" t="s">
        <v>1570</v>
      </c>
      <c r="HE161">
        <v>82910743</v>
      </c>
      <c r="HF161" t="s">
        <v>1571</v>
      </c>
      <c r="HG161" s="2">
        <v>45752.763206018521</v>
      </c>
      <c r="HJ161" t="s">
        <v>248</v>
      </c>
      <c r="HL161" t="s">
        <v>249</v>
      </c>
      <c r="HN161">
        <v>161</v>
      </c>
    </row>
    <row r="162" spans="1:222" x14ac:dyDescent="0.25">
      <c r="A162" s="2">
        <v>45752.55096385417</v>
      </c>
      <c r="B162" s="2">
        <v>45752.553995335649</v>
      </c>
      <c r="C162" t="s">
        <v>305</v>
      </c>
      <c r="D162">
        <v>245</v>
      </c>
      <c r="E162" s="2">
        <v>45730</v>
      </c>
      <c r="F162">
        <v>5</v>
      </c>
      <c r="G162" t="s">
        <v>503</v>
      </c>
      <c r="H162" t="s">
        <v>223</v>
      </c>
      <c r="I162">
        <v>38</v>
      </c>
      <c r="J162" t="str">
        <f t="shared" si="2"/>
        <v>de 26 a 40 años</v>
      </c>
      <c r="K162" t="s">
        <v>251</v>
      </c>
      <c r="L162">
        <v>1</v>
      </c>
      <c r="M162">
        <v>0</v>
      </c>
      <c r="N162">
        <v>0</v>
      </c>
      <c r="O162">
        <v>0</v>
      </c>
      <c r="P162">
        <v>0</v>
      </c>
      <c r="Q162" t="s">
        <v>225</v>
      </c>
      <c r="R162" t="s">
        <v>226</v>
      </c>
      <c r="T162" t="s">
        <v>227</v>
      </c>
      <c r="V162" t="s">
        <v>321</v>
      </c>
      <c r="W162" t="s">
        <v>229</v>
      </c>
      <c r="X162" t="s">
        <v>350</v>
      </c>
      <c r="Z162" t="s">
        <v>273</v>
      </c>
      <c r="AA162" t="s">
        <v>481</v>
      </c>
      <c r="AB162">
        <v>0</v>
      </c>
      <c r="AC162">
        <v>0</v>
      </c>
      <c r="AD162">
        <v>0</v>
      </c>
      <c r="AE162">
        <v>1</v>
      </c>
      <c r="AF162">
        <v>1</v>
      </c>
      <c r="AG162">
        <v>0</v>
      </c>
      <c r="AI162" t="s">
        <v>233</v>
      </c>
      <c r="AJ162">
        <v>0</v>
      </c>
      <c r="AK162">
        <v>1</v>
      </c>
      <c r="AL162">
        <v>0</v>
      </c>
      <c r="AM162">
        <v>0</v>
      </c>
      <c r="AN162" t="s">
        <v>300</v>
      </c>
      <c r="AO162" t="s">
        <v>326</v>
      </c>
      <c r="AP162">
        <v>0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0</v>
      </c>
      <c r="AX162" t="s">
        <v>226</v>
      </c>
      <c r="AY162" t="s">
        <v>226</v>
      </c>
      <c r="AZ162" t="s">
        <v>237</v>
      </c>
      <c r="BA162" t="s">
        <v>725</v>
      </c>
      <c r="BB162" t="s">
        <v>1365</v>
      </c>
      <c r="BC162" t="s">
        <v>1366</v>
      </c>
      <c r="BE162" t="s">
        <v>259</v>
      </c>
      <c r="BF162" t="s">
        <v>261</v>
      </c>
      <c r="BG162" t="s">
        <v>237</v>
      </c>
      <c r="BH162" t="s">
        <v>237</v>
      </c>
      <c r="BI162" t="s">
        <v>259</v>
      </c>
      <c r="BJ162" t="s">
        <v>237</v>
      </c>
      <c r="BK162" t="s">
        <v>259</v>
      </c>
      <c r="BL162" t="s">
        <v>262</v>
      </c>
      <c r="BM162" t="s">
        <v>365</v>
      </c>
      <c r="BN162">
        <v>0</v>
      </c>
      <c r="BO162">
        <v>1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 t="s">
        <v>328</v>
      </c>
      <c r="CB162" t="s">
        <v>243</v>
      </c>
      <c r="CC162" t="s">
        <v>243</v>
      </c>
      <c r="CD162" t="s">
        <v>236</v>
      </c>
      <c r="CE162" t="s">
        <v>236</v>
      </c>
      <c r="EA162" t="s">
        <v>226</v>
      </c>
      <c r="EB162" t="s">
        <v>244</v>
      </c>
      <c r="EC162" t="s">
        <v>226</v>
      </c>
      <c r="ED162" t="s">
        <v>244</v>
      </c>
      <c r="EE162" t="s">
        <v>226</v>
      </c>
      <c r="EF162" t="s">
        <v>245</v>
      </c>
      <c r="EG162" t="s">
        <v>226</v>
      </c>
      <c r="EH162" t="s">
        <v>265</v>
      </c>
      <c r="EI162" t="s">
        <v>236</v>
      </c>
      <c r="EK162" t="s">
        <v>236</v>
      </c>
      <c r="EM162" t="s">
        <v>236</v>
      </c>
      <c r="EO162" t="s">
        <v>236</v>
      </c>
      <c r="EQ162" t="s">
        <v>236</v>
      </c>
      <c r="ES162" t="s">
        <v>236</v>
      </c>
      <c r="EU162" t="s">
        <v>236</v>
      </c>
      <c r="EW162" t="s">
        <v>236</v>
      </c>
      <c r="EY162" t="s">
        <v>226</v>
      </c>
      <c r="EZ162" t="s">
        <v>244</v>
      </c>
      <c r="FA162" t="s">
        <v>226</v>
      </c>
      <c r="FB162" t="s">
        <v>244</v>
      </c>
      <c r="FC162" t="s">
        <v>236</v>
      </c>
      <c r="FE162" t="s">
        <v>226</v>
      </c>
      <c r="FF162" t="s">
        <v>244</v>
      </c>
      <c r="FG162" t="s">
        <v>236</v>
      </c>
      <c r="FJ162" t="s">
        <v>226</v>
      </c>
      <c r="FK162" t="s">
        <v>245</v>
      </c>
      <c r="FL162" t="s">
        <v>226</v>
      </c>
      <c r="FM162" t="s">
        <v>236</v>
      </c>
      <c r="FW162" t="s">
        <v>236</v>
      </c>
      <c r="FZ162" t="s">
        <v>236</v>
      </c>
      <c r="GC162" t="s">
        <v>236</v>
      </c>
      <c r="GF162" t="s">
        <v>226</v>
      </c>
      <c r="GG162" t="s">
        <v>236</v>
      </c>
      <c r="GI162" t="s">
        <v>236</v>
      </c>
      <c r="GL162" t="s">
        <v>236</v>
      </c>
      <c r="GO162" t="s">
        <v>226</v>
      </c>
      <c r="GP162" t="s">
        <v>226</v>
      </c>
      <c r="GQ162" t="s">
        <v>267</v>
      </c>
      <c r="GR162" t="s">
        <v>226</v>
      </c>
      <c r="GS162" t="s">
        <v>236</v>
      </c>
      <c r="GU162" t="s">
        <v>236</v>
      </c>
      <c r="GX162" t="s">
        <v>236</v>
      </c>
      <c r="HB162" t="s">
        <v>280</v>
      </c>
      <c r="HE162">
        <v>82910740</v>
      </c>
      <c r="HF162" t="s">
        <v>1367</v>
      </c>
      <c r="HG162" s="2">
        <v>45752.762337962973</v>
      </c>
      <c r="HJ162" t="s">
        <v>248</v>
      </c>
      <c r="HL162" t="s">
        <v>249</v>
      </c>
      <c r="HN162">
        <v>160</v>
      </c>
    </row>
    <row r="163" spans="1:222" x14ac:dyDescent="0.25">
      <c r="A163" s="2">
        <v>45752.553995821763</v>
      </c>
      <c r="B163" s="2">
        <v>45752.556962719907</v>
      </c>
      <c r="C163" t="s">
        <v>305</v>
      </c>
      <c r="D163">
        <v>246</v>
      </c>
      <c r="E163" s="2">
        <v>45730</v>
      </c>
      <c r="F163">
        <v>5</v>
      </c>
      <c r="G163" t="s">
        <v>503</v>
      </c>
      <c r="H163" t="s">
        <v>223</v>
      </c>
      <c r="I163">
        <v>27</v>
      </c>
      <c r="J163" t="str">
        <f t="shared" si="2"/>
        <v>de 26 a 40 años</v>
      </c>
      <c r="K163" t="s">
        <v>341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225</v>
      </c>
      <c r="R163" t="s">
        <v>226</v>
      </c>
      <c r="T163" t="s">
        <v>227</v>
      </c>
      <c r="V163" t="s">
        <v>228</v>
      </c>
      <c r="W163" t="s">
        <v>229</v>
      </c>
      <c r="X163" t="s">
        <v>230</v>
      </c>
      <c r="Z163" t="s">
        <v>231</v>
      </c>
      <c r="AA163" t="s">
        <v>352</v>
      </c>
      <c r="AB163">
        <v>1</v>
      </c>
      <c r="AC163">
        <v>0</v>
      </c>
      <c r="AD163">
        <v>0</v>
      </c>
      <c r="AE163">
        <v>0</v>
      </c>
      <c r="AF163">
        <v>1</v>
      </c>
      <c r="AG163">
        <v>0</v>
      </c>
      <c r="AI163" t="s">
        <v>256</v>
      </c>
      <c r="AJ163">
        <v>0</v>
      </c>
      <c r="AK163">
        <v>0</v>
      </c>
      <c r="AL163">
        <v>1</v>
      </c>
      <c r="AM163">
        <v>0</v>
      </c>
      <c r="AN163" t="s">
        <v>234</v>
      </c>
      <c r="AO163" t="s">
        <v>353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X163" t="s">
        <v>236</v>
      </c>
      <c r="AZ163" t="s">
        <v>237</v>
      </c>
      <c r="BA163" t="s">
        <v>1368</v>
      </c>
      <c r="BB163" t="s">
        <v>276</v>
      </c>
      <c r="BC163" t="s">
        <v>501</v>
      </c>
      <c r="BE163" t="s">
        <v>259</v>
      </c>
      <c r="BF163" t="s">
        <v>259</v>
      </c>
      <c r="BG163" t="s">
        <v>237</v>
      </c>
      <c r="BH163" t="s">
        <v>237</v>
      </c>
      <c r="BI163" t="s">
        <v>237</v>
      </c>
      <c r="BJ163" t="s">
        <v>237</v>
      </c>
      <c r="BK163" t="s">
        <v>239</v>
      </c>
      <c r="BL163" t="s">
        <v>262</v>
      </c>
      <c r="BM163" t="s">
        <v>389</v>
      </c>
      <c r="BN163">
        <v>0</v>
      </c>
      <c r="BO163">
        <v>0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 t="s">
        <v>243</v>
      </c>
      <c r="CB163" t="s">
        <v>328</v>
      </c>
      <c r="CC163" t="s">
        <v>328</v>
      </c>
      <c r="CD163" t="s">
        <v>236</v>
      </c>
      <c r="CE163" t="s">
        <v>236</v>
      </c>
      <c r="EA163" t="s">
        <v>236</v>
      </c>
      <c r="EC163" t="s">
        <v>236</v>
      </c>
      <c r="EE163" t="s">
        <v>236</v>
      </c>
      <c r="EG163" t="s">
        <v>236</v>
      </c>
      <c r="EI163" t="s">
        <v>226</v>
      </c>
      <c r="EJ163" t="s">
        <v>244</v>
      </c>
      <c r="EK163" t="s">
        <v>236</v>
      </c>
      <c r="EM163" t="s">
        <v>226</v>
      </c>
      <c r="EN163" t="s">
        <v>245</v>
      </c>
      <c r="EO163" t="s">
        <v>236</v>
      </c>
      <c r="EQ163" t="s">
        <v>236</v>
      </c>
      <c r="ES163" t="s">
        <v>226</v>
      </c>
      <c r="ET163" t="s">
        <v>245</v>
      </c>
      <c r="EU163" t="s">
        <v>226</v>
      </c>
      <c r="EV163" t="s">
        <v>265</v>
      </c>
      <c r="EW163" t="s">
        <v>236</v>
      </c>
      <c r="EY163" t="s">
        <v>236</v>
      </c>
      <c r="FA163" t="s">
        <v>226</v>
      </c>
      <c r="FB163" t="s">
        <v>244</v>
      </c>
      <c r="FC163" t="s">
        <v>236</v>
      </c>
      <c r="FE163" t="s">
        <v>226</v>
      </c>
      <c r="FF163" t="s">
        <v>245</v>
      </c>
      <c r="FG163" t="s">
        <v>236</v>
      </c>
      <c r="FJ163" t="s">
        <v>226</v>
      </c>
      <c r="FK163" t="s">
        <v>245</v>
      </c>
      <c r="FL163" t="s">
        <v>226</v>
      </c>
      <c r="FM163" t="s">
        <v>236</v>
      </c>
      <c r="FW163" t="s">
        <v>226</v>
      </c>
      <c r="FX163" t="s">
        <v>236</v>
      </c>
      <c r="FZ163" t="s">
        <v>236</v>
      </c>
      <c r="GC163" t="s">
        <v>236</v>
      </c>
      <c r="GF163" t="s">
        <v>236</v>
      </c>
      <c r="GI163" t="s">
        <v>236</v>
      </c>
      <c r="GL163" t="s">
        <v>236</v>
      </c>
      <c r="GO163" t="s">
        <v>226</v>
      </c>
      <c r="GP163" t="s">
        <v>226</v>
      </c>
      <c r="GQ163" t="s">
        <v>267</v>
      </c>
      <c r="GR163" t="s">
        <v>226</v>
      </c>
      <c r="GS163" t="s">
        <v>226</v>
      </c>
      <c r="GT163" t="s">
        <v>267</v>
      </c>
      <c r="GU163" t="s">
        <v>236</v>
      </c>
      <c r="GX163" t="s">
        <v>236</v>
      </c>
      <c r="HB163" t="s">
        <v>339</v>
      </c>
      <c r="HC163" t="s">
        <v>338</v>
      </c>
      <c r="HD163" t="s">
        <v>1369</v>
      </c>
      <c r="HE163">
        <v>82910769</v>
      </c>
      <c r="HF163" t="s">
        <v>1370</v>
      </c>
      <c r="HG163" s="2">
        <v>45752.765300925923</v>
      </c>
      <c r="HJ163" t="s">
        <v>248</v>
      </c>
      <c r="HL163" t="s">
        <v>249</v>
      </c>
      <c r="HN163">
        <v>162</v>
      </c>
    </row>
    <row r="164" spans="1:222" x14ac:dyDescent="0.25">
      <c r="A164" s="2">
        <v>45752.554933726853</v>
      </c>
      <c r="B164" s="2">
        <v>45752.769057094913</v>
      </c>
      <c r="C164" t="s">
        <v>385</v>
      </c>
      <c r="D164">
        <v>311</v>
      </c>
      <c r="E164" s="2">
        <v>45730</v>
      </c>
      <c r="F164">
        <v>1</v>
      </c>
      <c r="G164" t="s">
        <v>1268</v>
      </c>
      <c r="H164" t="s">
        <v>375</v>
      </c>
      <c r="I164">
        <v>55</v>
      </c>
      <c r="J164" t="str">
        <f t="shared" si="2"/>
        <v>de 41 a 55 años</v>
      </c>
      <c r="K164" t="s">
        <v>224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291</v>
      </c>
      <c r="R164" t="s">
        <v>226</v>
      </c>
      <c r="T164" t="s">
        <v>227</v>
      </c>
      <c r="V164" t="s">
        <v>252</v>
      </c>
      <c r="W164" t="s">
        <v>229</v>
      </c>
      <c r="X164" t="s">
        <v>230</v>
      </c>
      <c r="Z164" t="s">
        <v>254</v>
      </c>
      <c r="AA164" t="s">
        <v>255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I164" t="s">
        <v>233</v>
      </c>
      <c r="AJ164">
        <v>0</v>
      </c>
      <c r="AK164">
        <v>1</v>
      </c>
      <c r="AL164">
        <v>0</v>
      </c>
      <c r="AM164">
        <v>0</v>
      </c>
      <c r="AN164" t="s">
        <v>257</v>
      </c>
      <c r="AO164" t="s">
        <v>1562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X164" t="s">
        <v>226</v>
      </c>
      <c r="AY164" t="s">
        <v>236</v>
      </c>
      <c r="AZ164" t="s">
        <v>237</v>
      </c>
      <c r="BA164" t="s">
        <v>1563</v>
      </c>
      <c r="BB164" t="s">
        <v>1564</v>
      </c>
      <c r="BE164" t="s">
        <v>259</v>
      </c>
      <c r="BF164" t="s">
        <v>259</v>
      </c>
      <c r="BG164" t="s">
        <v>259</v>
      </c>
      <c r="BH164" t="s">
        <v>259</v>
      </c>
      <c r="BI164" t="s">
        <v>237</v>
      </c>
      <c r="BJ164" t="s">
        <v>259</v>
      </c>
      <c r="BK164" t="s">
        <v>259</v>
      </c>
      <c r="BL164" t="s">
        <v>262</v>
      </c>
      <c r="BM164" t="s">
        <v>314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 t="s">
        <v>264</v>
      </c>
      <c r="CB164" t="s">
        <v>264</v>
      </c>
      <c r="CC164" t="s">
        <v>264</v>
      </c>
      <c r="CD164" t="s">
        <v>226</v>
      </c>
      <c r="CE164" t="s">
        <v>236</v>
      </c>
      <c r="EA164" t="s">
        <v>236</v>
      </c>
      <c r="EC164" t="s">
        <v>236</v>
      </c>
      <c r="EE164" t="s">
        <v>236</v>
      </c>
      <c r="EG164" t="s">
        <v>236</v>
      </c>
      <c r="EI164" t="s">
        <v>236</v>
      </c>
      <c r="EK164" t="s">
        <v>236</v>
      </c>
      <c r="EM164" t="s">
        <v>236</v>
      </c>
      <c r="EO164" t="s">
        <v>236</v>
      </c>
      <c r="EQ164" t="s">
        <v>236</v>
      </c>
      <c r="ES164" t="s">
        <v>236</v>
      </c>
      <c r="EU164" t="s">
        <v>236</v>
      </c>
      <c r="EW164" t="s">
        <v>236</v>
      </c>
      <c r="EY164" t="s">
        <v>226</v>
      </c>
      <c r="EZ164" t="s">
        <v>244</v>
      </c>
      <c r="FA164" t="s">
        <v>226</v>
      </c>
      <c r="FB164" t="s">
        <v>244</v>
      </c>
      <c r="FC164" t="s">
        <v>236</v>
      </c>
      <c r="FE164" t="s">
        <v>236</v>
      </c>
      <c r="FG164" t="s">
        <v>236</v>
      </c>
      <c r="FJ164" t="s">
        <v>226</v>
      </c>
      <c r="FK164" t="s">
        <v>245</v>
      </c>
      <c r="FL164" t="s">
        <v>236</v>
      </c>
      <c r="FM164" t="s">
        <v>236</v>
      </c>
      <c r="FW164" t="s">
        <v>236</v>
      </c>
      <c r="FZ164" t="s">
        <v>236</v>
      </c>
      <c r="GC164" t="s">
        <v>236</v>
      </c>
      <c r="GF164" t="s">
        <v>226</v>
      </c>
      <c r="GG164" t="s">
        <v>236</v>
      </c>
      <c r="GI164" t="s">
        <v>226</v>
      </c>
      <c r="GJ164" t="s">
        <v>236</v>
      </c>
      <c r="GL164" t="s">
        <v>236</v>
      </c>
      <c r="GO164" t="s">
        <v>236</v>
      </c>
      <c r="GR164" t="s">
        <v>226</v>
      </c>
      <c r="GS164" t="s">
        <v>236</v>
      </c>
      <c r="GU164" t="s">
        <v>236</v>
      </c>
      <c r="GX164" t="s">
        <v>236</v>
      </c>
      <c r="HB164" t="s">
        <v>510</v>
      </c>
      <c r="HC164" t="s">
        <v>1565</v>
      </c>
      <c r="HD164" t="s">
        <v>1566</v>
      </c>
      <c r="HE164">
        <v>82919453</v>
      </c>
      <c r="HF164" t="s">
        <v>1567</v>
      </c>
      <c r="HG164" s="2">
        <v>45752.977326388893</v>
      </c>
      <c r="HJ164" t="s">
        <v>248</v>
      </c>
      <c r="HL164" t="s">
        <v>249</v>
      </c>
      <c r="HN164">
        <v>190</v>
      </c>
    </row>
    <row r="165" spans="1:222" x14ac:dyDescent="0.25">
      <c r="A165" s="2">
        <v>45752.55696321759</v>
      </c>
      <c r="B165" s="2">
        <v>45752.559635347221</v>
      </c>
      <c r="C165" t="s">
        <v>305</v>
      </c>
      <c r="D165">
        <v>247</v>
      </c>
      <c r="E165" s="2">
        <v>45730</v>
      </c>
      <c r="F165">
        <v>5</v>
      </c>
      <c r="G165" t="s">
        <v>503</v>
      </c>
      <c r="H165" t="s">
        <v>223</v>
      </c>
      <c r="I165">
        <v>65</v>
      </c>
      <c r="J165" t="str">
        <f t="shared" si="2"/>
        <v>de 56 a más</v>
      </c>
      <c r="K165" t="s">
        <v>224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225</v>
      </c>
      <c r="R165" t="s">
        <v>226</v>
      </c>
      <c r="T165" t="s">
        <v>227</v>
      </c>
      <c r="V165" t="s">
        <v>272</v>
      </c>
      <c r="W165" t="s">
        <v>229</v>
      </c>
      <c r="X165" t="s">
        <v>368</v>
      </c>
      <c r="Z165" t="s">
        <v>273</v>
      </c>
      <c r="AA165" t="s">
        <v>232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I165" t="s">
        <v>233</v>
      </c>
      <c r="AJ165">
        <v>0</v>
      </c>
      <c r="AK165">
        <v>1</v>
      </c>
      <c r="AL165">
        <v>0</v>
      </c>
      <c r="AM165">
        <v>0</v>
      </c>
      <c r="AN165" t="s">
        <v>300</v>
      </c>
      <c r="AO165" t="s">
        <v>326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0</v>
      </c>
      <c r="AX165" t="s">
        <v>236</v>
      </c>
      <c r="AZ165" t="s">
        <v>237</v>
      </c>
      <c r="BA165" t="s">
        <v>501</v>
      </c>
      <c r="BE165" t="s">
        <v>237</v>
      </c>
      <c r="BF165" t="s">
        <v>237</v>
      </c>
      <c r="BG165" t="s">
        <v>261</v>
      </c>
      <c r="BH165" t="s">
        <v>261</v>
      </c>
      <c r="BI165" t="s">
        <v>308</v>
      </c>
      <c r="BJ165" t="s">
        <v>237</v>
      </c>
      <c r="BK165" t="s">
        <v>261</v>
      </c>
      <c r="BL165" t="s">
        <v>262</v>
      </c>
      <c r="BM165" t="s">
        <v>372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 t="s">
        <v>264</v>
      </c>
      <c r="CB165" t="s">
        <v>328</v>
      </c>
      <c r="CC165" t="s">
        <v>328</v>
      </c>
      <c r="CD165" t="s">
        <v>236</v>
      </c>
      <c r="CE165" t="s">
        <v>236</v>
      </c>
      <c r="EA165" t="s">
        <v>226</v>
      </c>
      <c r="EB165" t="s">
        <v>245</v>
      </c>
      <c r="EC165" t="s">
        <v>226</v>
      </c>
      <c r="ED165" t="s">
        <v>245</v>
      </c>
      <c r="EE165" t="s">
        <v>226</v>
      </c>
      <c r="EF165" t="s">
        <v>245</v>
      </c>
      <c r="EG165" t="s">
        <v>226</v>
      </c>
      <c r="EH165" t="s">
        <v>265</v>
      </c>
      <c r="EI165" t="s">
        <v>226</v>
      </c>
      <c r="EJ165" t="s">
        <v>245</v>
      </c>
      <c r="EK165" t="s">
        <v>236</v>
      </c>
      <c r="EM165" t="s">
        <v>226</v>
      </c>
      <c r="EN165" t="s">
        <v>244</v>
      </c>
      <c r="EO165" t="s">
        <v>236</v>
      </c>
      <c r="EQ165" t="s">
        <v>236</v>
      </c>
      <c r="ES165" t="s">
        <v>236</v>
      </c>
      <c r="EU165" t="s">
        <v>236</v>
      </c>
      <c r="EW165" t="s">
        <v>226</v>
      </c>
      <c r="EX165" t="s">
        <v>245</v>
      </c>
      <c r="EY165" t="s">
        <v>226</v>
      </c>
      <c r="EZ165" t="s">
        <v>244</v>
      </c>
      <c r="FA165" t="s">
        <v>226</v>
      </c>
      <c r="FB165" t="s">
        <v>244</v>
      </c>
      <c r="FC165" t="s">
        <v>236</v>
      </c>
      <c r="FE165" t="s">
        <v>236</v>
      </c>
      <c r="FG165" t="s">
        <v>236</v>
      </c>
      <c r="FJ165" t="s">
        <v>226</v>
      </c>
      <c r="FK165" t="s">
        <v>244</v>
      </c>
      <c r="FL165" t="s">
        <v>236</v>
      </c>
      <c r="FM165" t="s">
        <v>236</v>
      </c>
      <c r="FW165" t="s">
        <v>236</v>
      </c>
      <c r="FZ165" t="s">
        <v>236</v>
      </c>
      <c r="GC165" t="s">
        <v>236</v>
      </c>
      <c r="GF165" t="s">
        <v>236</v>
      </c>
      <c r="GI165" t="s">
        <v>236</v>
      </c>
      <c r="GL165" t="s">
        <v>236</v>
      </c>
      <c r="GO165" t="s">
        <v>226</v>
      </c>
      <c r="GP165" t="s">
        <v>236</v>
      </c>
      <c r="GR165" t="s">
        <v>226</v>
      </c>
      <c r="GS165" t="s">
        <v>236</v>
      </c>
      <c r="GU165" t="s">
        <v>236</v>
      </c>
      <c r="GX165" t="s">
        <v>236</v>
      </c>
      <c r="HB165" t="s">
        <v>378</v>
      </c>
      <c r="HE165">
        <v>82910813</v>
      </c>
      <c r="HF165" t="s">
        <v>1371</v>
      </c>
      <c r="HG165" s="2">
        <v>45752.767974537041</v>
      </c>
      <c r="HJ165" t="s">
        <v>248</v>
      </c>
      <c r="HL165" t="s">
        <v>249</v>
      </c>
      <c r="HN165">
        <v>163</v>
      </c>
    </row>
    <row r="166" spans="1:222" x14ac:dyDescent="0.25">
      <c r="A166" s="2">
        <v>45752.559635914353</v>
      </c>
      <c r="B166" s="2">
        <v>45752.562368634259</v>
      </c>
      <c r="C166" t="s">
        <v>305</v>
      </c>
      <c r="D166">
        <v>248</v>
      </c>
      <c r="E166" s="2">
        <v>45730</v>
      </c>
      <c r="F166">
        <v>5</v>
      </c>
      <c r="G166" t="s">
        <v>503</v>
      </c>
      <c r="H166" t="s">
        <v>223</v>
      </c>
      <c r="I166">
        <v>65</v>
      </c>
      <c r="J166" t="str">
        <f t="shared" si="2"/>
        <v>de 56 a más</v>
      </c>
      <c r="K166" t="s">
        <v>224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225</v>
      </c>
      <c r="R166" t="s">
        <v>226</v>
      </c>
      <c r="T166" t="s">
        <v>392</v>
      </c>
      <c r="V166" t="s">
        <v>252</v>
      </c>
      <c r="W166" t="s">
        <v>229</v>
      </c>
      <c r="X166" t="s">
        <v>368</v>
      </c>
      <c r="Z166" t="s">
        <v>351</v>
      </c>
      <c r="AA166" t="s">
        <v>232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I166" t="s">
        <v>233</v>
      </c>
      <c r="AJ166">
        <v>0</v>
      </c>
      <c r="AK166">
        <v>1</v>
      </c>
      <c r="AL166">
        <v>0</v>
      </c>
      <c r="AM166">
        <v>0</v>
      </c>
      <c r="AN166" t="s">
        <v>234</v>
      </c>
      <c r="AO166" t="s">
        <v>382</v>
      </c>
      <c r="AP166">
        <v>0</v>
      </c>
      <c r="AQ166">
        <v>0</v>
      </c>
      <c r="AR166">
        <v>1</v>
      </c>
      <c r="AS166">
        <v>0</v>
      </c>
      <c r="AT166">
        <v>0</v>
      </c>
      <c r="AU166">
        <v>0</v>
      </c>
      <c r="AV166">
        <v>0</v>
      </c>
      <c r="AX166" t="s">
        <v>236</v>
      </c>
      <c r="AZ166" t="s">
        <v>237</v>
      </c>
      <c r="BA166" t="s">
        <v>399</v>
      </c>
      <c r="BB166" t="s">
        <v>1372</v>
      </c>
      <c r="BE166" t="s">
        <v>237</v>
      </c>
      <c r="BF166" t="s">
        <v>237</v>
      </c>
      <c r="BG166" t="s">
        <v>259</v>
      </c>
      <c r="BH166" t="s">
        <v>239</v>
      </c>
      <c r="BI166" t="s">
        <v>308</v>
      </c>
      <c r="BJ166" t="s">
        <v>237</v>
      </c>
      <c r="BK166" t="s">
        <v>261</v>
      </c>
      <c r="BL166" t="s">
        <v>262</v>
      </c>
      <c r="BM166" t="s">
        <v>365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 t="s">
        <v>264</v>
      </c>
      <c r="CB166" t="s">
        <v>328</v>
      </c>
      <c r="CC166" t="s">
        <v>328</v>
      </c>
      <c r="CD166" t="s">
        <v>236</v>
      </c>
      <c r="CE166" t="s">
        <v>236</v>
      </c>
      <c r="EA166" t="s">
        <v>226</v>
      </c>
      <c r="EB166" t="s">
        <v>245</v>
      </c>
      <c r="EC166" t="s">
        <v>236</v>
      </c>
      <c r="EE166" t="s">
        <v>226</v>
      </c>
      <c r="EF166" t="s">
        <v>265</v>
      </c>
      <c r="EG166" t="s">
        <v>226</v>
      </c>
      <c r="EH166" t="s">
        <v>265</v>
      </c>
      <c r="EI166" t="s">
        <v>226</v>
      </c>
      <c r="EJ166" t="s">
        <v>265</v>
      </c>
      <c r="EK166" t="s">
        <v>236</v>
      </c>
      <c r="EM166" t="s">
        <v>226</v>
      </c>
      <c r="EN166" t="s">
        <v>244</v>
      </c>
      <c r="EO166" t="s">
        <v>226</v>
      </c>
      <c r="EP166" t="s">
        <v>245</v>
      </c>
      <c r="EQ166" t="s">
        <v>236</v>
      </c>
      <c r="ES166" t="s">
        <v>226</v>
      </c>
      <c r="ET166" t="s">
        <v>245</v>
      </c>
      <c r="EU166" t="s">
        <v>236</v>
      </c>
      <c r="EW166" t="s">
        <v>226</v>
      </c>
      <c r="EX166" t="s">
        <v>245</v>
      </c>
      <c r="EY166" t="s">
        <v>226</v>
      </c>
      <c r="EZ166" t="s">
        <v>245</v>
      </c>
      <c r="FA166" t="s">
        <v>226</v>
      </c>
      <c r="FB166" t="s">
        <v>265</v>
      </c>
      <c r="FC166" t="s">
        <v>236</v>
      </c>
      <c r="FE166" t="s">
        <v>236</v>
      </c>
      <c r="FG166" t="s">
        <v>236</v>
      </c>
      <c r="FJ166" t="s">
        <v>226</v>
      </c>
      <c r="FK166" t="s">
        <v>245</v>
      </c>
      <c r="FL166" t="s">
        <v>226</v>
      </c>
      <c r="FM166" t="s">
        <v>236</v>
      </c>
      <c r="FW166" t="s">
        <v>236</v>
      </c>
      <c r="FZ166" t="s">
        <v>236</v>
      </c>
      <c r="GC166" t="s">
        <v>236</v>
      </c>
      <c r="GF166" t="s">
        <v>226</v>
      </c>
      <c r="GG166" t="s">
        <v>236</v>
      </c>
      <c r="GI166" t="s">
        <v>236</v>
      </c>
      <c r="GL166" t="s">
        <v>236</v>
      </c>
      <c r="GO166" t="s">
        <v>226</v>
      </c>
      <c r="GP166" t="s">
        <v>236</v>
      </c>
      <c r="GR166" t="s">
        <v>226</v>
      </c>
      <c r="GS166" t="s">
        <v>236</v>
      </c>
      <c r="GU166" t="s">
        <v>236</v>
      </c>
      <c r="GX166" t="s">
        <v>236</v>
      </c>
      <c r="HB166" t="s">
        <v>510</v>
      </c>
      <c r="HC166" t="s">
        <v>338</v>
      </c>
      <c r="HD166" t="s">
        <v>1373</v>
      </c>
      <c r="HE166">
        <v>82910843</v>
      </c>
      <c r="HF166" t="s">
        <v>1374</v>
      </c>
      <c r="HG166" s="2">
        <v>45752.77071759259</v>
      </c>
      <c r="HJ166" t="s">
        <v>248</v>
      </c>
      <c r="HL166" t="s">
        <v>249</v>
      </c>
      <c r="HN166">
        <v>164</v>
      </c>
    </row>
    <row r="167" spans="1:222" x14ac:dyDescent="0.25">
      <c r="A167" s="2">
        <v>45752.562369085637</v>
      </c>
      <c r="B167" s="2">
        <v>45752.63907203704</v>
      </c>
      <c r="C167" t="s">
        <v>305</v>
      </c>
      <c r="D167">
        <v>249</v>
      </c>
      <c r="E167" s="2">
        <v>45730</v>
      </c>
      <c r="F167">
        <v>5</v>
      </c>
      <c r="G167" t="s">
        <v>503</v>
      </c>
      <c r="H167" t="s">
        <v>223</v>
      </c>
      <c r="I167">
        <v>59</v>
      </c>
      <c r="J167" t="str">
        <f t="shared" si="2"/>
        <v>de 56 a más</v>
      </c>
      <c r="K167" t="s">
        <v>341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291</v>
      </c>
      <c r="R167" t="s">
        <v>226</v>
      </c>
      <c r="T167" t="s">
        <v>284</v>
      </c>
      <c r="V167" t="s">
        <v>252</v>
      </c>
      <c r="W167" t="s">
        <v>229</v>
      </c>
      <c r="X167" t="s">
        <v>299</v>
      </c>
      <c r="Z167" t="s">
        <v>254</v>
      </c>
      <c r="AA167" t="s">
        <v>293</v>
      </c>
      <c r="AB167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I167" t="s">
        <v>233</v>
      </c>
      <c r="AJ167">
        <v>0</v>
      </c>
      <c r="AK167">
        <v>1</v>
      </c>
      <c r="AL167">
        <v>0</v>
      </c>
      <c r="AM167">
        <v>0</v>
      </c>
      <c r="AN167" t="s">
        <v>257</v>
      </c>
      <c r="AO167" t="s">
        <v>382</v>
      </c>
      <c r="AP167">
        <v>0</v>
      </c>
      <c r="AQ167">
        <v>0</v>
      </c>
      <c r="AR167">
        <v>1</v>
      </c>
      <c r="AS167">
        <v>0</v>
      </c>
      <c r="AT167">
        <v>0</v>
      </c>
      <c r="AU167">
        <v>0</v>
      </c>
      <c r="AV167">
        <v>0</v>
      </c>
      <c r="AX167" t="s">
        <v>236</v>
      </c>
      <c r="AZ167" t="s">
        <v>237</v>
      </c>
      <c r="BA167" t="s">
        <v>1375</v>
      </c>
      <c r="BE167" t="s">
        <v>261</v>
      </c>
      <c r="BF167" t="s">
        <v>261</v>
      </c>
      <c r="BG167" t="s">
        <v>259</v>
      </c>
      <c r="BH167" t="s">
        <v>259</v>
      </c>
      <c r="BI167" t="s">
        <v>259</v>
      </c>
      <c r="BJ167" t="s">
        <v>237</v>
      </c>
      <c r="BK167" t="s">
        <v>239</v>
      </c>
      <c r="BL167" t="s">
        <v>262</v>
      </c>
      <c r="BM167" t="s">
        <v>415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 t="s">
        <v>243</v>
      </c>
      <c r="CB167" t="s">
        <v>264</v>
      </c>
      <c r="CC167" t="s">
        <v>243</v>
      </c>
      <c r="CD167" t="s">
        <v>236</v>
      </c>
      <c r="CE167" t="s">
        <v>236</v>
      </c>
      <c r="EA167" t="s">
        <v>226</v>
      </c>
      <c r="EB167" t="s">
        <v>244</v>
      </c>
      <c r="EC167" t="s">
        <v>226</v>
      </c>
      <c r="ED167" t="s">
        <v>244</v>
      </c>
      <c r="EE167" t="s">
        <v>226</v>
      </c>
      <c r="EF167" t="s">
        <v>265</v>
      </c>
      <c r="EG167" t="s">
        <v>226</v>
      </c>
      <c r="EH167" t="s">
        <v>265</v>
      </c>
      <c r="EI167" t="s">
        <v>236</v>
      </c>
      <c r="EK167" t="s">
        <v>236</v>
      </c>
      <c r="EM167" t="s">
        <v>236</v>
      </c>
      <c r="EO167" t="s">
        <v>236</v>
      </c>
      <c r="EQ167" t="s">
        <v>236</v>
      </c>
      <c r="ES167" t="s">
        <v>236</v>
      </c>
      <c r="EU167" t="s">
        <v>236</v>
      </c>
      <c r="EW167" t="s">
        <v>236</v>
      </c>
      <c r="EY167" t="s">
        <v>236</v>
      </c>
      <c r="FA167" t="s">
        <v>226</v>
      </c>
      <c r="FB167" t="s">
        <v>245</v>
      </c>
      <c r="FC167" t="s">
        <v>236</v>
      </c>
      <c r="FE167" t="s">
        <v>236</v>
      </c>
      <c r="FG167" t="s">
        <v>236</v>
      </c>
      <c r="FJ167" t="s">
        <v>226</v>
      </c>
      <c r="FK167" t="s">
        <v>245</v>
      </c>
      <c r="FL167" t="s">
        <v>226</v>
      </c>
      <c r="FM167" t="s">
        <v>236</v>
      </c>
      <c r="FW167" t="s">
        <v>226</v>
      </c>
      <c r="FX167" t="s">
        <v>236</v>
      </c>
      <c r="FZ167" t="s">
        <v>236</v>
      </c>
      <c r="GC167" t="s">
        <v>226</v>
      </c>
      <c r="GD167" t="s">
        <v>226</v>
      </c>
      <c r="GE167" t="s">
        <v>267</v>
      </c>
      <c r="GF167" t="s">
        <v>226</v>
      </c>
      <c r="GG167" t="s">
        <v>226</v>
      </c>
      <c r="GH167" t="s">
        <v>266</v>
      </c>
      <c r="GI167" t="s">
        <v>226</v>
      </c>
      <c r="GJ167" t="s">
        <v>226</v>
      </c>
      <c r="GK167" t="s">
        <v>267</v>
      </c>
      <c r="GL167" t="s">
        <v>226</v>
      </c>
      <c r="GM167" t="s">
        <v>226</v>
      </c>
      <c r="GN167" t="s">
        <v>267</v>
      </c>
      <c r="GO167" t="s">
        <v>226</v>
      </c>
      <c r="GP167" t="s">
        <v>226</v>
      </c>
      <c r="GQ167" t="s">
        <v>267</v>
      </c>
      <c r="GR167" t="s">
        <v>226</v>
      </c>
      <c r="GS167" t="s">
        <v>226</v>
      </c>
      <c r="GT167" t="s">
        <v>267</v>
      </c>
      <c r="GU167" t="s">
        <v>236</v>
      </c>
      <c r="GX167" t="s">
        <v>236</v>
      </c>
      <c r="HB167" t="s">
        <v>537</v>
      </c>
      <c r="HC167" t="s">
        <v>303</v>
      </c>
      <c r="HE167">
        <v>82913641</v>
      </c>
      <c r="HF167" t="s">
        <v>1376</v>
      </c>
      <c r="HG167" s="2">
        <v>45752.847395833327</v>
      </c>
      <c r="HJ167" t="s">
        <v>248</v>
      </c>
      <c r="HL167" t="s">
        <v>249</v>
      </c>
      <c r="HN167">
        <v>165</v>
      </c>
    </row>
    <row r="168" spans="1:222" x14ac:dyDescent="0.25">
      <c r="A168" s="2">
        <v>45752.639072569436</v>
      </c>
      <c r="B168" s="2">
        <v>45752.641971018522</v>
      </c>
      <c r="C168" t="s">
        <v>305</v>
      </c>
      <c r="D168">
        <v>250</v>
      </c>
      <c r="E168" s="2">
        <v>45730</v>
      </c>
      <c r="F168">
        <v>5</v>
      </c>
      <c r="G168" t="s">
        <v>503</v>
      </c>
      <c r="H168" t="s">
        <v>223</v>
      </c>
      <c r="I168">
        <v>20</v>
      </c>
      <c r="J168" t="str">
        <f t="shared" si="2"/>
        <v>de 18 a 25 años</v>
      </c>
      <c r="K168" t="s">
        <v>251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291</v>
      </c>
      <c r="R168" t="s">
        <v>226</v>
      </c>
      <c r="T168" t="s">
        <v>227</v>
      </c>
      <c r="V168" t="s">
        <v>252</v>
      </c>
      <c r="W168" t="s">
        <v>229</v>
      </c>
      <c r="X168" t="s">
        <v>253</v>
      </c>
      <c r="Z168" t="s">
        <v>254</v>
      </c>
      <c r="AA168" t="s">
        <v>293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I168" t="s">
        <v>233</v>
      </c>
      <c r="AJ168">
        <v>0</v>
      </c>
      <c r="AK168">
        <v>1</v>
      </c>
      <c r="AL168">
        <v>0</v>
      </c>
      <c r="AM168">
        <v>0</v>
      </c>
      <c r="AN168" t="s">
        <v>234</v>
      </c>
      <c r="AO168" t="s">
        <v>275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</v>
      </c>
      <c r="AV168">
        <v>0</v>
      </c>
      <c r="AX168" t="s">
        <v>226</v>
      </c>
      <c r="AY168" t="s">
        <v>226</v>
      </c>
      <c r="AZ168" t="s">
        <v>237</v>
      </c>
      <c r="BA168" t="s">
        <v>1377</v>
      </c>
      <c r="BE168" t="s">
        <v>259</v>
      </c>
      <c r="BF168" t="s">
        <v>237</v>
      </c>
      <c r="BG168" t="s">
        <v>237</v>
      </c>
      <c r="BH168" t="s">
        <v>237</v>
      </c>
      <c r="BI168" t="s">
        <v>237</v>
      </c>
      <c r="BJ168" t="s">
        <v>259</v>
      </c>
      <c r="BK168" t="s">
        <v>261</v>
      </c>
      <c r="BL168" t="s">
        <v>262</v>
      </c>
      <c r="BM168" t="s">
        <v>415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 t="s">
        <v>264</v>
      </c>
      <c r="CB168" t="s">
        <v>243</v>
      </c>
      <c r="CC168" t="s">
        <v>243</v>
      </c>
      <c r="CD168" t="s">
        <v>226</v>
      </c>
      <c r="CE168" t="s">
        <v>236</v>
      </c>
      <c r="EA168" t="s">
        <v>226</v>
      </c>
      <c r="EB168" t="s">
        <v>244</v>
      </c>
      <c r="EC168" t="s">
        <v>226</v>
      </c>
      <c r="ED168" t="s">
        <v>265</v>
      </c>
      <c r="EE168" t="s">
        <v>226</v>
      </c>
      <c r="EF168" t="s">
        <v>245</v>
      </c>
      <c r="EG168" t="s">
        <v>226</v>
      </c>
      <c r="EH168" t="s">
        <v>244</v>
      </c>
      <c r="EI168" t="s">
        <v>236</v>
      </c>
      <c r="EK168" t="s">
        <v>236</v>
      </c>
      <c r="EM168" t="s">
        <v>226</v>
      </c>
      <c r="EN168" t="s">
        <v>244</v>
      </c>
      <c r="EO168" t="s">
        <v>226</v>
      </c>
      <c r="EP168" t="s">
        <v>244</v>
      </c>
      <c r="EQ168" t="s">
        <v>236</v>
      </c>
      <c r="ES168" t="s">
        <v>226</v>
      </c>
      <c r="ET168" t="s">
        <v>244</v>
      </c>
      <c r="EU168" t="s">
        <v>236</v>
      </c>
      <c r="EW168" t="s">
        <v>236</v>
      </c>
      <c r="EY168" t="s">
        <v>236</v>
      </c>
      <c r="FA168" t="s">
        <v>226</v>
      </c>
      <c r="FB168" t="s">
        <v>245</v>
      </c>
      <c r="FC168" t="s">
        <v>236</v>
      </c>
      <c r="FE168" t="s">
        <v>236</v>
      </c>
      <c r="FG168" t="s">
        <v>236</v>
      </c>
      <c r="FJ168" t="s">
        <v>226</v>
      </c>
      <c r="FK168" t="s">
        <v>245</v>
      </c>
      <c r="FL168" t="s">
        <v>236</v>
      </c>
      <c r="FM168" t="s">
        <v>236</v>
      </c>
      <c r="FW168" t="s">
        <v>226</v>
      </c>
      <c r="FX168" t="s">
        <v>236</v>
      </c>
      <c r="FZ168" t="s">
        <v>226</v>
      </c>
      <c r="GA168" t="s">
        <v>236</v>
      </c>
      <c r="GC168" t="s">
        <v>236</v>
      </c>
      <c r="GF168" t="s">
        <v>226</v>
      </c>
      <c r="GG168" t="s">
        <v>226</v>
      </c>
      <c r="GH168" t="s">
        <v>266</v>
      </c>
      <c r="GI168" t="s">
        <v>236</v>
      </c>
      <c r="GL168" t="s">
        <v>226</v>
      </c>
      <c r="GM168" t="s">
        <v>226</v>
      </c>
      <c r="GN168" t="s">
        <v>267</v>
      </c>
      <c r="GO168" t="s">
        <v>226</v>
      </c>
      <c r="GP168" t="s">
        <v>226</v>
      </c>
      <c r="GQ168" t="s">
        <v>267</v>
      </c>
      <c r="GR168" t="s">
        <v>236</v>
      </c>
      <c r="GU168" t="s">
        <v>236</v>
      </c>
      <c r="GX168" t="s">
        <v>236</v>
      </c>
      <c r="HB168" t="s">
        <v>1030</v>
      </c>
      <c r="HC168" t="s">
        <v>1378</v>
      </c>
      <c r="HD168" t="s">
        <v>1379</v>
      </c>
      <c r="HE168">
        <v>82913760</v>
      </c>
      <c r="HF168" t="s">
        <v>1380</v>
      </c>
      <c r="HG168" s="2">
        <v>45752.850300925929</v>
      </c>
      <c r="HJ168" t="s">
        <v>248</v>
      </c>
      <c r="HL168" t="s">
        <v>249</v>
      </c>
      <c r="HN168">
        <v>166</v>
      </c>
    </row>
    <row r="169" spans="1:222" x14ac:dyDescent="0.25">
      <c r="A169" s="2">
        <v>45752.641971469908</v>
      </c>
      <c r="B169" s="2">
        <v>45752.64527724537</v>
      </c>
      <c r="C169" t="s">
        <v>305</v>
      </c>
      <c r="D169">
        <v>251</v>
      </c>
      <c r="E169" s="2">
        <v>45730</v>
      </c>
      <c r="F169">
        <v>5</v>
      </c>
      <c r="G169" t="s">
        <v>503</v>
      </c>
      <c r="H169" t="s">
        <v>223</v>
      </c>
      <c r="I169">
        <v>66</v>
      </c>
      <c r="J169" t="str">
        <f t="shared" si="2"/>
        <v>de 56 a más</v>
      </c>
      <c r="K169" t="s">
        <v>341</v>
      </c>
      <c r="L169">
        <v>1</v>
      </c>
      <c r="M169">
        <v>0</v>
      </c>
      <c r="N169">
        <v>0</v>
      </c>
      <c r="O169">
        <v>0</v>
      </c>
      <c r="P169">
        <v>0</v>
      </c>
      <c r="Q169" t="s">
        <v>225</v>
      </c>
      <c r="R169" t="s">
        <v>236</v>
      </c>
      <c r="S169" t="s">
        <v>935</v>
      </c>
      <c r="T169" t="s">
        <v>1085</v>
      </c>
      <c r="V169" t="s">
        <v>228</v>
      </c>
      <c r="W169" t="s">
        <v>229</v>
      </c>
      <c r="X169" t="s">
        <v>368</v>
      </c>
      <c r="Z169" t="s">
        <v>351</v>
      </c>
      <c r="AA169" t="s">
        <v>232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I169" t="s">
        <v>311</v>
      </c>
      <c r="AJ169">
        <v>0</v>
      </c>
      <c r="AK169">
        <v>1</v>
      </c>
      <c r="AL169">
        <v>1</v>
      </c>
      <c r="AM169">
        <v>0</v>
      </c>
      <c r="AN169" t="s">
        <v>234</v>
      </c>
      <c r="AO169" t="s">
        <v>818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0</v>
      </c>
      <c r="AV169">
        <v>0</v>
      </c>
      <c r="AX169" t="s">
        <v>236</v>
      </c>
      <c r="AZ169" t="s">
        <v>362</v>
      </c>
      <c r="BA169" t="s">
        <v>825</v>
      </c>
      <c r="BB169" t="s">
        <v>1381</v>
      </c>
      <c r="BE169" t="s">
        <v>237</v>
      </c>
      <c r="BF169" t="s">
        <v>362</v>
      </c>
      <c r="BG169" t="s">
        <v>237</v>
      </c>
      <c r="BH169" t="s">
        <v>362</v>
      </c>
      <c r="BI169" t="s">
        <v>362</v>
      </c>
      <c r="BJ169" t="s">
        <v>362</v>
      </c>
      <c r="BK169" t="s">
        <v>362</v>
      </c>
      <c r="BL169" t="s">
        <v>240</v>
      </c>
      <c r="BM169" t="s">
        <v>415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 t="s">
        <v>242</v>
      </c>
      <c r="CB169" t="s">
        <v>264</v>
      </c>
      <c r="CC169" t="s">
        <v>242</v>
      </c>
      <c r="CD169" t="s">
        <v>236</v>
      </c>
      <c r="CE169" t="s">
        <v>236</v>
      </c>
      <c r="EA169" t="s">
        <v>236</v>
      </c>
      <c r="EC169" t="s">
        <v>236</v>
      </c>
      <c r="EE169" t="s">
        <v>226</v>
      </c>
      <c r="EF169" t="s">
        <v>244</v>
      </c>
      <c r="EG169" t="s">
        <v>226</v>
      </c>
      <c r="EH169" t="s">
        <v>244</v>
      </c>
      <c r="EI169" t="s">
        <v>236</v>
      </c>
      <c r="EK169" t="s">
        <v>236</v>
      </c>
      <c r="EM169" t="s">
        <v>226</v>
      </c>
      <c r="EN169" t="s">
        <v>244</v>
      </c>
      <c r="EO169" t="s">
        <v>226</v>
      </c>
      <c r="EP169" t="s">
        <v>245</v>
      </c>
      <c r="EQ169" t="s">
        <v>236</v>
      </c>
      <c r="ES169" t="s">
        <v>226</v>
      </c>
      <c r="ET169" t="s">
        <v>265</v>
      </c>
      <c r="EU169" t="s">
        <v>236</v>
      </c>
      <c r="EW169" t="s">
        <v>226</v>
      </c>
      <c r="EX169" t="s">
        <v>245</v>
      </c>
      <c r="EY169" t="s">
        <v>236</v>
      </c>
      <c r="FA169" t="s">
        <v>236</v>
      </c>
      <c r="FC169" t="s">
        <v>236</v>
      </c>
      <c r="FE169" t="s">
        <v>236</v>
      </c>
      <c r="FG169" t="s">
        <v>236</v>
      </c>
      <c r="FJ169" t="s">
        <v>226</v>
      </c>
      <c r="FK169" t="s">
        <v>245</v>
      </c>
      <c r="FL169" t="s">
        <v>236</v>
      </c>
      <c r="FM169" t="s">
        <v>236</v>
      </c>
      <c r="FW169" t="s">
        <v>226</v>
      </c>
      <c r="FX169" t="s">
        <v>236</v>
      </c>
      <c r="FZ169" t="s">
        <v>226</v>
      </c>
      <c r="GA169" t="s">
        <v>236</v>
      </c>
      <c r="GC169" t="s">
        <v>236</v>
      </c>
      <c r="GF169" t="s">
        <v>226</v>
      </c>
      <c r="GG169" t="s">
        <v>236</v>
      </c>
      <c r="GI169" t="s">
        <v>236</v>
      </c>
      <c r="GL169" t="s">
        <v>226</v>
      </c>
      <c r="GM169" t="s">
        <v>236</v>
      </c>
      <c r="GO169" t="s">
        <v>226</v>
      </c>
      <c r="GP169" t="s">
        <v>236</v>
      </c>
      <c r="GR169" t="s">
        <v>226</v>
      </c>
      <c r="GS169" t="s">
        <v>236</v>
      </c>
      <c r="GU169" t="s">
        <v>236</v>
      </c>
      <c r="GX169" t="s">
        <v>236</v>
      </c>
      <c r="HB169" t="s">
        <v>338</v>
      </c>
      <c r="HC169" t="s">
        <v>510</v>
      </c>
      <c r="HD169" t="s">
        <v>339</v>
      </c>
      <c r="HE169">
        <v>82913887</v>
      </c>
      <c r="HF169" t="s">
        <v>1382</v>
      </c>
      <c r="HG169" s="2">
        <v>45752.85361111111</v>
      </c>
      <c r="HJ169" t="s">
        <v>248</v>
      </c>
      <c r="HL169" t="s">
        <v>249</v>
      </c>
      <c r="HN169">
        <v>167</v>
      </c>
    </row>
    <row r="170" spans="1:222" x14ac:dyDescent="0.25">
      <c r="A170" s="2">
        <v>45752.645277754629</v>
      </c>
      <c r="B170" s="2">
        <v>45752.648197858798</v>
      </c>
      <c r="C170" t="s">
        <v>305</v>
      </c>
      <c r="D170">
        <v>252</v>
      </c>
      <c r="E170" s="2">
        <v>45730</v>
      </c>
      <c r="F170">
        <v>5</v>
      </c>
      <c r="G170" t="s">
        <v>503</v>
      </c>
      <c r="H170" t="s">
        <v>223</v>
      </c>
      <c r="I170">
        <v>53</v>
      </c>
      <c r="J170" t="str">
        <f t="shared" si="2"/>
        <v>de 41 a 55 años</v>
      </c>
      <c r="K170" t="s">
        <v>341</v>
      </c>
      <c r="L170">
        <v>0</v>
      </c>
      <c r="M170">
        <v>1</v>
      </c>
      <c r="N170">
        <v>0</v>
      </c>
      <c r="O170">
        <v>0</v>
      </c>
      <c r="P170">
        <v>1</v>
      </c>
      <c r="Q170" t="s">
        <v>291</v>
      </c>
      <c r="R170" t="s">
        <v>226</v>
      </c>
      <c r="T170" t="s">
        <v>227</v>
      </c>
      <c r="V170" t="s">
        <v>252</v>
      </c>
      <c r="W170" t="s">
        <v>229</v>
      </c>
      <c r="X170" t="s">
        <v>299</v>
      </c>
      <c r="Z170" t="s">
        <v>273</v>
      </c>
      <c r="AA170" t="s">
        <v>255</v>
      </c>
      <c r="AB170">
        <v>0</v>
      </c>
      <c r="AC170">
        <v>0</v>
      </c>
      <c r="AD170">
        <v>0</v>
      </c>
      <c r="AE170">
        <v>1</v>
      </c>
      <c r="AF170">
        <v>0</v>
      </c>
      <c r="AG170">
        <v>0</v>
      </c>
      <c r="AI170" t="s">
        <v>256</v>
      </c>
      <c r="AJ170">
        <v>0</v>
      </c>
      <c r="AK170">
        <v>0</v>
      </c>
      <c r="AL170">
        <v>1</v>
      </c>
      <c r="AM170">
        <v>0</v>
      </c>
      <c r="AN170" t="s">
        <v>257</v>
      </c>
      <c r="AO170" t="s">
        <v>275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1</v>
      </c>
      <c r="AV170">
        <v>0</v>
      </c>
      <c r="AX170" t="s">
        <v>236</v>
      </c>
      <c r="AZ170" t="s">
        <v>237</v>
      </c>
      <c r="BA170" t="s">
        <v>1383</v>
      </c>
      <c r="BB170" t="s">
        <v>1384</v>
      </c>
      <c r="BE170" t="s">
        <v>237</v>
      </c>
      <c r="BF170" t="s">
        <v>237</v>
      </c>
      <c r="BG170" t="s">
        <v>261</v>
      </c>
      <c r="BH170" t="s">
        <v>239</v>
      </c>
      <c r="BI170" t="s">
        <v>237</v>
      </c>
      <c r="BJ170" t="s">
        <v>237</v>
      </c>
      <c r="BK170" t="s">
        <v>239</v>
      </c>
      <c r="BL170" t="s">
        <v>240</v>
      </c>
      <c r="BM170" t="s">
        <v>365</v>
      </c>
      <c r="BN170">
        <v>0</v>
      </c>
      <c r="BO170">
        <v>1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 t="s">
        <v>264</v>
      </c>
      <c r="CB170" t="s">
        <v>328</v>
      </c>
      <c r="CC170" t="s">
        <v>243</v>
      </c>
      <c r="CD170" t="s">
        <v>236</v>
      </c>
      <c r="CE170" t="s">
        <v>236</v>
      </c>
      <c r="EA170" t="s">
        <v>236</v>
      </c>
      <c r="EC170" t="s">
        <v>236</v>
      </c>
      <c r="EE170" t="s">
        <v>226</v>
      </c>
      <c r="EF170" t="s">
        <v>244</v>
      </c>
      <c r="EG170" t="s">
        <v>226</v>
      </c>
      <c r="EH170" t="s">
        <v>244</v>
      </c>
      <c r="EI170" t="s">
        <v>236</v>
      </c>
      <c r="EK170" t="s">
        <v>236</v>
      </c>
      <c r="EM170" t="s">
        <v>226</v>
      </c>
      <c r="EN170" t="s">
        <v>244</v>
      </c>
      <c r="EO170" t="s">
        <v>236</v>
      </c>
      <c r="EQ170" t="s">
        <v>236</v>
      </c>
      <c r="ES170" t="s">
        <v>236</v>
      </c>
      <c r="EU170" t="s">
        <v>236</v>
      </c>
      <c r="EW170" t="s">
        <v>236</v>
      </c>
      <c r="EY170" t="s">
        <v>236</v>
      </c>
      <c r="FA170" t="s">
        <v>226</v>
      </c>
      <c r="FB170" t="s">
        <v>244</v>
      </c>
      <c r="FC170" t="s">
        <v>236</v>
      </c>
      <c r="FE170" t="s">
        <v>236</v>
      </c>
      <c r="FG170" t="s">
        <v>236</v>
      </c>
      <c r="FJ170" t="s">
        <v>226</v>
      </c>
      <c r="FK170" t="s">
        <v>244</v>
      </c>
      <c r="FL170" t="s">
        <v>236</v>
      </c>
      <c r="FM170" t="s">
        <v>236</v>
      </c>
      <c r="FW170" t="s">
        <v>226</v>
      </c>
      <c r="FX170" t="s">
        <v>236</v>
      </c>
      <c r="FZ170" t="s">
        <v>236</v>
      </c>
      <c r="GC170" t="s">
        <v>236</v>
      </c>
      <c r="GF170" t="s">
        <v>236</v>
      </c>
      <c r="GI170" t="s">
        <v>236</v>
      </c>
      <c r="GL170" t="s">
        <v>226</v>
      </c>
      <c r="GM170" t="s">
        <v>236</v>
      </c>
      <c r="GO170" t="s">
        <v>226</v>
      </c>
      <c r="GP170" t="s">
        <v>226</v>
      </c>
      <c r="GQ170" t="s">
        <v>266</v>
      </c>
      <c r="GR170" t="s">
        <v>226</v>
      </c>
      <c r="GS170" t="s">
        <v>236</v>
      </c>
      <c r="GU170" t="s">
        <v>236</v>
      </c>
      <c r="GX170" t="s">
        <v>236</v>
      </c>
      <c r="HB170" t="s">
        <v>537</v>
      </c>
      <c r="HC170" t="s">
        <v>318</v>
      </c>
      <c r="HD170" t="s">
        <v>303</v>
      </c>
      <c r="HE170">
        <v>82913941</v>
      </c>
      <c r="HF170" t="s">
        <v>1385</v>
      </c>
      <c r="HG170" s="2">
        <v>45752.856527777767</v>
      </c>
      <c r="HJ170" t="s">
        <v>248</v>
      </c>
      <c r="HL170" t="s">
        <v>249</v>
      </c>
      <c r="HN170">
        <v>168</v>
      </c>
    </row>
    <row r="171" spans="1:222" x14ac:dyDescent="0.25">
      <c r="A171" s="2">
        <v>45752.64819847222</v>
      </c>
      <c r="B171" s="2">
        <v>45752.651414837957</v>
      </c>
      <c r="C171" t="s">
        <v>305</v>
      </c>
      <c r="D171">
        <v>253</v>
      </c>
      <c r="E171" s="2">
        <v>45730</v>
      </c>
      <c r="F171">
        <v>5</v>
      </c>
      <c r="G171" t="s">
        <v>503</v>
      </c>
      <c r="H171" t="s">
        <v>223</v>
      </c>
      <c r="I171">
        <v>24</v>
      </c>
      <c r="J171" t="str">
        <f t="shared" si="2"/>
        <v>de 18 a 25 años</v>
      </c>
      <c r="K171" t="s">
        <v>251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291</v>
      </c>
      <c r="R171" t="s">
        <v>226</v>
      </c>
      <c r="T171" t="s">
        <v>227</v>
      </c>
      <c r="V171" t="s">
        <v>321</v>
      </c>
      <c r="W171" t="s">
        <v>229</v>
      </c>
      <c r="X171" t="s">
        <v>230</v>
      </c>
      <c r="Z171" t="s">
        <v>254</v>
      </c>
      <c r="AA171" t="s">
        <v>255</v>
      </c>
      <c r="AB171">
        <v>0</v>
      </c>
      <c r="AC171">
        <v>0</v>
      </c>
      <c r="AD171">
        <v>0</v>
      </c>
      <c r="AE171">
        <v>1</v>
      </c>
      <c r="AF171">
        <v>0</v>
      </c>
      <c r="AG171">
        <v>0</v>
      </c>
      <c r="AI171" t="s">
        <v>256</v>
      </c>
      <c r="AJ171">
        <v>0</v>
      </c>
      <c r="AK171">
        <v>0</v>
      </c>
      <c r="AL171">
        <v>1</v>
      </c>
      <c r="AM171">
        <v>0</v>
      </c>
      <c r="AN171" t="s">
        <v>257</v>
      </c>
      <c r="AO171" t="s">
        <v>275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</v>
      </c>
      <c r="AV171">
        <v>0</v>
      </c>
      <c r="AX171" t="s">
        <v>236</v>
      </c>
      <c r="AZ171" t="s">
        <v>237</v>
      </c>
      <c r="BA171" t="s">
        <v>1386</v>
      </c>
      <c r="BE171" t="s">
        <v>261</v>
      </c>
      <c r="BF171" t="s">
        <v>259</v>
      </c>
      <c r="BG171" t="s">
        <v>259</v>
      </c>
      <c r="BH171" t="s">
        <v>237</v>
      </c>
      <c r="BI171" t="s">
        <v>237</v>
      </c>
      <c r="BJ171" t="s">
        <v>237</v>
      </c>
      <c r="BK171" t="s">
        <v>259</v>
      </c>
      <c r="BL171" t="s">
        <v>240</v>
      </c>
      <c r="BM171" t="s">
        <v>433</v>
      </c>
      <c r="BN171">
        <v>0</v>
      </c>
      <c r="BO171">
        <v>0</v>
      </c>
      <c r="BP171">
        <v>1</v>
      </c>
      <c r="BQ171">
        <v>1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 t="s">
        <v>243</v>
      </c>
      <c r="CB171" t="s">
        <v>328</v>
      </c>
      <c r="CC171" t="s">
        <v>243</v>
      </c>
      <c r="CD171" t="s">
        <v>236</v>
      </c>
      <c r="CE171" t="s">
        <v>236</v>
      </c>
      <c r="EA171" t="s">
        <v>236</v>
      </c>
      <c r="EC171" t="s">
        <v>236</v>
      </c>
      <c r="EE171" t="s">
        <v>236</v>
      </c>
      <c r="EG171" t="s">
        <v>226</v>
      </c>
      <c r="EH171" t="s">
        <v>244</v>
      </c>
      <c r="EI171" t="s">
        <v>236</v>
      </c>
      <c r="EK171" t="s">
        <v>236</v>
      </c>
      <c r="EM171" t="s">
        <v>236</v>
      </c>
      <c r="EO171" t="s">
        <v>226</v>
      </c>
      <c r="EP171" t="s">
        <v>265</v>
      </c>
      <c r="EQ171" t="s">
        <v>236</v>
      </c>
      <c r="ES171" t="s">
        <v>236</v>
      </c>
      <c r="EU171" t="s">
        <v>236</v>
      </c>
      <c r="EW171" t="s">
        <v>236</v>
      </c>
      <c r="EY171" t="s">
        <v>236</v>
      </c>
      <c r="FA171" t="s">
        <v>226</v>
      </c>
      <c r="FB171" t="s">
        <v>244</v>
      </c>
      <c r="FC171" t="s">
        <v>236</v>
      </c>
      <c r="FE171" t="s">
        <v>226</v>
      </c>
      <c r="FF171" t="s">
        <v>244</v>
      </c>
      <c r="FG171" t="s">
        <v>236</v>
      </c>
      <c r="FJ171" t="s">
        <v>226</v>
      </c>
      <c r="FK171" t="s">
        <v>244</v>
      </c>
      <c r="FL171" t="s">
        <v>236</v>
      </c>
      <c r="FM171" t="s">
        <v>236</v>
      </c>
      <c r="FW171" t="s">
        <v>226</v>
      </c>
      <c r="FX171" t="s">
        <v>236</v>
      </c>
      <c r="FZ171" t="s">
        <v>226</v>
      </c>
      <c r="GA171" t="s">
        <v>236</v>
      </c>
      <c r="GC171" t="s">
        <v>236</v>
      </c>
      <c r="GF171" t="s">
        <v>226</v>
      </c>
      <c r="GG171" t="s">
        <v>236</v>
      </c>
      <c r="GI171" t="s">
        <v>236</v>
      </c>
      <c r="GL171" t="s">
        <v>226</v>
      </c>
      <c r="GM171" t="s">
        <v>236</v>
      </c>
      <c r="GO171" t="s">
        <v>236</v>
      </c>
      <c r="GR171" t="s">
        <v>226</v>
      </c>
      <c r="GS171" t="s">
        <v>236</v>
      </c>
      <c r="GU171" t="s">
        <v>226</v>
      </c>
      <c r="GV171" t="s">
        <v>236</v>
      </c>
      <c r="GX171" t="s">
        <v>226</v>
      </c>
      <c r="GY171" t="s">
        <v>236</v>
      </c>
      <c r="HB171" t="s">
        <v>288</v>
      </c>
      <c r="HC171" t="s">
        <v>338</v>
      </c>
      <c r="HE171">
        <v>82914046</v>
      </c>
      <c r="HF171" t="s">
        <v>1387</v>
      </c>
      <c r="HG171" s="2">
        <v>45752.85974537037</v>
      </c>
      <c r="HJ171" t="s">
        <v>248</v>
      </c>
      <c r="HL171" t="s">
        <v>249</v>
      </c>
      <c r="HN171">
        <v>169</v>
      </c>
    </row>
    <row r="172" spans="1:222" x14ac:dyDescent="0.25">
      <c r="A172" s="2">
        <v>45752.651415439817</v>
      </c>
      <c r="B172" s="2">
        <v>45752.654127453701</v>
      </c>
      <c r="C172" t="s">
        <v>305</v>
      </c>
      <c r="D172">
        <v>254</v>
      </c>
      <c r="E172" s="2">
        <v>45730</v>
      </c>
      <c r="F172">
        <v>5</v>
      </c>
      <c r="G172" t="s">
        <v>503</v>
      </c>
      <c r="H172" t="s">
        <v>223</v>
      </c>
      <c r="I172">
        <v>56</v>
      </c>
      <c r="J172" t="str">
        <f t="shared" si="2"/>
        <v>de 56 a más</v>
      </c>
      <c r="K172" t="s">
        <v>251</v>
      </c>
      <c r="L172">
        <v>0</v>
      </c>
      <c r="M172">
        <v>0</v>
      </c>
      <c r="N172">
        <v>0</v>
      </c>
      <c r="O172">
        <v>0</v>
      </c>
      <c r="P172">
        <v>0</v>
      </c>
      <c r="Q172" t="s">
        <v>291</v>
      </c>
      <c r="R172" t="s">
        <v>226</v>
      </c>
      <c r="T172" t="s">
        <v>227</v>
      </c>
      <c r="V172" t="s">
        <v>612</v>
      </c>
      <c r="W172" t="s">
        <v>229</v>
      </c>
      <c r="X172" t="s">
        <v>299</v>
      </c>
      <c r="Z172" t="s">
        <v>254</v>
      </c>
      <c r="AA172" t="s">
        <v>232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0</v>
      </c>
      <c r="AI172" t="s">
        <v>256</v>
      </c>
      <c r="AJ172">
        <v>0</v>
      </c>
      <c r="AK172">
        <v>0</v>
      </c>
      <c r="AL172">
        <v>1</v>
      </c>
      <c r="AM172">
        <v>0</v>
      </c>
      <c r="AN172" t="s">
        <v>257</v>
      </c>
      <c r="AO172" t="s">
        <v>382</v>
      </c>
      <c r="AP172">
        <v>0</v>
      </c>
      <c r="AQ172">
        <v>0</v>
      </c>
      <c r="AR172">
        <v>1</v>
      </c>
      <c r="AS172">
        <v>0</v>
      </c>
      <c r="AT172">
        <v>0</v>
      </c>
      <c r="AU172">
        <v>0</v>
      </c>
      <c r="AV172">
        <v>0</v>
      </c>
      <c r="AX172" t="s">
        <v>226</v>
      </c>
      <c r="AY172" t="s">
        <v>226</v>
      </c>
      <c r="AZ172" t="s">
        <v>237</v>
      </c>
      <c r="BA172" t="s">
        <v>1388</v>
      </c>
      <c r="BE172" t="s">
        <v>259</v>
      </c>
      <c r="BF172" t="s">
        <v>259</v>
      </c>
      <c r="BG172" t="s">
        <v>259</v>
      </c>
      <c r="BH172" t="s">
        <v>259</v>
      </c>
      <c r="BI172" t="s">
        <v>259</v>
      </c>
      <c r="BJ172" t="s">
        <v>261</v>
      </c>
      <c r="BK172" t="s">
        <v>261</v>
      </c>
      <c r="BL172" t="s">
        <v>262</v>
      </c>
      <c r="BM172" t="s">
        <v>389</v>
      </c>
      <c r="BN172">
        <v>0</v>
      </c>
      <c r="BO172">
        <v>0</v>
      </c>
      <c r="BP172">
        <v>1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 t="s">
        <v>264</v>
      </c>
      <c r="CB172" t="s">
        <v>264</v>
      </c>
      <c r="CC172" t="s">
        <v>243</v>
      </c>
      <c r="CD172" t="s">
        <v>226</v>
      </c>
      <c r="CE172" t="s">
        <v>236</v>
      </c>
      <c r="EA172" t="s">
        <v>236</v>
      </c>
      <c r="EC172" t="s">
        <v>236</v>
      </c>
      <c r="EE172" t="s">
        <v>226</v>
      </c>
      <c r="EF172" t="s">
        <v>244</v>
      </c>
      <c r="EG172" t="s">
        <v>236</v>
      </c>
      <c r="EI172" t="s">
        <v>236</v>
      </c>
      <c r="EK172" t="s">
        <v>236</v>
      </c>
      <c r="EM172" t="s">
        <v>226</v>
      </c>
      <c r="EN172" t="s">
        <v>244</v>
      </c>
      <c r="EO172" t="s">
        <v>226</v>
      </c>
      <c r="EP172" t="s">
        <v>245</v>
      </c>
      <c r="EQ172" t="s">
        <v>236</v>
      </c>
      <c r="ES172" t="s">
        <v>236</v>
      </c>
      <c r="EU172" t="s">
        <v>236</v>
      </c>
      <c r="EW172" t="s">
        <v>226</v>
      </c>
      <c r="EX172" t="s">
        <v>244</v>
      </c>
      <c r="EY172" t="s">
        <v>236</v>
      </c>
      <c r="FA172" t="s">
        <v>226</v>
      </c>
      <c r="FB172" t="s">
        <v>244</v>
      </c>
      <c r="FC172" t="s">
        <v>236</v>
      </c>
      <c r="FE172" t="s">
        <v>236</v>
      </c>
      <c r="FG172" t="s">
        <v>236</v>
      </c>
      <c r="FJ172" t="s">
        <v>226</v>
      </c>
      <c r="FK172" t="s">
        <v>265</v>
      </c>
      <c r="FL172" t="s">
        <v>236</v>
      </c>
      <c r="FM172" t="s">
        <v>236</v>
      </c>
      <c r="FW172" t="s">
        <v>226</v>
      </c>
      <c r="FX172" t="s">
        <v>236</v>
      </c>
      <c r="FZ172" t="s">
        <v>236</v>
      </c>
      <c r="GC172" t="s">
        <v>236</v>
      </c>
      <c r="GF172" t="s">
        <v>226</v>
      </c>
      <c r="GG172" t="s">
        <v>236</v>
      </c>
      <c r="GI172" t="s">
        <v>236</v>
      </c>
      <c r="GL172" t="s">
        <v>226</v>
      </c>
      <c r="GM172" t="s">
        <v>236</v>
      </c>
      <c r="GO172" t="s">
        <v>226</v>
      </c>
      <c r="GP172" t="s">
        <v>236</v>
      </c>
      <c r="GR172" t="s">
        <v>226</v>
      </c>
      <c r="GS172" t="s">
        <v>236</v>
      </c>
      <c r="GU172" t="s">
        <v>236</v>
      </c>
      <c r="GX172" t="s">
        <v>236</v>
      </c>
      <c r="HB172" t="s">
        <v>338</v>
      </c>
      <c r="HC172" t="s">
        <v>1389</v>
      </c>
      <c r="HE172">
        <v>82914146</v>
      </c>
      <c r="HF172" t="s">
        <v>1390</v>
      </c>
      <c r="HG172" s="2">
        <v>45752.862453703703</v>
      </c>
      <c r="HJ172" t="s">
        <v>248</v>
      </c>
      <c r="HL172" t="s">
        <v>249</v>
      </c>
      <c r="HN172">
        <v>170</v>
      </c>
    </row>
    <row r="173" spans="1:222" x14ac:dyDescent="0.25">
      <c r="A173" s="2">
        <v>45752.654127928239</v>
      </c>
      <c r="B173" s="2">
        <v>45752.656858043978</v>
      </c>
      <c r="C173" t="s">
        <v>305</v>
      </c>
      <c r="D173">
        <v>255</v>
      </c>
      <c r="E173" s="2">
        <v>45730</v>
      </c>
      <c r="F173">
        <v>5</v>
      </c>
      <c r="G173" t="s">
        <v>503</v>
      </c>
      <c r="H173" t="s">
        <v>223</v>
      </c>
      <c r="I173">
        <v>47</v>
      </c>
      <c r="J173" t="str">
        <f t="shared" si="2"/>
        <v>de 41 a 55 años</v>
      </c>
      <c r="K173" t="s">
        <v>224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225</v>
      </c>
      <c r="R173" t="s">
        <v>226</v>
      </c>
      <c r="T173" t="s">
        <v>227</v>
      </c>
      <c r="V173" t="s">
        <v>252</v>
      </c>
      <c r="W173" t="s">
        <v>229</v>
      </c>
      <c r="X173" t="s">
        <v>230</v>
      </c>
      <c r="Z173" t="s">
        <v>254</v>
      </c>
      <c r="AA173" t="s">
        <v>255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I173" t="s">
        <v>256</v>
      </c>
      <c r="AJ173">
        <v>0</v>
      </c>
      <c r="AK173">
        <v>0</v>
      </c>
      <c r="AL173">
        <v>1</v>
      </c>
      <c r="AM173">
        <v>0</v>
      </c>
      <c r="AN173" t="s">
        <v>234</v>
      </c>
      <c r="AO173" t="s">
        <v>275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0</v>
      </c>
      <c r="AX173" t="s">
        <v>236</v>
      </c>
      <c r="AZ173" t="s">
        <v>259</v>
      </c>
      <c r="BA173" t="s">
        <v>1391</v>
      </c>
      <c r="BE173" t="s">
        <v>259</v>
      </c>
      <c r="BF173" t="s">
        <v>237</v>
      </c>
      <c r="BG173" t="s">
        <v>237</v>
      </c>
      <c r="BH173" t="s">
        <v>237</v>
      </c>
      <c r="BI173" t="s">
        <v>237</v>
      </c>
      <c r="BJ173" t="s">
        <v>259</v>
      </c>
      <c r="BK173" t="s">
        <v>259</v>
      </c>
      <c r="BL173" t="s">
        <v>262</v>
      </c>
      <c r="BM173" t="s">
        <v>365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 t="s">
        <v>243</v>
      </c>
      <c r="CB173" t="s">
        <v>242</v>
      </c>
      <c r="CC173" t="s">
        <v>243</v>
      </c>
      <c r="CD173" t="s">
        <v>236</v>
      </c>
      <c r="CE173" t="s">
        <v>236</v>
      </c>
      <c r="EA173" t="s">
        <v>226</v>
      </c>
      <c r="EB173" t="s">
        <v>245</v>
      </c>
      <c r="EC173" t="s">
        <v>226</v>
      </c>
      <c r="ED173" t="s">
        <v>244</v>
      </c>
      <c r="EE173" t="s">
        <v>226</v>
      </c>
      <c r="EF173" t="s">
        <v>245</v>
      </c>
      <c r="EG173" t="s">
        <v>226</v>
      </c>
      <c r="EH173" t="s">
        <v>245</v>
      </c>
      <c r="EI173" t="s">
        <v>236</v>
      </c>
      <c r="EK173" t="s">
        <v>226</v>
      </c>
      <c r="EL173" t="s">
        <v>244</v>
      </c>
      <c r="EM173" t="s">
        <v>226</v>
      </c>
      <c r="EN173" t="s">
        <v>244</v>
      </c>
      <c r="EO173" t="s">
        <v>226</v>
      </c>
      <c r="EP173" t="s">
        <v>244</v>
      </c>
      <c r="EQ173" t="s">
        <v>236</v>
      </c>
      <c r="ES173" t="s">
        <v>226</v>
      </c>
      <c r="ET173" t="s">
        <v>245</v>
      </c>
      <c r="EU173" t="s">
        <v>226</v>
      </c>
      <c r="EV173" t="s">
        <v>245</v>
      </c>
      <c r="EW173" t="s">
        <v>226</v>
      </c>
      <c r="EX173" t="s">
        <v>245</v>
      </c>
      <c r="EY173" t="s">
        <v>226</v>
      </c>
      <c r="EZ173" t="s">
        <v>245</v>
      </c>
      <c r="FA173" t="s">
        <v>226</v>
      </c>
      <c r="FB173" t="s">
        <v>244</v>
      </c>
      <c r="FC173" t="s">
        <v>236</v>
      </c>
      <c r="FE173" t="s">
        <v>226</v>
      </c>
      <c r="FF173" t="s">
        <v>244</v>
      </c>
      <c r="FG173" t="s">
        <v>236</v>
      </c>
      <c r="FJ173" t="s">
        <v>226</v>
      </c>
      <c r="FK173" t="s">
        <v>244</v>
      </c>
      <c r="FL173" t="s">
        <v>236</v>
      </c>
      <c r="FM173" t="s">
        <v>236</v>
      </c>
      <c r="FW173" t="s">
        <v>236</v>
      </c>
      <c r="FZ173" t="s">
        <v>236</v>
      </c>
      <c r="GC173" t="s">
        <v>236</v>
      </c>
      <c r="GF173" t="s">
        <v>226</v>
      </c>
      <c r="GG173" t="s">
        <v>226</v>
      </c>
      <c r="GH173" t="s">
        <v>267</v>
      </c>
      <c r="GI173" t="s">
        <v>226</v>
      </c>
      <c r="GJ173" t="s">
        <v>226</v>
      </c>
      <c r="GK173" t="s">
        <v>267</v>
      </c>
      <c r="GL173" t="s">
        <v>236</v>
      </c>
      <c r="GO173" t="s">
        <v>226</v>
      </c>
      <c r="GP173" t="s">
        <v>226</v>
      </c>
      <c r="GQ173" t="s">
        <v>266</v>
      </c>
      <c r="GR173" t="s">
        <v>236</v>
      </c>
      <c r="GU173" t="s">
        <v>236</v>
      </c>
      <c r="GX173" t="s">
        <v>236</v>
      </c>
      <c r="HB173" t="s">
        <v>1392</v>
      </c>
      <c r="HE173">
        <v>82914269</v>
      </c>
      <c r="HF173" t="s">
        <v>1393</v>
      </c>
      <c r="HG173" s="2">
        <v>45752.865185185183</v>
      </c>
      <c r="HJ173" t="s">
        <v>248</v>
      </c>
      <c r="HL173" t="s">
        <v>249</v>
      </c>
      <c r="HN173">
        <v>171</v>
      </c>
    </row>
    <row r="174" spans="1:222" x14ac:dyDescent="0.25">
      <c r="A174" s="2">
        <v>45752.656858657407</v>
      </c>
      <c r="B174" s="2">
        <v>45752.661827418982</v>
      </c>
      <c r="C174" t="s">
        <v>305</v>
      </c>
      <c r="D174">
        <v>256</v>
      </c>
      <c r="E174" s="2">
        <v>45730</v>
      </c>
      <c r="F174">
        <v>5</v>
      </c>
      <c r="G174" t="s">
        <v>503</v>
      </c>
      <c r="H174" t="s">
        <v>223</v>
      </c>
      <c r="I174">
        <v>25</v>
      </c>
      <c r="J174" t="str">
        <f t="shared" si="2"/>
        <v>de 18 a 25 años</v>
      </c>
      <c r="K174" t="s">
        <v>224</v>
      </c>
      <c r="L174">
        <v>1</v>
      </c>
      <c r="M174">
        <v>0</v>
      </c>
      <c r="N174">
        <v>0</v>
      </c>
      <c r="O174">
        <v>0</v>
      </c>
      <c r="P174">
        <v>0</v>
      </c>
      <c r="Q174" t="s">
        <v>225</v>
      </c>
      <c r="R174" t="s">
        <v>226</v>
      </c>
      <c r="T174" t="s">
        <v>284</v>
      </c>
      <c r="V174" t="s">
        <v>252</v>
      </c>
      <c r="W174" t="s">
        <v>229</v>
      </c>
      <c r="X174" t="s">
        <v>230</v>
      </c>
      <c r="Z174" t="s">
        <v>231</v>
      </c>
      <c r="AA174" t="s">
        <v>255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I174" t="s">
        <v>504</v>
      </c>
      <c r="AJ174">
        <v>1</v>
      </c>
      <c r="AK174">
        <v>0</v>
      </c>
      <c r="AL174">
        <v>0</v>
      </c>
      <c r="AM174">
        <v>0</v>
      </c>
      <c r="AN174" t="s">
        <v>300</v>
      </c>
      <c r="AO174" t="s">
        <v>294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X174" t="s">
        <v>236</v>
      </c>
      <c r="AZ174" t="s">
        <v>237</v>
      </c>
      <c r="BA174" t="s">
        <v>505</v>
      </c>
      <c r="BE174" t="s">
        <v>259</v>
      </c>
      <c r="BF174" t="s">
        <v>259</v>
      </c>
      <c r="BG174" t="s">
        <v>237</v>
      </c>
      <c r="BH174" t="s">
        <v>362</v>
      </c>
      <c r="BI174" t="s">
        <v>237</v>
      </c>
      <c r="BJ174" t="s">
        <v>237</v>
      </c>
      <c r="BK174" t="s">
        <v>259</v>
      </c>
      <c r="BL174" t="s">
        <v>262</v>
      </c>
      <c r="BM174" t="s">
        <v>415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 t="s">
        <v>243</v>
      </c>
      <c r="CB174" t="s">
        <v>264</v>
      </c>
      <c r="CC174" t="s">
        <v>264</v>
      </c>
      <c r="CD174" t="s">
        <v>236</v>
      </c>
      <c r="CE174" t="s">
        <v>236</v>
      </c>
      <c r="EA174" t="s">
        <v>236</v>
      </c>
      <c r="EC174" t="s">
        <v>236</v>
      </c>
      <c r="EE174" t="s">
        <v>236</v>
      </c>
      <c r="EG174" t="s">
        <v>236</v>
      </c>
      <c r="EI174" t="s">
        <v>226</v>
      </c>
      <c r="EJ174" t="s">
        <v>244</v>
      </c>
      <c r="EK174" t="s">
        <v>236</v>
      </c>
      <c r="EM174" t="s">
        <v>226</v>
      </c>
      <c r="EN174" t="s">
        <v>245</v>
      </c>
      <c r="EO174" t="s">
        <v>226</v>
      </c>
      <c r="EP174" t="s">
        <v>245</v>
      </c>
      <c r="EQ174" t="s">
        <v>236</v>
      </c>
      <c r="ES174" t="s">
        <v>226</v>
      </c>
      <c r="ET174" t="s">
        <v>245</v>
      </c>
      <c r="EU174" t="s">
        <v>236</v>
      </c>
      <c r="EW174" t="s">
        <v>226</v>
      </c>
      <c r="EX174" t="s">
        <v>244</v>
      </c>
      <c r="EY174" t="s">
        <v>226</v>
      </c>
      <c r="EZ174" t="s">
        <v>245</v>
      </c>
      <c r="FA174" t="s">
        <v>226</v>
      </c>
      <c r="FB174" t="s">
        <v>244</v>
      </c>
      <c r="FC174" t="s">
        <v>236</v>
      </c>
      <c r="FE174" t="s">
        <v>226</v>
      </c>
      <c r="FF174" t="s">
        <v>244</v>
      </c>
      <c r="FG174" t="s">
        <v>236</v>
      </c>
      <c r="FJ174" t="s">
        <v>226</v>
      </c>
      <c r="FK174" t="s">
        <v>245</v>
      </c>
      <c r="FL174" t="s">
        <v>236</v>
      </c>
      <c r="FM174" t="s">
        <v>226</v>
      </c>
      <c r="FN174" t="s">
        <v>416</v>
      </c>
      <c r="FO174">
        <v>0</v>
      </c>
      <c r="FP174">
        <v>1</v>
      </c>
      <c r="FQ174">
        <v>0</v>
      </c>
      <c r="FR174">
        <v>0</v>
      </c>
      <c r="FS174">
        <v>0</v>
      </c>
      <c r="FU174" t="s">
        <v>226</v>
      </c>
      <c r="FW174" t="s">
        <v>226</v>
      </c>
      <c r="FX174" t="s">
        <v>226</v>
      </c>
      <c r="FY174" t="s">
        <v>266</v>
      </c>
      <c r="FZ174" t="s">
        <v>226</v>
      </c>
      <c r="GA174" t="s">
        <v>226</v>
      </c>
      <c r="GB174" t="s">
        <v>266</v>
      </c>
      <c r="GC174" t="s">
        <v>236</v>
      </c>
      <c r="GF174" t="s">
        <v>226</v>
      </c>
      <c r="GG174" t="s">
        <v>226</v>
      </c>
      <c r="GH174" t="s">
        <v>267</v>
      </c>
      <c r="GI174" t="s">
        <v>236</v>
      </c>
      <c r="GL174" t="s">
        <v>236</v>
      </c>
      <c r="GO174" t="s">
        <v>226</v>
      </c>
      <c r="GP174" t="s">
        <v>226</v>
      </c>
      <c r="GQ174" t="s">
        <v>267</v>
      </c>
      <c r="GR174" t="s">
        <v>226</v>
      </c>
      <c r="GS174" t="s">
        <v>226</v>
      </c>
      <c r="GT174" t="s">
        <v>266</v>
      </c>
      <c r="GU174" t="s">
        <v>226</v>
      </c>
      <c r="GV174" t="s">
        <v>226</v>
      </c>
      <c r="GW174" t="s">
        <v>266</v>
      </c>
      <c r="GX174" t="s">
        <v>236</v>
      </c>
      <c r="HB174" t="s">
        <v>280</v>
      </c>
      <c r="HE174">
        <v>82914426</v>
      </c>
      <c r="HF174" t="s">
        <v>506</v>
      </c>
      <c r="HG174" s="2">
        <v>45752.870162037027</v>
      </c>
      <c r="HJ174" t="s">
        <v>248</v>
      </c>
      <c r="HL174" t="s">
        <v>249</v>
      </c>
      <c r="HN174">
        <v>172</v>
      </c>
    </row>
    <row r="175" spans="1:222" x14ac:dyDescent="0.25">
      <c r="A175" s="2">
        <v>45752.661827916672</v>
      </c>
      <c r="B175" s="2">
        <v>45752.666267175933</v>
      </c>
      <c r="C175" t="s">
        <v>305</v>
      </c>
      <c r="D175">
        <v>257</v>
      </c>
      <c r="E175" s="2">
        <v>45730</v>
      </c>
      <c r="F175">
        <v>5</v>
      </c>
      <c r="G175" t="s">
        <v>503</v>
      </c>
      <c r="H175" t="s">
        <v>223</v>
      </c>
      <c r="I175">
        <v>23</v>
      </c>
      <c r="J175" t="str">
        <f t="shared" si="2"/>
        <v>de 18 a 25 años</v>
      </c>
      <c r="K175" t="s">
        <v>224</v>
      </c>
      <c r="L175">
        <v>2</v>
      </c>
      <c r="M175">
        <v>0</v>
      </c>
      <c r="N175">
        <v>0</v>
      </c>
      <c r="O175">
        <v>0</v>
      </c>
      <c r="P175">
        <v>0</v>
      </c>
      <c r="Q175" t="s">
        <v>225</v>
      </c>
      <c r="R175" t="s">
        <v>226</v>
      </c>
      <c r="T175" t="s">
        <v>227</v>
      </c>
      <c r="V175" t="s">
        <v>228</v>
      </c>
      <c r="W175" t="s">
        <v>229</v>
      </c>
      <c r="X175" t="s">
        <v>230</v>
      </c>
      <c r="Z175" t="s">
        <v>351</v>
      </c>
      <c r="AA175" t="s">
        <v>293</v>
      </c>
      <c r="AB175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I175" t="s">
        <v>504</v>
      </c>
      <c r="AJ175">
        <v>1</v>
      </c>
      <c r="AK175">
        <v>0</v>
      </c>
      <c r="AL175">
        <v>0</v>
      </c>
      <c r="AM175">
        <v>0</v>
      </c>
      <c r="AN175" t="s">
        <v>234</v>
      </c>
      <c r="AO175" t="s">
        <v>275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X175" t="s">
        <v>236</v>
      </c>
      <c r="AZ175" t="s">
        <v>362</v>
      </c>
      <c r="BA175" t="s">
        <v>1394</v>
      </c>
      <c r="BB175" t="s">
        <v>1395</v>
      </c>
      <c r="BE175" t="s">
        <v>237</v>
      </c>
      <c r="BF175" t="s">
        <v>362</v>
      </c>
      <c r="BG175" t="s">
        <v>259</v>
      </c>
      <c r="BH175" t="s">
        <v>261</v>
      </c>
      <c r="BI175" t="s">
        <v>237</v>
      </c>
      <c r="BJ175" t="s">
        <v>237</v>
      </c>
      <c r="BK175" t="s">
        <v>259</v>
      </c>
      <c r="BL175" t="s">
        <v>240</v>
      </c>
      <c r="BM175" t="s">
        <v>650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1</v>
      </c>
      <c r="BW175">
        <v>0</v>
      </c>
      <c r="BX175">
        <v>0</v>
      </c>
      <c r="BY175">
        <v>0</v>
      </c>
      <c r="BZ175">
        <v>0</v>
      </c>
      <c r="CA175" t="s">
        <v>264</v>
      </c>
      <c r="CB175" t="s">
        <v>264</v>
      </c>
      <c r="CC175" t="s">
        <v>264</v>
      </c>
      <c r="CD175" t="s">
        <v>236</v>
      </c>
      <c r="CE175" t="s">
        <v>236</v>
      </c>
      <c r="EA175" t="s">
        <v>236</v>
      </c>
      <c r="EC175" t="s">
        <v>236</v>
      </c>
      <c r="EE175" t="s">
        <v>226</v>
      </c>
      <c r="EF175" t="s">
        <v>245</v>
      </c>
      <c r="EG175" t="s">
        <v>226</v>
      </c>
      <c r="EH175" t="s">
        <v>244</v>
      </c>
      <c r="EI175" t="s">
        <v>236</v>
      </c>
      <c r="EK175" t="s">
        <v>226</v>
      </c>
      <c r="EL175" t="s">
        <v>244</v>
      </c>
      <c r="EM175" t="s">
        <v>226</v>
      </c>
      <c r="EN175" t="s">
        <v>245</v>
      </c>
      <c r="EO175" t="s">
        <v>226</v>
      </c>
      <c r="EP175" t="s">
        <v>244</v>
      </c>
      <c r="EQ175" t="s">
        <v>226</v>
      </c>
      <c r="ER175" t="s">
        <v>245</v>
      </c>
      <c r="ES175" t="s">
        <v>226</v>
      </c>
      <c r="ET175" t="s">
        <v>244</v>
      </c>
      <c r="EU175" t="s">
        <v>226</v>
      </c>
      <c r="EV175" t="s">
        <v>245</v>
      </c>
      <c r="EW175" t="s">
        <v>226</v>
      </c>
      <c r="EX175" t="s">
        <v>244</v>
      </c>
      <c r="EY175" t="s">
        <v>226</v>
      </c>
      <c r="EZ175" t="s">
        <v>245</v>
      </c>
      <c r="FA175" t="s">
        <v>226</v>
      </c>
      <c r="FB175" t="s">
        <v>244</v>
      </c>
      <c r="FC175" t="s">
        <v>236</v>
      </c>
      <c r="FE175" t="s">
        <v>236</v>
      </c>
      <c r="FG175" t="s">
        <v>236</v>
      </c>
      <c r="FJ175" t="s">
        <v>226</v>
      </c>
      <c r="FK175" t="s">
        <v>245</v>
      </c>
      <c r="FL175" t="s">
        <v>236</v>
      </c>
      <c r="FM175" t="s">
        <v>236</v>
      </c>
      <c r="FW175" t="s">
        <v>226</v>
      </c>
      <c r="FX175" t="s">
        <v>226</v>
      </c>
      <c r="FY175" t="s">
        <v>266</v>
      </c>
      <c r="FZ175" t="s">
        <v>226</v>
      </c>
      <c r="GA175" t="s">
        <v>226</v>
      </c>
      <c r="GB175" t="s">
        <v>267</v>
      </c>
      <c r="GC175" t="s">
        <v>236</v>
      </c>
      <c r="GF175" t="s">
        <v>226</v>
      </c>
      <c r="GG175" t="s">
        <v>226</v>
      </c>
      <c r="GH175" t="s">
        <v>267</v>
      </c>
      <c r="GI175" t="s">
        <v>236</v>
      </c>
      <c r="GL175" t="s">
        <v>226</v>
      </c>
      <c r="GM175" t="s">
        <v>226</v>
      </c>
      <c r="GN175" t="s">
        <v>266</v>
      </c>
      <c r="GO175" t="s">
        <v>226</v>
      </c>
      <c r="GP175" t="s">
        <v>226</v>
      </c>
      <c r="GQ175" t="s">
        <v>267</v>
      </c>
      <c r="GR175" t="s">
        <v>226</v>
      </c>
      <c r="GS175" t="s">
        <v>226</v>
      </c>
      <c r="GT175" t="s">
        <v>266</v>
      </c>
      <c r="GU175" t="s">
        <v>226</v>
      </c>
      <c r="GV175" t="s">
        <v>226</v>
      </c>
      <c r="GW175" t="s">
        <v>266</v>
      </c>
      <c r="GX175" t="s">
        <v>226</v>
      </c>
      <c r="GY175" t="s">
        <v>226</v>
      </c>
      <c r="GZ175" t="s">
        <v>266</v>
      </c>
      <c r="HB175" t="s">
        <v>1396</v>
      </c>
      <c r="HE175">
        <v>82914635</v>
      </c>
      <c r="HF175" t="s">
        <v>1397</v>
      </c>
      <c r="HG175" s="2">
        <v>45752.874594907407</v>
      </c>
      <c r="HJ175" t="s">
        <v>248</v>
      </c>
      <c r="HL175" t="s">
        <v>249</v>
      </c>
      <c r="HN175">
        <v>173</v>
      </c>
    </row>
    <row r="176" spans="1:222" x14ac:dyDescent="0.25">
      <c r="A176" s="2">
        <v>45752.666267650457</v>
      </c>
      <c r="B176" s="2">
        <v>45752.672984583332</v>
      </c>
      <c r="C176" t="s">
        <v>305</v>
      </c>
      <c r="D176">
        <v>258</v>
      </c>
      <c r="E176" s="2">
        <v>45730</v>
      </c>
      <c r="F176">
        <v>5</v>
      </c>
      <c r="G176" t="s">
        <v>1398</v>
      </c>
      <c r="H176" t="s">
        <v>223</v>
      </c>
      <c r="I176">
        <v>59</v>
      </c>
      <c r="J176" t="str">
        <f t="shared" si="2"/>
        <v>de 56 a más</v>
      </c>
      <c r="K176" t="s">
        <v>341</v>
      </c>
      <c r="L176">
        <v>2</v>
      </c>
      <c r="M176">
        <v>0</v>
      </c>
      <c r="N176">
        <v>0</v>
      </c>
      <c r="O176">
        <v>0</v>
      </c>
      <c r="P176">
        <v>0</v>
      </c>
      <c r="Q176" t="s">
        <v>225</v>
      </c>
      <c r="R176" t="s">
        <v>226</v>
      </c>
      <c r="T176" t="s">
        <v>227</v>
      </c>
      <c r="V176" t="s">
        <v>228</v>
      </c>
      <c r="W176" t="s">
        <v>229</v>
      </c>
      <c r="X176" t="s">
        <v>230</v>
      </c>
      <c r="Z176" t="s">
        <v>273</v>
      </c>
      <c r="AA176" t="s">
        <v>255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I176" t="s">
        <v>504</v>
      </c>
      <c r="AJ176">
        <v>1</v>
      </c>
      <c r="AK176">
        <v>0</v>
      </c>
      <c r="AL176">
        <v>0</v>
      </c>
      <c r="AM176">
        <v>0</v>
      </c>
      <c r="AN176" t="s">
        <v>257</v>
      </c>
      <c r="AO176" t="s">
        <v>235</v>
      </c>
      <c r="AP176">
        <v>0</v>
      </c>
      <c r="AQ176">
        <v>0</v>
      </c>
      <c r="AR176">
        <v>0</v>
      </c>
      <c r="AS176">
        <v>1</v>
      </c>
      <c r="AT176">
        <v>0</v>
      </c>
      <c r="AU176">
        <v>0</v>
      </c>
      <c r="AV176">
        <v>0</v>
      </c>
      <c r="AX176" t="s">
        <v>236</v>
      </c>
      <c r="AZ176" t="s">
        <v>237</v>
      </c>
      <c r="BA176" t="s">
        <v>1399</v>
      </c>
      <c r="BE176" t="s">
        <v>259</v>
      </c>
      <c r="BF176" t="s">
        <v>237</v>
      </c>
      <c r="BG176" t="s">
        <v>259</v>
      </c>
      <c r="BH176" t="s">
        <v>261</v>
      </c>
      <c r="BI176" t="s">
        <v>237</v>
      </c>
      <c r="BJ176" t="s">
        <v>362</v>
      </c>
      <c r="BK176" t="s">
        <v>261</v>
      </c>
      <c r="BL176" t="s">
        <v>313</v>
      </c>
      <c r="BM176" t="s">
        <v>278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 t="s">
        <v>243</v>
      </c>
      <c r="CB176" t="s">
        <v>328</v>
      </c>
      <c r="CC176" t="s">
        <v>243</v>
      </c>
      <c r="CD176" t="s">
        <v>226</v>
      </c>
      <c r="CE176" t="s">
        <v>236</v>
      </c>
      <c r="EA176" t="s">
        <v>226</v>
      </c>
      <c r="EB176" t="s">
        <v>244</v>
      </c>
      <c r="EC176" t="s">
        <v>236</v>
      </c>
      <c r="EE176" t="s">
        <v>226</v>
      </c>
      <c r="EF176" t="s">
        <v>245</v>
      </c>
      <c r="EG176" t="s">
        <v>226</v>
      </c>
      <c r="EH176" t="s">
        <v>244</v>
      </c>
      <c r="EI176" t="s">
        <v>226</v>
      </c>
      <c r="EJ176" t="s">
        <v>245</v>
      </c>
      <c r="EK176" t="s">
        <v>236</v>
      </c>
      <c r="EM176" t="s">
        <v>226</v>
      </c>
      <c r="EN176" t="s">
        <v>244</v>
      </c>
      <c r="EO176" t="s">
        <v>226</v>
      </c>
      <c r="EP176" t="s">
        <v>244</v>
      </c>
      <c r="EQ176" t="s">
        <v>236</v>
      </c>
      <c r="ES176" t="s">
        <v>226</v>
      </c>
      <c r="ET176" t="s">
        <v>244</v>
      </c>
      <c r="EU176" t="s">
        <v>236</v>
      </c>
      <c r="EW176" t="s">
        <v>226</v>
      </c>
      <c r="EX176" t="s">
        <v>245</v>
      </c>
      <c r="EY176" t="s">
        <v>236</v>
      </c>
      <c r="FA176" t="s">
        <v>226</v>
      </c>
      <c r="FB176" t="s">
        <v>245</v>
      </c>
      <c r="FC176" t="s">
        <v>236</v>
      </c>
      <c r="FE176" t="s">
        <v>236</v>
      </c>
      <c r="FG176" t="s">
        <v>236</v>
      </c>
      <c r="FJ176" t="s">
        <v>236</v>
      </c>
      <c r="FM176" t="s">
        <v>236</v>
      </c>
      <c r="FW176" t="s">
        <v>236</v>
      </c>
      <c r="FZ176" t="s">
        <v>236</v>
      </c>
      <c r="GC176" t="s">
        <v>236</v>
      </c>
      <c r="GF176" t="s">
        <v>236</v>
      </c>
      <c r="GI176" t="s">
        <v>236</v>
      </c>
      <c r="GL176" t="s">
        <v>236</v>
      </c>
      <c r="GO176" t="s">
        <v>226</v>
      </c>
      <c r="GP176" t="s">
        <v>226</v>
      </c>
      <c r="GQ176" t="s">
        <v>266</v>
      </c>
      <c r="GR176" t="s">
        <v>226</v>
      </c>
      <c r="GS176" t="s">
        <v>226</v>
      </c>
      <c r="GT176" t="s">
        <v>266</v>
      </c>
      <c r="GU176" t="s">
        <v>236</v>
      </c>
      <c r="GX176" t="s">
        <v>236</v>
      </c>
      <c r="HB176" t="s">
        <v>1400</v>
      </c>
      <c r="HC176" t="s">
        <v>1401</v>
      </c>
      <c r="HE176">
        <v>82914905</v>
      </c>
      <c r="HF176" t="s">
        <v>1402</v>
      </c>
      <c r="HG176" s="2">
        <v>45752.881319444437</v>
      </c>
      <c r="HJ176" t="s">
        <v>248</v>
      </c>
      <c r="HL176" t="s">
        <v>249</v>
      </c>
      <c r="HN176">
        <v>174</v>
      </c>
    </row>
    <row r="177" spans="1:222" x14ac:dyDescent="0.25">
      <c r="A177" s="2">
        <v>45752.672985335637</v>
      </c>
      <c r="B177" s="2">
        <v>45752.684825694443</v>
      </c>
      <c r="C177" t="s">
        <v>305</v>
      </c>
      <c r="D177">
        <v>260</v>
      </c>
      <c r="E177" s="2">
        <v>45730</v>
      </c>
      <c r="F177">
        <v>5</v>
      </c>
      <c r="G177" t="s">
        <v>1398</v>
      </c>
      <c r="H177" t="s">
        <v>223</v>
      </c>
      <c r="I177">
        <v>24</v>
      </c>
      <c r="J177" t="str">
        <f t="shared" si="2"/>
        <v>de 18 a 25 años</v>
      </c>
      <c r="K177" t="s">
        <v>224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225</v>
      </c>
      <c r="R177" t="s">
        <v>226</v>
      </c>
      <c r="T177" t="s">
        <v>227</v>
      </c>
      <c r="V177" t="s">
        <v>252</v>
      </c>
      <c r="W177" t="s">
        <v>229</v>
      </c>
      <c r="X177" t="s">
        <v>230</v>
      </c>
      <c r="Z177" t="s">
        <v>254</v>
      </c>
      <c r="AA177" t="s">
        <v>255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I177" t="s">
        <v>504</v>
      </c>
      <c r="AJ177">
        <v>1</v>
      </c>
      <c r="AK177">
        <v>0</v>
      </c>
      <c r="AL177">
        <v>0</v>
      </c>
      <c r="AM177">
        <v>0</v>
      </c>
      <c r="AN177" t="s">
        <v>274</v>
      </c>
      <c r="AO177" t="s">
        <v>382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0</v>
      </c>
      <c r="AX177" t="s">
        <v>236</v>
      </c>
      <c r="AZ177" t="s">
        <v>259</v>
      </c>
      <c r="BA177" t="s">
        <v>1407</v>
      </c>
      <c r="BE177" t="s">
        <v>259</v>
      </c>
      <c r="BF177" t="s">
        <v>237</v>
      </c>
      <c r="BG177" t="s">
        <v>237</v>
      </c>
      <c r="BH177" t="s">
        <v>237</v>
      </c>
      <c r="BI177" t="s">
        <v>259</v>
      </c>
      <c r="BJ177" t="s">
        <v>237</v>
      </c>
      <c r="BK177" t="s">
        <v>362</v>
      </c>
      <c r="BL177" t="s">
        <v>240</v>
      </c>
      <c r="BM177" t="s">
        <v>296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 t="s">
        <v>264</v>
      </c>
      <c r="CB177" t="s">
        <v>243</v>
      </c>
      <c r="CC177" t="s">
        <v>264</v>
      </c>
      <c r="CD177" t="s">
        <v>226</v>
      </c>
      <c r="CE177" t="s">
        <v>236</v>
      </c>
      <c r="EA177" t="s">
        <v>236</v>
      </c>
      <c r="EC177" t="s">
        <v>226</v>
      </c>
      <c r="ED177" t="s">
        <v>245</v>
      </c>
      <c r="EE177" t="s">
        <v>226</v>
      </c>
      <c r="EF177" t="s">
        <v>245</v>
      </c>
      <c r="EG177" t="s">
        <v>226</v>
      </c>
      <c r="EH177" t="s">
        <v>244</v>
      </c>
      <c r="EI177" t="s">
        <v>226</v>
      </c>
      <c r="EJ177" t="s">
        <v>245</v>
      </c>
      <c r="EK177" t="s">
        <v>236</v>
      </c>
      <c r="EM177" t="s">
        <v>226</v>
      </c>
      <c r="EN177" t="s">
        <v>265</v>
      </c>
      <c r="EO177" t="s">
        <v>226</v>
      </c>
      <c r="EP177" t="s">
        <v>244</v>
      </c>
      <c r="EQ177" t="s">
        <v>226</v>
      </c>
      <c r="ER177" t="s">
        <v>244</v>
      </c>
      <c r="ES177" t="s">
        <v>226</v>
      </c>
      <c r="ET177" t="s">
        <v>245</v>
      </c>
      <c r="EU177" t="s">
        <v>236</v>
      </c>
      <c r="EW177" t="s">
        <v>226</v>
      </c>
      <c r="EX177" t="s">
        <v>244</v>
      </c>
      <c r="EY177" t="s">
        <v>226</v>
      </c>
      <c r="EZ177" t="s">
        <v>244</v>
      </c>
      <c r="FA177" t="s">
        <v>226</v>
      </c>
      <c r="FB177" t="s">
        <v>244</v>
      </c>
      <c r="FC177" t="s">
        <v>236</v>
      </c>
      <c r="FE177" t="s">
        <v>226</v>
      </c>
      <c r="FF177" t="s">
        <v>244</v>
      </c>
      <c r="FG177" t="s">
        <v>236</v>
      </c>
      <c r="FJ177" t="s">
        <v>226</v>
      </c>
      <c r="FK177" t="s">
        <v>265</v>
      </c>
      <c r="FL177" t="s">
        <v>236</v>
      </c>
      <c r="FM177" t="s">
        <v>236</v>
      </c>
      <c r="FW177" t="s">
        <v>236</v>
      </c>
      <c r="FZ177" t="s">
        <v>226</v>
      </c>
      <c r="GA177" t="s">
        <v>226</v>
      </c>
      <c r="GB177" t="s">
        <v>267</v>
      </c>
      <c r="GC177" t="s">
        <v>236</v>
      </c>
      <c r="GF177" t="s">
        <v>226</v>
      </c>
      <c r="GG177" t="s">
        <v>226</v>
      </c>
      <c r="GH177" t="s">
        <v>266</v>
      </c>
      <c r="GI177" t="s">
        <v>236</v>
      </c>
      <c r="GL177" t="s">
        <v>236</v>
      </c>
      <c r="GO177" t="s">
        <v>226</v>
      </c>
      <c r="GP177" t="s">
        <v>226</v>
      </c>
      <c r="GQ177" t="s">
        <v>267</v>
      </c>
      <c r="GR177" t="s">
        <v>226</v>
      </c>
      <c r="GS177" t="s">
        <v>226</v>
      </c>
      <c r="GT177" t="s">
        <v>267</v>
      </c>
      <c r="GU177" t="s">
        <v>226</v>
      </c>
      <c r="GV177" t="s">
        <v>226</v>
      </c>
      <c r="GW177" t="s">
        <v>266</v>
      </c>
      <c r="GX177" t="s">
        <v>236</v>
      </c>
      <c r="HB177" t="s">
        <v>1408</v>
      </c>
      <c r="HE177">
        <v>82915290</v>
      </c>
      <c r="HF177" t="s">
        <v>1409</v>
      </c>
      <c r="HG177" s="2">
        <v>45752.893159722233</v>
      </c>
      <c r="HJ177" t="s">
        <v>248</v>
      </c>
      <c r="HL177" t="s">
        <v>249</v>
      </c>
      <c r="HN177">
        <v>175</v>
      </c>
    </row>
    <row r="178" spans="1:222" x14ac:dyDescent="0.25">
      <c r="A178" s="2">
        <v>45752.684826180557</v>
      </c>
      <c r="B178" s="2">
        <v>45752.687319652781</v>
      </c>
      <c r="C178" t="s">
        <v>305</v>
      </c>
      <c r="D178">
        <v>261</v>
      </c>
      <c r="E178" s="2">
        <v>45730</v>
      </c>
      <c r="F178">
        <v>5</v>
      </c>
      <c r="G178" t="s">
        <v>1398</v>
      </c>
      <c r="H178" t="s">
        <v>223</v>
      </c>
      <c r="I178">
        <v>50</v>
      </c>
      <c r="J178" t="str">
        <f t="shared" si="2"/>
        <v>de 41 a 55 años</v>
      </c>
      <c r="K178" t="s">
        <v>341</v>
      </c>
      <c r="L178">
        <v>2</v>
      </c>
      <c r="M178">
        <v>0</v>
      </c>
      <c r="N178">
        <v>0</v>
      </c>
      <c r="O178">
        <v>0</v>
      </c>
      <c r="P178">
        <v>0</v>
      </c>
      <c r="Q178" t="s">
        <v>291</v>
      </c>
      <c r="R178" t="s">
        <v>226</v>
      </c>
      <c r="T178" t="s">
        <v>227</v>
      </c>
      <c r="V178" t="s">
        <v>252</v>
      </c>
      <c r="W178" t="s">
        <v>229</v>
      </c>
      <c r="X178" t="s">
        <v>230</v>
      </c>
      <c r="Z178" t="s">
        <v>231</v>
      </c>
      <c r="AA178" t="s">
        <v>255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I178" t="s">
        <v>504</v>
      </c>
      <c r="AJ178">
        <v>1</v>
      </c>
      <c r="AK178">
        <v>0</v>
      </c>
      <c r="AL178">
        <v>0</v>
      </c>
      <c r="AM178">
        <v>0</v>
      </c>
      <c r="AN178" t="s">
        <v>257</v>
      </c>
      <c r="AO178" t="s">
        <v>235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X178" t="s">
        <v>236</v>
      </c>
      <c r="AZ178" t="s">
        <v>259</v>
      </c>
      <c r="BA178" t="s">
        <v>431</v>
      </c>
      <c r="BE178" t="s">
        <v>259</v>
      </c>
      <c r="BF178" t="s">
        <v>259</v>
      </c>
      <c r="BG178" t="s">
        <v>259</v>
      </c>
      <c r="BH178" t="s">
        <v>237</v>
      </c>
      <c r="BI178" t="s">
        <v>237</v>
      </c>
      <c r="BJ178" t="s">
        <v>237</v>
      </c>
      <c r="BK178" t="s">
        <v>362</v>
      </c>
      <c r="BL178" t="s">
        <v>262</v>
      </c>
      <c r="BM178" t="s">
        <v>278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 t="s">
        <v>264</v>
      </c>
      <c r="CB178" t="s">
        <v>264</v>
      </c>
      <c r="CC178" t="s">
        <v>243</v>
      </c>
      <c r="CD178" t="s">
        <v>226</v>
      </c>
      <c r="CE178" t="s">
        <v>236</v>
      </c>
      <c r="EA178" t="s">
        <v>236</v>
      </c>
      <c r="EC178" t="s">
        <v>236</v>
      </c>
      <c r="EE178" t="s">
        <v>236</v>
      </c>
      <c r="EG178" t="s">
        <v>236</v>
      </c>
      <c r="EI178" t="s">
        <v>226</v>
      </c>
      <c r="EJ178" t="s">
        <v>244</v>
      </c>
      <c r="EK178" t="s">
        <v>236</v>
      </c>
      <c r="EM178" t="s">
        <v>226</v>
      </c>
      <c r="EN178" t="s">
        <v>245</v>
      </c>
      <c r="EO178" t="s">
        <v>236</v>
      </c>
      <c r="EQ178" t="s">
        <v>236</v>
      </c>
      <c r="ES178" t="s">
        <v>236</v>
      </c>
      <c r="EU178" t="s">
        <v>236</v>
      </c>
      <c r="EW178" t="s">
        <v>236</v>
      </c>
      <c r="EY178" t="s">
        <v>236</v>
      </c>
      <c r="FA178" t="s">
        <v>226</v>
      </c>
      <c r="FB178" t="s">
        <v>245</v>
      </c>
      <c r="FC178" t="s">
        <v>236</v>
      </c>
      <c r="FE178" t="s">
        <v>236</v>
      </c>
      <c r="FG178" t="s">
        <v>236</v>
      </c>
      <c r="FJ178" t="s">
        <v>226</v>
      </c>
      <c r="FK178" t="s">
        <v>245</v>
      </c>
      <c r="FL178" t="s">
        <v>236</v>
      </c>
      <c r="FM178" t="s">
        <v>236</v>
      </c>
      <c r="FW178" t="s">
        <v>236</v>
      </c>
      <c r="FZ178" t="s">
        <v>236</v>
      </c>
      <c r="GC178" t="s">
        <v>236</v>
      </c>
      <c r="GF178" t="s">
        <v>236</v>
      </c>
      <c r="GI178" t="s">
        <v>236</v>
      </c>
      <c r="GL178" t="s">
        <v>236</v>
      </c>
      <c r="GO178" t="s">
        <v>226</v>
      </c>
      <c r="GP178" t="s">
        <v>226</v>
      </c>
      <c r="GQ178" t="s">
        <v>267</v>
      </c>
      <c r="GR178" t="s">
        <v>236</v>
      </c>
      <c r="GU178" t="s">
        <v>236</v>
      </c>
      <c r="GX178" t="s">
        <v>236</v>
      </c>
      <c r="HB178" t="s">
        <v>734</v>
      </c>
      <c r="HE178">
        <v>82915452</v>
      </c>
      <c r="HF178" t="s">
        <v>1410</v>
      </c>
      <c r="HG178" s="2">
        <v>45752.895648148151</v>
      </c>
      <c r="HJ178" t="s">
        <v>248</v>
      </c>
      <c r="HL178" t="s">
        <v>249</v>
      </c>
      <c r="HN178">
        <v>176</v>
      </c>
    </row>
    <row r="179" spans="1:222" x14ac:dyDescent="0.25">
      <c r="A179" s="2">
        <v>45752.687320127312</v>
      </c>
      <c r="B179" s="2">
        <v>45752.725330011577</v>
      </c>
      <c r="C179" t="s">
        <v>305</v>
      </c>
      <c r="D179">
        <v>262</v>
      </c>
      <c r="E179" s="2">
        <v>45730</v>
      </c>
      <c r="F179">
        <v>5</v>
      </c>
      <c r="G179" t="s">
        <v>1398</v>
      </c>
      <c r="H179" t="s">
        <v>223</v>
      </c>
      <c r="I179">
        <v>24</v>
      </c>
      <c r="J179" t="str">
        <f t="shared" si="2"/>
        <v>de 18 a 25 años</v>
      </c>
      <c r="K179" t="s">
        <v>224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291</v>
      </c>
      <c r="R179" t="s">
        <v>226</v>
      </c>
      <c r="T179" t="s">
        <v>227</v>
      </c>
      <c r="V179" t="s">
        <v>228</v>
      </c>
      <c r="W179" t="s">
        <v>229</v>
      </c>
      <c r="X179" t="s">
        <v>230</v>
      </c>
      <c r="Z179" t="s">
        <v>254</v>
      </c>
      <c r="AA179" t="s">
        <v>255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I179" t="s">
        <v>256</v>
      </c>
      <c r="AJ179">
        <v>0</v>
      </c>
      <c r="AK179">
        <v>0</v>
      </c>
      <c r="AL179">
        <v>1</v>
      </c>
      <c r="AM179">
        <v>0</v>
      </c>
      <c r="AN179" t="s">
        <v>257</v>
      </c>
      <c r="AO179" t="s">
        <v>275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X179" t="s">
        <v>236</v>
      </c>
      <c r="AZ179" t="s">
        <v>237</v>
      </c>
      <c r="BA179" t="s">
        <v>1411</v>
      </c>
      <c r="BE179" t="s">
        <v>237</v>
      </c>
      <c r="BF179" t="s">
        <v>259</v>
      </c>
      <c r="BG179" t="s">
        <v>237</v>
      </c>
      <c r="BH179" t="s">
        <v>237</v>
      </c>
      <c r="BI179" t="s">
        <v>259</v>
      </c>
      <c r="BJ179" t="s">
        <v>259</v>
      </c>
      <c r="BK179" t="s">
        <v>237</v>
      </c>
      <c r="BL179" t="s">
        <v>262</v>
      </c>
      <c r="BM179" t="s">
        <v>278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1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 t="s">
        <v>264</v>
      </c>
      <c r="CB179" t="s">
        <v>264</v>
      </c>
      <c r="CC179" t="s">
        <v>264</v>
      </c>
      <c r="CD179" t="s">
        <v>236</v>
      </c>
      <c r="CE179" t="s">
        <v>236</v>
      </c>
      <c r="EA179" t="s">
        <v>236</v>
      </c>
      <c r="EC179" t="s">
        <v>236</v>
      </c>
      <c r="EE179" t="s">
        <v>226</v>
      </c>
      <c r="EF179" t="s">
        <v>265</v>
      </c>
      <c r="EG179" t="s">
        <v>226</v>
      </c>
      <c r="EH179" t="s">
        <v>265</v>
      </c>
      <c r="EI179" t="s">
        <v>236</v>
      </c>
      <c r="EK179" t="s">
        <v>236</v>
      </c>
      <c r="EM179" t="s">
        <v>226</v>
      </c>
      <c r="EN179" t="s">
        <v>265</v>
      </c>
      <c r="EO179" t="s">
        <v>236</v>
      </c>
      <c r="EQ179" t="s">
        <v>236</v>
      </c>
      <c r="ES179" t="s">
        <v>236</v>
      </c>
      <c r="EU179" t="s">
        <v>236</v>
      </c>
      <c r="EW179" t="s">
        <v>236</v>
      </c>
      <c r="EY179" t="s">
        <v>226</v>
      </c>
      <c r="EZ179" t="s">
        <v>245</v>
      </c>
      <c r="FA179" t="s">
        <v>236</v>
      </c>
      <c r="FC179" t="s">
        <v>236</v>
      </c>
      <c r="FE179" t="s">
        <v>236</v>
      </c>
      <c r="FG179" t="s">
        <v>236</v>
      </c>
      <c r="FJ179" t="s">
        <v>226</v>
      </c>
      <c r="FK179" t="s">
        <v>244</v>
      </c>
      <c r="FL179" t="s">
        <v>236</v>
      </c>
      <c r="FM179" t="s">
        <v>236</v>
      </c>
      <c r="FW179" t="s">
        <v>236</v>
      </c>
      <c r="FZ179" t="s">
        <v>236</v>
      </c>
      <c r="GC179" t="s">
        <v>236</v>
      </c>
      <c r="GF179" t="s">
        <v>226</v>
      </c>
      <c r="GG179" t="s">
        <v>226</v>
      </c>
      <c r="GH179" t="s">
        <v>266</v>
      </c>
      <c r="GI179" t="s">
        <v>236</v>
      </c>
      <c r="GL179" t="s">
        <v>226</v>
      </c>
      <c r="GM179" t="s">
        <v>236</v>
      </c>
      <c r="GO179" t="s">
        <v>226</v>
      </c>
      <c r="GP179" t="s">
        <v>226</v>
      </c>
      <c r="GQ179" t="s">
        <v>266</v>
      </c>
      <c r="GR179" t="s">
        <v>226</v>
      </c>
      <c r="GS179" t="s">
        <v>226</v>
      </c>
      <c r="GT179" t="s">
        <v>267</v>
      </c>
      <c r="GU179" t="s">
        <v>236</v>
      </c>
      <c r="GX179" t="s">
        <v>236</v>
      </c>
      <c r="HB179" t="s">
        <v>288</v>
      </c>
      <c r="HE179">
        <v>82918401</v>
      </c>
      <c r="HF179" t="s">
        <v>1412</v>
      </c>
      <c r="HG179" s="2">
        <v>45752.933668981481</v>
      </c>
      <c r="HJ179" t="s">
        <v>248</v>
      </c>
      <c r="HL179" t="s">
        <v>249</v>
      </c>
      <c r="HN179">
        <v>177</v>
      </c>
    </row>
    <row r="180" spans="1:222" x14ac:dyDescent="0.25">
      <c r="A180" s="2">
        <v>45752.725330555557</v>
      </c>
      <c r="B180" s="2">
        <v>45752.727570289353</v>
      </c>
      <c r="C180" t="s">
        <v>305</v>
      </c>
      <c r="D180">
        <v>263</v>
      </c>
      <c r="E180" s="2">
        <v>45730</v>
      </c>
      <c r="F180">
        <v>5</v>
      </c>
      <c r="G180" t="s">
        <v>1398</v>
      </c>
      <c r="H180" t="s">
        <v>223</v>
      </c>
      <c r="I180">
        <v>69</v>
      </c>
      <c r="J180" t="str">
        <f t="shared" si="2"/>
        <v>de 56 a más</v>
      </c>
      <c r="K180" t="s">
        <v>224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291</v>
      </c>
      <c r="R180" t="s">
        <v>226</v>
      </c>
      <c r="T180" t="s">
        <v>227</v>
      </c>
      <c r="V180" t="s">
        <v>228</v>
      </c>
      <c r="W180" t="s">
        <v>229</v>
      </c>
      <c r="X180" t="s">
        <v>368</v>
      </c>
      <c r="Z180" t="s">
        <v>231</v>
      </c>
      <c r="AA180" t="s">
        <v>255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I180" t="s">
        <v>256</v>
      </c>
      <c r="AJ180">
        <v>0</v>
      </c>
      <c r="AK180">
        <v>0</v>
      </c>
      <c r="AL180">
        <v>1</v>
      </c>
      <c r="AM180">
        <v>0</v>
      </c>
      <c r="AN180" t="s">
        <v>257</v>
      </c>
      <c r="AO180" t="s">
        <v>235</v>
      </c>
      <c r="AP180">
        <v>0</v>
      </c>
      <c r="AQ180">
        <v>0</v>
      </c>
      <c r="AR180">
        <v>0</v>
      </c>
      <c r="AS180">
        <v>1</v>
      </c>
      <c r="AT180">
        <v>0</v>
      </c>
      <c r="AU180">
        <v>0</v>
      </c>
      <c r="AV180">
        <v>0</v>
      </c>
      <c r="AX180" t="s">
        <v>236</v>
      </c>
      <c r="AZ180" t="s">
        <v>237</v>
      </c>
      <c r="BA180" t="s">
        <v>1413</v>
      </c>
      <c r="BE180" t="s">
        <v>237</v>
      </c>
      <c r="BF180" t="s">
        <v>259</v>
      </c>
      <c r="BG180" t="s">
        <v>237</v>
      </c>
      <c r="BH180" t="s">
        <v>259</v>
      </c>
      <c r="BI180" t="s">
        <v>259</v>
      </c>
      <c r="BJ180" t="s">
        <v>237</v>
      </c>
      <c r="BK180" t="s">
        <v>259</v>
      </c>
      <c r="BL180" t="s">
        <v>262</v>
      </c>
      <c r="BM180" t="s">
        <v>296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 t="s">
        <v>264</v>
      </c>
      <c r="CB180" t="s">
        <v>328</v>
      </c>
      <c r="CC180" t="s">
        <v>328</v>
      </c>
      <c r="CD180" t="s">
        <v>236</v>
      </c>
      <c r="CE180" t="s">
        <v>236</v>
      </c>
      <c r="EA180" t="s">
        <v>226</v>
      </c>
      <c r="EB180" t="s">
        <v>244</v>
      </c>
      <c r="EC180" t="s">
        <v>236</v>
      </c>
      <c r="EE180" t="s">
        <v>226</v>
      </c>
      <c r="EF180" t="s">
        <v>244</v>
      </c>
      <c r="EG180" t="s">
        <v>226</v>
      </c>
      <c r="EH180" t="s">
        <v>244</v>
      </c>
      <c r="EI180" t="s">
        <v>236</v>
      </c>
      <c r="EK180" t="s">
        <v>236</v>
      </c>
      <c r="EM180" t="s">
        <v>226</v>
      </c>
      <c r="EN180" t="s">
        <v>245</v>
      </c>
      <c r="EO180" t="s">
        <v>226</v>
      </c>
      <c r="EP180" t="s">
        <v>244</v>
      </c>
      <c r="EQ180" t="s">
        <v>226</v>
      </c>
      <c r="ER180" t="s">
        <v>244</v>
      </c>
      <c r="ES180" t="s">
        <v>236</v>
      </c>
      <c r="EU180" t="s">
        <v>236</v>
      </c>
      <c r="EW180" t="s">
        <v>226</v>
      </c>
      <c r="EX180" t="s">
        <v>244</v>
      </c>
      <c r="EY180" t="s">
        <v>226</v>
      </c>
      <c r="EZ180" t="s">
        <v>244</v>
      </c>
      <c r="FA180" t="s">
        <v>236</v>
      </c>
      <c r="FC180" t="s">
        <v>236</v>
      </c>
      <c r="FE180" t="s">
        <v>226</v>
      </c>
      <c r="FF180" t="s">
        <v>244</v>
      </c>
      <c r="FG180" t="s">
        <v>236</v>
      </c>
      <c r="FJ180" t="s">
        <v>226</v>
      </c>
      <c r="FK180" t="s">
        <v>245</v>
      </c>
      <c r="FL180" t="s">
        <v>236</v>
      </c>
      <c r="FM180" t="s">
        <v>236</v>
      </c>
      <c r="FW180" t="s">
        <v>236</v>
      </c>
      <c r="FZ180" t="s">
        <v>236</v>
      </c>
      <c r="GC180" t="s">
        <v>236</v>
      </c>
      <c r="GF180" t="s">
        <v>236</v>
      </c>
      <c r="GI180" t="s">
        <v>236</v>
      </c>
      <c r="GL180" t="s">
        <v>236</v>
      </c>
      <c r="GO180" t="s">
        <v>226</v>
      </c>
      <c r="GP180" t="s">
        <v>226</v>
      </c>
      <c r="GQ180" t="s">
        <v>267</v>
      </c>
      <c r="GR180" t="s">
        <v>236</v>
      </c>
      <c r="GU180" t="s">
        <v>236</v>
      </c>
      <c r="GX180" t="s">
        <v>236</v>
      </c>
      <c r="HB180" t="s">
        <v>303</v>
      </c>
      <c r="HE180">
        <v>82918489</v>
      </c>
      <c r="HF180" t="s">
        <v>1414</v>
      </c>
      <c r="HG180" s="2">
        <v>45752.935902777783</v>
      </c>
      <c r="HJ180" t="s">
        <v>248</v>
      </c>
      <c r="HL180" t="s">
        <v>249</v>
      </c>
      <c r="HN180">
        <v>178</v>
      </c>
    </row>
    <row r="181" spans="1:222" x14ac:dyDescent="0.25">
      <c r="A181" s="2">
        <v>45752.727570787043</v>
      </c>
      <c r="B181" s="2">
        <v>45752.730050358798</v>
      </c>
      <c r="C181" t="s">
        <v>305</v>
      </c>
      <c r="D181">
        <v>264</v>
      </c>
      <c r="E181" s="2">
        <v>45730</v>
      </c>
      <c r="F181">
        <v>5</v>
      </c>
      <c r="G181" t="s">
        <v>380</v>
      </c>
      <c r="H181" t="s">
        <v>223</v>
      </c>
      <c r="I181">
        <v>54</v>
      </c>
      <c r="J181" t="str">
        <f t="shared" si="2"/>
        <v>de 41 a 55 años</v>
      </c>
      <c r="K181" t="s">
        <v>341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291</v>
      </c>
      <c r="R181" t="s">
        <v>226</v>
      </c>
      <c r="T181" t="s">
        <v>227</v>
      </c>
      <c r="V181" t="s">
        <v>612</v>
      </c>
      <c r="W181" t="s">
        <v>229</v>
      </c>
      <c r="X181" t="s">
        <v>350</v>
      </c>
      <c r="Z181" t="s">
        <v>351</v>
      </c>
      <c r="AA181" t="s">
        <v>255</v>
      </c>
      <c r="AB181">
        <v>0</v>
      </c>
      <c r="AC181">
        <v>0</v>
      </c>
      <c r="AD181">
        <v>0</v>
      </c>
      <c r="AE181">
        <v>1</v>
      </c>
      <c r="AF181">
        <v>0</v>
      </c>
      <c r="AG181">
        <v>0</v>
      </c>
      <c r="AI181" t="s">
        <v>233</v>
      </c>
      <c r="AJ181">
        <v>0</v>
      </c>
      <c r="AK181">
        <v>1</v>
      </c>
      <c r="AL181">
        <v>0</v>
      </c>
      <c r="AM181">
        <v>0</v>
      </c>
      <c r="AN181" t="s">
        <v>257</v>
      </c>
      <c r="AO181" t="s">
        <v>353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0</v>
      </c>
      <c r="AV181">
        <v>0</v>
      </c>
      <c r="AX181" t="s">
        <v>226</v>
      </c>
      <c r="AY181" t="s">
        <v>236</v>
      </c>
      <c r="AZ181" t="s">
        <v>237</v>
      </c>
      <c r="BA181" t="s">
        <v>1415</v>
      </c>
      <c r="BE181" t="s">
        <v>259</v>
      </c>
      <c r="BF181" t="s">
        <v>261</v>
      </c>
      <c r="BG181" t="s">
        <v>261</v>
      </c>
      <c r="BH181" t="s">
        <v>259</v>
      </c>
      <c r="BI181" t="s">
        <v>237</v>
      </c>
      <c r="BJ181" t="s">
        <v>237</v>
      </c>
      <c r="BK181" t="s">
        <v>237</v>
      </c>
      <c r="BL181" t="s">
        <v>240</v>
      </c>
      <c r="BM181" t="s">
        <v>372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1</v>
      </c>
      <c r="CA181" t="s">
        <v>242</v>
      </c>
      <c r="CB181" t="s">
        <v>243</v>
      </c>
      <c r="CC181" t="s">
        <v>264</v>
      </c>
      <c r="CD181" t="s">
        <v>236</v>
      </c>
      <c r="CE181" t="s">
        <v>236</v>
      </c>
      <c r="EA181" t="s">
        <v>236</v>
      </c>
      <c r="EC181" t="s">
        <v>226</v>
      </c>
      <c r="ED181" t="s">
        <v>245</v>
      </c>
      <c r="EE181" t="s">
        <v>226</v>
      </c>
      <c r="EF181" t="s">
        <v>245</v>
      </c>
      <c r="EG181" t="s">
        <v>226</v>
      </c>
      <c r="EH181" t="s">
        <v>245</v>
      </c>
      <c r="EI181" t="s">
        <v>226</v>
      </c>
      <c r="EJ181" t="s">
        <v>245</v>
      </c>
      <c r="EK181" t="s">
        <v>236</v>
      </c>
      <c r="EM181" t="s">
        <v>236</v>
      </c>
      <c r="EO181" t="s">
        <v>236</v>
      </c>
      <c r="EQ181" t="s">
        <v>236</v>
      </c>
      <c r="ES181" t="s">
        <v>226</v>
      </c>
      <c r="ET181" t="s">
        <v>244</v>
      </c>
      <c r="EU181" t="s">
        <v>226</v>
      </c>
      <c r="EV181" t="s">
        <v>244</v>
      </c>
      <c r="EW181" t="s">
        <v>236</v>
      </c>
      <c r="EY181" t="s">
        <v>236</v>
      </c>
      <c r="FA181" t="s">
        <v>236</v>
      </c>
      <c r="FC181" t="s">
        <v>236</v>
      </c>
      <c r="FE181" t="s">
        <v>236</v>
      </c>
      <c r="FG181" t="s">
        <v>236</v>
      </c>
      <c r="FJ181" t="s">
        <v>226</v>
      </c>
      <c r="FK181" t="s">
        <v>245</v>
      </c>
      <c r="FL181" t="s">
        <v>236</v>
      </c>
      <c r="FM181" t="s">
        <v>236</v>
      </c>
      <c r="FW181" t="s">
        <v>226</v>
      </c>
      <c r="FX181" t="s">
        <v>226</v>
      </c>
      <c r="FY181" t="s">
        <v>266</v>
      </c>
      <c r="FZ181" t="s">
        <v>236</v>
      </c>
      <c r="GC181" t="s">
        <v>236</v>
      </c>
      <c r="GF181" t="s">
        <v>236</v>
      </c>
      <c r="GI181" t="s">
        <v>236</v>
      </c>
      <c r="GL181" t="s">
        <v>236</v>
      </c>
      <c r="GO181" t="s">
        <v>236</v>
      </c>
      <c r="GR181" t="s">
        <v>236</v>
      </c>
      <c r="GU181" t="s">
        <v>236</v>
      </c>
      <c r="GX181" t="s">
        <v>236</v>
      </c>
      <c r="HB181" t="s">
        <v>1416</v>
      </c>
      <c r="HE181">
        <v>82918606</v>
      </c>
      <c r="HF181" t="s">
        <v>1417</v>
      </c>
      <c r="HG181" s="2">
        <v>45752.938379629632</v>
      </c>
      <c r="HJ181" t="s">
        <v>248</v>
      </c>
      <c r="HL181" t="s">
        <v>249</v>
      </c>
      <c r="HN181">
        <v>179</v>
      </c>
    </row>
    <row r="182" spans="1:222" x14ac:dyDescent="0.25">
      <c r="A182" s="2">
        <v>45752.73005085648</v>
      </c>
      <c r="B182" s="2">
        <v>45752.734349004633</v>
      </c>
      <c r="C182" t="s">
        <v>305</v>
      </c>
      <c r="D182">
        <v>267</v>
      </c>
      <c r="E182" s="2">
        <v>45730</v>
      </c>
      <c r="F182">
        <v>5</v>
      </c>
      <c r="G182" t="s">
        <v>380</v>
      </c>
      <c r="H182" t="s">
        <v>223</v>
      </c>
      <c r="I182">
        <v>45</v>
      </c>
      <c r="J182" t="str">
        <f t="shared" si="2"/>
        <v>de 41 a 55 años</v>
      </c>
      <c r="K182" t="s">
        <v>341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225</v>
      </c>
      <c r="R182" t="s">
        <v>226</v>
      </c>
      <c r="T182" t="s">
        <v>284</v>
      </c>
      <c r="V182" t="s">
        <v>612</v>
      </c>
      <c r="W182" t="s">
        <v>229</v>
      </c>
      <c r="X182" t="s">
        <v>230</v>
      </c>
      <c r="Z182" t="s">
        <v>254</v>
      </c>
      <c r="AA182" t="s">
        <v>616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 t="s">
        <v>1424</v>
      </c>
      <c r="AI182" t="s">
        <v>504</v>
      </c>
      <c r="AJ182">
        <v>1</v>
      </c>
      <c r="AK182">
        <v>0</v>
      </c>
      <c r="AL182">
        <v>0</v>
      </c>
      <c r="AM182">
        <v>0</v>
      </c>
      <c r="AN182" t="s">
        <v>274</v>
      </c>
      <c r="AO182" t="s">
        <v>382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0</v>
      </c>
      <c r="AX182" t="s">
        <v>226</v>
      </c>
      <c r="AY182" t="s">
        <v>226</v>
      </c>
      <c r="AZ182" t="s">
        <v>237</v>
      </c>
      <c r="BA182" t="s">
        <v>1419</v>
      </c>
      <c r="BE182" t="s">
        <v>259</v>
      </c>
      <c r="BF182" t="s">
        <v>237</v>
      </c>
      <c r="BG182" t="s">
        <v>362</v>
      </c>
      <c r="BH182" t="s">
        <v>259</v>
      </c>
      <c r="BI182" t="s">
        <v>237</v>
      </c>
      <c r="BJ182" t="s">
        <v>237</v>
      </c>
      <c r="BK182" t="s">
        <v>259</v>
      </c>
      <c r="BL182" t="s">
        <v>262</v>
      </c>
      <c r="BM182" t="s">
        <v>278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 t="s">
        <v>264</v>
      </c>
      <c r="CB182" t="s">
        <v>243</v>
      </c>
      <c r="CC182" t="s">
        <v>264</v>
      </c>
      <c r="CD182" t="s">
        <v>236</v>
      </c>
      <c r="CE182" t="s">
        <v>236</v>
      </c>
      <c r="EA182" t="s">
        <v>236</v>
      </c>
      <c r="EC182" t="s">
        <v>226</v>
      </c>
      <c r="ED182" t="s">
        <v>245</v>
      </c>
      <c r="EE182" t="s">
        <v>226</v>
      </c>
      <c r="EF182" t="s">
        <v>245</v>
      </c>
      <c r="EG182" t="s">
        <v>226</v>
      </c>
      <c r="EH182" t="s">
        <v>245</v>
      </c>
      <c r="EI182" t="s">
        <v>226</v>
      </c>
      <c r="EJ182" t="s">
        <v>245</v>
      </c>
      <c r="EK182" t="s">
        <v>226</v>
      </c>
      <c r="EL182" t="s">
        <v>244</v>
      </c>
      <c r="EM182" t="s">
        <v>226</v>
      </c>
      <c r="EN182" t="s">
        <v>245</v>
      </c>
      <c r="EO182" t="s">
        <v>226</v>
      </c>
      <c r="EP182" t="s">
        <v>245</v>
      </c>
      <c r="EQ182" t="s">
        <v>236</v>
      </c>
      <c r="ES182" t="s">
        <v>226</v>
      </c>
      <c r="ET182" t="s">
        <v>245</v>
      </c>
      <c r="EU182" t="s">
        <v>236</v>
      </c>
      <c r="EW182" t="s">
        <v>236</v>
      </c>
      <c r="EY182" t="s">
        <v>236</v>
      </c>
      <c r="FA182" t="s">
        <v>236</v>
      </c>
      <c r="FC182" t="s">
        <v>236</v>
      </c>
      <c r="FE182" t="s">
        <v>226</v>
      </c>
      <c r="FF182" t="s">
        <v>245</v>
      </c>
      <c r="FG182" t="s">
        <v>236</v>
      </c>
      <c r="FJ182" t="s">
        <v>226</v>
      </c>
      <c r="FK182" t="s">
        <v>245</v>
      </c>
      <c r="FL182" t="s">
        <v>236</v>
      </c>
      <c r="FM182" t="s">
        <v>236</v>
      </c>
      <c r="FW182" t="s">
        <v>236</v>
      </c>
      <c r="FZ182" t="s">
        <v>226</v>
      </c>
      <c r="GA182" t="s">
        <v>226</v>
      </c>
      <c r="GB182" t="s">
        <v>266</v>
      </c>
      <c r="GC182" t="s">
        <v>236</v>
      </c>
      <c r="GF182" t="s">
        <v>236</v>
      </c>
      <c r="GI182" t="s">
        <v>236</v>
      </c>
      <c r="GL182" t="s">
        <v>226</v>
      </c>
      <c r="GM182" t="s">
        <v>226</v>
      </c>
      <c r="GN182" t="s">
        <v>267</v>
      </c>
      <c r="GO182" t="s">
        <v>226</v>
      </c>
      <c r="GP182" t="s">
        <v>226</v>
      </c>
      <c r="GQ182" t="s">
        <v>267</v>
      </c>
      <c r="GR182" t="s">
        <v>226</v>
      </c>
      <c r="GS182" t="s">
        <v>226</v>
      </c>
      <c r="GT182" t="s">
        <v>266</v>
      </c>
      <c r="GU182" t="s">
        <v>236</v>
      </c>
      <c r="GX182" t="s">
        <v>236</v>
      </c>
      <c r="HB182" t="s">
        <v>1428</v>
      </c>
      <c r="HE182">
        <v>82918699</v>
      </c>
      <c r="HF182" t="s">
        <v>1429</v>
      </c>
      <c r="HG182" s="2">
        <v>45752.942685185182</v>
      </c>
      <c r="HJ182" t="s">
        <v>248</v>
      </c>
      <c r="HL182" t="s">
        <v>249</v>
      </c>
      <c r="HN182">
        <v>180</v>
      </c>
    </row>
    <row r="183" spans="1:222" x14ac:dyDescent="0.25">
      <c r="A183" s="2">
        <v>45752.734349618047</v>
      </c>
      <c r="B183" s="2">
        <v>45752.737325578702</v>
      </c>
      <c r="C183" t="s">
        <v>305</v>
      </c>
      <c r="D183">
        <v>268</v>
      </c>
      <c r="E183" s="2">
        <v>45730</v>
      </c>
      <c r="F183">
        <v>5</v>
      </c>
      <c r="G183" t="s">
        <v>380</v>
      </c>
      <c r="H183" t="s">
        <v>223</v>
      </c>
      <c r="I183">
        <v>19</v>
      </c>
      <c r="J183" t="str">
        <f t="shared" si="2"/>
        <v>de 18 a 25 años</v>
      </c>
      <c r="K183" t="s">
        <v>251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291</v>
      </c>
      <c r="R183" t="s">
        <v>226</v>
      </c>
      <c r="T183" t="s">
        <v>227</v>
      </c>
      <c r="V183" t="s">
        <v>252</v>
      </c>
      <c r="W183" t="s">
        <v>229</v>
      </c>
      <c r="X183" t="s">
        <v>253</v>
      </c>
      <c r="Z183" t="s">
        <v>308</v>
      </c>
      <c r="AA183" t="s">
        <v>381</v>
      </c>
      <c r="AB183">
        <v>0</v>
      </c>
      <c r="AC183">
        <v>0</v>
      </c>
      <c r="AD183">
        <v>1</v>
      </c>
      <c r="AE183">
        <v>0</v>
      </c>
      <c r="AF183">
        <v>0</v>
      </c>
      <c r="AG183">
        <v>0</v>
      </c>
      <c r="AI183" t="s">
        <v>233</v>
      </c>
      <c r="AJ183">
        <v>0</v>
      </c>
      <c r="AK183">
        <v>1</v>
      </c>
      <c r="AL183">
        <v>0</v>
      </c>
      <c r="AM183">
        <v>0</v>
      </c>
      <c r="AN183" t="s">
        <v>300</v>
      </c>
      <c r="AO183" t="s">
        <v>382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0</v>
      </c>
      <c r="AX183" t="s">
        <v>226</v>
      </c>
      <c r="AY183" t="s">
        <v>226</v>
      </c>
      <c r="AZ183" t="s">
        <v>237</v>
      </c>
      <c r="BA183" t="s">
        <v>383</v>
      </c>
      <c r="BE183" t="s">
        <v>259</v>
      </c>
      <c r="BF183" t="s">
        <v>259</v>
      </c>
      <c r="BG183" t="s">
        <v>259</v>
      </c>
      <c r="BH183" t="s">
        <v>259</v>
      </c>
      <c r="BI183" t="s">
        <v>237</v>
      </c>
      <c r="BJ183" t="s">
        <v>237</v>
      </c>
      <c r="BK183" t="s">
        <v>259</v>
      </c>
      <c r="BL183" t="s">
        <v>262</v>
      </c>
      <c r="BM183" t="s">
        <v>372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1</v>
      </c>
      <c r="CA183" t="s">
        <v>243</v>
      </c>
      <c r="CB183" t="s">
        <v>264</v>
      </c>
      <c r="CC183" t="s">
        <v>243</v>
      </c>
      <c r="CD183" t="s">
        <v>236</v>
      </c>
      <c r="CE183" t="s">
        <v>236</v>
      </c>
      <c r="EA183" t="s">
        <v>236</v>
      </c>
      <c r="EC183" t="s">
        <v>226</v>
      </c>
      <c r="ED183" t="s">
        <v>244</v>
      </c>
      <c r="EE183" t="s">
        <v>236</v>
      </c>
      <c r="EG183" t="s">
        <v>236</v>
      </c>
      <c r="EI183" t="s">
        <v>236</v>
      </c>
      <c r="EK183" t="s">
        <v>236</v>
      </c>
      <c r="EM183" t="s">
        <v>236</v>
      </c>
      <c r="EO183" t="s">
        <v>236</v>
      </c>
      <c r="EQ183" t="s">
        <v>236</v>
      </c>
      <c r="ES183" t="s">
        <v>236</v>
      </c>
      <c r="EU183" t="s">
        <v>236</v>
      </c>
      <c r="EW183" t="s">
        <v>236</v>
      </c>
      <c r="EY183" t="s">
        <v>226</v>
      </c>
      <c r="EZ183" t="s">
        <v>245</v>
      </c>
      <c r="FA183" t="s">
        <v>236</v>
      </c>
      <c r="FC183" t="s">
        <v>226</v>
      </c>
      <c r="FD183" t="s">
        <v>245</v>
      </c>
      <c r="FE183" t="s">
        <v>236</v>
      </c>
      <c r="FG183" t="s">
        <v>236</v>
      </c>
      <c r="FJ183" t="s">
        <v>226</v>
      </c>
      <c r="FK183" t="s">
        <v>245</v>
      </c>
      <c r="FL183" t="s">
        <v>236</v>
      </c>
      <c r="FM183" t="s">
        <v>236</v>
      </c>
      <c r="FW183" t="s">
        <v>226</v>
      </c>
      <c r="FX183" t="s">
        <v>226</v>
      </c>
      <c r="FY183" t="s">
        <v>266</v>
      </c>
      <c r="FZ183" t="s">
        <v>226</v>
      </c>
      <c r="GA183" t="s">
        <v>226</v>
      </c>
      <c r="GB183" t="s">
        <v>266</v>
      </c>
      <c r="GC183" t="s">
        <v>226</v>
      </c>
      <c r="GD183" t="s">
        <v>226</v>
      </c>
      <c r="GE183" t="s">
        <v>266</v>
      </c>
      <c r="GF183" t="s">
        <v>236</v>
      </c>
      <c r="GI183" t="s">
        <v>236</v>
      </c>
      <c r="GL183" t="s">
        <v>226</v>
      </c>
      <c r="GM183" t="s">
        <v>226</v>
      </c>
      <c r="GN183" t="s">
        <v>267</v>
      </c>
      <c r="GO183" t="s">
        <v>226</v>
      </c>
      <c r="GP183" t="s">
        <v>226</v>
      </c>
      <c r="GQ183" t="s">
        <v>267</v>
      </c>
      <c r="GR183" t="s">
        <v>226</v>
      </c>
      <c r="GS183" t="s">
        <v>226</v>
      </c>
      <c r="GT183" t="s">
        <v>267</v>
      </c>
      <c r="GU183" t="s">
        <v>236</v>
      </c>
      <c r="GX183" t="s">
        <v>236</v>
      </c>
      <c r="HB183" t="s">
        <v>339</v>
      </c>
      <c r="HC183" t="s">
        <v>338</v>
      </c>
      <c r="HE183">
        <v>82918773</v>
      </c>
      <c r="HF183" t="s">
        <v>384</v>
      </c>
      <c r="HG183" s="2">
        <v>45752.945659722223</v>
      </c>
      <c r="HJ183" t="s">
        <v>248</v>
      </c>
      <c r="HL183" t="s">
        <v>249</v>
      </c>
      <c r="HN183">
        <v>181</v>
      </c>
    </row>
    <row r="184" spans="1:222" x14ac:dyDescent="0.25">
      <c r="A184" s="2">
        <v>45752.737326238428</v>
      </c>
      <c r="B184" s="2">
        <v>45752.740208518517</v>
      </c>
      <c r="C184" t="s">
        <v>305</v>
      </c>
      <c r="D184">
        <v>270</v>
      </c>
      <c r="E184" s="2">
        <v>45730</v>
      </c>
      <c r="F184">
        <v>5</v>
      </c>
      <c r="G184" t="s">
        <v>380</v>
      </c>
      <c r="H184" t="s">
        <v>223</v>
      </c>
      <c r="I184">
        <v>38</v>
      </c>
      <c r="J184" t="str">
        <f t="shared" si="2"/>
        <v>de 26 a 40 años</v>
      </c>
      <c r="K184" t="s">
        <v>341</v>
      </c>
      <c r="L184">
        <v>0</v>
      </c>
      <c r="M184">
        <v>0</v>
      </c>
      <c r="N184">
        <v>0</v>
      </c>
      <c r="O184">
        <v>0</v>
      </c>
      <c r="P184">
        <v>1</v>
      </c>
      <c r="Q184" t="s">
        <v>291</v>
      </c>
      <c r="R184" t="s">
        <v>226</v>
      </c>
      <c r="T184" t="s">
        <v>284</v>
      </c>
      <c r="V184" t="s">
        <v>612</v>
      </c>
      <c r="W184" t="s">
        <v>229</v>
      </c>
      <c r="X184" t="s">
        <v>230</v>
      </c>
      <c r="Z184" t="s">
        <v>254</v>
      </c>
      <c r="AA184" t="s">
        <v>376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I184" t="s">
        <v>504</v>
      </c>
      <c r="AJ184">
        <v>1</v>
      </c>
      <c r="AK184">
        <v>0</v>
      </c>
      <c r="AL184">
        <v>0</v>
      </c>
      <c r="AM184">
        <v>0</v>
      </c>
      <c r="AN184" t="s">
        <v>257</v>
      </c>
      <c r="AO184" t="s">
        <v>294</v>
      </c>
      <c r="AP184">
        <v>1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X184" t="s">
        <v>226</v>
      </c>
      <c r="AY184" t="s">
        <v>226</v>
      </c>
      <c r="AZ184" t="s">
        <v>237</v>
      </c>
      <c r="BA184" t="s">
        <v>1434</v>
      </c>
      <c r="BE184" t="s">
        <v>259</v>
      </c>
      <c r="BF184" t="s">
        <v>237</v>
      </c>
      <c r="BG184" t="s">
        <v>259</v>
      </c>
      <c r="BH184" t="s">
        <v>237</v>
      </c>
      <c r="BI184" t="s">
        <v>259</v>
      </c>
      <c r="BJ184" t="s">
        <v>259</v>
      </c>
      <c r="BK184" t="s">
        <v>259</v>
      </c>
      <c r="BL184" t="s">
        <v>313</v>
      </c>
      <c r="BM184" t="s">
        <v>278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 t="s">
        <v>242</v>
      </c>
      <c r="CB184" t="s">
        <v>264</v>
      </c>
      <c r="CC184" t="s">
        <v>243</v>
      </c>
      <c r="CD184" t="s">
        <v>226</v>
      </c>
      <c r="CE184" t="s">
        <v>226</v>
      </c>
      <c r="CF184" t="s">
        <v>574</v>
      </c>
      <c r="CG184">
        <v>0</v>
      </c>
      <c r="CH184">
        <v>1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T184" t="s">
        <v>226</v>
      </c>
      <c r="DF184" t="s">
        <v>520</v>
      </c>
      <c r="EA184" t="s">
        <v>236</v>
      </c>
      <c r="EC184" t="s">
        <v>236</v>
      </c>
      <c r="EE184" t="s">
        <v>236</v>
      </c>
      <c r="EG184" t="s">
        <v>226</v>
      </c>
      <c r="EH184" t="s">
        <v>245</v>
      </c>
      <c r="EI184" t="s">
        <v>236</v>
      </c>
      <c r="EK184" t="s">
        <v>226</v>
      </c>
      <c r="EL184" t="s">
        <v>245</v>
      </c>
      <c r="EM184" t="s">
        <v>236</v>
      </c>
      <c r="EO184" t="s">
        <v>226</v>
      </c>
      <c r="EP184" t="s">
        <v>245</v>
      </c>
      <c r="EQ184" t="s">
        <v>236</v>
      </c>
      <c r="ES184" t="s">
        <v>236</v>
      </c>
      <c r="EU184" t="s">
        <v>236</v>
      </c>
      <c r="EW184" t="s">
        <v>236</v>
      </c>
      <c r="EY184" t="s">
        <v>236</v>
      </c>
      <c r="FA184" t="s">
        <v>226</v>
      </c>
      <c r="FB184" t="s">
        <v>245</v>
      </c>
      <c r="FC184" t="s">
        <v>236</v>
      </c>
      <c r="FE184" t="s">
        <v>236</v>
      </c>
      <c r="FG184" t="s">
        <v>236</v>
      </c>
      <c r="FJ184" t="s">
        <v>226</v>
      </c>
      <c r="FK184" t="s">
        <v>245</v>
      </c>
      <c r="FL184" t="s">
        <v>236</v>
      </c>
      <c r="FM184" t="s">
        <v>236</v>
      </c>
      <c r="FW184" t="s">
        <v>236</v>
      </c>
      <c r="FZ184" t="s">
        <v>236</v>
      </c>
      <c r="GC184" t="s">
        <v>236</v>
      </c>
      <c r="GF184" t="s">
        <v>236</v>
      </c>
      <c r="GI184" t="s">
        <v>236</v>
      </c>
      <c r="GL184" t="s">
        <v>236</v>
      </c>
      <c r="GO184" t="s">
        <v>226</v>
      </c>
      <c r="GP184" t="s">
        <v>226</v>
      </c>
      <c r="GQ184" t="s">
        <v>267</v>
      </c>
      <c r="GR184" t="s">
        <v>236</v>
      </c>
      <c r="GU184" t="s">
        <v>236</v>
      </c>
      <c r="GX184" t="s">
        <v>236</v>
      </c>
      <c r="HB184" t="s">
        <v>1435</v>
      </c>
      <c r="HE184">
        <v>82918844</v>
      </c>
      <c r="HF184" t="s">
        <v>1436</v>
      </c>
      <c r="HG184" s="2">
        <v>45752.948541666658</v>
      </c>
      <c r="HJ184" t="s">
        <v>248</v>
      </c>
      <c r="HL184" t="s">
        <v>249</v>
      </c>
      <c r="HN184">
        <v>182</v>
      </c>
    </row>
    <row r="185" spans="1:222" x14ac:dyDescent="0.25">
      <c r="A185" s="2">
        <v>45752.740209131953</v>
      </c>
      <c r="B185" s="2">
        <v>45752.742489629629</v>
      </c>
      <c r="C185" t="s">
        <v>305</v>
      </c>
      <c r="D185">
        <v>271</v>
      </c>
      <c r="E185" s="2">
        <v>45730</v>
      </c>
      <c r="F185">
        <v>5</v>
      </c>
      <c r="G185" t="s">
        <v>380</v>
      </c>
      <c r="H185" t="s">
        <v>223</v>
      </c>
      <c r="I185">
        <v>19</v>
      </c>
      <c r="J185" t="str">
        <f t="shared" si="2"/>
        <v>de 18 a 25 años</v>
      </c>
      <c r="K185" t="s">
        <v>251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225</v>
      </c>
      <c r="R185" t="s">
        <v>226</v>
      </c>
      <c r="T185" t="s">
        <v>227</v>
      </c>
      <c r="V185" t="s">
        <v>252</v>
      </c>
      <c r="W185" t="s">
        <v>229</v>
      </c>
      <c r="X185" t="s">
        <v>253</v>
      </c>
      <c r="Z185" t="s">
        <v>308</v>
      </c>
      <c r="AA185" t="s">
        <v>255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I185" t="s">
        <v>233</v>
      </c>
      <c r="AJ185">
        <v>0</v>
      </c>
      <c r="AK185">
        <v>1</v>
      </c>
      <c r="AL185">
        <v>0</v>
      </c>
      <c r="AM185">
        <v>0</v>
      </c>
      <c r="AN185" t="s">
        <v>300</v>
      </c>
      <c r="AO185" t="s">
        <v>294</v>
      </c>
      <c r="AP185">
        <v>1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X185" t="s">
        <v>226</v>
      </c>
      <c r="AY185" t="s">
        <v>226</v>
      </c>
      <c r="AZ185" t="s">
        <v>237</v>
      </c>
      <c r="BA185" t="s">
        <v>1437</v>
      </c>
      <c r="BE185" t="s">
        <v>237</v>
      </c>
      <c r="BF185" t="s">
        <v>237</v>
      </c>
      <c r="BG185" t="s">
        <v>259</v>
      </c>
      <c r="BH185" t="s">
        <v>237</v>
      </c>
      <c r="BI185" t="s">
        <v>237</v>
      </c>
      <c r="BJ185" t="s">
        <v>237</v>
      </c>
      <c r="BK185" t="s">
        <v>237</v>
      </c>
      <c r="BL185" t="s">
        <v>262</v>
      </c>
      <c r="BM185" t="s">
        <v>372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1</v>
      </c>
      <c r="CA185" t="s">
        <v>264</v>
      </c>
      <c r="CB185" t="s">
        <v>264</v>
      </c>
      <c r="CC185" t="s">
        <v>264</v>
      </c>
      <c r="CD185" t="s">
        <v>236</v>
      </c>
      <c r="CE185" t="s">
        <v>236</v>
      </c>
      <c r="EA185" t="s">
        <v>226</v>
      </c>
      <c r="EB185" t="s">
        <v>244</v>
      </c>
      <c r="EC185" t="s">
        <v>236</v>
      </c>
      <c r="EE185" t="s">
        <v>236</v>
      </c>
      <c r="EG185" t="s">
        <v>226</v>
      </c>
      <c r="EH185" t="s">
        <v>265</v>
      </c>
      <c r="EI185" t="s">
        <v>236</v>
      </c>
      <c r="EK185" t="s">
        <v>236</v>
      </c>
      <c r="EM185" t="s">
        <v>226</v>
      </c>
      <c r="EN185" t="s">
        <v>245</v>
      </c>
      <c r="EO185" t="s">
        <v>236</v>
      </c>
      <c r="EQ185" t="s">
        <v>236</v>
      </c>
      <c r="ES185" t="s">
        <v>236</v>
      </c>
      <c r="EU185" t="s">
        <v>236</v>
      </c>
      <c r="EW185" t="s">
        <v>236</v>
      </c>
      <c r="EY185" t="s">
        <v>236</v>
      </c>
      <c r="FA185" t="s">
        <v>226</v>
      </c>
      <c r="FB185" t="s">
        <v>244</v>
      </c>
      <c r="FC185" t="s">
        <v>236</v>
      </c>
      <c r="FE185" t="s">
        <v>226</v>
      </c>
      <c r="FF185" t="s">
        <v>245</v>
      </c>
      <c r="FG185" t="s">
        <v>236</v>
      </c>
      <c r="FJ185" t="s">
        <v>226</v>
      </c>
      <c r="FK185" t="s">
        <v>245</v>
      </c>
      <c r="FL185" t="s">
        <v>236</v>
      </c>
      <c r="FM185" t="s">
        <v>236</v>
      </c>
      <c r="FW185" t="s">
        <v>236</v>
      </c>
      <c r="FZ185" t="s">
        <v>226</v>
      </c>
      <c r="GA185" t="s">
        <v>226</v>
      </c>
      <c r="GB185" t="s">
        <v>267</v>
      </c>
      <c r="GC185" t="s">
        <v>236</v>
      </c>
      <c r="GF185" t="s">
        <v>226</v>
      </c>
      <c r="GG185" t="s">
        <v>226</v>
      </c>
      <c r="GH185" t="s">
        <v>267</v>
      </c>
      <c r="GI185" t="s">
        <v>236</v>
      </c>
      <c r="GL185" t="s">
        <v>226</v>
      </c>
      <c r="GM185" t="s">
        <v>226</v>
      </c>
      <c r="GN185" t="s">
        <v>267</v>
      </c>
      <c r="GO185" t="s">
        <v>226</v>
      </c>
      <c r="GP185" t="s">
        <v>226</v>
      </c>
      <c r="GQ185" t="s">
        <v>267</v>
      </c>
      <c r="GR185" t="s">
        <v>226</v>
      </c>
      <c r="GS185" t="s">
        <v>226</v>
      </c>
      <c r="GT185" t="s">
        <v>267</v>
      </c>
      <c r="GU185" t="s">
        <v>236</v>
      </c>
      <c r="GX185" t="s">
        <v>236</v>
      </c>
      <c r="HB185" t="s">
        <v>894</v>
      </c>
      <c r="HE185">
        <v>82918877</v>
      </c>
      <c r="HF185" t="s">
        <v>1438</v>
      </c>
      <c r="HG185" s="2">
        <v>45752.950821759259</v>
      </c>
      <c r="HJ185" t="s">
        <v>248</v>
      </c>
      <c r="HL185" t="s">
        <v>249</v>
      </c>
      <c r="HN185">
        <v>183</v>
      </c>
    </row>
    <row r="186" spans="1:222" x14ac:dyDescent="0.25">
      <c r="A186" s="2">
        <v>45752.742490138888</v>
      </c>
      <c r="B186" s="2">
        <v>45752.745263240737</v>
      </c>
      <c r="C186" t="s">
        <v>305</v>
      </c>
      <c r="D186">
        <v>272</v>
      </c>
      <c r="E186" s="2">
        <v>45730</v>
      </c>
      <c r="F186">
        <v>5</v>
      </c>
      <c r="G186" t="s">
        <v>1439</v>
      </c>
      <c r="H186" t="s">
        <v>223</v>
      </c>
      <c r="I186">
        <v>51</v>
      </c>
      <c r="J186" t="str">
        <f t="shared" si="2"/>
        <v>de 41 a 55 años</v>
      </c>
      <c r="K186" t="s">
        <v>224</v>
      </c>
      <c r="L186">
        <v>1</v>
      </c>
      <c r="M186">
        <v>0</v>
      </c>
      <c r="N186">
        <v>0</v>
      </c>
      <c r="O186">
        <v>0</v>
      </c>
      <c r="P186">
        <v>0</v>
      </c>
      <c r="Q186" t="s">
        <v>225</v>
      </c>
      <c r="R186" t="s">
        <v>226</v>
      </c>
      <c r="T186" t="s">
        <v>227</v>
      </c>
      <c r="V186" t="s">
        <v>321</v>
      </c>
      <c r="W186" t="s">
        <v>229</v>
      </c>
      <c r="X186" t="s">
        <v>230</v>
      </c>
      <c r="Z186" t="s">
        <v>351</v>
      </c>
      <c r="AA186" t="s">
        <v>293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I186" t="s">
        <v>504</v>
      </c>
      <c r="AJ186">
        <v>1</v>
      </c>
      <c r="AK186">
        <v>0</v>
      </c>
      <c r="AL186">
        <v>0</v>
      </c>
      <c r="AM186">
        <v>0</v>
      </c>
      <c r="AN186" t="s">
        <v>300</v>
      </c>
      <c r="AO186" t="s">
        <v>235</v>
      </c>
      <c r="AP186">
        <v>0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X186" t="s">
        <v>236</v>
      </c>
      <c r="AZ186" t="s">
        <v>237</v>
      </c>
      <c r="BA186" t="s">
        <v>276</v>
      </c>
      <c r="BE186" t="s">
        <v>259</v>
      </c>
      <c r="BF186" t="s">
        <v>259</v>
      </c>
      <c r="BG186" t="s">
        <v>259</v>
      </c>
      <c r="BH186" t="s">
        <v>259</v>
      </c>
      <c r="BI186" t="s">
        <v>259</v>
      </c>
      <c r="BJ186" t="s">
        <v>259</v>
      </c>
      <c r="BK186" t="s">
        <v>259</v>
      </c>
      <c r="BL186" t="s">
        <v>262</v>
      </c>
      <c r="BM186" t="s">
        <v>518</v>
      </c>
      <c r="BN186">
        <v>0</v>
      </c>
      <c r="BO186">
        <v>0</v>
      </c>
      <c r="BP186">
        <v>1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 t="s">
        <v>264</v>
      </c>
      <c r="CB186" t="s">
        <v>264</v>
      </c>
      <c r="CC186" t="s">
        <v>264</v>
      </c>
      <c r="CD186" t="s">
        <v>226</v>
      </c>
      <c r="CE186" t="s">
        <v>236</v>
      </c>
      <c r="EA186" t="s">
        <v>236</v>
      </c>
      <c r="EC186" t="s">
        <v>226</v>
      </c>
      <c r="ED186" t="s">
        <v>244</v>
      </c>
      <c r="EE186" t="s">
        <v>226</v>
      </c>
      <c r="EF186" t="s">
        <v>245</v>
      </c>
      <c r="EG186" t="s">
        <v>226</v>
      </c>
      <c r="EH186" t="s">
        <v>245</v>
      </c>
      <c r="EI186" t="s">
        <v>226</v>
      </c>
      <c r="EJ186" t="s">
        <v>244</v>
      </c>
      <c r="EK186" t="s">
        <v>236</v>
      </c>
      <c r="EM186" t="s">
        <v>226</v>
      </c>
      <c r="EN186" t="s">
        <v>244</v>
      </c>
      <c r="EO186" t="s">
        <v>226</v>
      </c>
      <c r="EP186" t="s">
        <v>244</v>
      </c>
      <c r="EQ186" t="s">
        <v>236</v>
      </c>
      <c r="ES186" t="s">
        <v>226</v>
      </c>
      <c r="ET186" t="s">
        <v>244</v>
      </c>
      <c r="EU186" t="s">
        <v>226</v>
      </c>
      <c r="EV186" t="s">
        <v>245</v>
      </c>
      <c r="EW186" t="s">
        <v>236</v>
      </c>
      <c r="EY186" t="s">
        <v>226</v>
      </c>
      <c r="EZ186" t="s">
        <v>244</v>
      </c>
      <c r="FA186" t="s">
        <v>226</v>
      </c>
      <c r="FB186" t="s">
        <v>245</v>
      </c>
      <c r="FC186" t="s">
        <v>236</v>
      </c>
      <c r="FE186" t="s">
        <v>226</v>
      </c>
      <c r="FF186" t="s">
        <v>244</v>
      </c>
      <c r="FG186" t="s">
        <v>236</v>
      </c>
      <c r="FJ186" t="s">
        <v>226</v>
      </c>
      <c r="FK186" t="s">
        <v>245</v>
      </c>
      <c r="FL186" t="s">
        <v>236</v>
      </c>
      <c r="FM186" t="s">
        <v>236</v>
      </c>
      <c r="FW186" t="s">
        <v>226</v>
      </c>
      <c r="FX186" t="s">
        <v>226</v>
      </c>
      <c r="FY186" t="s">
        <v>266</v>
      </c>
      <c r="FZ186" t="s">
        <v>236</v>
      </c>
      <c r="GC186" t="s">
        <v>236</v>
      </c>
      <c r="GF186" t="s">
        <v>236</v>
      </c>
      <c r="GI186" t="s">
        <v>236</v>
      </c>
      <c r="GL186" t="s">
        <v>226</v>
      </c>
      <c r="GM186" t="s">
        <v>226</v>
      </c>
      <c r="GN186" t="s">
        <v>266</v>
      </c>
      <c r="GO186" t="s">
        <v>226</v>
      </c>
      <c r="GP186" t="s">
        <v>226</v>
      </c>
      <c r="GQ186" t="s">
        <v>266</v>
      </c>
      <c r="GR186" t="s">
        <v>236</v>
      </c>
      <c r="GU186" t="s">
        <v>236</v>
      </c>
      <c r="GX186" t="s">
        <v>236</v>
      </c>
      <c r="HB186" t="s">
        <v>288</v>
      </c>
      <c r="HC186" t="s">
        <v>338</v>
      </c>
      <c r="HE186">
        <v>82918957</v>
      </c>
      <c r="HF186" t="s">
        <v>1440</v>
      </c>
      <c r="HG186" s="2">
        <v>45752.953599537039</v>
      </c>
      <c r="HJ186" t="s">
        <v>248</v>
      </c>
      <c r="HL186" t="s">
        <v>249</v>
      </c>
      <c r="HN186">
        <v>184</v>
      </c>
    </row>
    <row r="187" spans="1:222" x14ac:dyDescent="0.25">
      <c r="A187" s="2">
        <v>45752.745263703713</v>
      </c>
      <c r="B187" s="2">
        <v>45752.747575150461</v>
      </c>
      <c r="C187" t="s">
        <v>305</v>
      </c>
      <c r="D187">
        <v>273</v>
      </c>
      <c r="E187" s="2">
        <v>45730</v>
      </c>
      <c r="F187">
        <v>5</v>
      </c>
      <c r="G187" t="s">
        <v>380</v>
      </c>
      <c r="H187" t="s">
        <v>223</v>
      </c>
      <c r="I187">
        <v>21</v>
      </c>
      <c r="J187" t="str">
        <f t="shared" si="2"/>
        <v>de 18 a 25 años</v>
      </c>
      <c r="K187" t="s">
        <v>341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225</v>
      </c>
      <c r="R187" t="s">
        <v>226</v>
      </c>
      <c r="T187" t="s">
        <v>659</v>
      </c>
      <c r="V187" t="s">
        <v>252</v>
      </c>
      <c r="W187" t="s">
        <v>229</v>
      </c>
      <c r="X187" t="s">
        <v>253</v>
      </c>
      <c r="Z187" t="s">
        <v>254</v>
      </c>
      <c r="AA187" t="s">
        <v>293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I187" t="s">
        <v>256</v>
      </c>
      <c r="AJ187">
        <v>0</v>
      </c>
      <c r="AK187">
        <v>0</v>
      </c>
      <c r="AL187">
        <v>1</v>
      </c>
      <c r="AM187">
        <v>0</v>
      </c>
      <c r="AN187" t="s">
        <v>257</v>
      </c>
      <c r="AO187" t="s">
        <v>275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0</v>
      </c>
      <c r="AX187" t="s">
        <v>236</v>
      </c>
      <c r="AZ187" t="s">
        <v>237</v>
      </c>
      <c r="BA187" t="s">
        <v>1431</v>
      </c>
      <c r="BE187" t="s">
        <v>259</v>
      </c>
      <c r="BF187" t="s">
        <v>259</v>
      </c>
      <c r="BG187" t="s">
        <v>237</v>
      </c>
      <c r="BH187" t="s">
        <v>239</v>
      </c>
      <c r="BI187" t="s">
        <v>237</v>
      </c>
      <c r="BJ187" t="s">
        <v>237</v>
      </c>
      <c r="BK187" t="s">
        <v>261</v>
      </c>
      <c r="BL187" t="s">
        <v>262</v>
      </c>
      <c r="BM187" t="s">
        <v>365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 t="s">
        <v>264</v>
      </c>
      <c r="CB187" t="s">
        <v>243</v>
      </c>
      <c r="CC187" t="s">
        <v>243</v>
      </c>
      <c r="CD187" t="s">
        <v>236</v>
      </c>
      <c r="CE187" t="s">
        <v>236</v>
      </c>
      <c r="EA187" t="s">
        <v>236</v>
      </c>
      <c r="EC187" t="s">
        <v>236</v>
      </c>
      <c r="EE187" t="s">
        <v>236</v>
      </c>
      <c r="EG187" t="s">
        <v>226</v>
      </c>
      <c r="EH187" t="s">
        <v>244</v>
      </c>
      <c r="EI187" t="s">
        <v>236</v>
      </c>
      <c r="EK187" t="s">
        <v>236</v>
      </c>
      <c r="EM187" t="s">
        <v>226</v>
      </c>
      <c r="EN187" t="s">
        <v>245</v>
      </c>
      <c r="EO187" t="s">
        <v>236</v>
      </c>
      <c r="EQ187" t="s">
        <v>236</v>
      </c>
      <c r="ES187" t="s">
        <v>236</v>
      </c>
      <c r="EU187" t="s">
        <v>236</v>
      </c>
      <c r="EW187" t="s">
        <v>236</v>
      </c>
      <c r="EY187" t="s">
        <v>236</v>
      </c>
      <c r="FA187" t="s">
        <v>236</v>
      </c>
      <c r="FC187" t="s">
        <v>236</v>
      </c>
      <c r="FE187" t="s">
        <v>236</v>
      </c>
      <c r="FG187" t="s">
        <v>236</v>
      </c>
      <c r="FJ187" t="s">
        <v>226</v>
      </c>
      <c r="FK187" t="s">
        <v>244</v>
      </c>
      <c r="FL187" t="s">
        <v>236</v>
      </c>
      <c r="FM187" t="s">
        <v>236</v>
      </c>
      <c r="FW187" t="s">
        <v>236</v>
      </c>
      <c r="FZ187" t="s">
        <v>236</v>
      </c>
      <c r="GC187" t="s">
        <v>236</v>
      </c>
      <c r="GF187" t="s">
        <v>226</v>
      </c>
      <c r="GG187" t="s">
        <v>236</v>
      </c>
      <c r="GI187" t="s">
        <v>236</v>
      </c>
      <c r="GL187" t="s">
        <v>226</v>
      </c>
      <c r="GM187" t="s">
        <v>236</v>
      </c>
      <c r="GO187" t="s">
        <v>226</v>
      </c>
      <c r="GP187" t="s">
        <v>226</v>
      </c>
      <c r="GQ187" t="s">
        <v>266</v>
      </c>
      <c r="GR187" t="s">
        <v>226</v>
      </c>
      <c r="GS187" t="s">
        <v>236</v>
      </c>
      <c r="GU187" t="s">
        <v>236</v>
      </c>
      <c r="GX187" t="s">
        <v>236</v>
      </c>
      <c r="HB187" t="s">
        <v>1441</v>
      </c>
      <c r="HE187">
        <v>82918990</v>
      </c>
      <c r="HF187" t="s">
        <v>1442</v>
      </c>
      <c r="HG187" s="2">
        <v>45752.955914351849</v>
      </c>
      <c r="HJ187" t="s">
        <v>248</v>
      </c>
      <c r="HL187" t="s">
        <v>249</v>
      </c>
      <c r="HN187">
        <v>185</v>
      </c>
    </row>
    <row r="188" spans="1:222" x14ac:dyDescent="0.25">
      <c r="A188" s="2">
        <v>45752.747575717593</v>
      </c>
      <c r="B188" s="2">
        <v>45752.750521828697</v>
      </c>
      <c r="C188" t="s">
        <v>305</v>
      </c>
      <c r="D188">
        <v>275</v>
      </c>
      <c r="E188" s="2">
        <v>45730</v>
      </c>
      <c r="F188">
        <v>5</v>
      </c>
      <c r="G188" t="s">
        <v>380</v>
      </c>
      <c r="H188" t="s">
        <v>223</v>
      </c>
      <c r="I188">
        <v>35</v>
      </c>
      <c r="J188" t="str">
        <f t="shared" si="2"/>
        <v>de 26 a 40 años</v>
      </c>
      <c r="K188" t="s">
        <v>341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291</v>
      </c>
      <c r="R188" t="s">
        <v>226</v>
      </c>
      <c r="T188" t="s">
        <v>284</v>
      </c>
      <c r="V188" t="s">
        <v>252</v>
      </c>
      <c r="W188" t="s">
        <v>229</v>
      </c>
      <c r="X188" t="s">
        <v>230</v>
      </c>
      <c r="Z188" t="s">
        <v>231</v>
      </c>
      <c r="AA188" t="s">
        <v>255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I188" t="s">
        <v>256</v>
      </c>
      <c r="AJ188">
        <v>0</v>
      </c>
      <c r="AK188">
        <v>0</v>
      </c>
      <c r="AL188">
        <v>1</v>
      </c>
      <c r="AM188">
        <v>0</v>
      </c>
      <c r="AN188" t="s">
        <v>257</v>
      </c>
      <c r="AO188" t="s">
        <v>275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X188" t="s">
        <v>226</v>
      </c>
      <c r="AY188" t="s">
        <v>226</v>
      </c>
      <c r="AZ188" t="s">
        <v>237</v>
      </c>
      <c r="BA188" t="s">
        <v>1446</v>
      </c>
      <c r="BE188" t="s">
        <v>259</v>
      </c>
      <c r="BF188" t="s">
        <v>259</v>
      </c>
      <c r="BG188" t="s">
        <v>259</v>
      </c>
      <c r="BH188" t="s">
        <v>259</v>
      </c>
      <c r="BI188" t="s">
        <v>237</v>
      </c>
      <c r="BJ188" t="s">
        <v>259</v>
      </c>
      <c r="BK188" t="s">
        <v>259</v>
      </c>
      <c r="BL188" t="s">
        <v>262</v>
      </c>
      <c r="BM188" t="s">
        <v>296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 t="s">
        <v>264</v>
      </c>
      <c r="CB188" t="s">
        <v>243</v>
      </c>
      <c r="CC188" t="s">
        <v>243</v>
      </c>
      <c r="CD188" t="s">
        <v>236</v>
      </c>
      <c r="CE188" t="s">
        <v>236</v>
      </c>
      <c r="EA188" t="s">
        <v>226</v>
      </c>
      <c r="EB188" t="s">
        <v>245</v>
      </c>
      <c r="EC188" t="s">
        <v>226</v>
      </c>
      <c r="ED188" t="s">
        <v>245</v>
      </c>
      <c r="EE188" t="s">
        <v>226</v>
      </c>
      <c r="EF188" t="s">
        <v>245</v>
      </c>
      <c r="EG188" t="s">
        <v>226</v>
      </c>
      <c r="EH188" t="s">
        <v>245</v>
      </c>
      <c r="EI188" t="s">
        <v>226</v>
      </c>
      <c r="EJ188" t="s">
        <v>245</v>
      </c>
      <c r="EK188" t="s">
        <v>236</v>
      </c>
      <c r="EM188" t="s">
        <v>226</v>
      </c>
      <c r="EN188" t="s">
        <v>245</v>
      </c>
      <c r="EO188" t="s">
        <v>226</v>
      </c>
      <c r="EP188" t="s">
        <v>245</v>
      </c>
      <c r="EQ188" t="s">
        <v>226</v>
      </c>
      <c r="ER188" t="s">
        <v>245</v>
      </c>
      <c r="ES188" t="s">
        <v>226</v>
      </c>
      <c r="ET188" t="s">
        <v>245</v>
      </c>
      <c r="EU188" t="s">
        <v>226</v>
      </c>
      <c r="EV188" t="s">
        <v>245</v>
      </c>
      <c r="EW188" t="s">
        <v>226</v>
      </c>
      <c r="EX188" t="s">
        <v>245</v>
      </c>
      <c r="EY188" t="s">
        <v>226</v>
      </c>
      <c r="EZ188" t="s">
        <v>245</v>
      </c>
      <c r="FA188" t="s">
        <v>226</v>
      </c>
      <c r="FB188" t="s">
        <v>245</v>
      </c>
      <c r="FC188" t="s">
        <v>236</v>
      </c>
      <c r="FE188" t="s">
        <v>226</v>
      </c>
      <c r="FF188" t="s">
        <v>245</v>
      </c>
      <c r="FG188" t="s">
        <v>236</v>
      </c>
      <c r="FJ188" t="s">
        <v>226</v>
      </c>
      <c r="FK188" t="s">
        <v>245</v>
      </c>
      <c r="FL188" t="s">
        <v>226</v>
      </c>
      <c r="FM188" t="s">
        <v>236</v>
      </c>
      <c r="FW188" t="s">
        <v>226</v>
      </c>
      <c r="FX188" t="s">
        <v>226</v>
      </c>
      <c r="FY188" t="s">
        <v>266</v>
      </c>
      <c r="FZ188" t="s">
        <v>226</v>
      </c>
      <c r="GA188" t="s">
        <v>226</v>
      </c>
      <c r="GB188" t="s">
        <v>266</v>
      </c>
      <c r="GC188" t="s">
        <v>226</v>
      </c>
      <c r="GD188" t="s">
        <v>226</v>
      </c>
      <c r="GE188" t="s">
        <v>266</v>
      </c>
      <c r="GF188" t="s">
        <v>226</v>
      </c>
      <c r="GG188" t="s">
        <v>226</v>
      </c>
      <c r="GH188" t="s">
        <v>570</v>
      </c>
      <c r="GI188" t="s">
        <v>236</v>
      </c>
      <c r="GL188" t="s">
        <v>226</v>
      </c>
      <c r="GM188" t="s">
        <v>226</v>
      </c>
      <c r="GN188" t="s">
        <v>266</v>
      </c>
      <c r="GO188" t="s">
        <v>226</v>
      </c>
      <c r="GP188" t="s">
        <v>226</v>
      </c>
      <c r="GQ188" t="s">
        <v>266</v>
      </c>
      <c r="GR188" t="s">
        <v>226</v>
      </c>
      <c r="GS188" t="s">
        <v>226</v>
      </c>
      <c r="GT188" t="s">
        <v>266</v>
      </c>
      <c r="GU188" t="s">
        <v>236</v>
      </c>
      <c r="GX188" t="s">
        <v>236</v>
      </c>
      <c r="HB188" t="s">
        <v>1447</v>
      </c>
      <c r="HE188">
        <v>82919055</v>
      </c>
      <c r="HF188" t="s">
        <v>1448</v>
      </c>
      <c r="HG188" s="2">
        <v>45752.958854166667</v>
      </c>
      <c r="HJ188" t="s">
        <v>248</v>
      </c>
      <c r="HL188" t="s">
        <v>249</v>
      </c>
      <c r="HN188">
        <v>186</v>
      </c>
    </row>
    <row r="189" spans="1:222" x14ac:dyDescent="0.25">
      <c r="A189" s="2">
        <v>45752.750522372677</v>
      </c>
      <c r="B189" s="2">
        <v>45752.752910439813</v>
      </c>
      <c r="C189" t="s">
        <v>305</v>
      </c>
      <c r="D189">
        <v>277</v>
      </c>
      <c r="E189" s="2">
        <v>45730</v>
      </c>
      <c r="F189">
        <v>1</v>
      </c>
      <c r="G189" t="s">
        <v>507</v>
      </c>
      <c r="H189" t="s">
        <v>375</v>
      </c>
      <c r="I189">
        <v>32</v>
      </c>
      <c r="J189" t="str">
        <f t="shared" si="2"/>
        <v>de 26 a 40 años</v>
      </c>
      <c r="K189" t="s">
        <v>251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291</v>
      </c>
      <c r="R189" t="s">
        <v>226</v>
      </c>
      <c r="T189" t="s">
        <v>227</v>
      </c>
      <c r="V189" t="s">
        <v>252</v>
      </c>
      <c r="W189" t="s">
        <v>229</v>
      </c>
      <c r="X189" t="s">
        <v>299</v>
      </c>
      <c r="Z189" t="s">
        <v>231</v>
      </c>
      <c r="AA189" t="s">
        <v>255</v>
      </c>
      <c r="AB189">
        <v>0</v>
      </c>
      <c r="AC189">
        <v>0</v>
      </c>
      <c r="AD189">
        <v>0</v>
      </c>
      <c r="AE189">
        <v>1</v>
      </c>
      <c r="AF189">
        <v>0</v>
      </c>
      <c r="AG189">
        <v>0</v>
      </c>
      <c r="AI189" t="s">
        <v>233</v>
      </c>
      <c r="AJ189">
        <v>0</v>
      </c>
      <c r="AK189">
        <v>1</v>
      </c>
      <c r="AL189">
        <v>0</v>
      </c>
      <c r="AM189">
        <v>0</v>
      </c>
      <c r="AN189" t="s">
        <v>300</v>
      </c>
      <c r="AO189" t="s">
        <v>275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0</v>
      </c>
      <c r="AX189" t="s">
        <v>226</v>
      </c>
      <c r="AY189" t="s">
        <v>226</v>
      </c>
      <c r="AZ189" t="s">
        <v>237</v>
      </c>
      <c r="BA189" t="s">
        <v>825</v>
      </c>
      <c r="BB189" t="s">
        <v>512</v>
      </c>
      <c r="BE189" t="s">
        <v>259</v>
      </c>
      <c r="BF189" t="s">
        <v>259</v>
      </c>
      <c r="BG189" t="s">
        <v>237</v>
      </c>
      <c r="BH189" t="s">
        <v>237</v>
      </c>
      <c r="BI189" t="s">
        <v>259</v>
      </c>
      <c r="BJ189" t="s">
        <v>237</v>
      </c>
      <c r="BK189" t="s">
        <v>237</v>
      </c>
      <c r="BL189" t="s">
        <v>240</v>
      </c>
      <c r="BM189" t="s">
        <v>415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 t="s">
        <v>243</v>
      </c>
      <c r="CB189" t="s">
        <v>243</v>
      </c>
      <c r="CC189" t="s">
        <v>243</v>
      </c>
      <c r="CD189" t="s">
        <v>236</v>
      </c>
      <c r="CE189" t="s">
        <v>236</v>
      </c>
      <c r="EA189" t="s">
        <v>236</v>
      </c>
      <c r="EC189" t="s">
        <v>236</v>
      </c>
      <c r="EE189" t="s">
        <v>236</v>
      </c>
      <c r="EG189" t="s">
        <v>226</v>
      </c>
      <c r="EH189" t="s">
        <v>245</v>
      </c>
      <c r="EI189" t="s">
        <v>236</v>
      </c>
      <c r="EK189" t="s">
        <v>236</v>
      </c>
      <c r="EM189" t="s">
        <v>236</v>
      </c>
      <c r="EO189" t="s">
        <v>236</v>
      </c>
      <c r="EQ189" t="s">
        <v>236</v>
      </c>
      <c r="ES189" t="s">
        <v>236</v>
      </c>
      <c r="EU189" t="s">
        <v>236</v>
      </c>
      <c r="EW189" t="s">
        <v>236</v>
      </c>
      <c r="EY189" t="s">
        <v>236</v>
      </c>
      <c r="FA189" t="s">
        <v>226</v>
      </c>
      <c r="FB189" t="s">
        <v>244</v>
      </c>
      <c r="FC189" t="s">
        <v>236</v>
      </c>
      <c r="FE189" t="s">
        <v>226</v>
      </c>
      <c r="FF189" t="s">
        <v>245</v>
      </c>
      <c r="FG189" t="s">
        <v>236</v>
      </c>
      <c r="FJ189" t="s">
        <v>226</v>
      </c>
      <c r="FK189" t="s">
        <v>245</v>
      </c>
      <c r="FL189" t="s">
        <v>236</v>
      </c>
      <c r="FM189" t="s">
        <v>236</v>
      </c>
      <c r="FW189" t="s">
        <v>226</v>
      </c>
      <c r="FX189" t="s">
        <v>236</v>
      </c>
      <c r="FZ189" t="s">
        <v>236</v>
      </c>
      <c r="GC189" t="s">
        <v>236</v>
      </c>
      <c r="GF189" t="s">
        <v>236</v>
      </c>
      <c r="GI189" t="s">
        <v>226</v>
      </c>
      <c r="GJ189" t="s">
        <v>236</v>
      </c>
      <c r="GL189" t="s">
        <v>226</v>
      </c>
      <c r="GM189" t="s">
        <v>236</v>
      </c>
      <c r="GO189" t="s">
        <v>226</v>
      </c>
      <c r="GP189" t="s">
        <v>226</v>
      </c>
      <c r="GQ189" t="s">
        <v>267</v>
      </c>
      <c r="GR189" t="s">
        <v>226</v>
      </c>
      <c r="GS189" t="s">
        <v>236</v>
      </c>
      <c r="GU189" t="s">
        <v>236</v>
      </c>
      <c r="GX189" t="s">
        <v>236</v>
      </c>
      <c r="HB189" t="s">
        <v>338</v>
      </c>
      <c r="HC189" t="s">
        <v>378</v>
      </c>
      <c r="HD189" t="s">
        <v>1452</v>
      </c>
      <c r="HE189">
        <v>82919092</v>
      </c>
      <c r="HF189" t="s">
        <v>1453</v>
      </c>
      <c r="HG189" s="2">
        <v>45752.961238425924</v>
      </c>
      <c r="HJ189" t="s">
        <v>248</v>
      </c>
      <c r="HL189" t="s">
        <v>249</v>
      </c>
      <c r="HN189">
        <v>187</v>
      </c>
    </row>
    <row r="190" spans="1:222" x14ac:dyDescent="0.25">
      <c r="A190" s="2">
        <v>45752.752911087962</v>
      </c>
      <c r="B190" s="2">
        <v>45752.756789328712</v>
      </c>
      <c r="C190" t="s">
        <v>305</v>
      </c>
      <c r="D190">
        <v>279</v>
      </c>
      <c r="E190" s="2">
        <v>45730</v>
      </c>
      <c r="F190">
        <v>1</v>
      </c>
      <c r="G190" t="s">
        <v>507</v>
      </c>
      <c r="H190" t="s">
        <v>375</v>
      </c>
      <c r="I190">
        <v>70</v>
      </c>
      <c r="J190" t="str">
        <f t="shared" si="2"/>
        <v>de 56 a más</v>
      </c>
      <c r="K190" t="s">
        <v>251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291</v>
      </c>
      <c r="R190" t="s">
        <v>226</v>
      </c>
      <c r="T190" t="s">
        <v>227</v>
      </c>
      <c r="V190" t="s">
        <v>321</v>
      </c>
      <c r="W190" t="s">
        <v>229</v>
      </c>
      <c r="X190" t="s">
        <v>368</v>
      </c>
      <c r="Z190" t="s">
        <v>231</v>
      </c>
      <c r="AA190" t="s">
        <v>255</v>
      </c>
      <c r="AB190">
        <v>0</v>
      </c>
      <c r="AC190">
        <v>0</v>
      </c>
      <c r="AD190">
        <v>0</v>
      </c>
      <c r="AE190">
        <v>1</v>
      </c>
      <c r="AF190">
        <v>0</v>
      </c>
      <c r="AG190">
        <v>0</v>
      </c>
      <c r="AI190" t="s">
        <v>233</v>
      </c>
      <c r="AJ190">
        <v>0</v>
      </c>
      <c r="AK190">
        <v>1</v>
      </c>
      <c r="AL190">
        <v>0</v>
      </c>
      <c r="AM190">
        <v>0</v>
      </c>
      <c r="AN190" t="s">
        <v>300</v>
      </c>
      <c r="AO190" t="s">
        <v>275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</v>
      </c>
      <c r="AV190">
        <v>0</v>
      </c>
      <c r="AX190" t="s">
        <v>236</v>
      </c>
      <c r="AZ190" t="s">
        <v>237</v>
      </c>
      <c r="BA190" t="s">
        <v>277</v>
      </c>
      <c r="BB190" t="s">
        <v>590</v>
      </c>
      <c r="BE190" t="s">
        <v>308</v>
      </c>
      <c r="BF190" t="s">
        <v>308</v>
      </c>
      <c r="BG190" t="s">
        <v>237</v>
      </c>
      <c r="BH190" t="s">
        <v>237</v>
      </c>
      <c r="BI190" t="s">
        <v>237</v>
      </c>
      <c r="BJ190" t="s">
        <v>259</v>
      </c>
      <c r="BK190" t="s">
        <v>259</v>
      </c>
      <c r="BL190" t="s">
        <v>262</v>
      </c>
      <c r="BM190" t="s">
        <v>278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1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 t="s">
        <v>264</v>
      </c>
      <c r="CB190" t="s">
        <v>264</v>
      </c>
      <c r="CC190" t="s">
        <v>328</v>
      </c>
      <c r="CD190" t="s">
        <v>236</v>
      </c>
      <c r="CE190" t="s">
        <v>236</v>
      </c>
      <c r="EA190" t="s">
        <v>236</v>
      </c>
      <c r="EC190" t="s">
        <v>236</v>
      </c>
      <c r="EE190" t="s">
        <v>226</v>
      </c>
      <c r="EF190" t="s">
        <v>245</v>
      </c>
      <c r="EG190" t="s">
        <v>226</v>
      </c>
      <c r="EH190" t="s">
        <v>245</v>
      </c>
      <c r="EI190" t="s">
        <v>236</v>
      </c>
      <c r="EK190" t="s">
        <v>236</v>
      </c>
      <c r="EM190" t="s">
        <v>236</v>
      </c>
      <c r="EO190" t="s">
        <v>236</v>
      </c>
      <c r="EQ190" t="s">
        <v>236</v>
      </c>
      <c r="ES190" t="s">
        <v>226</v>
      </c>
      <c r="ET190" t="s">
        <v>244</v>
      </c>
      <c r="EU190" t="s">
        <v>236</v>
      </c>
      <c r="EW190" t="s">
        <v>236</v>
      </c>
      <c r="EY190" t="s">
        <v>236</v>
      </c>
      <c r="FA190" t="s">
        <v>226</v>
      </c>
      <c r="FB190" t="s">
        <v>245</v>
      </c>
      <c r="FC190" t="s">
        <v>226</v>
      </c>
      <c r="FD190" t="s">
        <v>244</v>
      </c>
      <c r="FE190" t="s">
        <v>236</v>
      </c>
      <c r="FG190" t="s">
        <v>236</v>
      </c>
      <c r="FJ190" t="s">
        <v>226</v>
      </c>
      <c r="FK190" t="s">
        <v>244</v>
      </c>
      <c r="FL190" t="s">
        <v>236</v>
      </c>
      <c r="FM190" t="s">
        <v>236</v>
      </c>
      <c r="FW190" t="s">
        <v>236</v>
      </c>
      <c r="FZ190" t="s">
        <v>236</v>
      </c>
      <c r="GC190" t="s">
        <v>236</v>
      </c>
      <c r="GF190" t="s">
        <v>226</v>
      </c>
      <c r="GG190" t="s">
        <v>236</v>
      </c>
      <c r="GI190" t="s">
        <v>236</v>
      </c>
      <c r="GL190" t="s">
        <v>236</v>
      </c>
      <c r="GO190" t="s">
        <v>226</v>
      </c>
      <c r="GP190" t="s">
        <v>226</v>
      </c>
      <c r="GQ190" t="s">
        <v>266</v>
      </c>
      <c r="GR190" t="s">
        <v>226</v>
      </c>
      <c r="GS190" t="s">
        <v>236</v>
      </c>
      <c r="GU190" t="s">
        <v>236</v>
      </c>
      <c r="GX190" t="s">
        <v>236</v>
      </c>
      <c r="HB190" t="s">
        <v>513</v>
      </c>
      <c r="HC190" t="s">
        <v>303</v>
      </c>
      <c r="HD190" t="s">
        <v>338</v>
      </c>
      <c r="HE190">
        <v>82919134</v>
      </c>
      <c r="HF190" t="s">
        <v>1459</v>
      </c>
      <c r="HG190" s="2">
        <v>45752.965127314812</v>
      </c>
      <c r="HJ190" t="s">
        <v>248</v>
      </c>
      <c r="HL190" t="s">
        <v>249</v>
      </c>
      <c r="HN190">
        <v>188</v>
      </c>
    </row>
    <row r="191" spans="1:222" x14ac:dyDescent="0.25">
      <c r="A191" s="2">
        <v>45752.75678984954</v>
      </c>
      <c r="B191" s="2">
        <v>45752.759188611111</v>
      </c>
      <c r="C191" t="s">
        <v>305</v>
      </c>
      <c r="D191">
        <v>280</v>
      </c>
      <c r="E191" s="2">
        <v>45730</v>
      </c>
      <c r="F191">
        <v>1</v>
      </c>
      <c r="G191" t="s">
        <v>507</v>
      </c>
      <c r="H191" t="s">
        <v>375</v>
      </c>
      <c r="I191">
        <v>70</v>
      </c>
      <c r="J191" t="str">
        <f t="shared" si="2"/>
        <v>de 56 a más</v>
      </c>
      <c r="K191" t="s">
        <v>341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291</v>
      </c>
      <c r="R191" t="s">
        <v>226</v>
      </c>
      <c r="T191" t="s">
        <v>227</v>
      </c>
      <c r="V191" t="s">
        <v>228</v>
      </c>
      <c r="W191" t="s">
        <v>229</v>
      </c>
      <c r="X191" t="s">
        <v>350</v>
      </c>
      <c r="Z191" t="s">
        <v>231</v>
      </c>
      <c r="AA191" t="s">
        <v>255</v>
      </c>
      <c r="AB191">
        <v>0</v>
      </c>
      <c r="AC191">
        <v>0</v>
      </c>
      <c r="AD191">
        <v>0</v>
      </c>
      <c r="AE191">
        <v>1</v>
      </c>
      <c r="AF191">
        <v>0</v>
      </c>
      <c r="AG191">
        <v>0</v>
      </c>
      <c r="AI191" t="s">
        <v>233</v>
      </c>
      <c r="AJ191">
        <v>0</v>
      </c>
      <c r="AK191">
        <v>1</v>
      </c>
      <c r="AL191">
        <v>0</v>
      </c>
      <c r="AM191">
        <v>0</v>
      </c>
      <c r="AN191" t="s">
        <v>300</v>
      </c>
      <c r="AO191" t="s">
        <v>275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1</v>
      </c>
      <c r="AV191">
        <v>0</v>
      </c>
      <c r="AX191" t="s">
        <v>236</v>
      </c>
      <c r="AZ191" t="s">
        <v>237</v>
      </c>
      <c r="BA191" t="s">
        <v>508</v>
      </c>
      <c r="BB191" t="s">
        <v>509</v>
      </c>
      <c r="BE191" t="s">
        <v>237</v>
      </c>
      <c r="BF191" t="s">
        <v>259</v>
      </c>
      <c r="BG191" t="s">
        <v>261</v>
      </c>
      <c r="BH191" t="s">
        <v>237</v>
      </c>
      <c r="BI191" t="s">
        <v>237</v>
      </c>
      <c r="BJ191" t="s">
        <v>237</v>
      </c>
      <c r="BK191" t="s">
        <v>239</v>
      </c>
      <c r="BL191" t="s">
        <v>262</v>
      </c>
      <c r="BM191" t="s">
        <v>415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 t="s">
        <v>264</v>
      </c>
      <c r="CB191" t="s">
        <v>243</v>
      </c>
      <c r="CC191" t="s">
        <v>243</v>
      </c>
      <c r="CD191" t="s">
        <v>236</v>
      </c>
      <c r="CE191" t="s">
        <v>236</v>
      </c>
      <c r="EA191" t="s">
        <v>226</v>
      </c>
      <c r="EB191" t="s">
        <v>245</v>
      </c>
      <c r="EC191" t="s">
        <v>236</v>
      </c>
      <c r="EE191" t="s">
        <v>226</v>
      </c>
      <c r="EF191" t="s">
        <v>245</v>
      </c>
      <c r="EG191" t="s">
        <v>226</v>
      </c>
      <c r="EH191" t="s">
        <v>265</v>
      </c>
      <c r="EI191" t="s">
        <v>236</v>
      </c>
      <c r="EK191" t="s">
        <v>236</v>
      </c>
      <c r="EM191" t="s">
        <v>226</v>
      </c>
      <c r="EN191" t="s">
        <v>244</v>
      </c>
      <c r="EO191" t="s">
        <v>226</v>
      </c>
      <c r="EP191" t="s">
        <v>244</v>
      </c>
      <c r="EQ191" t="s">
        <v>236</v>
      </c>
      <c r="ES191" t="s">
        <v>236</v>
      </c>
      <c r="EU191" t="s">
        <v>236</v>
      </c>
      <c r="EW191" t="s">
        <v>236</v>
      </c>
      <c r="EY191" t="s">
        <v>226</v>
      </c>
      <c r="EZ191" t="s">
        <v>244</v>
      </c>
      <c r="FA191" t="s">
        <v>226</v>
      </c>
      <c r="FB191" t="s">
        <v>265</v>
      </c>
      <c r="FC191" t="s">
        <v>236</v>
      </c>
      <c r="FE191" t="s">
        <v>226</v>
      </c>
      <c r="FF191" t="s">
        <v>265</v>
      </c>
      <c r="FG191" t="s">
        <v>236</v>
      </c>
      <c r="FJ191" t="s">
        <v>226</v>
      </c>
      <c r="FK191" t="s">
        <v>265</v>
      </c>
      <c r="FL191" t="s">
        <v>226</v>
      </c>
      <c r="FM191" t="s">
        <v>236</v>
      </c>
      <c r="FW191" t="s">
        <v>236</v>
      </c>
      <c r="FZ191" t="s">
        <v>236</v>
      </c>
      <c r="GC191" t="s">
        <v>236</v>
      </c>
      <c r="GF191" t="s">
        <v>236</v>
      </c>
      <c r="GI191" t="s">
        <v>236</v>
      </c>
      <c r="GL191" t="s">
        <v>236</v>
      </c>
      <c r="GO191" t="s">
        <v>226</v>
      </c>
      <c r="GP191" t="s">
        <v>226</v>
      </c>
      <c r="GQ191" t="s">
        <v>267</v>
      </c>
      <c r="GR191" t="s">
        <v>226</v>
      </c>
      <c r="GS191" t="s">
        <v>236</v>
      </c>
      <c r="GU191" t="s">
        <v>236</v>
      </c>
      <c r="GX191" t="s">
        <v>236</v>
      </c>
      <c r="HB191" t="s">
        <v>338</v>
      </c>
      <c r="HC191" t="s">
        <v>510</v>
      </c>
      <c r="HE191">
        <v>82919164</v>
      </c>
      <c r="HF191" t="s">
        <v>511</v>
      </c>
      <c r="HG191" s="2">
        <v>45752.967523148152</v>
      </c>
      <c r="HJ191" t="s">
        <v>248</v>
      </c>
      <c r="HL191" t="s">
        <v>249</v>
      </c>
      <c r="HN191">
        <v>189</v>
      </c>
    </row>
    <row r="192" spans="1:222" x14ac:dyDescent="0.25">
      <c r="A192" s="2">
        <v>45752.769058240738</v>
      </c>
      <c r="B192" s="2">
        <v>45752.772997129628</v>
      </c>
      <c r="C192" t="s">
        <v>385</v>
      </c>
      <c r="D192">
        <v>310</v>
      </c>
      <c r="E192" s="2">
        <v>45730</v>
      </c>
      <c r="F192">
        <v>1</v>
      </c>
      <c r="G192" t="s">
        <v>1268</v>
      </c>
      <c r="H192" t="s">
        <v>375</v>
      </c>
      <c r="I192">
        <v>40</v>
      </c>
      <c r="J192" t="str">
        <f t="shared" si="2"/>
        <v>de 26 a 40 años</v>
      </c>
      <c r="K192" t="s">
        <v>341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291</v>
      </c>
      <c r="R192" t="s">
        <v>226</v>
      </c>
      <c r="T192" t="s">
        <v>227</v>
      </c>
      <c r="V192" t="s">
        <v>228</v>
      </c>
      <c r="W192" t="s">
        <v>229</v>
      </c>
      <c r="X192" t="s">
        <v>230</v>
      </c>
      <c r="Z192" t="s">
        <v>254</v>
      </c>
      <c r="AA192" t="s">
        <v>232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I192" t="s">
        <v>233</v>
      </c>
      <c r="AJ192">
        <v>0</v>
      </c>
      <c r="AK192">
        <v>1</v>
      </c>
      <c r="AL192">
        <v>0</v>
      </c>
      <c r="AM192">
        <v>0</v>
      </c>
      <c r="AN192" t="s">
        <v>300</v>
      </c>
      <c r="AO192" t="s">
        <v>382</v>
      </c>
      <c r="AP192">
        <v>0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X192" t="s">
        <v>226</v>
      </c>
      <c r="AY192" t="s">
        <v>236</v>
      </c>
      <c r="AZ192" t="s">
        <v>259</v>
      </c>
      <c r="BA192" t="s">
        <v>600</v>
      </c>
      <c r="BB192" t="s">
        <v>1558</v>
      </c>
      <c r="BE192" t="s">
        <v>259</v>
      </c>
      <c r="BF192" t="s">
        <v>259</v>
      </c>
      <c r="BG192" t="s">
        <v>259</v>
      </c>
      <c r="BH192" t="s">
        <v>259</v>
      </c>
      <c r="BI192" t="s">
        <v>237</v>
      </c>
      <c r="BJ192" t="s">
        <v>237</v>
      </c>
      <c r="BK192" t="s">
        <v>237</v>
      </c>
      <c r="BL192" t="s">
        <v>240</v>
      </c>
      <c r="BM192" t="s">
        <v>314</v>
      </c>
      <c r="BN192">
        <v>0</v>
      </c>
      <c r="BO192">
        <v>0</v>
      </c>
      <c r="BP192">
        <v>0</v>
      </c>
      <c r="BQ192">
        <v>1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 t="s">
        <v>264</v>
      </c>
      <c r="CB192" t="s">
        <v>264</v>
      </c>
      <c r="CC192" t="s">
        <v>242</v>
      </c>
      <c r="CD192" t="s">
        <v>236</v>
      </c>
      <c r="CE192" t="s">
        <v>236</v>
      </c>
      <c r="EA192" t="s">
        <v>236</v>
      </c>
      <c r="EC192" t="s">
        <v>236</v>
      </c>
      <c r="EE192" t="s">
        <v>236</v>
      </c>
      <c r="EG192" t="s">
        <v>236</v>
      </c>
      <c r="EI192" t="s">
        <v>236</v>
      </c>
      <c r="EK192" t="s">
        <v>236</v>
      </c>
      <c r="EM192" t="s">
        <v>226</v>
      </c>
      <c r="EN192" t="s">
        <v>245</v>
      </c>
      <c r="EO192" t="s">
        <v>226</v>
      </c>
      <c r="EP192" t="s">
        <v>245</v>
      </c>
      <c r="EQ192" t="s">
        <v>226</v>
      </c>
      <c r="ER192" t="s">
        <v>245</v>
      </c>
      <c r="ES192" t="s">
        <v>236</v>
      </c>
      <c r="EU192" t="s">
        <v>236</v>
      </c>
      <c r="EW192" t="s">
        <v>236</v>
      </c>
      <c r="EY192" t="s">
        <v>236</v>
      </c>
      <c r="FA192" t="s">
        <v>236</v>
      </c>
      <c r="FC192" t="s">
        <v>236</v>
      </c>
      <c r="FE192" t="s">
        <v>236</v>
      </c>
      <c r="FG192" t="s">
        <v>236</v>
      </c>
      <c r="FJ192" t="s">
        <v>236</v>
      </c>
      <c r="FM192" t="s">
        <v>236</v>
      </c>
      <c r="FW192" t="s">
        <v>226</v>
      </c>
      <c r="FX192" t="s">
        <v>236</v>
      </c>
      <c r="FZ192" t="s">
        <v>236</v>
      </c>
      <c r="GC192" t="s">
        <v>236</v>
      </c>
      <c r="GF192" t="s">
        <v>226</v>
      </c>
      <c r="GG192" t="s">
        <v>236</v>
      </c>
      <c r="GI192" t="s">
        <v>236</v>
      </c>
      <c r="GL192" t="s">
        <v>236</v>
      </c>
      <c r="GO192" t="s">
        <v>226</v>
      </c>
      <c r="GP192" t="s">
        <v>236</v>
      </c>
      <c r="GR192" t="s">
        <v>236</v>
      </c>
      <c r="GU192" t="s">
        <v>236</v>
      </c>
      <c r="GX192" t="s">
        <v>236</v>
      </c>
      <c r="HB192" t="s">
        <v>1559</v>
      </c>
      <c r="HC192" t="s">
        <v>1560</v>
      </c>
      <c r="HE192">
        <v>82919566</v>
      </c>
      <c r="HF192" t="s">
        <v>1561</v>
      </c>
      <c r="HG192" s="2">
        <v>45752.981261574067</v>
      </c>
      <c r="HJ192" t="s">
        <v>248</v>
      </c>
      <c r="HL192" t="s">
        <v>249</v>
      </c>
      <c r="HN192">
        <v>191</v>
      </c>
    </row>
    <row r="193" spans="1:222" x14ac:dyDescent="0.25">
      <c r="A193" s="2">
        <v>45752.772998437496</v>
      </c>
      <c r="B193" s="2">
        <v>45752.782894768519</v>
      </c>
      <c r="C193" t="s">
        <v>385</v>
      </c>
      <c r="D193">
        <v>307</v>
      </c>
      <c r="E193" s="2">
        <v>45730</v>
      </c>
      <c r="F193">
        <v>1</v>
      </c>
      <c r="G193" t="s">
        <v>1268</v>
      </c>
      <c r="H193" t="s">
        <v>375</v>
      </c>
      <c r="I193">
        <v>45</v>
      </c>
      <c r="J193" t="str">
        <f t="shared" si="2"/>
        <v>de 41 a 55 años</v>
      </c>
      <c r="K193" t="s">
        <v>224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225</v>
      </c>
      <c r="R193" t="s">
        <v>226</v>
      </c>
      <c r="T193" t="s">
        <v>227</v>
      </c>
      <c r="V193" t="s">
        <v>228</v>
      </c>
      <c r="W193" t="s">
        <v>229</v>
      </c>
      <c r="X193" t="s">
        <v>230</v>
      </c>
      <c r="Z193" t="s">
        <v>351</v>
      </c>
      <c r="AA193" t="s">
        <v>352</v>
      </c>
      <c r="AB193">
        <v>1</v>
      </c>
      <c r="AC193">
        <v>0</v>
      </c>
      <c r="AD193">
        <v>0</v>
      </c>
      <c r="AE193">
        <v>0</v>
      </c>
      <c r="AF193">
        <v>1</v>
      </c>
      <c r="AG193">
        <v>0</v>
      </c>
      <c r="AI193" t="s">
        <v>233</v>
      </c>
      <c r="AJ193">
        <v>0</v>
      </c>
      <c r="AK193">
        <v>1</v>
      </c>
      <c r="AL193">
        <v>0</v>
      </c>
      <c r="AM193">
        <v>0</v>
      </c>
      <c r="AN193" t="s">
        <v>257</v>
      </c>
      <c r="AO193" t="s">
        <v>454</v>
      </c>
      <c r="AP193">
        <v>0</v>
      </c>
      <c r="AQ193">
        <v>0</v>
      </c>
      <c r="AR193">
        <v>1</v>
      </c>
      <c r="AS193">
        <v>0</v>
      </c>
      <c r="AT193">
        <v>0</v>
      </c>
      <c r="AU193">
        <v>1</v>
      </c>
      <c r="AV193">
        <v>0</v>
      </c>
      <c r="AX193" t="s">
        <v>236</v>
      </c>
      <c r="AZ193" t="s">
        <v>237</v>
      </c>
      <c r="BA193" t="s">
        <v>1547</v>
      </c>
      <c r="BB193" t="s">
        <v>509</v>
      </c>
      <c r="BE193" t="s">
        <v>237</v>
      </c>
      <c r="BF193" t="s">
        <v>237</v>
      </c>
      <c r="BG193" t="s">
        <v>237</v>
      </c>
      <c r="BH193" t="s">
        <v>237</v>
      </c>
      <c r="BI193" t="s">
        <v>362</v>
      </c>
      <c r="BJ193" t="s">
        <v>237</v>
      </c>
      <c r="BK193" t="s">
        <v>237</v>
      </c>
      <c r="BL193" t="s">
        <v>262</v>
      </c>
      <c r="BM193" t="s">
        <v>296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 t="s">
        <v>264</v>
      </c>
      <c r="CB193" t="s">
        <v>264</v>
      </c>
      <c r="CC193" t="s">
        <v>264</v>
      </c>
      <c r="CD193" t="s">
        <v>236</v>
      </c>
      <c r="CE193" t="s">
        <v>236</v>
      </c>
      <c r="EA193" t="s">
        <v>236</v>
      </c>
      <c r="EC193" t="s">
        <v>236</v>
      </c>
      <c r="EE193" t="s">
        <v>236</v>
      </c>
      <c r="EG193" t="s">
        <v>226</v>
      </c>
      <c r="EH193" t="s">
        <v>245</v>
      </c>
      <c r="EI193" t="s">
        <v>236</v>
      </c>
      <c r="EK193" t="s">
        <v>236</v>
      </c>
      <c r="EM193" t="s">
        <v>236</v>
      </c>
      <c r="EO193" t="s">
        <v>236</v>
      </c>
      <c r="EQ193" t="s">
        <v>236</v>
      </c>
      <c r="ES193" t="s">
        <v>236</v>
      </c>
      <c r="EU193" t="s">
        <v>236</v>
      </c>
      <c r="EW193" t="s">
        <v>236</v>
      </c>
      <c r="EY193" t="s">
        <v>236</v>
      </c>
      <c r="FA193" t="s">
        <v>226</v>
      </c>
      <c r="FB193" t="s">
        <v>245</v>
      </c>
      <c r="FC193" t="s">
        <v>236</v>
      </c>
      <c r="FE193" t="s">
        <v>226</v>
      </c>
      <c r="FF193" t="s">
        <v>245</v>
      </c>
      <c r="FG193" t="s">
        <v>236</v>
      </c>
      <c r="FJ193" t="s">
        <v>226</v>
      </c>
      <c r="FK193" t="s">
        <v>245</v>
      </c>
      <c r="FL193" t="s">
        <v>236</v>
      </c>
      <c r="FM193" t="s">
        <v>236</v>
      </c>
      <c r="FW193" t="s">
        <v>226</v>
      </c>
      <c r="FX193" t="s">
        <v>236</v>
      </c>
      <c r="FZ193" t="s">
        <v>236</v>
      </c>
      <c r="GC193" t="s">
        <v>236</v>
      </c>
      <c r="GF193" t="s">
        <v>226</v>
      </c>
      <c r="GG193" t="s">
        <v>236</v>
      </c>
      <c r="GI193" t="s">
        <v>236</v>
      </c>
      <c r="GL193" t="s">
        <v>236</v>
      </c>
      <c r="GO193" t="s">
        <v>226</v>
      </c>
      <c r="GP193" t="s">
        <v>236</v>
      </c>
      <c r="GR193" t="s">
        <v>226</v>
      </c>
      <c r="GS193" t="s">
        <v>236</v>
      </c>
      <c r="GU193" t="s">
        <v>226</v>
      </c>
      <c r="GV193" t="s">
        <v>236</v>
      </c>
      <c r="GX193" t="s">
        <v>236</v>
      </c>
      <c r="HB193" t="s">
        <v>1548</v>
      </c>
      <c r="HC193" t="s">
        <v>1549</v>
      </c>
      <c r="HE193">
        <v>82919879</v>
      </c>
      <c r="HF193" t="s">
        <v>1550</v>
      </c>
      <c r="HG193" s="2">
        <v>45752.991168981483</v>
      </c>
      <c r="HJ193" t="s">
        <v>248</v>
      </c>
      <c r="HL193" t="s">
        <v>249</v>
      </c>
      <c r="HN193">
        <v>192</v>
      </c>
    </row>
    <row r="194" spans="1:222" x14ac:dyDescent="0.25">
      <c r="A194" s="2">
        <v>45752.782895625001</v>
      </c>
      <c r="B194" s="2">
        <v>45752.788992893518</v>
      </c>
      <c r="C194" t="s">
        <v>385</v>
      </c>
      <c r="D194">
        <v>306</v>
      </c>
      <c r="E194" s="2">
        <v>45730</v>
      </c>
      <c r="F194">
        <v>1</v>
      </c>
      <c r="G194" t="s">
        <v>1268</v>
      </c>
      <c r="H194" t="s">
        <v>375</v>
      </c>
      <c r="I194">
        <v>57</v>
      </c>
      <c r="J194" t="str">
        <f t="shared" ref="J194:J257" si="3">IF(AND(I194&gt;=18,I194&lt;=25), "de 18 a 25 años",IF(AND(I194&gt;=26,I194&lt;=40),"de 26 a 40 años",IF(AND(I194&gt;=41,I194&lt;=55),"de 41 a 55 años","de 56 a más")))</f>
        <v>de 56 a más</v>
      </c>
      <c r="K194" t="s">
        <v>341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291</v>
      </c>
      <c r="R194" t="s">
        <v>226</v>
      </c>
      <c r="T194" t="s">
        <v>227</v>
      </c>
      <c r="V194" t="s">
        <v>228</v>
      </c>
      <c r="W194" t="s">
        <v>229</v>
      </c>
      <c r="X194" t="s">
        <v>368</v>
      </c>
      <c r="Z194" t="s">
        <v>231</v>
      </c>
      <c r="AA194" t="s">
        <v>232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I194" t="s">
        <v>233</v>
      </c>
      <c r="AJ194">
        <v>0</v>
      </c>
      <c r="AK194">
        <v>1</v>
      </c>
      <c r="AL194">
        <v>0</v>
      </c>
      <c r="AM194">
        <v>0</v>
      </c>
      <c r="AN194" t="s">
        <v>257</v>
      </c>
      <c r="AO194" t="s">
        <v>382</v>
      </c>
      <c r="AP194">
        <v>0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X194" t="s">
        <v>226</v>
      </c>
      <c r="AY194" t="s">
        <v>226</v>
      </c>
      <c r="AZ194" t="s">
        <v>237</v>
      </c>
      <c r="BA194" t="s">
        <v>1388</v>
      </c>
      <c r="BB194" t="s">
        <v>1541</v>
      </c>
      <c r="BE194" t="s">
        <v>237</v>
      </c>
      <c r="BF194" t="s">
        <v>259</v>
      </c>
      <c r="BG194" t="s">
        <v>237</v>
      </c>
      <c r="BH194" t="s">
        <v>237</v>
      </c>
      <c r="BI194" t="s">
        <v>237</v>
      </c>
      <c r="BJ194" t="s">
        <v>259</v>
      </c>
      <c r="BK194" t="s">
        <v>259</v>
      </c>
      <c r="BL194" t="s">
        <v>262</v>
      </c>
      <c r="BM194" t="s">
        <v>296</v>
      </c>
      <c r="BN194">
        <v>0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 t="s">
        <v>264</v>
      </c>
      <c r="CB194" t="s">
        <v>243</v>
      </c>
      <c r="CC194" t="s">
        <v>243</v>
      </c>
      <c r="CD194" t="s">
        <v>236</v>
      </c>
      <c r="CE194" t="s">
        <v>236</v>
      </c>
      <c r="EA194" t="s">
        <v>226</v>
      </c>
      <c r="EB194" t="s">
        <v>245</v>
      </c>
      <c r="EC194" t="s">
        <v>236</v>
      </c>
      <c r="EE194" t="s">
        <v>236</v>
      </c>
      <c r="EG194" t="s">
        <v>226</v>
      </c>
      <c r="EH194" t="s">
        <v>265</v>
      </c>
      <c r="EI194" t="s">
        <v>236</v>
      </c>
      <c r="EK194" t="s">
        <v>236</v>
      </c>
      <c r="EM194" t="s">
        <v>236</v>
      </c>
      <c r="EO194" t="s">
        <v>236</v>
      </c>
      <c r="EQ194" t="s">
        <v>236</v>
      </c>
      <c r="ES194" t="s">
        <v>236</v>
      </c>
      <c r="EU194" t="s">
        <v>236</v>
      </c>
      <c r="EW194" t="s">
        <v>236</v>
      </c>
      <c r="EY194" t="s">
        <v>236</v>
      </c>
      <c r="FA194" t="s">
        <v>226</v>
      </c>
      <c r="FB194" t="s">
        <v>265</v>
      </c>
      <c r="FC194" t="s">
        <v>236</v>
      </c>
      <c r="FE194" t="s">
        <v>226</v>
      </c>
      <c r="FF194" t="s">
        <v>265</v>
      </c>
      <c r="FG194" t="s">
        <v>226</v>
      </c>
      <c r="FH194" t="s">
        <v>1542</v>
      </c>
      <c r="FI194" t="s">
        <v>244</v>
      </c>
      <c r="FJ194" t="s">
        <v>226</v>
      </c>
      <c r="FK194" t="s">
        <v>245</v>
      </c>
      <c r="FL194" t="s">
        <v>226</v>
      </c>
      <c r="FM194" t="s">
        <v>236</v>
      </c>
      <c r="FW194" t="s">
        <v>226</v>
      </c>
      <c r="FX194" t="s">
        <v>236</v>
      </c>
      <c r="FZ194" t="s">
        <v>236</v>
      </c>
      <c r="GC194" t="s">
        <v>236</v>
      </c>
      <c r="GF194" t="s">
        <v>226</v>
      </c>
      <c r="GG194" t="s">
        <v>236</v>
      </c>
      <c r="GI194" t="s">
        <v>236</v>
      </c>
      <c r="GL194" t="s">
        <v>236</v>
      </c>
      <c r="GO194" t="s">
        <v>236</v>
      </c>
      <c r="GR194" t="s">
        <v>226</v>
      </c>
      <c r="GS194" t="s">
        <v>236</v>
      </c>
      <c r="GU194" t="s">
        <v>226</v>
      </c>
      <c r="GV194" t="s">
        <v>236</v>
      </c>
      <c r="GX194" t="s">
        <v>236</v>
      </c>
      <c r="HB194" t="s">
        <v>1543</v>
      </c>
      <c r="HC194" t="s">
        <v>1544</v>
      </c>
      <c r="HD194" t="s">
        <v>1545</v>
      </c>
      <c r="HE194">
        <v>82920042</v>
      </c>
      <c r="HF194" t="s">
        <v>1546</v>
      </c>
      <c r="HG194" s="2">
        <v>45752.99726851852</v>
      </c>
      <c r="HJ194" t="s">
        <v>248</v>
      </c>
      <c r="HL194" t="s">
        <v>249</v>
      </c>
      <c r="HN194">
        <v>193</v>
      </c>
    </row>
    <row r="195" spans="1:222" x14ac:dyDescent="0.25">
      <c r="A195" s="2">
        <v>45752.788994872688</v>
      </c>
      <c r="B195" s="2">
        <v>45752.817339733803</v>
      </c>
      <c r="C195" t="s">
        <v>385</v>
      </c>
      <c r="D195">
        <v>304</v>
      </c>
      <c r="E195" s="2">
        <v>45730</v>
      </c>
      <c r="F195">
        <v>1</v>
      </c>
      <c r="G195" t="s">
        <v>1514</v>
      </c>
      <c r="H195" t="s">
        <v>375</v>
      </c>
      <c r="I195">
        <v>28</v>
      </c>
      <c r="J195" t="str">
        <f t="shared" si="3"/>
        <v>de 26 a 40 años</v>
      </c>
      <c r="K195" t="s">
        <v>224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225</v>
      </c>
      <c r="R195" t="s">
        <v>226</v>
      </c>
      <c r="T195" t="s">
        <v>227</v>
      </c>
      <c r="V195" t="s">
        <v>228</v>
      </c>
      <c r="W195" t="s">
        <v>292</v>
      </c>
      <c r="X195" t="s">
        <v>253</v>
      </c>
      <c r="Z195" t="s">
        <v>231</v>
      </c>
      <c r="AA195" t="s">
        <v>352</v>
      </c>
      <c r="AB195">
        <v>1</v>
      </c>
      <c r="AC195">
        <v>0</v>
      </c>
      <c r="AD195">
        <v>0</v>
      </c>
      <c r="AE195">
        <v>0</v>
      </c>
      <c r="AF195">
        <v>1</v>
      </c>
      <c r="AG195">
        <v>0</v>
      </c>
      <c r="AI195" t="s">
        <v>256</v>
      </c>
      <c r="AJ195">
        <v>0</v>
      </c>
      <c r="AK195">
        <v>0</v>
      </c>
      <c r="AL195">
        <v>1</v>
      </c>
      <c r="AM195">
        <v>0</v>
      </c>
      <c r="AN195" t="s">
        <v>300</v>
      </c>
      <c r="AO195" t="s">
        <v>382</v>
      </c>
      <c r="AP195">
        <v>0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X195" t="s">
        <v>226</v>
      </c>
      <c r="AY195" t="s">
        <v>236</v>
      </c>
      <c r="AZ195" t="s">
        <v>237</v>
      </c>
      <c r="BA195" t="s">
        <v>1534</v>
      </c>
      <c r="BE195" t="s">
        <v>237</v>
      </c>
      <c r="BF195" t="s">
        <v>237</v>
      </c>
      <c r="BG195" t="s">
        <v>237</v>
      </c>
      <c r="BH195" t="s">
        <v>237</v>
      </c>
      <c r="BI195" t="s">
        <v>259</v>
      </c>
      <c r="BJ195" t="s">
        <v>237</v>
      </c>
      <c r="BK195" t="s">
        <v>259</v>
      </c>
      <c r="BL195" t="s">
        <v>240</v>
      </c>
      <c r="BM195" t="s">
        <v>278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1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 t="s">
        <v>264</v>
      </c>
      <c r="CB195" t="s">
        <v>328</v>
      </c>
      <c r="CC195" t="s">
        <v>264</v>
      </c>
      <c r="CD195" t="s">
        <v>236</v>
      </c>
      <c r="CE195" t="s">
        <v>236</v>
      </c>
      <c r="EA195" t="s">
        <v>236</v>
      </c>
      <c r="EC195" t="s">
        <v>236</v>
      </c>
      <c r="EE195" t="s">
        <v>226</v>
      </c>
      <c r="EF195" t="s">
        <v>244</v>
      </c>
      <c r="EG195" t="s">
        <v>236</v>
      </c>
      <c r="EI195" t="s">
        <v>236</v>
      </c>
      <c r="EK195" t="s">
        <v>236</v>
      </c>
      <c r="EM195" t="s">
        <v>236</v>
      </c>
      <c r="EO195" t="s">
        <v>236</v>
      </c>
      <c r="EQ195" t="s">
        <v>236</v>
      </c>
      <c r="ES195" t="s">
        <v>236</v>
      </c>
      <c r="EU195" t="s">
        <v>226</v>
      </c>
      <c r="EV195" t="s">
        <v>245</v>
      </c>
      <c r="EW195" t="s">
        <v>236</v>
      </c>
      <c r="EY195" t="s">
        <v>236</v>
      </c>
      <c r="FA195" t="s">
        <v>236</v>
      </c>
      <c r="FC195" t="s">
        <v>236</v>
      </c>
      <c r="FE195" t="s">
        <v>226</v>
      </c>
      <c r="FF195" t="s">
        <v>245</v>
      </c>
      <c r="FG195" t="s">
        <v>236</v>
      </c>
      <c r="FJ195" t="s">
        <v>226</v>
      </c>
      <c r="FK195" t="s">
        <v>245</v>
      </c>
      <c r="FL195" t="s">
        <v>236</v>
      </c>
      <c r="FM195" t="s">
        <v>236</v>
      </c>
      <c r="FW195" t="s">
        <v>226</v>
      </c>
      <c r="FX195" t="s">
        <v>226</v>
      </c>
      <c r="FY195" t="s">
        <v>266</v>
      </c>
      <c r="FZ195" t="s">
        <v>226</v>
      </c>
      <c r="GA195" t="s">
        <v>226</v>
      </c>
      <c r="GB195" t="s">
        <v>266</v>
      </c>
      <c r="GC195" t="s">
        <v>236</v>
      </c>
      <c r="GF195" t="s">
        <v>226</v>
      </c>
      <c r="GG195" t="s">
        <v>226</v>
      </c>
      <c r="GH195" t="s">
        <v>266</v>
      </c>
      <c r="GI195" t="s">
        <v>236</v>
      </c>
      <c r="GL195" t="s">
        <v>236</v>
      </c>
      <c r="GO195" t="s">
        <v>226</v>
      </c>
      <c r="GP195" t="s">
        <v>226</v>
      </c>
      <c r="GQ195" t="s">
        <v>266</v>
      </c>
      <c r="GR195" t="s">
        <v>226</v>
      </c>
      <c r="GS195" t="s">
        <v>226</v>
      </c>
      <c r="GT195" t="s">
        <v>266</v>
      </c>
      <c r="GU195" t="s">
        <v>236</v>
      </c>
      <c r="GX195" t="s">
        <v>236</v>
      </c>
      <c r="HB195" t="s">
        <v>338</v>
      </c>
      <c r="HC195" t="s">
        <v>339</v>
      </c>
      <c r="HE195">
        <v>82920467</v>
      </c>
      <c r="HF195" t="s">
        <v>1535</v>
      </c>
      <c r="HG195" s="2">
        <v>45753.025601851848</v>
      </c>
      <c r="HJ195" t="s">
        <v>248</v>
      </c>
      <c r="HL195" t="s">
        <v>249</v>
      </c>
      <c r="HN195">
        <v>194</v>
      </c>
    </row>
    <row r="196" spans="1:222" x14ac:dyDescent="0.25">
      <c r="A196" s="2">
        <v>45752.817341319453</v>
      </c>
      <c r="B196" s="2">
        <v>45752.823681168979</v>
      </c>
      <c r="C196" t="s">
        <v>385</v>
      </c>
      <c r="D196">
        <v>303</v>
      </c>
      <c r="E196" s="2">
        <v>45730</v>
      </c>
      <c r="F196">
        <v>1</v>
      </c>
      <c r="G196" t="s">
        <v>375</v>
      </c>
      <c r="H196" t="s">
        <v>1514</v>
      </c>
      <c r="I196">
        <v>67</v>
      </c>
      <c r="J196" t="str">
        <f t="shared" si="3"/>
        <v>de 56 a más</v>
      </c>
      <c r="K196" t="s">
        <v>341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291</v>
      </c>
      <c r="R196" t="s">
        <v>226</v>
      </c>
      <c r="T196" t="s">
        <v>227</v>
      </c>
      <c r="V196" t="s">
        <v>228</v>
      </c>
      <c r="W196" t="s">
        <v>229</v>
      </c>
      <c r="X196" t="s">
        <v>368</v>
      </c>
      <c r="Z196" t="s">
        <v>308</v>
      </c>
      <c r="AA196" t="s">
        <v>616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 t="s">
        <v>897</v>
      </c>
      <c r="AI196" t="s">
        <v>233</v>
      </c>
      <c r="AJ196">
        <v>0</v>
      </c>
      <c r="AK196">
        <v>1</v>
      </c>
      <c r="AL196">
        <v>0</v>
      </c>
      <c r="AM196">
        <v>0</v>
      </c>
      <c r="AN196" t="s">
        <v>257</v>
      </c>
      <c r="AO196" t="s">
        <v>369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 t="s">
        <v>1515</v>
      </c>
      <c r="AX196" t="s">
        <v>226</v>
      </c>
      <c r="AY196" t="s">
        <v>226</v>
      </c>
      <c r="AZ196" t="s">
        <v>259</v>
      </c>
      <c r="BA196" t="s">
        <v>1531</v>
      </c>
      <c r="BE196" t="s">
        <v>237</v>
      </c>
      <c r="BF196" t="s">
        <v>237</v>
      </c>
      <c r="BG196" t="s">
        <v>259</v>
      </c>
      <c r="BH196" t="s">
        <v>308</v>
      </c>
      <c r="BI196" t="s">
        <v>308</v>
      </c>
      <c r="BJ196" t="s">
        <v>237</v>
      </c>
      <c r="BK196" t="s">
        <v>259</v>
      </c>
      <c r="BL196" t="s">
        <v>313</v>
      </c>
      <c r="BM196" t="s">
        <v>415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 t="s">
        <v>264</v>
      </c>
      <c r="CB196" t="s">
        <v>328</v>
      </c>
      <c r="CC196" t="s">
        <v>264</v>
      </c>
      <c r="CD196" t="s">
        <v>236</v>
      </c>
      <c r="CE196" t="s">
        <v>236</v>
      </c>
      <c r="EA196" t="s">
        <v>226</v>
      </c>
      <c r="EB196" t="s">
        <v>244</v>
      </c>
      <c r="EC196" t="s">
        <v>226</v>
      </c>
      <c r="ED196" t="s">
        <v>245</v>
      </c>
      <c r="EE196" t="s">
        <v>236</v>
      </c>
      <c r="EG196" t="s">
        <v>236</v>
      </c>
      <c r="EI196" t="s">
        <v>236</v>
      </c>
      <c r="EK196" t="s">
        <v>226</v>
      </c>
      <c r="EL196" t="s">
        <v>245</v>
      </c>
      <c r="EM196" t="s">
        <v>236</v>
      </c>
      <c r="EO196" t="s">
        <v>226</v>
      </c>
      <c r="EP196" t="s">
        <v>244</v>
      </c>
      <c r="EQ196" t="s">
        <v>236</v>
      </c>
      <c r="ES196" t="s">
        <v>236</v>
      </c>
      <c r="EU196" t="s">
        <v>236</v>
      </c>
      <c r="EW196" t="s">
        <v>226</v>
      </c>
      <c r="EX196" t="s">
        <v>244</v>
      </c>
      <c r="EY196" t="s">
        <v>226</v>
      </c>
      <c r="EZ196" t="s">
        <v>245</v>
      </c>
      <c r="FA196" t="s">
        <v>236</v>
      </c>
      <c r="FC196" t="s">
        <v>236</v>
      </c>
      <c r="FE196" t="s">
        <v>236</v>
      </c>
      <c r="FG196" t="s">
        <v>236</v>
      </c>
      <c r="FJ196" t="s">
        <v>226</v>
      </c>
      <c r="FK196" t="s">
        <v>244</v>
      </c>
      <c r="FL196" t="s">
        <v>236</v>
      </c>
      <c r="FM196" t="s">
        <v>236</v>
      </c>
      <c r="FW196" t="s">
        <v>226</v>
      </c>
      <c r="FX196" t="s">
        <v>226</v>
      </c>
      <c r="FY196" t="s">
        <v>267</v>
      </c>
      <c r="FZ196" t="s">
        <v>226</v>
      </c>
      <c r="GA196" t="s">
        <v>236</v>
      </c>
      <c r="GC196" t="s">
        <v>236</v>
      </c>
      <c r="GF196" t="s">
        <v>226</v>
      </c>
      <c r="GG196" t="s">
        <v>226</v>
      </c>
      <c r="GH196" t="s">
        <v>266</v>
      </c>
      <c r="GI196" t="s">
        <v>236</v>
      </c>
      <c r="GL196" t="s">
        <v>226</v>
      </c>
      <c r="GM196" t="s">
        <v>236</v>
      </c>
      <c r="GO196" t="s">
        <v>226</v>
      </c>
      <c r="GP196" t="s">
        <v>226</v>
      </c>
      <c r="GQ196" t="s">
        <v>267</v>
      </c>
      <c r="GR196" t="s">
        <v>226</v>
      </c>
      <c r="GS196" t="s">
        <v>226</v>
      </c>
      <c r="GT196" t="s">
        <v>267</v>
      </c>
      <c r="GU196" t="s">
        <v>236</v>
      </c>
      <c r="GX196" t="s">
        <v>236</v>
      </c>
      <c r="HB196" t="s">
        <v>1525</v>
      </c>
      <c r="HC196" t="s">
        <v>442</v>
      </c>
      <c r="HD196" t="s">
        <v>1532</v>
      </c>
      <c r="HE196">
        <v>82920554</v>
      </c>
      <c r="HF196" t="s">
        <v>1533</v>
      </c>
      <c r="HG196" s="2">
        <v>45753.031944444447</v>
      </c>
      <c r="HJ196" t="s">
        <v>248</v>
      </c>
      <c r="HL196" t="s">
        <v>249</v>
      </c>
      <c r="HN196">
        <v>195</v>
      </c>
    </row>
    <row r="197" spans="1:222" x14ac:dyDescent="0.25">
      <c r="A197" s="2">
        <v>45752.823683229173</v>
      </c>
      <c r="B197" s="2">
        <v>45752.831312025461</v>
      </c>
      <c r="C197" t="s">
        <v>385</v>
      </c>
      <c r="D197">
        <v>301</v>
      </c>
      <c r="E197" s="2">
        <v>45730</v>
      </c>
      <c r="F197">
        <v>1</v>
      </c>
      <c r="G197" t="s">
        <v>1514</v>
      </c>
      <c r="H197" t="s">
        <v>375</v>
      </c>
      <c r="I197">
        <v>68</v>
      </c>
      <c r="J197" t="str">
        <f t="shared" si="3"/>
        <v>de 56 a más</v>
      </c>
      <c r="K197" t="s">
        <v>341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291</v>
      </c>
      <c r="R197" t="s">
        <v>226</v>
      </c>
      <c r="T197" t="s">
        <v>227</v>
      </c>
      <c r="V197" t="s">
        <v>228</v>
      </c>
      <c r="W197" t="s">
        <v>229</v>
      </c>
      <c r="X197" t="s">
        <v>368</v>
      </c>
      <c r="Z197" t="s">
        <v>273</v>
      </c>
      <c r="AA197" t="s">
        <v>896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1</v>
      </c>
      <c r="AH197" t="s">
        <v>310</v>
      </c>
      <c r="AI197" t="s">
        <v>233</v>
      </c>
      <c r="AJ197">
        <v>0</v>
      </c>
      <c r="AK197">
        <v>1</v>
      </c>
      <c r="AL197">
        <v>0</v>
      </c>
      <c r="AM197">
        <v>0</v>
      </c>
      <c r="AN197" t="s">
        <v>300</v>
      </c>
      <c r="AO197" t="s">
        <v>382</v>
      </c>
      <c r="AP197">
        <v>0</v>
      </c>
      <c r="AQ197">
        <v>0</v>
      </c>
      <c r="AR197">
        <v>1</v>
      </c>
      <c r="AS197">
        <v>0</v>
      </c>
      <c r="AT197">
        <v>0</v>
      </c>
      <c r="AU197">
        <v>0</v>
      </c>
      <c r="AV197">
        <v>0</v>
      </c>
      <c r="AX197" t="s">
        <v>226</v>
      </c>
      <c r="AY197" t="s">
        <v>226</v>
      </c>
      <c r="AZ197" t="s">
        <v>237</v>
      </c>
      <c r="BA197" t="s">
        <v>1524</v>
      </c>
      <c r="BE197" t="s">
        <v>237</v>
      </c>
      <c r="BF197" t="s">
        <v>237</v>
      </c>
      <c r="BG197" t="s">
        <v>237</v>
      </c>
      <c r="BH197" t="s">
        <v>239</v>
      </c>
      <c r="BI197" t="s">
        <v>239</v>
      </c>
      <c r="BJ197" t="s">
        <v>237</v>
      </c>
      <c r="BK197" t="s">
        <v>239</v>
      </c>
      <c r="BL197" t="s">
        <v>240</v>
      </c>
      <c r="BM197" t="s">
        <v>278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1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 t="s">
        <v>243</v>
      </c>
      <c r="CB197" t="s">
        <v>328</v>
      </c>
      <c r="CC197" t="s">
        <v>264</v>
      </c>
      <c r="CD197" t="s">
        <v>236</v>
      </c>
      <c r="CE197" t="s">
        <v>236</v>
      </c>
      <c r="EA197" t="s">
        <v>236</v>
      </c>
      <c r="EC197" t="s">
        <v>236</v>
      </c>
      <c r="EE197" t="s">
        <v>236</v>
      </c>
      <c r="EG197" t="s">
        <v>236</v>
      </c>
      <c r="EI197" t="s">
        <v>236</v>
      </c>
      <c r="EK197" t="s">
        <v>236</v>
      </c>
      <c r="EM197" t="s">
        <v>236</v>
      </c>
      <c r="EO197" t="s">
        <v>236</v>
      </c>
      <c r="EQ197" t="s">
        <v>236</v>
      </c>
      <c r="ES197" t="s">
        <v>236</v>
      </c>
      <c r="EU197" t="s">
        <v>236</v>
      </c>
      <c r="EW197" t="s">
        <v>236</v>
      </c>
      <c r="EY197" t="s">
        <v>236</v>
      </c>
      <c r="FA197" t="s">
        <v>226</v>
      </c>
      <c r="FB197" t="s">
        <v>244</v>
      </c>
      <c r="FC197" t="s">
        <v>236</v>
      </c>
      <c r="FE197" t="s">
        <v>236</v>
      </c>
      <c r="FG197" t="s">
        <v>236</v>
      </c>
      <c r="FJ197" t="s">
        <v>226</v>
      </c>
      <c r="FK197" t="s">
        <v>245</v>
      </c>
      <c r="FL197" t="s">
        <v>236</v>
      </c>
      <c r="FM197" t="s">
        <v>236</v>
      </c>
      <c r="FW197" t="s">
        <v>226</v>
      </c>
      <c r="FX197" t="s">
        <v>236</v>
      </c>
      <c r="FZ197" t="s">
        <v>226</v>
      </c>
      <c r="GA197" t="s">
        <v>236</v>
      </c>
      <c r="GC197" t="s">
        <v>236</v>
      </c>
      <c r="GF197" t="s">
        <v>236</v>
      </c>
      <c r="GI197" t="s">
        <v>236</v>
      </c>
      <c r="GL197" t="s">
        <v>226</v>
      </c>
      <c r="GM197" t="s">
        <v>236</v>
      </c>
      <c r="GO197" t="s">
        <v>226</v>
      </c>
      <c r="GP197" t="s">
        <v>226</v>
      </c>
      <c r="GQ197" t="s">
        <v>267</v>
      </c>
      <c r="GR197" t="s">
        <v>226</v>
      </c>
      <c r="GS197" t="s">
        <v>236</v>
      </c>
      <c r="GU197" t="s">
        <v>236</v>
      </c>
      <c r="GX197" t="s">
        <v>236</v>
      </c>
      <c r="HB197" t="s">
        <v>1525</v>
      </c>
      <c r="HC197" t="s">
        <v>1526</v>
      </c>
      <c r="HE197">
        <v>82920759</v>
      </c>
      <c r="HF197" t="s">
        <v>1527</v>
      </c>
      <c r="HG197" s="2">
        <v>45753.039571759262</v>
      </c>
      <c r="HJ197" t="s">
        <v>248</v>
      </c>
      <c r="HL197" t="s">
        <v>249</v>
      </c>
      <c r="HN197">
        <v>196</v>
      </c>
    </row>
    <row r="198" spans="1:222" x14ac:dyDescent="0.25">
      <c r="A198" s="2">
        <v>45752.831313645831</v>
      </c>
      <c r="B198" s="2">
        <v>45752.836256863433</v>
      </c>
      <c r="C198" t="s">
        <v>385</v>
      </c>
      <c r="D198">
        <v>300</v>
      </c>
      <c r="E198" s="2">
        <v>45730</v>
      </c>
      <c r="F198">
        <v>1</v>
      </c>
      <c r="G198" t="s">
        <v>1514</v>
      </c>
      <c r="H198" t="s">
        <v>375</v>
      </c>
      <c r="I198">
        <v>84</v>
      </c>
      <c r="J198" t="str">
        <f t="shared" si="3"/>
        <v>de 56 a más</v>
      </c>
      <c r="K198" t="s">
        <v>341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225</v>
      </c>
      <c r="R198" t="s">
        <v>236</v>
      </c>
      <c r="S198" t="s">
        <v>2163</v>
      </c>
      <c r="T198" t="s">
        <v>227</v>
      </c>
      <c r="V198" t="s">
        <v>228</v>
      </c>
      <c r="W198" t="s">
        <v>229</v>
      </c>
      <c r="X198" t="s">
        <v>368</v>
      </c>
      <c r="Z198" t="s">
        <v>351</v>
      </c>
      <c r="AA198" t="s">
        <v>616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 t="s">
        <v>897</v>
      </c>
      <c r="AI198" t="s">
        <v>233</v>
      </c>
      <c r="AJ198">
        <v>0</v>
      </c>
      <c r="AK198">
        <v>1</v>
      </c>
      <c r="AL198">
        <v>0</v>
      </c>
      <c r="AM198">
        <v>0</v>
      </c>
      <c r="AN198" t="s">
        <v>300</v>
      </c>
      <c r="AO198" t="s">
        <v>369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1</v>
      </c>
      <c r="AW198" t="s">
        <v>884</v>
      </c>
      <c r="AX198" t="s">
        <v>236</v>
      </c>
      <c r="AZ198" t="s">
        <v>237</v>
      </c>
      <c r="BA198" t="s">
        <v>1522</v>
      </c>
      <c r="BE198" t="s">
        <v>237</v>
      </c>
      <c r="BF198" t="s">
        <v>237</v>
      </c>
      <c r="BG198" t="s">
        <v>237</v>
      </c>
      <c r="BH198" t="s">
        <v>237</v>
      </c>
      <c r="BI198" t="s">
        <v>237</v>
      </c>
      <c r="BJ198" t="s">
        <v>237</v>
      </c>
      <c r="BK198" t="s">
        <v>259</v>
      </c>
      <c r="BL198" t="s">
        <v>262</v>
      </c>
      <c r="BM198" t="s">
        <v>365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 t="s">
        <v>264</v>
      </c>
      <c r="CB198" t="s">
        <v>264</v>
      </c>
      <c r="CC198" t="s">
        <v>264</v>
      </c>
      <c r="CD198" t="s">
        <v>236</v>
      </c>
      <c r="CE198" t="s">
        <v>236</v>
      </c>
      <c r="EA198" t="s">
        <v>236</v>
      </c>
      <c r="EC198" t="s">
        <v>236</v>
      </c>
      <c r="EE198" t="s">
        <v>226</v>
      </c>
      <c r="EF198" t="s">
        <v>245</v>
      </c>
      <c r="EG198" t="s">
        <v>226</v>
      </c>
      <c r="EH198" t="s">
        <v>245</v>
      </c>
      <c r="EI198" t="s">
        <v>236</v>
      </c>
      <c r="EK198" t="s">
        <v>236</v>
      </c>
      <c r="EM198" t="s">
        <v>226</v>
      </c>
      <c r="EN198" t="s">
        <v>245</v>
      </c>
      <c r="EO198" t="s">
        <v>236</v>
      </c>
      <c r="EQ198" t="s">
        <v>236</v>
      </c>
      <c r="ES198" t="s">
        <v>236</v>
      </c>
      <c r="EU198" t="s">
        <v>236</v>
      </c>
      <c r="EW198" t="s">
        <v>226</v>
      </c>
      <c r="EX198" t="s">
        <v>245</v>
      </c>
      <c r="EY198" t="s">
        <v>236</v>
      </c>
      <c r="FA198" t="s">
        <v>226</v>
      </c>
      <c r="FB198" t="s">
        <v>245</v>
      </c>
      <c r="FC198" t="s">
        <v>236</v>
      </c>
      <c r="FE198" t="s">
        <v>226</v>
      </c>
      <c r="FF198" t="s">
        <v>245</v>
      </c>
      <c r="FG198" t="s">
        <v>236</v>
      </c>
      <c r="FJ198" t="s">
        <v>226</v>
      </c>
      <c r="FK198" t="s">
        <v>244</v>
      </c>
      <c r="FL198" t="s">
        <v>236</v>
      </c>
      <c r="FM198" t="s">
        <v>236</v>
      </c>
      <c r="FW198" t="s">
        <v>226</v>
      </c>
      <c r="FX198" t="s">
        <v>226</v>
      </c>
      <c r="FY198" t="s">
        <v>266</v>
      </c>
      <c r="FZ198" t="s">
        <v>226</v>
      </c>
      <c r="GA198" t="s">
        <v>236</v>
      </c>
      <c r="GC198" t="s">
        <v>236</v>
      </c>
      <c r="GF198" t="s">
        <v>226</v>
      </c>
      <c r="GG198" t="s">
        <v>226</v>
      </c>
      <c r="GH198" t="s">
        <v>266</v>
      </c>
      <c r="GI198" t="s">
        <v>236</v>
      </c>
      <c r="GL198" t="s">
        <v>236</v>
      </c>
      <c r="GO198" t="s">
        <v>226</v>
      </c>
      <c r="GP198" t="s">
        <v>226</v>
      </c>
      <c r="GQ198" t="s">
        <v>266</v>
      </c>
      <c r="GR198" t="s">
        <v>226</v>
      </c>
      <c r="GS198" t="s">
        <v>236</v>
      </c>
      <c r="GU198" t="s">
        <v>236</v>
      </c>
      <c r="GX198" t="s">
        <v>236</v>
      </c>
      <c r="HB198" t="s">
        <v>338</v>
      </c>
      <c r="HE198">
        <v>82920835</v>
      </c>
      <c r="HF198" t="s">
        <v>1523</v>
      </c>
      <c r="HG198" s="2">
        <v>45753.04451388889</v>
      </c>
      <c r="HJ198" t="s">
        <v>248</v>
      </c>
      <c r="HL198" t="s">
        <v>249</v>
      </c>
      <c r="HN198">
        <v>197</v>
      </c>
    </row>
    <row r="199" spans="1:222" x14ac:dyDescent="0.25">
      <c r="A199" s="2">
        <v>45752.836258240743</v>
      </c>
      <c r="B199" s="2">
        <v>45752.840850497683</v>
      </c>
      <c r="C199" t="s">
        <v>385</v>
      </c>
      <c r="D199">
        <v>299</v>
      </c>
      <c r="E199" s="2">
        <v>45730</v>
      </c>
      <c r="F199">
        <v>1</v>
      </c>
      <c r="G199" t="s">
        <v>525</v>
      </c>
      <c r="H199" t="s">
        <v>375</v>
      </c>
      <c r="I199">
        <v>23</v>
      </c>
      <c r="J199" t="str">
        <f t="shared" si="3"/>
        <v>de 18 a 25 años</v>
      </c>
      <c r="K199" t="s">
        <v>224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225</v>
      </c>
      <c r="R199" t="s">
        <v>226</v>
      </c>
      <c r="T199" t="s">
        <v>284</v>
      </c>
      <c r="V199" t="s">
        <v>252</v>
      </c>
      <c r="W199" t="s">
        <v>229</v>
      </c>
      <c r="X199" t="s">
        <v>253</v>
      </c>
      <c r="Z199" t="s">
        <v>254</v>
      </c>
      <c r="AA199" t="s">
        <v>232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I199" t="s">
        <v>256</v>
      </c>
      <c r="AJ199">
        <v>0</v>
      </c>
      <c r="AK199">
        <v>0</v>
      </c>
      <c r="AL199">
        <v>1</v>
      </c>
      <c r="AM199">
        <v>0</v>
      </c>
      <c r="AN199" t="s">
        <v>234</v>
      </c>
      <c r="AO199" t="s">
        <v>539</v>
      </c>
      <c r="AP199">
        <v>1</v>
      </c>
      <c r="AQ199">
        <v>0</v>
      </c>
      <c r="AR199">
        <v>0</v>
      </c>
      <c r="AS199">
        <v>1</v>
      </c>
      <c r="AT199">
        <v>0</v>
      </c>
      <c r="AU199">
        <v>0</v>
      </c>
      <c r="AV199">
        <v>0</v>
      </c>
      <c r="AX199" t="s">
        <v>226</v>
      </c>
      <c r="AY199" t="s">
        <v>226</v>
      </c>
      <c r="AZ199" t="s">
        <v>237</v>
      </c>
      <c r="BA199" t="s">
        <v>1519</v>
      </c>
      <c r="BB199" t="s">
        <v>1520</v>
      </c>
      <c r="BC199" t="s">
        <v>339</v>
      </c>
      <c r="BE199" t="s">
        <v>237</v>
      </c>
      <c r="BF199" t="s">
        <v>237</v>
      </c>
      <c r="BG199" t="s">
        <v>259</v>
      </c>
      <c r="BH199" t="s">
        <v>237</v>
      </c>
      <c r="BI199" t="s">
        <v>237</v>
      </c>
      <c r="BJ199" t="s">
        <v>237</v>
      </c>
      <c r="BK199" t="s">
        <v>237</v>
      </c>
      <c r="BL199" t="s">
        <v>240</v>
      </c>
      <c r="BM199" t="s">
        <v>415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 t="s">
        <v>264</v>
      </c>
      <c r="CB199" t="s">
        <v>264</v>
      </c>
      <c r="CC199" t="s">
        <v>264</v>
      </c>
      <c r="CD199" t="s">
        <v>226</v>
      </c>
      <c r="CE199" t="s">
        <v>236</v>
      </c>
      <c r="EA199" t="s">
        <v>236</v>
      </c>
      <c r="EC199" t="s">
        <v>236</v>
      </c>
      <c r="EE199" t="s">
        <v>236</v>
      </c>
      <c r="EG199" t="s">
        <v>226</v>
      </c>
      <c r="EH199" t="s">
        <v>244</v>
      </c>
      <c r="EI199" t="s">
        <v>226</v>
      </c>
      <c r="EJ199" t="s">
        <v>245</v>
      </c>
      <c r="EK199" t="s">
        <v>236</v>
      </c>
      <c r="EM199" t="s">
        <v>236</v>
      </c>
      <c r="EO199" t="s">
        <v>236</v>
      </c>
      <c r="EQ199" t="s">
        <v>236</v>
      </c>
      <c r="ES199" t="s">
        <v>236</v>
      </c>
      <c r="EU199" t="s">
        <v>236</v>
      </c>
      <c r="EW199" t="s">
        <v>236</v>
      </c>
      <c r="EY199" t="s">
        <v>236</v>
      </c>
      <c r="FA199" t="s">
        <v>236</v>
      </c>
      <c r="FC199" t="s">
        <v>236</v>
      </c>
      <c r="FE199" t="s">
        <v>236</v>
      </c>
      <c r="FG199" t="s">
        <v>236</v>
      </c>
      <c r="FJ199" t="s">
        <v>226</v>
      </c>
      <c r="FK199" t="s">
        <v>244</v>
      </c>
      <c r="FL199" t="s">
        <v>236</v>
      </c>
      <c r="FM199" t="s">
        <v>236</v>
      </c>
      <c r="FW199" t="s">
        <v>226</v>
      </c>
      <c r="FX199" t="s">
        <v>236</v>
      </c>
      <c r="FZ199" t="s">
        <v>226</v>
      </c>
      <c r="GA199" t="s">
        <v>226</v>
      </c>
      <c r="GB199" t="s">
        <v>267</v>
      </c>
      <c r="GC199" t="s">
        <v>236</v>
      </c>
      <c r="GF199" t="s">
        <v>236</v>
      </c>
      <c r="GI199" t="s">
        <v>236</v>
      </c>
      <c r="GL199" t="s">
        <v>226</v>
      </c>
      <c r="GM199" t="s">
        <v>236</v>
      </c>
      <c r="GO199" t="s">
        <v>226</v>
      </c>
      <c r="GP199" t="s">
        <v>226</v>
      </c>
      <c r="GQ199" t="s">
        <v>267</v>
      </c>
      <c r="GR199" t="s">
        <v>226</v>
      </c>
      <c r="GS199" t="s">
        <v>226</v>
      </c>
      <c r="GT199" t="s">
        <v>267</v>
      </c>
      <c r="GU199" t="s">
        <v>236</v>
      </c>
      <c r="GX199" t="s">
        <v>236</v>
      </c>
      <c r="HB199" t="s">
        <v>338</v>
      </c>
      <c r="HC199" t="s">
        <v>339</v>
      </c>
      <c r="HE199">
        <v>82920967</v>
      </c>
      <c r="HF199" t="s">
        <v>1521</v>
      </c>
      <c r="HG199" s="2">
        <v>45753.049108796287</v>
      </c>
      <c r="HJ199" t="s">
        <v>248</v>
      </c>
      <c r="HL199" t="s">
        <v>249</v>
      </c>
      <c r="HN199">
        <v>198</v>
      </c>
    </row>
    <row r="200" spans="1:222" x14ac:dyDescent="0.25">
      <c r="A200" s="2">
        <v>45752.840852384259</v>
      </c>
      <c r="B200" s="2">
        <v>45752.845393495372</v>
      </c>
      <c r="C200" t="s">
        <v>385</v>
      </c>
      <c r="D200">
        <v>298</v>
      </c>
      <c r="E200" s="2">
        <v>45730</v>
      </c>
      <c r="F200">
        <v>1</v>
      </c>
      <c r="G200" t="s">
        <v>1514</v>
      </c>
      <c r="H200" t="s">
        <v>375</v>
      </c>
      <c r="I200">
        <v>68</v>
      </c>
      <c r="J200" t="str">
        <f t="shared" si="3"/>
        <v>de 56 a más</v>
      </c>
      <c r="K200" t="s">
        <v>341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225</v>
      </c>
      <c r="R200" t="s">
        <v>226</v>
      </c>
      <c r="T200" t="s">
        <v>284</v>
      </c>
      <c r="V200" t="s">
        <v>228</v>
      </c>
      <c r="W200" t="s">
        <v>229</v>
      </c>
      <c r="X200" t="s">
        <v>368</v>
      </c>
      <c r="Z200" t="s">
        <v>254</v>
      </c>
      <c r="AA200" t="s">
        <v>232</v>
      </c>
      <c r="AB200">
        <v>1</v>
      </c>
      <c r="AC200">
        <v>0</v>
      </c>
      <c r="AD200">
        <v>0</v>
      </c>
      <c r="AE200">
        <v>0</v>
      </c>
      <c r="AF200">
        <v>0</v>
      </c>
      <c r="AG200">
        <v>0</v>
      </c>
      <c r="AI200" t="s">
        <v>233</v>
      </c>
      <c r="AJ200">
        <v>0</v>
      </c>
      <c r="AK200">
        <v>1</v>
      </c>
      <c r="AL200">
        <v>0</v>
      </c>
      <c r="AM200">
        <v>0</v>
      </c>
      <c r="AN200" t="s">
        <v>300</v>
      </c>
      <c r="AO200" t="s">
        <v>369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 t="s">
        <v>1515</v>
      </c>
      <c r="AX200" t="s">
        <v>236</v>
      </c>
      <c r="AZ200" t="s">
        <v>259</v>
      </c>
      <c r="BA200" t="s">
        <v>1516</v>
      </c>
      <c r="BE200" t="s">
        <v>259</v>
      </c>
      <c r="BF200" t="s">
        <v>237</v>
      </c>
      <c r="BG200" t="s">
        <v>237</v>
      </c>
      <c r="BH200" t="s">
        <v>259</v>
      </c>
      <c r="BI200" t="s">
        <v>237</v>
      </c>
      <c r="BJ200" t="s">
        <v>261</v>
      </c>
      <c r="BK200" t="s">
        <v>261</v>
      </c>
      <c r="BL200" t="s">
        <v>240</v>
      </c>
      <c r="BM200" t="s">
        <v>365</v>
      </c>
      <c r="BN200">
        <v>0</v>
      </c>
      <c r="BO200">
        <v>1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 t="s">
        <v>264</v>
      </c>
      <c r="CB200" t="s">
        <v>243</v>
      </c>
      <c r="CC200" t="s">
        <v>328</v>
      </c>
      <c r="CD200" t="s">
        <v>236</v>
      </c>
      <c r="CE200" t="s">
        <v>236</v>
      </c>
      <c r="EA200" t="s">
        <v>236</v>
      </c>
      <c r="EC200" t="s">
        <v>236</v>
      </c>
      <c r="EE200" t="s">
        <v>226</v>
      </c>
      <c r="EF200" t="s">
        <v>244</v>
      </c>
      <c r="EG200" t="s">
        <v>226</v>
      </c>
      <c r="EH200" t="s">
        <v>245</v>
      </c>
      <c r="EI200" t="s">
        <v>236</v>
      </c>
      <c r="EK200" t="s">
        <v>236</v>
      </c>
      <c r="EM200" t="s">
        <v>226</v>
      </c>
      <c r="EN200" t="s">
        <v>244</v>
      </c>
      <c r="EO200" t="s">
        <v>236</v>
      </c>
      <c r="EQ200" t="s">
        <v>236</v>
      </c>
      <c r="ES200" t="s">
        <v>236</v>
      </c>
      <c r="EU200" t="s">
        <v>236</v>
      </c>
      <c r="EW200" t="s">
        <v>236</v>
      </c>
      <c r="EY200" t="s">
        <v>236</v>
      </c>
      <c r="FA200" t="s">
        <v>226</v>
      </c>
      <c r="FB200" t="s">
        <v>244</v>
      </c>
      <c r="FC200" t="s">
        <v>236</v>
      </c>
      <c r="FE200" t="s">
        <v>226</v>
      </c>
      <c r="FF200" t="s">
        <v>245</v>
      </c>
      <c r="FG200" t="s">
        <v>236</v>
      </c>
      <c r="FJ200" t="s">
        <v>226</v>
      </c>
      <c r="FK200" t="s">
        <v>245</v>
      </c>
      <c r="FL200" t="s">
        <v>236</v>
      </c>
      <c r="FM200" t="s">
        <v>236</v>
      </c>
      <c r="FW200" t="s">
        <v>226</v>
      </c>
      <c r="FX200" t="s">
        <v>236</v>
      </c>
      <c r="FZ200" t="s">
        <v>236</v>
      </c>
      <c r="GC200" t="s">
        <v>236</v>
      </c>
      <c r="GF200" t="s">
        <v>236</v>
      </c>
      <c r="GI200" t="s">
        <v>236</v>
      </c>
      <c r="GL200" t="s">
        <v>236</v>
      </c>
      <c r="GO200" t="s">
        <v>226</v>
      </c>
      <c r="GP200" t="s">
        <v>226</v>
      </c>
      <c r="GQ200" t="s">
        <v>267</v>
      </c>
      <c r="GR200" t="s">
        <v>226</v>
      </c>
      <c r="GS200" t="s">
        <v>226</v>
      </c>
      <c r="GT200" t="s">
        <v>266</v>
      </c>
      <c r="GU200" t="s">
        <v>236</v>
      </c>
      <c r="GX200" t="s">
        <v>236</v>
      </c>
      <c r="HB200" t="s">
        <v>1517</v>
      </c>
      <c r="HC200" t="s">
        <v>288</v>
      </c>
      <c r="HE200">
        <v>82921280</v>
      </c>
      <c r="HF200" t="s">
        <v>1518</v>
      </c>
      <c r="HG200" s="2">
        <v>45753.053657407407</v>
      </c>
      <c r="HJ200" t="s">
        <v>248</v>
      </c>
      <c r="HL200" t="s">
        <v>249</v>
      </c>
      <c r="HN200">
        <v>199</v>
      </c>
    </row>
    <row r="201" spans="1:222" x14ac:dyDescent="0.25">
      <c r="A201" s="2">
        <v>45752.845395381948</v>
      </c>
      <c r="B201" s="2">
        <v>45752.85160170139</v>
      </c>
      <c r="C201" t="s">
        <v>385</v>
      </c>
      <c r="D201">
        <v>297</v>
      </c>
      <c r="E201" s="2">
        <v>45730</v>
      </c>
      <c r="F201">
        <v>1</v>
      </c>
      <c r="G201" t="s">
        <v>367</v>
      </c>
      <c r="H201" t="s">
        <v>375</v>
      </c>
      <c r="I201">
        <v>53</v>
      </c>
      <c r="J201" t="str">
        <f t="shared" si="3"/>
        <v>de 41 a 55 años</v>
      </c>
      <c r="K201" t="s">
        <v>341</v>
      </c>
      <c r="L201">
        <v>1</v>
      </c>
      <c r="M201">
        <v>0</v>
      </c>
      <c r="N201">
        <v>0</v>
      </c>
      <c r="O201">
        <v>0</v>
      </c>
      <c r="P201">
        <v>0</v>
      </c>
      <c r="Q201" t="s">
        <v>225</v>
      </c>
      <c r="R201" t="s">
        <v>226</v>
      </c>
      <c r="T201" t="s">
        <v>227</v>
      </c>
      <c r="V201" t="s">
        <v>228</v>
      </c>
      <c r="W201" t="s">
        <v>229</v>
      </c>
      <c r="X201" t="s">
        <v>230</v>
      </c>
      <c r="Z201" t="s">
        <v>351</v>
      </c>
      <c r="AA201" t="s">
        <v>896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1</v>
      </c>
      <c r="AH201" t="s">
        <v>1506</v>
      </c>
      <c r="AI201" t="s">
        <v>311</v>
      </c>
      <c r="AJ201">
        <v>0</v>
      </c>
      <c r="AK201">
        <v>1</v>
      </c>
      <c r="AL201">
        <v>1</v>
      </c>
      <c r="AM201">
        <v>0</v>
      </c>
      <c r="AN201" t="s">
        <v>300</v>
      </c>
      <c r="AO201" t="s">
        <v>1507</v>
      </c>
      <c r="AP201">
        <v>1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X201" t="s">
        <v>226</v>
      </c>
      <c r="AY201" t="s">
        <v>226</v>
      </c>
      <c r="AZ201" t="s">
        <v>237</v>
      </c>
      <c r="BA201" t="s">
        <v>1508</v>
      </c>
      <c r="BB201" t="s">
        <v>1509</v>
      </c>
      <c r="BC201" t="s">
        <v>1510</v>
      </c>
      <c r="BE201" t="s">
        <v>259</v>
      </c>
      <c r="BF201" t="s">
        <v>237</v>
      </c>
      <c r="BG201" t="s">
        <v>261</v>
      </c>
      <c r="BH201" t="s">
        <v>237</v>
      </c>
      <c r="BI201" t="s">
        <v>237</v>
      </c>
      <c r="BJ201" t="s">
        <v>237</v>
      </c>
      <c r="BK201" t="s">
        <v>259</v>
      </c>
      <c r="BL201" t="s">
        <v>240</v>
      </c>
      <c r="BM201" t="s">
        <v>415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 t="s">
        <v>243</v>
      </c>
      <c r="CB201" t="s">
        <v>243</v>
      </c>
      <c r="CC201" t="s">
        <v>243</v>
      </c>
      <c r="CD201" t="s">
        <v>236</v>
      </c>
      <c r="CE201" t="s">
        <v>236</v>
      </c>
      <c r="EA201" t="s">
        <v>226</v>
      </c>
      <c r="EB201" t="s">
        <v>244</v>
      </c>
      <c r="EC201" t="s">
        <v>226</v>
      </c>
      <c r="ED201" t="s">
        <v>244</v>
      </c>
      <c r="EE201" t="s">
        <v>226</v>
      </c>
      <c r="EF201" t="s">
        <v>245</v>
      </c>
      <c r="EG201" t="s">
        <v>226</v>
      </c>
      <c r="EH201" t="s">
        <v>245</v>
      </c>
      <c r="EI201" t="s">
        <v>226</v>
      </c>
      <c r="EJ201" t="s">
        <v>265</v>
      </c>
      <c r="EK201" t="s">
        <v>226</v>
      </c>
      <c r="EL201" t="s">
        <v>244</v>
      </c>
      <c r="EM201" t="s">
        <v>226</v>
      </c>
      <c r="EN201" t="s">
        <v>244</v>
      </c>
      <c r="EO201" t="s">
        <v>226</v>
      </c>
      <c r="EP201" t="s">
        <v>244</v>
      </c>
      <c r="EQ201" t="s">
        <v>226</v>
      </c>
      <c r="ER201" t="s">
        <v>244</v>
      </c>
      <c r="ES201" t="s">
        <v>226</v>
      </c>
      <c r="ET201" t="s">
        <v>245</v>
      </c>
      <c r="EU201" t="s">
        <v>226</v>
      </c>
      <c r="EV201" t="s">
        <v>245</v>
      </c>
      <c r="EW201" t="s">
        <v>226</v>
      </c>
      <c r="EX201" t="s">
        <v>245</v>
      </c>
      <c r="EY201" t="s">
        <v>226</v>
      </c>
      <c r="EZ201" t="s">
        <v>244</v>
      </c>
      <c r="FA201" t="s">
        <v>226</v>
      </c>
      <c r="FB201" t="s">
        <v>244</v>
      </c>
      <c r="FC201" t="s">
        <v>236</v>
      </c>
      <c r="FE201" t="s">
        <v>236</v>
      </c>
      <c r="FG201" t="s">
        <v>236</v>
      </c>
      <c r="FJ201" t="s">
        <v>226</v>
      </c>
      <c r="FK201" t="s">
        <v>244</v>
      </c>
      <c r="FL201" t="s">
        <v>236</v>
      </c>
      <c r="FM201" t="s">
        <v>236</v>
      </c>
      <c r="FW201" t="s">
        <v>226</v>
      </c>
      <c r="FX201" t="s">
        <v>236</v>
      </c>
      <c r="FZ201" t="s">
        <v>236</v>
      </c>
      <c r="GC201" t="s">
        <v>236</v>
      </c>
      <c r="GF201" t="s">
        <v>236</v>
      </c>
      <c r="GI201" t="s">
        <v>236</v>
      </c>
      <c r="GL201" t="s">
        <v>236</v>
      </c>
      <c r="GO201" t="s">
        <v>226</v>
      </c>
      <c r="GP201" t="s">
        <v>226</v>
      </c>
      <c r="GQ201" t="s">
        <v>266</v>
      </c>
      <c r="GR201" t="s">
        <v>226</v>
      </c>
      <c r="GS201" t="s">
        <v>236</v>
      </c>
      <c r="GU201" t="s">
        <v>236</v>
      </c>
      <c r="GX201" t="s">
        <v>236</v>
      </c>
      <c r="HB201" t="s">
        <v>1511</v>
      </c>
      <c r="HC201" t="s">
        <v>1512</v>
      </c>
      <c r="HD201" t="s">
        <v>901</v>
      </c>
      <c r="HE201">
        <v>82921415</v>
      </c>
      <c r="HF201" t="s">
        <v>1513</v>
      </c>
      <c r="HG201" s="2">
        <v>45753.059872685182</v>
      </c>
      <c r="HJ201" t="s">
        <v>248</v>
      </c>
      <c r="HL201" t="s">
        <v>249</v>
      </c>
      <c r="HN201">
        <v>200</v>
      </c>
    </row>
    <row r="202" spans="1:222" x14ac:dyDescent="0.25">
      <c r="A202" s="2">
        <v>45752.851603020827</v>
      </c>
      <c r="B202" s="2">
        <v>45752.962762071758</v>
      </c>
      <c r="C202" t="s">
        <v>385</v>
      </c>
      <c r="D202">
        <v>296</v>
      </c>
      <c r="E202" s="2">
        <v>45730</v>
      </c>
      <c r="F202">
        <v>1</v>
      </c>
      <c r="G202" t="s">
        <v>374</v>
      </c>
      <c r="H202" t="s">
        <v>375</v>
      </c>
      <c r="I202">
        <v>38</v>
      </c>
      <c r="J202" t="str">
        <f t="shared" si="3"/>
        <v>de 26 a 40 años</v>
      </c>
      <c r="K202" t="s">
        <v>224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225</v>
      </c>
      <c r="R202" t="s">
        <v>236</v>
      </c>
      <c r="S202" t="s">
        <v>935</v>
      </c>
      <c r="T202" t="s">
        <v>227</v>
      </c>
      <c r="V202" t="s">
        <v>228</v>
      </c>
      <c r="W202" t="s">
        <v>229</v>
      </c>
      <c r="X202" t="s">
        <v>230</v>
      </c>
      <c r="Z202" t="s">
        <v>231</v>
      </c>
      <c r="AA202" t="s">
        <v>293</v>
      </c>
      <c r="AB202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I202" t="s">
        <v>256</v>
      </c>
      <c r="AJ202">
        <v>0</v>
      </c>
      <c r="AK202">
        <v>0</v>
      </c>
      <c r="AL202">
        <v>1</v>
      </c>
      <c r="AM202">
        <v>0</v>
      </c>
      <c r="AN202" t="s">
        <v>234</v>
      </c>
      <c r="AO202" t="s">
        <v>1502</v>
      </c>
      <c r="AP202">
        <v>0</v>
      </c>
      <c r="AQ202">
        <v>0</v>
      </c>
      <c r="AR202">
        <v>1</v>
      </c>
      <c r="AS202">
        <v>0</v>
      </c>
      <c r="AT202">
        <v>0</v>
      </c>
      <c r="AU202">
        <v>1</v>
      </c>
      <c r="AV202">
        <v>1</v>
      </c>
      <c r="AW202" t="s">
        <v>1260</v>
      </c>
      <c r="AX202" t="s">
        <v>226</v>
      </c>
      <c r="AY202" t="s">
        <v>226</v>
      </c>
      <c r="AZ202" t="s">
        <v>237</v>
      </c>
      <c r="BA202" t="s">
        <v>1503</v>
      </c>
      <c r="BE202" t="s">
        <v>259</v>
      </c>
      <c r="BF202" t="s">
        <v>259</v>
      </c>
      <c r="BG202" t="s">
        <v>259</v>
      </c>
      <c r="BH202" t="s">
        <v>237</v>
      </c>
      <c r="BI202" t="s">
        <v>237</v>
      </c>
      <c r="BJ202" t="s">
        <v>237</v>
      </c>
      <c r="BK202" t="s">
        <v>261</v>
      </c>
      <c r="BL202" t="s">
        <v>262</v>
      </c>
      <c r="BM202" t="s">
        <v>278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 t="s">
        <v>242</v>
      </c>
      <c r="CB202" t="s">
        <v>264</v>
      </c>
      <c r="CC202" t="s">
        <v>264</v>
      </c>
      <c r="CD202" t="s">
        <v>236</v>
      </c>
      <c r="CE202" t="s">
        <v>236</v>
      </c>
      <c r="EA202" t="s">
        <v>226</v>
      </c>
      <c r="EB202" t="s">
        <v>244</v>
      </c>
      <c r="EC202" t="s">
        <v>226</v>
      </c>
      <c r="ED202" t="s">
        <v>244</v>
      </c>
      <c r="EE202" t="s">
        <v>226</v>
      </c>
      <c r="EF202" t="s">
        <v>265</v>
      </c>
      <c r="EG202" t="s">
        <v>226</v>
      </c>
      <c r="EH202" t="s">
        <v>244</v>
      </c>
      <c r="EI202" t="s">
        <v>236</v>
      </c>
      <c r="EK202" t="s">
        <v>236</v>
      </c>
      <c r="EM202" t="s">
        <v>226</v>
      </c>
      <c r="EN202" t="s">
        <v>245</v>
      </c>
      <c r="EO202" t="s">
        <v>226</v>
      </c>
      <c r="EP202" t="s">
        <v>245</v>
      </c>
      <c r="EQ202" t="s">
        <v>226</v>
      </c>
      <c r="ER202" t="s">
        <v>245</v>
      </c>
      <c r="ES202" t="s">
        <v>226</v>
      </c>
      <c r="ET202" t="s">
        <v>245</v>
      </c>
      <c r="EU202" t="s">
        <v>226</v>
      </c>
      <c r="EV202" t="s">
        <v>245</v>
      </c>
      <c r="EW202" t="s">
        <v>236</v>
      </c>
      <c r="EY202" t="s">
        <v>236</v>
      </c>
      <c r="FA202" t="s">
        <v>226</v>
      </c>
      <c r="FB202" t="s">
        <v>244</v>
      </c>
      <c r="FC202" t="s">
        <v>236</v>
      </c>
      <c r="FE202" t="s">
        <v>236</v>
      </c>
      <c r="FG202" t="s">
        <v>236</v>
      </c>
      <c r="FJ202" t="s">
        <v>226</v>
      </c>
      <c r="FK202" t="s">
        <v>245</v>
      </c>
      <c r="FL202" t="s">
        <v>236</v>
      </c>
      <c r="FM202" t="s">
        <v>236</v>
      </c>
      <c r="FW202" t="s">
        <v>226</v>
      </c>
      <c r="FX202" t="s">
        <v>236</v>
      </c>
      <c r="FZ202" t="s">
        <v>226</v>
      </c>
      <c r="GA202" t="s">
        <v>226</v>
      </c>
      <c r="GB202" t="s">
        <v>266</v>
      </c>
      <c r="GC202" t="s">
        <v>236</v>
      </c>
      <c r="GF202" t="s">
        <v>226</v>
      </c>
      <c r="GG202" t="s">
        <v>226</v>
      </c>
      <c r="GH202" t="s">
        <v>266</v>
      </c>
      <c r="GI202" t="s">
        <v>236</v>
      </c>
      <c r="GL202" t="s">
        <v>236</v>
      </c>
      <c r="GO202" t="s">
        <v>226</v>
      </c>
      <c r="GP202" t="s">
        <v>226</v>
      </c>
      <c r="GQ202" t="s">
        <v>267</v>
      </c>
      <c r="GR202" t="s">
        <v>226</v>
      </c>
      <c r="GS202" t="s">
        <v>226</v>
      </c>
      <c r="GT202" t="s">
        <v>266</v>
      </c>
      <c r="GU202" t="s">
        <v>236</v>
      </c>
      <c r="GX202" t="s">
        <v>236</v>
      </c>
      <c r="HB202" t="s">
        <v>1030</v>
      </c>
      <c r="HC202" t="s">
        <v>1504</v>
      </c>
      <c r="HD202" t="s">
        <v>378</v>
      </c>
      <c r="HE202">
        <v>82929822</v>
      </c>
      <c r="HF202" t="s">
        <v>1505</v>
      </c>
      <c r="HG202" s="2">
        <v>45753.171030092592</v>
      </c>
      <c r="HJ202" t="s">
        <v>248</v>
      </c>
      <c r="HL202" t="s">
        <v>249</v>
      </c>
      <c r="HN202">
        <v>201</v>
      </c>
    </row>
    <row r="203" spans="1:222" x14ac:dyDescent="0.25">
      <c r="A203" s="2">
        <v>45753.319927187498</v>
      </c>
      <c r="B203" s="2">
        <v>45753.326189571759</v>
      </c>
      <c r="C203" t="s">
        <v>221</v>
      </c>
      <c r="D203">
        <v>401</v>
      </c>
      <c r="E203" s="2">
        <v>45731</v>
      </c>
      <c r="F203">
        <v>4</v>
      </c>
      <c r="G203" t="s">
        <v>367</v>
      </c>
      <c r="H203" t="s">
        <v>270</v>
      </c>
      <c r="I203">
        <v>65</v>
      </c>
      <c r="J203" t="str">
        <f t="shared" si="3"/>
        <v>de 56 a más</v>
      </c>
      <c r="K203" t="s">
        <v>224</v>
      </c>
      <c r="L203">
        <v>2</v>
      </c>
      <c r="M203">
        <v>0</v>
      </c>
      <c r="N203">
        <v>0</v>
      </c>
      <c r="O203">
        <v>0</v>
      </c>
      <c r="P203">
        <v>0</v>
      </c>
      <c r="Q203" t="s">
        <v>291</v>
      </c>
      <c r="R203" t="s">
        <v>226</v>
      </c>
      <c r="T203" t="s">
        <v>227</v>
      </c>
      <c r="V203" t="s">
        <v>252</v>
      </c>
      <c r="W203" t="s">
        <v>229</v>
      </c>
      <c r="X203" t="s">
        <v>368</v>
      </c>
      <c r="Z203" t="s">
        <v>231</v>
      </c>
      <c r="AA203" t="s">
        <v>293</v>
      </c>
      <c r="AB203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I203" t="s">
        <v>256</v>
      </c>
      <c r="AJ203">
        <v>0</v>
      </c>
      <c r="AK203">
        <v>0</v>
      </c>
      <c r="AL203">
        <v>1</v>
      </c>
      <c r="AM203">
        <v>0</v>
      </c>
      <c r="AN203" t="s">
        <v>274</v>
      </c>
      <c r="AO203" t="s">
        <v>382</v>
      </c>
      <c r="AP203">
        <v>0</v>
      </c>
      <c r="AQ203">
        <v>0</v>
      </c>
      <c r="AR203">
        <v>1</v>
      </c>
      <c r="AS203">
        <v>0</v>
      </c>
      <c r="AT203">
        <v>0</v>
      </c>
      <c r="AU203">
        <v>0</v>
      </c>
      <c r="AV203">
        <v>0</v>
      </c>
      <c r="AX203" t="s">
        <v>226</v>
      </c>
      <c r="AY203" t="s">
        <v>226</v>
      </c>
      <c r="AZ203" t="s">
        <v>259</v>
      </c>
      <c r="BA203" t="s">
        <v>260</v>
      </c>
      <c r="BB203" t="s">
        <v>1849</v>
      </c>
      <c r="BE203" t="s">
        <v>261</v>
      </c>
      <c r="BF203" t="s">
        <v>259</v>
      </c>
      <c r="BG203" t="s">
        <v>259</v>
      </c>
      <c r="BH203" t="s">
        <v>308</v>
      </c>
      <c r="BI203" t="s">
        <v>239</v>
      </c>
      <c r="BJ203" t="s">
        <v>239</v>
      </c>
      <c r="BK203" t="s">
        <v>239</v>
      </c>
      <c r="BL203" t="s">
        <v>262</v>
      </c>
      <c r="BM203" t="s">
        <v>415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 t="s">
        <v>328</v>
      </c>
      <c r="CB203" t="s">
        <v>242</v>
      </c>
      <c r="CC203" t="s">
        <v>328</v>
      </c>
      <c r="CD203" t="s">
        <v>236</v>
      </c>
      <c r="CE203" t="s">
        <v>236</v>
      </c>
      <c r="EA203" t="s">
        <v>236</v>
      </c>
      <c r="EC203" t="s">
        <v>236</v>
      </c>
      <c r="EE203" t="s">
        <v>226</v>
      </c>
      <c r="EF203" t="s">
        <v>244</v>
      </c>
      <c r="EG203" t="s">
        <v>226</v>
      </c>
      <c r="EH203" t="s">
        <v>245</v>
      </c>
      <c r="EI203" t="s">
        <v>236</v>
      </c>
      <c r="EK203" t="s">
        <v>236</v>
      </c>
      <c r="EM203" t="s">
        <v>226</v>
      </c>
      <c r="EN203" t="s">
        <v>244</v>
      </c>
      <c r="EO203" t="s">
        <v>226</v>
      </c>
      <c r="EP203" t="s">
        <v>244</v>
      </c>
      <c r="EQ203" t="s">
        <v>236</v>
      </c>
      <c r="ES203" t="s">
        <v>236</v>
      </c>
      <c r="EU203" t="s">
        <v>236</v>
      </c>
      <c r="EW203" t="s">
        <v>236</v>
      </c>
      <c r="EY203" t="s">
        <v>236</v>
      </c>
      <c r="FA203" t="s">
        <v>226</v>
      </c>
      <c r="FB203" t="s">
        <v>245</v>
      </c>
      <c r="FC203" t="s">
        <v>236</v>
      </c>
      <c r="FE203" t="s">
        <v>236</v>
      </c>
      <c r="FG203" t="s">
        <v>236</v>
      </c>
      <c r="FJ203" t="s">
        <v>226</v>
      </c>
      <c r="FK203" t="s">
        <v>265</v>
      </c>
      <c r="FL203" t="s">
        <v>236</v>
      </c>
      <c r="FM203" t="s">
        <v>236</v>
      </c>
      <c r="FW203" t="s">
        <v>226</v>
      </c>
      <c r="FX203" t="s">
        <v>236</v>
      </c>
      <c r="FZ203" t="s">
        <v>236</v>
      </c>
      <c r="GC203" t="s">
        <v>236</v>
      </c>
      <c r="GF203" t="s">
        <v>236</v>
      </c>
      <c r="GI203" t="s">
        <v>236</v>
      </c>
      <c r="GL203" t="s">
        <v>236</v>
      </c>
      <c r="GO203" t="s">
        <v>226</v>
      </c>
      <c r="GP203" t="s">
        <v>226</v>
      </c>
      <c r="GQ203" t="s">
        <v>266</v>
      </c>
      <c r="GR203" t="s">
        <v>226</v>
      </c>
      <c r="GS203" t="s">
        <v>236</v>
      </c>
      <c r="GU203" t="s">
        <v>236</v>
      </c>
      <c r="GX203" t="s">
        <v>236</v>
      </c>
      <c r="HB203" t="s">
        <v>338</v>
      </c>
      <c r="HC203" t="s">
        <v>1850</v>
      </c>
      <c r="HE203">
        <v>82965251</v>
      </c>
      <c r="HF203" t="s">
        <v>1851</v>
      </c>
      <c r="HG203" s="2">
        <v>45753.534525462957</v>
      </c>
      <c r="HJ203" t="s">
        <v>248</v>
      </c>
      <c r="HL203" t="s">
        <v>249</v>
      </c>
      <c r="HN203">
        <v>202</v>
      </c>
    </row>
    <row r="204" spans="1:222" x14ac:dyDescent="0.25">
      <c r="A204" s="2">
        <v>45753.326096886572</v>
      </c>
      <c r="B204" s="2">
        <v>45753.330673622688</v>
      </c>
      <c r="C204" t="s">
        <v>385</v>
      </c>
      <c r="D204">
        <v>295</v>
      </c>
      <c r="E204" s="2">
        <v>45730</v>
      </c>
      <c r="F204">
        <v>1</v>
      </c>
      <c r="G204" t="s">
        <v>1498</v>
      </c>
      <c r="H204" t="s">
        <v>375</v>
      </c>
      <c r="I204">
        <v>22</v>
      </c>
      <c r="J204" t="str">
        <f t="shared" si="3"/>
        <v>de 18 a 25 años</v>
      </c>
      <c r="K204" t="s">
        <v>251</v>
      </c>
      <c r="L204">
        <v>1</v>
      </c>
      <c r="M204">
        <v>0</v>
      </c>
      <c r="N204">
        <v>0</v>
      </c>
      <c r="O204">
        <v>0</v>
      </c>
      <c r="P204">
        <v>0</v>
      </c>
      <c r="Q204" t="s">
        <v>225</v>
      </c>
      <c r="R204" t="s">
        <v>226</v>
      </c>
      <c r="T204" t="s">
        <v>227</v>
      </c>
      <c r="V204" t="s">
        <v>321</v>
      </c>
      <c r="W204" t="s">
        <v>229</v>
      </c>
      <c r="X204" t="s">
        <v>348</v>
      </c>
      <c r="Y204" t="s">
        <v>1499</v>
      </c>
      <c r="Z204" t="s">
        <v>273</v>
      </c>
      <c r="AA204" t="s">
        <v>232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I204" t="s">
        <v>256</v>
      </c>
      <c r="AJ204">
        <v>0</v>
      </c>
      <c r="AK204">
        <v>0</v>
      </c>
      <c r="AL204">
        <v>1</v>
      </c>
      <c r="AM204">
        <v>0</v>
      </c>
      <c r="AN204" t="s">
        <v>234</v>
      </c>
      <c r="AO204" t="s">
        <v>235</v>
      </c>
      <c r="AP204">
        <v>0</v>
      </c>
      <c r="AQ204">
        <v>0</v>
      </c>
      <c r="AR204">
        <v>0</v>
      </c>
      <c r="AS204">
        <v>1</v>
      </c>
      <c r="AT204">
        <v>0</v>
      </c>
      <c r="AU204">
        <v>0</v>
      </c>
      <c r="AV204">
        <v>0</v>
      </c>
      <c r="AX204" t="s">
        <v>236</v>
      </c>
      <c r="AZ204" t="s">
        <v>261</v>
      </c>
      <c r="BA204" t="s">
        <v>1500</v>
      </c>
      <c r="BB204" t="s">
        <v>377</v>
      </c>
      <c r="BE204" t="s">
        <v>259</v>
      </c>
      <c r="BF204" t="s">
        <v>259</v>
      </c>
      <c r="BG204" t="s">
        <v>259</v>
      </c>
      <c r="BH204" t="s">
        <v>259</v>
      </c>
      <c r="BI204" t="s">
        <v>237</v>
      </c>
      <c r="BJ204" t="s">
        <v>259</v>
      </c>
      <c r="BK204" t="s">
        <v>261</v>
      </c>
      <c r="BL204" t="s">
        <v>313</v>
      </c>
      <c r="BM204" t="s">
        <v>278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 t="s">
        <v>242</v>
      </c>
      <c r="CB204" t="s">
        <v>264</v>
      </c>
      <c r="CC204" t="s">
        <v>242</v>
      </c>
      <c r="CD204" t="s">
        <v>236</v>
      </c>
      <c r="CE204" t="s">
        <v>236</v>
      </c>
      <c r="EA204" t="s">
        <v>236</v>
      </c>
      <c r="EC204" t="s">
        <v>236</v>
      </c>
      <c r="EE204" t="s">
        <v>226</v>
      </c>
      <c r="EF204" t="s">
        <v>244</v>
      </c>
      <c r="EG204" t="s">
        <v>226</v>
      </c>
      <c r="EH204" t="s">
        <v>244</v>
      </c>
      <c r="EI204" t="s">
        <v>226</v>
      </c>
      <c r="EJ204" t="s">
        <v>244</v>
      </c>
      <c r="EK204" t="s">
        <v>236</v>
      </c>
      <c r="EM204" t="s">
        <v>226</v>
      </c>
      <c r="EN204" t="s">
        <v>244</v>
      </c>
      <c r="EO204" t="s">
        <v>226</v>
      </c>
      <c r="EP204" t="s">
        <v>244</v>
      </c>
      <c r="EQ204" t="s">
        <v>236</v>
      </c>
      <c r="ES204" t="s">
        <v>226</v>
      </c>
      <c r="ET204" t="s">
        <v>244</v>
      </c>
      <c r="EU204" t="s">
        <v>236</v>
      </c>
      <c r="EW204" t="s">
        <v>236</v>
      </c>
      <c r="EY204" t="s">
        <v>226</v>
      </c>
      <c r="EZ204" t="s">
        <v>244</v>
      </c>
      <c r="FA204" t="s">
        <v>226</v>
      </c>
      <c r="FB204" t="s">
        <v>244</v>
      </c>
      <c r="FC204" t="s">
        <v>236</v>
      </c>
      <c r="FE204" t="s">
        <v>236</v>
      </c>
      <c r="FG204" t="s">
        <v>236</v>
      </c>
      <c r="FJ204" t="s">
        <v>226</v>
      </c>
      <c r="FK204" t="s">
        <v>265</v>
      </c>
      <c r="FL204" t="s">
        <v>226</v>
      </c>
      <c r="FM204" t="s">
        <v>226</v>
      </c>
      <c r="FN204" t="s">
        <v>967</v>
      </c>
      <c r="FO204">
        <v>1</v>
      </c>
      <c r="FP204">
        <v>0</v>
      </c>
      <c r="FQ204">
        <v>0</v>
      </c>
      <c r="FR204">
        <v>0</v>
      </c>
      <c r="FS204">
        <v>0</v>
      </c>
      <c r="FU204" t="s">
        <v>236</v>
      </c>
      <c r="FW204" t="s">
        <v>226</v>
      </c>
      <c r="FX204" t="s">
        <v>236</v>
      </c>
      <c r="FZ204" t="s">
        <v>236</v>
      </c>
      <c r="GC204" t="s">
        <v>236</v>
      </c>
      <c r="GF204" t="s">
        <v>226</v>
      </c>
      <c r="GG204" t="s">
        <v>236</v>
      </c>
      <c r="GI204" t="s">
        <v>236</v>
      </c>
      <c r="GL204" t="s">
        <v>236</v>
      </c>
      <c r="GO204" t="s">
        <v>236</v>
      </c>
      <c r="GR204" t="s">
        <v>226</v>
      </c>
      <c r="GS204" t="s">
        <v>236</v>
      </c>
      <c r="GU204" t="s">
        <v>236</v>
      </c>
      <c r="GX204" t="s">
        <v>236</v>
      </c>
      <c r="HB204" t="s">
        <v>268</v>
      </c>
      <c r="HE204">
        <v>82965463</v>
      </c>
      <c r="HF204" t="s">
        <v>1501</v>
      </c>
      <c r="HG204" s="2">
        <v>45753.538912037038</v>
      </c>
      <c r="HJ204" t="s">
        <v>248</v>
      </c>
      <c r="HL204" t="s">
        <v>249</v>
      </c>
      <c r="HN204">
        <v>203</v>
      </c>
    </row>
    <row r="205" spans="1:222" x14ac:dyDescent="0.25">
      <c r="A205" s="2">
        <v>45753.326192546287</v>
      </c>
      <c r="B205" s="2">
        <v>45753.330991481482</v>
      </c>
      <c r="C205" t="s">
        <v>221</v>
      </c>
      <c r="D205">
        <v>402</v>
      </c>
      <c r="E205" s="2">
        <v>45731</v>
      </c>
      <c r="F205">
        <v>3</v>
      </c>
      <c r="G205" t="s">
        <v>306</v>
      </c>
      <c r="H205" t="s">
        <v>307</v>
      </c>
      <c r="I205">
        <v>40</v>
      </c>
      <c r="J205" t="str">
        <f t="shared" si="3"/>
        <v>de 26 a 40 años</v>
      </c>
      <c r="K205" t="s">
        <v>224</v>
      </c>
      <c r="L205">
        <v>0</v>
      </c>
      <c r="M205">
        <v>0</v>
      </c>
      <c r="N205">
        <v>0</v>
      </c>
      <c r="O205">
        <v>0</v>
      </c>
      <c r="P205">
        <v>2</v>
      </c>
      <c r="Q205" t="s">
        <v>291</v>
      </c>
      <c r="R205" t="s">
        <v>226</v>
      </c>
      <c r="T205" t="s">
        <v>227</v>
      </c>
      <c r="V205" t="s">
        <v>252</v>
      </c>
      <c r="W205" t="s">
        <v>229</v>
      </c>
      <c r="X205" t="s">
        <v>350</v>
      </c>
      <c r="Z205" t="s">
        <v>308</v>
      </c>
      <c r="AA205" t="s">
        <v>232</v>
      </c>
      <c r="AB205">
        <v>1</v>
      </c>
      <c r="AC205">
        <v>0</v>
      </c>
      <c r="AD205">
        <v>0</v>
      </c>
      <c r="AE205">
        <v>0</v>
      </c>
      <c r="AF205">
        <v>0</v>
      </c>
      <c r="AG205">
        <v>0</v>
      </c>
      <c r="AI205" t="s">
        <v>233</v>
      </c>
      <c r="AJ205">
        <v>0</v>
      </c>
      <c r="AK205">
        <v>1</v>
      </c>
      <c r="AL205">
        <v>0</v>
      </c>
      <c r="AM205">
        <v>0</v>
      </c>
      <c r="AN205" t="s">
        <v>234</v>
      </c>
      <c r="AO205" t="s">
        <v>539</v>
      </c>
      <c r="AP205">
        <v>1</v>
      </c>
      <c r="AQ205">
        <v>0</v>
      </c>
      <c r="AR205">
        <v>0</v>
      </c>
      <c r="AS205">
        <v>1</v>
      </c>
      <c r="AT205">
        <v>0</v>
      </c>
      <c r="AU205">
        <v>0</v>
      </c>
      <c r="AV205">
        <v>0</v>
      </c>
      <c r="AX205" t="s">
        <v>226</v>
      </c>
      <c r="AY205" t="s">
        <v>226</v>
      </c>
      <c r="AZ205" t="s">
        <v>237</v>
      </c>
      <c r="BA205" t="s">
        <v>540</v>
      </c>
      <c r="BE205" t="s">
        <v>237</v>
      </c>
      <c r="BF205" t="s">
        <v>237</v>
      </c>
      <c r="BG205" t="s">
        <v>259</v>
      </c>
      <c r="BH205" t="s">
        <v>239</v>
      </c>
      <c r="BI205" t="s">
        <v>239</v>
      </c>
      <c r="BJ205" t="s">
        <v>237</v>
      </c>
      <c r="BK205" t="s">
        <v>239</v>
      </c>
      <c r="BL205" t="s">
        <v>262</v>
      </c>
      <c r="BM205" t="s">
        <v>415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 t="s">
        <v>242</v>
      </c>
      <c r="CB205" t="s">
        <v>328</v>
      </c>
      <c r="CC205" t="s">
        <v>328</v>
      </c>
      <c r="CD205" t="s">
        <v>236</v>
      </c>
      <c r="CE205" t="s">
        <v>236</v>
      </c>
      <c r="EA205" t="s">
        <v>236</v>
      </c>
      <c r="EC205" t="s">
        <v>236</v>
      </c>
      <c r="EE205" t="s">
        <v>236</v>
      </c>
      <c r="EG205" t="s">
        <v>226</v>
      </c>
      <c r="EH205" t="s">
        <v>245</v>
      </c>
      <c r="EI205" t="s">
        <v>308</v>
      </c>
      <c r="EK205" t="s">
        <v>236</v>
      </c>
      <c r="EM205" t="s">
        <v>226</v>
      </c>
      <c r="EN205" t="s">
        <v>244</v>
      </c>
      <c r="EO205" t="s">
        <v>236</v>
      </c>
      <c r="EQ205" t="s">
        <v>236</v>
      </c>
      <c r="ES205" t="s">
        <v>226</v>
      </c>
      <c r="ET205" t="s">
        <v>245</v>
      </c>
      <c r="EU205" t="s">
        <v>236</v>
      </c>
      <c r="EW205" t="s">
        <v>236</v>
      </c>
      <c r="EY205" t="s">
        <v>236</v>
      </c>
      <c r="FA205" t="s">
        <v>226</v>
      </c>
      <c r="FB205" t="s">
        <v>245</v>
      </c>
      <c r="FC205" t="s">
        <v>236</v>
      </c>
      <c r="FE205" t="s">
        <v>226</v>
      </c>
      <c r="FF205" t="s">
        <v>244</v>
      </c>
      <c r="FG205" t="s">
        <v>226</v>
      </c>
      <c r="FH205" t="s">
        <v>541</v>
      </c>
      <c r="FI205" t="s">
        <v>245</v>
      </c>
      <c r="FJ205" t="s">
        <v>226</v>
      </c>
      <c r="FK205" t="s">
        <v>265</v>
      </c>
      <c r="FL205" t="s">
        <v>236</v>
      </c>
      <c r="FM205" t="s">
        <v>236</v>
      </c>
      <c r="FW205" t="s">
        <v>226</v>
      </c>
      <c r="FX205" t="s">
        <v>226</v>
      </c>
      <c r="FY205" t="s">
        <v>266</v>
      </c>
      <c r="FZ205" t="s">
        <v>226</v>
      </c>
      <c r="GA205" t="s">
        <v>226</v>
      </c>
      <c r="GB205" t="s">
        <v>266</v>
      </c>
      <c r="GC205" t="s">
        <v>236</v>
      </c>
      <c r="GF205" t="s">
        <v>226</v>
      </c>
      <c r="GG205" t="s">
        <v>226</v>
      </c>
      <c r="GH205" t="s">
        <v>266</v>
      </c>
      <c r="GI205" t="s">
        <v>236</v>
      </c>
      <c r="GL205" t="s">
        <v>226</v>
      </c>
      <c r="GM205" t="s">
        <v>226</v>
      </c>
      <c r="GN205" t="s">
        <v>266</v>
      </c>
      <c r="GO205" t="s">
        <v>226</v>
      </c>
      <c r="GP205" t="s">
        <v>226</v>
      </c>
      <c r="GQ205" t="s">
        <v>266</v>
      </c>
      <c r="GR205" t="s">
        <v>226</v>
      </c>
      <c r="GS205" t="s">
        <v>226</v>
      </c>
      <c r="GT205" t="s">
        <v>266</v>
      </c>
      <c r="GU205" t="s">
        <v>226</v>
      </c>
      <c r="GV205" t="s">
        <v>226</v>
      </c>
      <c r="GW205" t="s">
        <v>266</v>
      </c>
      <c r="GX205" t="s">
        <v>236</v>
      </c>
      <c r="HB205" t="s">
        <v>288</v>
      </c>
      <c r="HC205" t="s">
        <v>338</v>
      </c>
      <c r="HE205">
        <v>82965502</v>
      </c>
      <c r="HF205" t="s">
        <v>542</v>
      </c>
      <c r="HG205" s="2">
        <v>45753.539340277777</v>
      </c>
      <c r="HJ205" t="s">
        <v>248</v>
      </c>
      <c r="HL205" t="s">
        <v>249</v>
      </c>
      <c r="HN205">
        <v>204</v>
      </c>
    </row>
    <row r="206" spans="1:222" x14ac:dyDescent="0.25">
      <c r="A206" s="2">
        <v>45753.330674722223</v>
      </c>
      <c r="B206" s="2">
        <v>45753.335775462961</v>
      </c>
      <c r="C206" t="s">
        <v>385</v>
      </c>
      <c r="D206">
        <v>294</v>
      </c>
      <c r="E206" s="2">
        <v>45730</v>
      </c>
      <c r="F206">
        <v>1</v>
      </c>
      <c r="G206" t="s">
        <v>374</v>
      </c>
      <c r="H206" t="s">
        <v>375</v>
      </c>
      <c r="I206">
        <v>22</v>
      </c>
      <c r="J206" t="str">
        <f t="shared" si="3"/>
        <v>de 18 a 25 años</v>
      </c>
      <c r="K206" t="s">
        <v>251</v>
      </c>
      <c r="L206">
        <v>1</v>
      </c>
      <c r="M206">
        <v>0</v>
      </c>
      <c r="N206">
        <v>0</v>
      </c>
      <c r="O206">
        <v>0</v>
      </c>
      <c r="P206">
        <v>1</v>
      </c>
      <c r="Q206" t="s">
        <v>291</v>
      </c>
      <c r="R206" t="s">
        <v>226</v>
      </c>
      <c r="T206" t="s">
        <v>386</v>
      </c>
      <c r="V206" t="s">
        <v>321</v>
      </c>
      <c r="W206" t="s">
        <v>229</v>
      </c>
      <c r="X206" t="s">
        <v>253</v>
      </c>
      <c r="Z206" t="s">
        <v>254</v>
      </c>
      <c r="AA206" t="s">
        <v>255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I206" t="s">
        <v>256</v>
      </c>
      <c r="AJ206">
        <v>0</v>
      </c>
      <c r="AK206">
        <v>0</v>
      </c>
      <c r="AL206">
        <v>1</v>
      </c>
      <c r="AM206">
        <v>0</v>
      </c>
      <c r="AN206" t="s">
        <v>257</v>
      </c>
      <c r="AO206" t="s">
        <v>294</v>
      </c>
      <c r="AP206">
        <v>1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X206" t="s">
        <v>226</v>
      </c>
      <c r="AY206" t="s">
        <v>226</v>
      </c>
      <c r="AZ206" t="s">
        <v>259</v>
      </c>
      <c r="BA206" t="s">
        <v>387</v>
      </c>
      <c r="BB206" t="s">
        <v>388</v>
      </c>
      <c r="BE206" t="s">
        <v>259</v>
      </c>
      <c r="BF206" t="s">
        <v>259</v>
      </c>
      <c r="BG206" t="s">
        <v>259</v>
      </c>
      <c r="BH206" t="s">
        <v>237</v>
      </c>
      <c r="BI206" t="s">
        <v>237</v>
      </c>
      <c r="BJ206" t="s">
        <v>259</v>
      </c>
      <c r="BK206" t="s">
        <v>261</v>
      </c>
      <c r="BL206" t="s">
        <v>262</v>
      </c>
      <c r="BM206" t="s">
        <v>389</v>
      </c>
      <c r="BN206">
        <v>0</v>
      </c>
      <c r="BO206">
        <v>0</v>
      </c>
      <c r="BP206">
        <v>1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 t="s">
        <v>264</v>
      </c>
      <c r="CB206" t="s">
        <v>264</v>
      </c>
      <c r="CC206" t="s">
        <v>264</v>
      </c>
      <c r="CD206" t="s">
        <v>236</v>
      </c>
      <c r="CE206" t="s">
        <v>236</v>
      </c>
      <c r="EA206" t="s">
        <v>236</v>
      </c>
      <c r="EC206" t="s">
        <v>236</v>
      </c>
      <c r="EE206" t="s">
        <v>236</v>
      </c>
      <c r="EG206" t="s">
        <v>226</v>
      </c>
      <c r="EH206" t="s">
        <v>244</v>
      </c>
      <c r="EI206" t="s">
        <v>236</v>
      </c>
      <c r="EK206" t="s">
        <v>236</v>
      </c>
      <c r="EM206" t="s">
        <v>226</v>
      </c>
      <c r="EN206" t="s">
        <v>245</v>
      </c>
      <c r="EO206" t="s">
        <v>236</v>
      </c>
      <c r="EQ206" t="s">
        <v>236</v>
      </c>
      <c r="ES206" t="s">
        <v>236</v>
      </c>
      <c r="EU206" t="s">
        <v>236</v>
      </c>
      <c r="EW206" t="s">
        <v>236</v>
      </c>
      <c r="EY206" t="s">
        <v>236</v>
      </c>
      <c r="FA206" t="s">
        <v>226</v>
      </c>
      <c r="FB206" t="s">
        <v>244</v>
      </c>
      <c r="FC206" t="s">
        <v>236</v>
      </c>
      <c r="FE206" t="s">
        <v>226</v>
      </c>
      <c r="FF206" t="s">
        <v>244</v>
      </c>
      <c r="FG206" t="s">
        <v>236</v>
      </c>
      <c r="FJ206" t="s">
        <v>226</v>
      </c>
      <c r="FK206" t="s">
        <v>245</v>
      </c>
      <c r="FL206" t="s">
        <v>226</v>
      </c>
      <c r="FM206" t="s">
        <v>236</v>
      </c>
      <c r="FW206" t="s">
        <v>226</v>
      </c>
      <c r="FX206" t="s">
        <v>236</v>
      </c>
      <c r="FZ206" t="s">
        <v>236</v>
      </c>
      <c r="GC206" t="s">
        <v>236</v>
      </c>
      <c r="GF206" t="s">
        <v>226</v>
      </c>
      <c r="GG206" t="s">
        <v>236</v>
      </c>
      <c r="GI206" t="s">
        <v>236</v>
      </c>
      <c r="GL206" t="s">
        <v>226</v>
      </c>
      <c r="GM206" t="s">
        <v>226</v>
      </c>
      <c r="GN206" t="s">
        <v>266</v>
      </c>
      <c r="GO206" t="s">
        <v>226</v>
      </c>
      <c r="GP206" t="s">
        <v>226</v>
      </c>
      <c r="GQ206" t="s">
        <v>267</v>
      </c>
      <c r="GR206" t="s">
        <v>226</v>
      </c>
      <c r="GS206" t="s">
        <v>226</v>
      </c>
      <c r="GT206" t="s">
        <v>266</v>
      </c>
      <c r="GU206" t="s">
        <v>236</v>
      </c>
      <c r="GX206" t="s">
        <v>236</v>
      </c>
      <c r="HB206" t="s">
        <v>358</v>
      </c>
      <c r="HE206">
        <v>82965820</v>
      </c>
      <c r="HF206" t="s">
        <v>390</v>
      </c>
      <c r="HG206" s="2">
        <v>45753.544016203698</v>
      </c>
      <c r="HJ206" t="s">
        <v>248</v>
      </c>
      <c r="HL206" t="s">
        <v>249</v>
      </c>
      <c r="HN206">
        <v>206</v>
      </c>
    </row>
    <row r="207" spans="1:222" x14ac:dyDescent="0.25">
      <c r="A207" s="2">
        <v>45753.330999722217</v>
      </c>
      <c r="B207" s="2">
        <v>45753.334191967588</v>
      </c>
      <c r="C207" t="s">
        <v>221</v>
      </c>
      <c r="D207">
        <v>403</v>
      </c>
      <c r="E207" s="2">
        <v>45731</v>
      </c>
      <c r="F207">
        <v>3</v>
      </c>
      <c r="G207" t="s">
        <v>306</v>
      </c>
      <c r="H207" t="s">
        <v>307</v>
      </c>
      <c r="I207">
        <v>31</v>
      </c>
      <c r="J207" t="str">
        <f t="shared" si="3"/>
        <v>de 26 a 40 años</v>
      </c>
      <c r="K207" t="s">
        <v>251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225</v>
      </c>
      <c r="R207" t="s">
        <v>226</v>
      </c>
      <c r="T207" t="s">
        <v>227</v>
      </c>
      <c r="V207" t="s">
        <v>272</v>
      </c>
      <c r="W207" t="s">
        <v>229</v>
      </c>
      <c r="X207" t="s">
        <v>230</v>
      </c>
      <c r="Z207" t="s">
        <v>351</v>
      </c>
      <c r="AA207" t="s">
        <v>232</v>
      </c>
      <c r="AB207">
        <v>1</v>
      </c>
      <c r="AC207">
        <v>0</v>
      </c>
      <c r="AD207">
        <v>0</v>
      </c>
      <c r="AE207">
        <v>0</v>
      </c>
      <c r="AF207">
        <v>0</v>
      </c>
      <c r="AG207">
        <v>1</v>
      </c>
      <c r="AH207" t="s">
        <v>543</v>
      </c>
      <c r="AI207" t="s">
        <v>233</v>
      </c>
      <c r="AJ207">
        <v>0</v>
      </c>
      <c r="AK207">
        <v>1</v>
      </c>
      <c r="AL207">
        <v>0</v>
      </c>
      <c r="AM207">
        <v>0</v>
      </c>
      <c r="AN207" t="s">
        <v>274</v>
      </c>
      <c r="AO207" t="s">
        <v>294</v>
      </c>
      <c r="AP207">
        <v>1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 t="s">
        <v>544</v>
      </c>
      <c r="AX207" t="s">
        <v>226</v>
      </c>
      <c r="AY207" t="s">
        <v>226</v>
      </c>
      <c r="AZ207" t="s">
        <v>259</v>
      </c>
      <c r="BA207" t="s">
        <v>545</v>
      </c>
      <c r="BE207" t="s">
        <v>259</v>
      </c>
      <c r="BF207" t="s">
        <v>259</v>
      </c>
      <c r="BG207" t="s">
        <v>308</v>
      </c>
      <c r="BH207" t="s">
        <v>259</v>
      </c>
      <c r="BI207" t="s">
        <v>259</v>
      </c>
      <c r="BJ207" t="s">
        <v>259</v>
      </c>
      <c r="BK207" t="s">
        <v>259</v>
      </c>
      <c r="BL207" t="s">
        <v>313</v>
      </c>
      <c r="BM207" t="s">
        <v>357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1</v>
      </c>
      <c r="BV207">
        <v>0</v>
      </c>
      <c r="BW207">
        <v>0</v>
      </c>
      <c r="BX207">
        <v>0</v>
      </c>
      <c r="BY207">
        <v>0</v>
      </c>
      <c r="BZ207">
        <v>0</v>
      </c>
      <c r="CA207" t="s">
        <v>243</v>
      </c>
      <c r="CB207" t="s">
        <v>243</v>
      </c>
      <c r="CC207" t="s">
        <v>243</v>
      </c>
      <c r="CD207" t="s">
        <v>226</v>
      </c>
      <c r="CE207" t="s">
        <v>236</v>
      </c>
      <c r="EA207" t="s">
        <v>236</v>
      </c>
      <c r="EC207" t="s">
        <v>236</v>
      </c>
      <c r="EE207" t="s">
        <v>226</v>
      </c>
      <c r="EF207" t="s">
        <v>245</v>
      </c>
      <c r="EG207" t="s">
        <v>236</v>
      </c>
      <c r="EI207" t="s">
        <v>226</v>
      </c>
      <c r="EJ207" t="s">
        <v>245</v>
      </c>
      <c r="EK207" t="s">
        <v>226</v>
      </c>
      <c r="EL207" t="s">
        <v>245</v>
      </c>
      <c r="EM207" t="s">
        <v>226</v>
      </c>
      <c r="EN207" t="s">
        <v>244</v>
      </c>
      <c r="EO207" t="s">
        <v>236</v>
      </c>
      <c r="EQ207" t="s">
        <v>236</v>
      </c>
      <c r="ES207" t="s">
        <v>226</v>
      </c>
      <c r="ET207" t="s">
        <v>245</v>
      </c>
      <c r="EU207" t="s">
        <v>236</v>
      </c>
      <c r="EW207" t="s">
        <v>236</v>
      </c>
      <c r="EY207" t="s">
        <v>236</v>
      </c>
      <c r="FA207" t="s">
        <v>226</v>
      </c>
      <c r="FB207" t="s">
        <v>244</v>
      </c>
      <c r="FC207" t="s">
        <v>236</v>
      </c>
      <c r="FE207" t="s">
        <v>236</v>
      </c>
      <c r="FG207" t="s">
        <v>236</v>
      </c>
      <c r="FJ207" t="s">
        <v>226</v>
      </c>
      <c r="FK207" t="s">
        <v>265</v>
      </c>
      <c r="FL207" t="s">
        <v>226</v>
      </c>
      <c r="FM207" t="s">
        <v>236</v>
      </c>
      <c r="FW207" t="s">
        <v>226</v>
      </c>
      <c r="FX207" t="s">
        <v>226</v>
      </c>
      <c r="FY207" t="s">
        <v>266</v>
      </c>
      <c r="FZ207" t="s">
        <v>236</v>
      </c>
      <c r="GC207" t="s">
        <v>236</v>
      </c>
      <c r="GF207" t="s">
        <v>236</v>
      </c>
      <c r="GI207" t="s">
        <v>226</v>
      </c>
      <c r="GJ207" t="s">
        <v>226</v>
      </c>
      <c r="GK207" t="s">
        <v>266</v>
      </c>
      <c r="GL207" t="s">
        <v>226</v>
      </c>
      <c r="GM207" t="s">
        <v>226</v>
      </c>
      <c r="GN207" t="s">
        <v>266</v>
      </c>
      <c r="GO207" t="s">
        <v>226</v>
      </c>
      <c r="GP207" t="s">
        <v>226</v>
      </c>
      <c r="GQ207" t="s">
        <v>266</v>
      </c>
      <c r="GR207" t="s">
        <v>226</v>
      </c>
      <c r="GS207" t="s">
        <v>226</v>
      </c>
      <c r="GT207" t="s">
        <v>266</v>
      </c>
      <c r="GU207" t="s">
        <v>236</v>
      </c>
      <c r="GX207" t="s">
        <v>236</v>
      </c>
      <c r="HB207" t="s">
        <v>546</v>
      </c>
      <c r="HC207" t="s">
        <v>547</v>
      </c>
      <c r="HD207" t="s">
        <v>548</v>
      </c>
      <c r="HE207">
        <v>82965790</v>
      </c>
      <c r="HF207" t="s">
        <v>549</v>
      </c>
      <c r="HG207" s="2">
        <v>45753.542523148149</v>
      </c>
      <c r="HJ207" t="s">
        <v>248</v>
      </c>
      <c r="HL207" t="s">
        <v>249</v>
      </c>
      <c r="HN207">
        <v>205</v>
      </c>
    </row>
    <row r="208" spans="1:222" x14ac:dyDescent="0.25">
      <c r="A208" s="2">
        <v>45753.334192835653</v>
      </c>
      <c r="B208" s="2">
        <v>45753.336873182867</v>
      </c>
      <c r="C208" t="s">
        <v>221</v>
      </c>
      <c r="D208">
        <v>405</v>
      </c>
      <c r="E208" s="2">
        <v>45731</v>
      </c>
      <c r="F208">
        <v>3</v>
      </c>
      <c r="G208" t="s">
        <v>306</v>
      </c>
      <c r="H208" t="s">
        <v>307</v>
      </c>
      <c r="I208">
        <v>53</v>
      </c>
      <c r="J208" t="str">
        <f t="shared" si="3"/>
        <v>de 41 a 55 años</v>
      </c>
      <c r="K208" t="s">
        <v>251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225</v>
      </c>
      <c r="R208" t="s">
        <v>226</v>
      </c>
      <c r="T208" t="s">
        <v>227</v>
      </c>
      <c r="V208" t="s">
        <v>612</v>
      </c>
      <c r="W208" t="s">
        <v>229</v>
      </c>
      <c r="X208" t="s">
        <v>230</v>
      </c>
      <c r="Z208" t="s">
        <v>308</v>
      </c>
      <c r="AA208" t="s">
        <v>255</v>
      </c>
      <c r="AB208">
        <v>0</v>
      </c>
      <c r="AC208">
        <v>0</v>
      </c>
      <c r="AD208">
        <v>0</v>
      </c>
      <c r="AE208">
        <v>1</v>
      </c>
      <c r="AF208">
        <v>0</v>
      </c>
      <c r="AG208">
        <v>0</v>
      </c>
      <c r="AI208" t="s">
        <v>233</v>
      </c>
      <c r="AJ208">
        <v>0</v>
      </c>
      <c r="AK208">
        <v>1</v>
      </c>
      <c r="AL208">
        <v>0</v>
      </c>
      <c r="AM208">
        <v>0</v>
      </c>
      <c r="AN208" t="s">
        <v>257</v>
      </c>
      <c r="AO208" t="s">
        <v>353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X208" t="s">
        <v>236</v>
      </c>
      <c r="AZ208" t="s">
        <v>237</v>
      </c>
      <c r="BA208" t="s">
        <v>1854</v>
      </c>
      <c r="BE208" t="s">
        <v>259</v>
      </c>
      <c r="BF208" t="s">
        <v>259</v>
      </c>
      <c r="BG208" t="s">
        <v>259</v>
      </c>
      <c r="BH208" t="s">
        <v>237</v>
      </c>
      <c r="BI208" t="s">
        <v>237</v>
      </c>
      <c r="BJ208" t="s">
        <v>237</v>
      </c>
      <c r="BK208" t="s">
        <v>237</v>
      </c>
      <c r="BL208" t="s">
        <v>262</v>
      </c>
      <c r="BM208" t="s">
        <v>451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 t="s">
        <v>264</v>
      </c>
      <c r="CB208" t="s">
        <v>243</v>
      </c>
      <c r="CC208" t="s">
        <v>264</v>
      </c>
      <c r="CD208" t="s">
        <v>236</v>
      </c>
      <c r="CE208" t="s">
        <v>236</v>
      </c>
      <c r="EA208" t="s">
        <v>236</v>
      </c>
      <c r="EC208" t="s">
        <v>226</v>
      </c>
      <c r="ED208" t="s">
        <v>244</v>
      </c>
      <c r="EE208" t="s">
        <v>236</v>
      </c>
      <c r="EG208" t="s">
        <v>236</v>
      </c>
      <c r="EI208" t="s">
        <v>236</v>
      </c>
      <c r="EK208" t="s">
        <v>226</v>
      </c>
      <c r="EL208" t="s">
        <v>244</v>
      </c>
      <c r="EM208" t="s">
        <v>226</v>
      </c>
      <c r="EN208" t="s">
        <v>244</v>
      </c>
      <c r="EO208" t="s">
        <v>236</v>
      </c>
      <c r="EQ208" t="s">
        <v>236</v>
      </c>
      <c r="ES208" t="s">
        <v>236</v>
      </c>
      <c r="EU208" t="s">
        <v>236</v>
      </c>
      <c r="EW208" t="s">
        <v>236</v>
      </c>
      <c r="EY208" t="s">
        <v>236</v>
      </c>
      <c r="FA208" t="s">
        <v>236</v>
      </c>
      <c r="FC208" t="s">
        <v>236</v>
      </c>
      <c r="FE208" t="s">
        <v>236</v>
      </c>
      <c r="FG208" t="s">
        <v>236</v>
      </c>
      <c r="FJ208" t="s">
        <v>226</v>
      </c>
      <c r="FK208" t="s">
        <v>244</v>
      </c>
      <c r="FL208" t="s">
        <v>236</v>
      </c>
      <c r="FM208" t="s">
        <v>236</v>
      </c>
      <c r="FW208" t="s">
        <v>236</v>
      </c>
      <c r="FZ208" t="s">
        <v>236</v>
      </c>
      <c r="GC208" t="s">
        <v>236</v>
      </c>
      <c r="GF208" t="s">
        <v>226</v>
      </c>
      <c r="GG208" t="s">
        <v>236</v>
      </c>
      <c r="GI208" t="s">
        <v>236</v>
      </c>
      <c r="GL208" t="s">
        <v>236</v>
      </c>
      <c r="GO208" t="s">
        <v>226</v>
      </c>
      <c r="GP208" t="s">
        <v>236</v>
      </c>
      <c r="GR208" t="s">
        <v>236</v>
      </c>
      <c r="GU208" t="s">
        <v>236</v>
      </c>
      <c r="GX208" t="s">
        <v>236</v>
      </c>
      <c r="HB208" t="s">
        <v>279</v>
      </c>
      <c r="HC208" t="s">
        <v>1679</v>
      </c>
      <c r="HE208">
        <v>82965863</v>
      </c>
      <c r="HF208" t="s">
        <v>1855</v>
      </c>
      <c r="HG208" s="2">
        <v>45753.545208333337</v>
      </c>
      <c r="HJ208" t="s">
        <v>248</v>
      </c>
      <c r="HL208" t="s">
        <v>249</v>
      </c>
      <c r="HN208">
        <v>207</v>
      </c>
    </row>
    <row r="209" spans="1:222" x14ac:dyDescent="0.25">
      <c r="A209" s="2">
        <v>45753.33577633102</v>
      </c>
      <c r="B209" s="2">
        <v>45753.340919247683</v>
      </c>
      <c r="C209" t="s">
        <v>385</v>
      </c>
      <c r="D209">
        <v>293</v>
      </c>
      <c r="E209" s="2">
        <v>45730</v>
      </c>
      <c r="F209">
        <v>1</v>
      </c>
      <c r="G209" t="s">
        <v>374</v>
      </c>
      <c r="H209" t="s">
        <v>375</v>
      </c>
      <c r="I209">
        <v>22</v>
      </c>
      <c r="J209" t="str">
        <f t="shared" si="3"/>
        <v>de 18 a 25 años</v>
      </c>
      <c r="K209" t="s">
        <v>251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291</v>
      </c>
      <c r="R209" t="s">
        <v>226</v>
      </c>
      <c r="T209" t="s">
        <v>227</v>
      </c>
      <c r="V209" t="s">
        <v>228</v>
      </c>
      <c r="W209" t="s">
        <v>229</v>
      </c>
      <c r="X209" t="s">
        <v>253</v>
      </c>
      <c r="Z209" t="s">
        <v>231</v>
      </c>
      <c r="AA209" t="s">
        <v>352</v>
      </c>
      <c r="AB209">
        <v>1</v>
      </c>
      <c r="AC209">
        <v>0</v>
      </c>
      <c r="AD209">
        <v>0</v>
      </c>
      <c r="AE209">
        <v>0</v>
      </c>
      <c r="AF209">
        <v>1</v>
      </c>
      <c r="AG209">
        <v>0</v>
      </c>
      <c r="AI209" t="s">
        <v>256</v>
      </c>
      <c r="AJ209">
        <v>0</v>
      </c>
      <c r="AK209">
        <v>0</v>
      </c>
      <c r="AL209">
        <v>1</v>
      </c>
      <c r="AM209">
        <v>0</v>
      </c>
      <c r="AN209" t="s">
        <v>234</v>
      </c>
      <c r="AO209" t="s">
        <v>258</v>
      </c>
      <c r="AP209">
        <v>1</v>
      </c>
      <c r="AQ209">
        <v>0</v>
      </c>
      <c r="AR209">
        <v>0</v>
      </c>
      <c r="AS209">
        <v>0</v>
      </c>
      <c r="AT209">
        <v>0</v>
      </c>
      <c r="AU209">
        <v>1</v>
      </c>
      <c r="AV209">
        <v>0</v>
      </c>
      <c r="AX209" t="s">
        <v>226</v>
      </c>
      <c r="AY209" t="s">
        <v>226</v>
      </c>
      <c r="AZ209" t="s">
        <v>237</v>
      </c>
      <c r="BA209" t="s">
        <v>1496</v>
      </c>
      <c r="BE209" t="s">
        <v>259</v>
      </c>
      <c r="BF209" t="s">
        <v>237</v>
      </c>
      <c r="BG209" t="s">
        <v>259</v>
      </c>
      <c r="BH209" t="s">
        <v>237</v>
      </c>
      <c r="BI209" t="s">
        <v>237</v>
      </c>
      <c r="BJ209" t="s">
        <v>237</v>
      </c>
      <c r="BK209" t="s">
        <v>261</v>
      </c>
      <c r="BL209" t="s">
        <v>313</v>
      </c>
      <c r="BM209" t="s">
        <v>278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 t="s">
        <v>264</v>
      </c>
      <c r="CB209" t="s">
        <v>243</v>
      </c>
      <c r="CC209" t="s">
        <v>264</v>
      </c>
      <c r="CD209" t="s">
        <v>226</v>
      </c>
      <c r="CE209" t="s">
        <v>236</v>
      </c>
      <c r="EA209" t="s">
        <v>236</v>
      </c>
      <c r="EC209" t="s">
        <v>226</v>
      </c>
      <c r="ED209" t="s">
        <v>245</v>
      </c>
      <c r="EE209" t="s">
        <v>226</v>
      </c>
      <c r="EF209" t="s">
        <v>245</v>
      </c>
      <c r="EG209" t="s">
        <v>226</v>
      </c>
      <c r="EH209" t="s">
        <v>244</v>
      </c>
      <c r="EI209" t="s">
        <v>226</v>
      </c>
      <c r="EJ209" t="s">
        <v>245</v>
      </c>
      <c r="EK209" t="s">
        <v>236</v>
      </c>
      <c r="EM209" t="s">
        <v>236</v>
      </c>
      <c r="EO209" t="s">
        <v>226</v>
      </c>
      <c r="EP209" t="s">
        <v>245</v>
      </c>
      <c r="EQ209" t="s">
        <v>236</v>
      </c>
      <c r="ES209" t="s">
        <v>236</v>
      </c>
      <c r="EU209" t="s">
        <v>236</v>
      </c>
      <c r="EW209" t="s">
        <v>226</v>
      </c>
      <c r="EX209" t="s">
        <v>245</v>
      </c>
      <c r="EY209" t="s">
        <v>226</v>
      </c>
      <c r="EZ209" t="s">
        <v>244</v>
      </c>
      <c r="FA209" t="s">
        <v>236</v>
      </c>
      <c r="FC209" t="s">
        <v>308</v>
      </c>
      <c r="FE209" t="s">
        <v>226</v>
      </c>
      <c r="FF209" t="s">
        <v>244</v>
      </c>
      <c r="FG209" t="s">
        <v>236</v>
      </c>
      <c r="FJ209" t="s">
        <v>226</v>
      </c>
      <c r="FK209" t="s">
        <v>244</v>
      </c>
      <c r="FL209" t="s">
        <v>236</v>
      </c>
      <c r="FM209" t="s">
        <v>236</v>
      </c>
      <c r="FW209" t="s">
        <v>226</v>
      </c>
      <c r="FX209" t="s">
        <v>236</v>
      </c>
      <c r="FZ209" t="s">
        <v>226</v>
      </c>
      <c r="GA209" t="s">
        <v>226</v>
      </c>
      <c r="GB209" t="s">
        <v>266</v>
      </c>
      <c r="GC209" t="s">
        <v>226</v>
      </c>
      <c r="GD209" t="s">
        <v>236</v>
      </c>
      <c r="GF209" t="s">
        <v>226</v>
      </c>
      <c r="GG209" t="s">
        <v>226</v>
      </c>
      <c r="GH209" t="s">
        <v>266</v>
      </c>
      <c r="GI209" t="s">
        <v>226</v>
      </c>
      <c r="GJ209" t="s">
        <v>236</v>
      </c>
      <c r="GL209" t="s">
        <v>226</v>
      </c>
      <c r="GM209" t="s">
        <v>226</v>
      </c>
      <c r="GN209" t="s">
        <v>266</v>
      </c>
      <c r="GO209" t="s">
        <v>226</v>
      </c>
      <c r="GP209" t="s">
        <v>226</v>
      </c>
      <c r="GQ209" t="s">
        <v>267</v>
      </c>
      <c r="GR209" t="s">
        <v>226</v>
      </c>
      <c r="GS209" t="s">
        <v>236</v>
      </c>
      <c r="GU209" t="s">
        <v>226</v>
      </c>
      <c r="GV209" t="s">
        <v>236</v>
      </c>
      <c r="GX209" t="s">
        <v>236</v>
      </c>
      <c r="HB209" t="s">
        <v>338</v>
      </c>
      <c r="HE209">
        <v>82966078</v>
      </c>
      <c r="HF209" t="s">
        <v>1497</v>
      </c>
      <c r="HG209" s="2">
        <v>45753.549155092587</v>
      </c>
      <c r="HJ209" t="s">
        <v>248</v>
      </c>
      <c r="HL209" t="s">
        <v>249</v>
      </c>
      <c r="HN209">
        <v>208</v>
      </c>
    </row>
    <row r="210" spans="1:222" x14ac:dyDescent="0.25">
      <c r="A210" s="2">
        <v>45753.336873900473</v>
      </c>
      <c r="B210" s="2">
        <v>45753.341390347217</v>
      </c>
      <c r="C210" t="s">
        <v>221</v>
      </c>
      <c r="D210">
        <v>407</v>
      </c>
      <c r="E210" s="2">
        <v>45731</v>
      </c>
      <c r="F210">
        <v>3</v>
      </c>
      <c r="G210" t="s">
        <v>306</v>
      </c>
      <c r="H210" t="s">
        <v>307</v>
      </c>
      <c r="I210">
        <v>44</v>
      </c>
      <c r="J210" t="str">
        <f t="shared" si="3"/>
        <v>de 41 a 55 años</v>
      </c>
      <c r="K210" t="s">
        <v>224</v>
      </c>
      <c r="L210">
        <v>0</v>
      </c>
      <c r="M210">
        <v>0</v>
      </c>
      <c r="N210">
        <v>0</v>
      </c>
      <c r="O210">
        <v>0</v>
      </c>
      <c r="P210">
        <v>1</v>
      </c>
      <c r="Q210" t="s">
        <v>225</v>
      </c>
      <c r="R210" t="s">
        <v>226</v>
      </c>
      <c r="T210" t="s">
        <v>227</v>
      </c>
      <c r="V210" t="s">
        <v>272</v>
      </c>
      <c r="W210" t="s">
        <v>229</v>
      </c>
      <c r="X210" t="s">
        <v>230</v>
      </c>
      <c r="Z210" t="s">
        <v>398</v>
      </c>
      <c r="AA210" t="s">
        <v>232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I210" t="s">
        <v>233</v>
      </c>
      <c r="AJ210">
        <v>0</v>
      </c>
      <c r="AK210">
        <v>1</v>
      </c>
      <c r="AL210">
        <v>0</v>
      </c>
      <c r="AM210">
        <v>0</v>
      </c>
      <c r="AN210" t="s">
        <v>300</v>
      </c>
      <c r="AO210" t="s">
        <v>382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X210" t="s">
        <v>226</v>
      </c>
      <c r="AY210" t="s">
        <v>226</v>
      </c>
      <c r="AZ210" t="s">
        <v>237</v>
      </c>
      <c r="BA210" t="s">
        <v>1508</v>
      </c>
      <c r="BE210" t="s">
        <v>259</v>
      </c>
      <c r="BF210" t="s">
        <v>259</v>
      </c>
      <c r="BG210" t="s">
        <v>259</v>
      </c>
      <c r="BH210" t="s">
        <v>237</v>
      </c>
      <c r="BI210" t="s">
        <v>237</v>
      </c>
      <c r="BJ210" t="s">
        <v>237</v>
      </c>
      <c r="BK210" t="s">
        <v>261</v>
      </c>
      <c r="BL210" t="s">
        <v>262</v>
      </c>
      <c r="BM210" t="s">
        <v>1859</v>
      </c>
      <c r="BN210">
        <v>0</v>
      </c>
      <c r="BO210">
        <v>1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 t="s">
        <v>264</v>
      </c>
      <c r="CB210" t="s">
        <v>264</v>
      </c>
      <c r="CC210" t="s">
        <v>264</v>
      </c>
      <c r="CD210" t="s">
        <v>236</v>
      </c>
      <c r="CE210" t="s">
        <v>236</v>
      </c>
      <c r="EA210" t="s">
        <v>236</v>
      </c>
      <c r="EC210" t="s">
        <v>226</v>
      </c>
      <c r="ED210" t="s">
        <v>244</v>
      </c>
      <c r="EE210" t="s">
        <v>226</v>
      </c>
      <c r="EF210" t="s">
        <v>265</v>
      </c>
      <c r="EG210" t="s">
        <v>226</v>
      </c>
      <c r="EH210" t="s">
        <v>245</v>
      </c>
      <c r="EI210" t="s">
        <v>226</v>
      </c>
      <c r="EJ210" t="s">
        <v>244</v>
      </c>
      <c r="EK210" t="s">
        <v>236</v>
      </c>
      <c r="EM210" t="s">
        <v>226</v>
      </c>
      <c r="EN210" t="s">
        <v>244</v>
      </c>
      <c r="EO210" t="s">
        <v>236</v>
      </c>
      <c r="EQ210" t="s">
        <v>236</v>
      </c>
      <c r="ES210" t="s">
        <v>236</v>
      </c>
      <c r="EU210" t="s">
        <v>236</v>
      </c>
      <c r="EW210" t="s">
        <v>226</v>
      </c>
      <c r="EX210" t="s">
        <v>244</v>
      </c>
      <c r="EY210" t="s">
        <v>236</v>
      </c>
      <c r="FA210" t="s">
        <v>226</v>
      </c>
      <c r="FB210" t="s">
        <v>245</v>
      </c>
      <c r="FC210" t="s">
        <v>236</v>
      </c>
      <c r="FE210" t="s">
        <v>226</v>
      </c>
      <c r="FF210" t="s">
        <v>244</v>
      </c>
      <c r="FG210" t="s">
        <v>236</v>
      </c>
      <c r="FJ210" t="s">
        <v>226</v>
      </c>
      <c r="FK210" t="s">
        <v>265</v>
      </c>
      <c r="FL210" t="s">
        <v>226</v>
      </c>
      <c r="FM210" t="s">
        <v>236</v>
      </c>
      <c r="FW210" t="s">
        <v>226</v>
      </c>
      <c r="FX210" t="s">
        <v>226</v>
      </c>
      <c r="FY210" t="s">
        <v>267</v>
      </c>
      <c r="FZ210" t="s">
        <v>236</v>
      </c>
      <c r="GC210" t="s">
        <v>236</v>
      </c>
      <c r="GF210" t="s">
        <v>226</v>
      </c>
      <c r="GG210" t="s">
        <v>226</v>
      </c>
      <c r="GH210" t="s">
        <v>266</v>
      </c>
      <c r="GI210" t="s">
        <v>226</v>
      </c>
      <c r="GJ210" t="s">
        <v>226</v>
      </c>
      <c r="GK210" t="s">
        <v>267</v>
      </c>
      <c r="GL210" t="s">
        <v>226</v>
      </c>
      <c r="GM210" t="s">
        <v>236</v>
      </c>
      <c r="GO210" t="s">
        <v>226</v>
      </c>
      <c r="GP210" t="s">
        <v>226</v>
      </c>
      <c r="GQ210" t="s">
        <v>266</v>
      </c>
      <c r="GR210" t="s">
        <v>226</v>
      </c>
      <c r="GS210" t="s">
        <v>236</v>
      </c>
      <c r="GU210" t="s">
        <v>226</v>
      </c>
      <c r="GV210" t="s">
        <v>236</v>
      </c>
      <c r="GX210" t="s">
        <v>226</v>
      </c>
      <c r="GY210" t="s">
        <v>226</v>
      </c>
      <c r="GZ210" t="s">
        <v>266</v>
      </c>
      <c r="HB210" t="s">
        <v>338</v>
      </c>
      <c r="HC210" t="s">
        <v>1860</v>
      </c>
      <c r="HE210">
        <v>82966099</v>
      </c>
      <c r="HF210" t="s">
        <v>1861</v>
      </c>
      <c r="HG210" s="2">
        <v>45753.549722222233</v>
      </c>
      <c r="HJ210" t="s">
        <v>248</v>
      </c>
      <c r="HL210" t="s">
        <v>249</v>
      </c>
      <c r="HN210">
        <v>209</v>
      </c>
    </row>
    <row r="211" spans="1:222" x14ac:dyDescent="0.25">
      <c r="A211" s="2">
        <v>45753.340920104158</v>
      </c>
      <c r="B211" s="2">
        <v>45753.344888831023</v>
      </c>
      <c r="C211" t="s">
        <v>385</v>
      </c>
      <c r="D211">
        <v>292</v>
      </c>
      <c r="E211" s="2">
        <v>45730</v>
      </c>
      <c r="F211">
        <v>1</v>
      </c>
      <c r="G211" t="s">
        <v>374</v>
      </c>
      <c r="H211" t="s">
        <v>375</v>
      </c>
      <c r="I211">
        <v>27</v>
      </c>
      <c r="J211" t="str">
        <f t="shared" si="3"/>
        <v>de 26 a 40 años</v>
      </c>
      <c r="K211" t="s">
        <v>341</v>
      </c>
      <c r="L211">
        <v>1</v>
      </c>
      <c r="M211">
        <v>0</v>
      </c>
      <c r="N211">
        <v>0</v>
      </c>
      <c r="O211">
        <v>0</v>
      </c>
      <c r="P211">
        <v>0</v>
      </c>
      <c r="Q211" t="s">
        <v>291</v>
      </c>
      <c r="R211" t="s">
        <v>226</v>
      </c>
      <c r="T211" t="s">
        <v>227</v>
      </c>
      <c r="V211" t="s">
        <v>228</v>
      </c>
      <c r="W211" t="s">
        <v>229</v>
      </c>
      <c r="X211" t="s">
        <v>230</v>
      </c>
      <c r="Z211" t="s">
        <v>231</v>
      </c>
      <c r="AA211" t="s">
        <v>352</v>
      </c>
      <c r="AB211">
        <v>1</v>
      </c>
      <c r="AC211">
        <v>0</v>
      </c>
      <c r="AD211">
        <v>0</v>
      </c>
      <c r="AE211">
        <v>0</v>
      </c>
      <c r="AF211">
        <v>1</v>
      </c>
      <c r="AG211">
        <v>0</v>
      </c>
      <c r="AI211" t="s">
        <v>311</v>
      </c>
      <c r="AJ211">
        <v>0</v>
      </c>
      <c r="AK211">
        <v>1</v>
      </c>
      <c r="AL211">
        <v>1</v>
      </c>
      <c r="AM211">
        <v>0</v>
      </c>
      <c r="AN211" t="s">
        <v>300</v>
      </c>
      <c r="AO211" t="s">
        <v>606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1</v>
      </c>
      <c r="AV211">
        <v>0</v>
      </c>
      <c r="AX211" t="s">
        <v>236</v>
      </c>
      <c r="AZ211" t="s">
        <v>237</v>
      </c>
      <c r="BA211" t="s">
        <v>1494</v>
      </c>
      <c r="BE211" t="s">
        <v>259</v>
      </c>
      <c r="BF211" t="s">
        <v>259</v>
      </c>
      <c r="BG211" t="s">
        <v>259</v>
      </c>
      <c r="BH211" t="s">
        <v>237</v>
      </c>
      <c r="BI211" t="s">
        <v>237</v>
      </c>
      <c r="BJ211" t="s">
        <v>237</v>
      </c>
      <c r="BK211" t="s">
        <v>261</v>
      </c>
      <c r="BL211" t="s">
        <v>313</v>
      </c>
      <c r="BM211" t="s">
        <v>278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 t="s">
        <v>264</v>
      </c>
      <c r="CB211" t="s">
        <v>264</v>
      </c>
      <c r="CC211" t="s">
        <v>264</v>
      </c>
      <c r="CD211" t="s">
        <v>236</v>
      </c>
      <c r="CE211" t="s">
        <v>236</v>
      </c>
      <c r="EA211" t="s">
        <v>236</v>
      </c>
      <c r="EC211" t="s">
        <v>236</v>
      </c>
      <c r="EE211" t="s">
        <v>226</v>
      </c>
      <c r="EF211" t="s">
        <v>245</v>
      </c>
      <c r="EG211" t="s">
        <v>226</v>
      </c>
      <c r="EH211" t="s">
        <v>265</v>
      </c>
      <c r="EI211" t="s">
        <v>226</v>
      </c>
      <c r="EJ211" t="s">
        <v>245</v>
      </c>
      <c r="EK211" t="s">
        <v>236</v>
      </c>
      <c r="EM211" t="s">
        <v>226</v>
      </c>
      <c r="EN211" t="s">
        <v>265</v>
      </c>
      <c r="EO211" t="s">
        <v>226</v>
      </c>
      <c r="EP211" t="s">
        <v>245</v>
      </c>
      <c r="EQ211" t="s">
        <v>236</v>
      </c>
      <c r="ES211" t="s">
        <v>226</v>
      </c>
      <c r="ET211" t="s">
        <v>245</v>
      </c>
      <c r="EU211" t="s">
        <v>236</v>
      </c>
      <c r="EW211" t="s">
        <v>236</v>
      </c>
      <c r="EY211" t="s">
        <v>236</v>
      </c>
      <c r="FA211" t="s">
        <v>236</v>
      </c>
      <c r="FC211" t="s">
        <v>236</v>
      </c>
      <c r="FE211" t="s">
        <v>236</v>
      </c>
      <c r="FG211" t="s">
        <v>236</v>
      </c>
      <c r="FJ211" t="s">
        <v>226</v>
      </c>
      <c r="FK211" t="s">
        <v>245</v>
      </c>
      <c r="FL211" t="s">
        <v>226</v>
      </c>
      <c r="FM211" t="s">
        <v>236</v>
      </c>
      <c r="FW211" t="s">
        <v>236</v>
      </c>
      <c r="FZ211" t="s">
        <v>236</v>
      </c>
      <c r="GC211" t="s">
        <v>236</v>
      </c>
      <c r="GF211" t="s">
        <v>236</v>
      </c>
      <c r="GI211" t="s">
        <v>236</v>
      </c>
      <c r="GL211" t="s">
        <v>236</v>
      </c>
      <c r="GO211" t="s">
        <v>226</v>
      </c>
      <c r="GP211" t="s">
        <v>226</v>
      </c>
      <c r="GQ211" t="s">
        <v>267</v>
      </c>
      <c r="GR211" t="s">
        <v>226</v>
      </c>
      <c r="GS211" t="s">
        <v>226</v>
      </c>
      <c r="GT211" t="s">
        <v>267</v>
      </c>
      <c r="GU211" t="s">
        <v>236</v>
      </c>
      <c r="GX211" t="s">
        <v>236</v>
      </c>
      <c r="HB211" t="s">
        <v>338</v>
      </c>
      <c r="HE211">
        <v>82966328</v>
      </c>
      <c r="HF211" t="s">
        <v>1495</v>
      </c>
      <c r="HG211" s="2">
        <v>45753.553136574083</v>
      </c>
      <c r="HJ211" t="s">
        <v>248</v>
      </c>
      <c r="HL211" t="s">
        <v>249</v>
      </c>
      <c r="HN211">
        <v>210</v>
      </c>
    </row>
    <row r="212" spans="1:222" x14ac:dyDescent="0.25">
      <c r="A212" s="2">
        <v>45753.341393275463</v>
      </c>
      <c r="B212" s="2">
        <v>45753.345809259263</v>
      </c>
      <c r="C212" t="s">
        <v>221</v>
      </c>
      <c r="D212">
        <v>408</v>
      </c>
      <c r="E212" s="2">
        <v>45731</v>
      </c>
      <c r="F212">
        <v>3</v>
      </c>
      <c r="G212" t="s">
        <v>306</v>
      </c>
      <c r="H212" t="s">
        <v>307</v>
      </c>
      <c r="I212">
        <v>34</v>
      </c>
      <c r="J212" t="str">
        <f t="shared" si="3"/>
        <v>de 26 a 40 años</v>
      </c>
      <c r="K212" t="s">
        <v>251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225</v>
      </c>
      <c r="R212" t="s">
        <v>226</v>
      </c>
      <c r="T212" t="s">
        <v>227</v>
      </c>
      <c r="V212" t="s">
        <v>228</v>
      </c>
      <c r="W212" t="s">
        <v>229</v>
      </c>
      <c r="X212" t="s">
        <v>230</v>
      </c>
      <c r="Z212" t="s">
        <v>308</v>
      </c>
      <c r="AA212" t="s">
        <v>232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I212" t="s">
        <v>233</v>
      </c>
      <c r="AJ212">
        <v>0</v>
      </c>
      <c r="AK212">
        <v>1</v>
      </c>
      <c r="AL212">
        <v>0</v>
      </c>
      <c r="AM212">
        <v>0</v>
      </c>
      <c r="AN212" t="s">
        <v>234</v>
      </c>
      <c r="AO212" t="s">
        <v>235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X212" t="s">
        <v>226</v>
      </c>
      <c r="AY212" t="s">
        <v>226</v>
      </c>
      <c r="AZ212" t="s">
        <v>237</v>
      </c>
      <c r="BA212" t="s">
        <v>336</v>
      </c>
      <c r="BB212" t="s">
        <v>1862</v>
      </c>
      <c r="BE212" t="s">
        <v>259</v>
      </c>
      <c r="BF212" t="s">
        <v>237</v>
      </c>
      <c r="BG212" t="s">
        <v>237</v>
      </c>
      <c r="BH212" t="s">
        <v>259</v>
      </c>
      <c r="BI212" t="s">
        <v>237</v>
      </c>
      <c r="BJ212" t="s">
        <v>259</v>
      </c>
      <c r="BK212" t="s">
        <v>261</v>
      </c>
      <c r="BL212" t="s">
        <v>262</v>
      </c>
      <c r="BM212" t="s">
        <v>296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 t="s">
        <v>264</v>
      </c>
      <c r="CB212" t="s">
        <v>328</v>
      </c>
      <c r="CC212" t="s">
        <v>243</v>
      </c>
      <c r="CD212" t="s">
        <v>236</v>
      </c>
      <c r="CE212" t="s">
        <v>226</v>
      </c>
      <c r="CF212" t="s">
        <v>315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S212" t="s">
        <v>236</v>
      </c>
      <c r="DD212" t="s">
        <v>316</v>
      </c>
      <c r="EA212" t="s">
        <v>236</v>
      </c>
      <c r="EC212" t="s">
        <v>226</v>
      </c>
      <c r="ED212" t="s">
        <v>245</v>
      </c>
      <c r="EE212" t="s">
        <v>226</v>
      </c>
      <c r="EF212" t="s">
        <v>265</v>
      </c>
      <c r="EG212" t="s">
        <v>226</v>
      </c>
      <c r="EH212" t="s">
        <v>244</v>
      </c>
      <c r="EI212" t="s">
        <v>226</v>
      </c>
      <c r="EJ212" t="s">
        <v>245</v>
      </c>
      <c r="EK212" t="s">
        <v>236</v>
      </c>
      <c r="EM212" t="s">
        <v>226</v>
      </c>
      <c r="EN212" t="s">
        <v>244</v>
      </c>
      <c r="EO212" t="s">
        <v>226</v>
      </c>
      <c r="EP212" t="s">
        <v>245</v>
      </c>
      <c r="EQ212" t="s">
        <v>226</v>
      </c>
      <c r="ER212" t="s">
        <v>244</v>
      </c>
      <c r="ES212" t="s">
        <v>226</v>
      </c>
      <c r="ET212" t="s">
        <v>245</v>
      </c>
      <c r="EU212" t="s">
        <v>236</v>
      </c>
      <c r="EW212" t="s">
        <v>226</v>
      </c>
      <c r="EX212" t="s">
        <v>244</v>
      </c>
      <c r="EY212" t="s">
        <v>226</v>
      </c>
      <c r="EZ212" t="s">
        <v>245</v>
      </c>
      <c r="FA212" t="s">
        <v>226</v>
      </c>
      <c r="FB212" t="s">
        <v>245</v>
      </c>
      <c r="FC212" t="s">
        <v>226</v>
      </c>
      <c r="FD212" t="s">
        <v>244</v>
      </c>
      <c r="FE212" t="s">
        <v>226</v>
      </c>
      <c r="FF212" t="s">
        <v>244</v>
      </c>
      <c r="FG212" t="s">
        <v>236</v>
      </c>
      <c r="FJ212" t="s">
        <v>226</v>
      </c>
      <c r="FK212" t="s">
        <v>245</v>
      </c>
      <c r="FL212" t="s">
        <v>236</v>
      </c>
      <c r="FM212" t="s">
        <v>236</v>
      </c>
      <c r="FW212" t="s">
        <v>226</v>
      </c>
      <c r="FX212" t="s">
        <v>226</v>
      </c>
      <c r="FY212" t="s">
        <v>266</v>
      </c>
      <c r="FZ212" t="s">
        <v>236</v>
      </c>
      <c r="GC212" t="s">
        <v>236</v>
      </c>
      <c r="GF212" t="s">
        <v>226</v>
      </c>
      <c r="GG212" t="s">
        <v>236</v>
      </c>
      <c r="GI212" t="s">
        <v>226</v>
      </c>
      <c r="GJ212" t="s">
        <v>226</v>
      </c>
      <c r="GK212" t="s">
        <v>266</v>
      </c>
      <c r="GL212" t="s">
        <v>226</v>
      </c>
      <c r="GM212" t="s">
        <v>226</v>
      </c>
      <c r="GN212" t="s">
        <v>266</v>
      </c>
      <c r="GO212" t="s">
        <v>226</v>
      </c>
      <c r="GP212" t="s">
        <v>226</v>
      </c>
      <c r="GQ212" t="s">
        <v>266</v>
      </c>
      <c r="GR212" t="s">
        <v>226</v>
      </c>
      <c r="GS212" t="s">
        <v>226</v>
      </c>
      <c r="GT212" t="s">
        <v>267</v>
      </c>
      <c r="GU212" t="s">
        <v>236</v>
      </c>
      <c r="GX212" t="s">
        <v>236</v>
      </c>
      <c r="HB212" t="s">
        <v>547</v>
      </c>
      <c r="HC212" t="s">
        <v>288</v>
      </c>
      <c r="HE212">
        <v>82966404</v>
      </c>
      <c r="HF212" t="s">
        <v>1863</v>
      </c>
      <c r="HG212" s="2">
        <v>45753.554143518522</v>
      </c>
      <c r="HJ212" t="s">
        <v>248</v>
      </c>
      <c r="HL212" t="s">
        <v>249</v>
      </c>
      <c r="HN212">
        <v>211</v>
      </c>
    </row>
    <row r="213" spans="1:222" x14ac:dyDescent="0.25">
      <c r="A213" s="2">
        <v>45753.344889907406</v>
      </c>
      <c r="B213" s="2">
        <v>45753.348303923609</v>
      </c>
      <c r="C213" t="s">
        <v>385</v>
      </c>
      <c r="D213">
        <v>291</v>
      </c>
      <c r="E213" s="2">
        <v>45730</v>
      </c>
      <c r="F213">
        <v>1</v>
      </c>
      <c r="G213" t="s">
        <v>374</v>
      </c>
      <c r="H213" t="s">
        <v>375</v>
      </c>
      <c r="I213">
        <v>26</v>
      </c>
      <c r="J213" t="str">
        <f t="shared" si="3"/>
        <v>de 26 a 40 años</v>
      </c>
      <c r="K213" t="s">
        <v>251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291</v>
      </c>
      <c r="R213" t="s">
        <v>226</v>
      </c>
      <c r="T213" t="s">
        <v>227</v>
      </c>
      <c r="V213" t="s">
        <v>252</v>
      </c>
      <c r="W213" t="s">
        <v>229</v>
      </c>
      <c r="X213" t="s">
        <v>299</v>
      </c>
      <c r="Z213" t="s">
        <v>231</v>
      </c>
      <c r="AA213" t="s">
        <v>293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I213" t="s">
        <v>256</v>
      </c>
      <c r="AJ213">
        <v>0</v>
      </c>
      <c r="AK213">
        <v>0</v>
      </c>
      <c r="AL213">
        <v>1</v>
      </c>
      <c r="AM213">
        <v>0</v>
      </c>
      <c r="AN213" t="s">
        <v>300</v>
      </c>
      <c r="AO213" t="s">
        <v>1491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1</v>
      </c>
      <c r="AW213" t="s">
        <v>1260</v>
      </c>
      <c r="AX213" t="s">
        <v>226</v>
      </c>
      <c r="AY213" t="s">
        <v>226</v>
      </c>
      <c r="AZ213" t="s">
        <v>237</v>
      </c>
      <c r="BA213" t="s">
        <v>1492</v>
      </c>
      <c r="BE213" t="s">
        <v>259</v>
      </c>
      <c r="BF213" t="s">
        <v>259</v>
      </c>
      <c r="BG213" t="s">
        <v>259</v>
      </c>
      <c r="BH213" t="s">
        <v>237</v>
      </c>
      <c r="BI213" t="s">
        <v>237</v>
      </c>
      <c r="BJ213" t="s">
        <v>259</v>
      </c>
      <c r="BK213" t="s">
        <v>259</v>
      </c>
      <c r="BL213" t="s">
        <v>313</v>
      </c>
      <c r="BM213" t="s">
        <v>278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1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 t="s">
        <v>264</v>
      </c>
      <c r="CB213" t="s">
        <v>264</v>
      </c>
      <c r="CC213" t="s">
        <v>264</v>
      </c>
      <c r="CD213" t="s">
        <v>236</v>
      </c>
      <c r="CE213" t="s">
        <v>236</v>
      </c>
      <c r="EA213" t="s">
        <v>236</v>
      </c>
      <c r="EC213" t="s">
        <v>236</v>
      </c>
      <c r="EE213" t="s">
        <v>226</v>
      </c>
      <c r="EF213" t="s">
        <v>245</v>
      </c>
      <c r="EG213" t="s">
        <v>236</v>
      </c>
      <c r="EI213" t="s">
        <v>226</v>
      </c>
      <c r="EJ213" t="s">
        <v>244</v>
      </c>
      <c r="EK213" t="s">
        <v>236</v>
      </c>
      <c r="EM213" t="s">
        <v>226</v>
      </c>
      <c r="EN213" t="s">
        <v>244</v>
      </c>
      <c r="EO213" t="s">
        <v>226</v>
      </c>
      <c r="EP213" t="s">
        <v>244</v>
      </c>
      <c r="EQ213" t="s">
        <v>226</v>
      </c>
      <c r="ER213" t="s">
        <v>244</v>
      </c>
      <c r="ES213" t="s">
        <v>226</v>
      </c>
      <c r="ET213" t="s">
        <v>244</v>
      </c>
      <c r="EU213" t="s">
        <v>236</v>
      </c>
      <c r="EW213" t="s">
        <v>236</v>
      </c>
      <c r="EY213" t="s">
        <v>226</v>
      </c>
      <c r="EZ213" t="s">
        <v>244</v>
      </c>
      <c r="FA213" t="s">
        <v>226</v>
      </c>
      <c r="FB213" t="s">
        <v>244</v>
      </c>
      <c r="FC213" t="s">
        <v>236</v>
      </c>
      <c r="FE213" t="s">
        <v>236</v>
      </c>
      <c r="FG213" t="s">
        <v>236</v>
      </c>
      <c r="FJ213" t="s">
        <v>236</v>
      </c>
      <c r="FM213" t="s">
        <v>236</v>
      </c>
      <c r="FW213" t="s">
        <v>236</v>
      </c>
      <c r="FZ213" t="s">
        <v>236</v>
      </c>
      <c r="GC213" t="s">
        <v>236</v>
      </c>
      <c r="GF213" t="s">
        <v>226</v>
      </c>
      <c r="GG213" t="s">
        <v>236</v>
      </c>
      <c r="GI213" t="s">
        <v>236</v>
      </c>
      <c r="GL213" t="s">
        <v>236</v>
      </c>
      <c r="GO213" t="s">
        <v>226</v>
      </c>
      <c r="GP213" t="s">
        <v>226</v>
      </c>
      <c r="GQ213" t="s">
        <v>267</v>
      </c>
      <c r="GR213" t="s">
        <v>226</v>
      </c>
      <c r="GS213" t="s">
        <v>226</v>
      </c>
      <c r="GT213" t="s">
        <v>266</v>
      </c>
      <c r="GU213" t="s">
        <v>236</v>
      </c>
      <c r="GX213" t="s">
        <v>236</v>
      </c>
      <c r="HB213" t="s">
        <v>358</v>
      </c>
      <c r="HE213">
        <v>82966490</v>
      </c>
      <c r="HF213" t="s">
        <v>1493</v>
      </c>
      <c r="HG213" s="2">
        <v>45753.556539351863</v>
      </c>
      <c r="HJ213" t="s">
        <v>248</v>
      </c>
      <c r="HL213" t="s">
        <v>249</v>
      </c>
      <c r="HN213">
        <v>212</v>
      </c>
    </row>
    <row r="214" spans="1:222" x14ac:dyDescent="0.25">
      <c r="A214" s="2">
        <v>45753.345810057872</v>
      </c>
      <c r="B214" s="2">
        <v>45753.349392141201</v>
      </c>
      <c r="C214" t="s">
        <v>221</v>
      </c>
      <c r="D214">
        <v>409</v>
      </c>
      <c r="E214" s="2">
        <v>45731</v>
      </c>
      <c r="F214">
        <v>3</v>
      </c>
      <c r="G214" t="s">
        <v>306</v>
      </c>
      <c r="H214" t="s">
        <v>307</v>
      </c>
      <c r="I214">
        <v>73</v>
      </c>
      <c r="J214" t="str">
        <f t="shared" si="3"/>
        <v>de 56 a más</v>
      </c>
      <c r="K214" t="s">
        <v>251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225</v>
      </c>
      <c r="R214" t="s">
        <v>226</v>
      </c>
      <c r="T214" t="s">
        <v>227</v>
      </c>
      <c r="V214" t="s">
        <v>393</v>
      </c>
      <c r="W214" t="s">
        <v>229</v>
      </c>
      <c r="X214" t="s">
        <v>368</v>
      </c>
      <c r="Z214" t="s">
        <v>351</v>
      </c>
      <c r="AA214" t="s">
        <v>616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 t="s">
        <v>310</v>
      </c>
      <c r="AI214" t="s">
        <v>256</v>
      </c>
      <c r="AJ214">
        <v>0</v>
      </c>
      <c r="AK214">
        <v>0</v>
      </c>
      <c r="AL214">
        <v>1</v>
      </c>
      <c r="AM214">
        <v>0</v>
      </c>
      <c r="AN214" t="s">
        <v>257</v>
      </c>
      <c r="AO214" t="s">
        <v>235</v>
      </c>
      <c r="AP214">
        <v>0</v>
      </c>
      <c r="AQ214">
        <v>0</v>
      </c>
      <c r="AR214">
        <v>0</v>
      </c>
      <c r="AS214">
        <v>1</v>
      </c>
      <c r="AT214">
        <v>0</v>
      </c>
      <c r="AU214">
        <v>0</v>
      </c>
      <c r="AV214">
        <v>0</v>
      </c>
      <c r="AX214" t="s">
        <v>236</v>
      </c>
      <c r="AZ214" t="s">
        <v>237</v>
      </c>
      <c r="BA214" t="s">
        <v>1864</v>
      </c>
      <c r="BE214" t="s">
        <v>259</v>
      </c>
      <c r="BF214" t="s">
        <v>259</v>
      </c>
      <c r="BG214" t="s">
        <v>259</v>
      </c>
      <c r="BH214" t="s">
        <v>239</v>
      </c>
      <c r="BI214" t="s">
        <v>239</v>
      </c>
      <c r="BJ214" t="s">
        <v>237</v>
      </c>
      <c r="BK214" t="s">
        <v>239</v>
      </c>
      <c r="BL214" t="s">
        <v>262</v>
      </c>
      <c r="BM214" t="s">
        <v>415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 t="s">
        <v>264</v>
      </c>
      <c r="CB214" t="s">
        <v>328</v>
      </c>
      <c r="CC214" t="s">
        <v>328</v>
      </c>
      <c r="CD214" t="s">
        <v>236</v>
      </c>
      <c r="CE214" t="s">
        <v>236</v>
      </c>
      <c r="EA214" t="s">
        <v>236</v>
      </c>
      <c r="EC214" t="s">
        <v>236</v>
      </c>
      <c r="EE214" t="s">
        <v>236</v>
      </c>
      <c r="EG214" t="s">
        <v>236</v>
      </c>
      <c r="EI214" t="s">
        <v>308</v>
      </c>
      <c r="EK214" t="s">
        <v>236</v>
      </c>
      <c r="EM214" t="s">
        <v>236</v>
      </c>
      <c r="EO214" t="s">
        <v>236</v>
      </c>
      <c r="EQ214" t="s">
        <v>236</v>
      </c>
      <c r="ES214" t="s">
        <v>226</v>
      </c>
      <c r="ET214" t="s">
        <v>244</v>
      </c>
      <c r="EU214" t="s">
        <v>236</v>
      </c>
      <c r="EW214" t="s">
        <v>236</v>
      </c>
      <c r="EY214" t="s">
        <v>236</v>
      </c>
      <c r="FA214" t="s">
        <v>236</v>
      </c>
      <c r="FC214" t="s">
        <v>236</v>
      </c>
      <c r="FE214" t="s">
        <v>236</v>
      </c>
      <c r="FG214" t="s">
        <v>236</v>
      </c>
      <c r="FJ214" t="s">
        <v>226</v>
      </c>
      <c r="FK214" t="s">
        <v>245</v>
      </c>
      <c r="FL214" t="s">
        <v>236</v>
      </c>
      <c r="FM214" t="s">
        <v>236</v>
      </c>
      <c r="FW214" t="s">
        <v>236</v>
      </c>
      <c r="FZ214" t="s">
        <v>236</v>
      </c>
      <c r="GC214" t="s">
        <v>226</v>
      </c>
      <c r="GD214" t="s">
        <v>236</v>
      </c>
      <c r="GF214" t="s">
        <v>226</v>
      </c>
      <c r="GG214" t="s">
        <v>226</v>
      </c>
      <c r="GH214" t="s">
        <v>266</v>
      </c>
      <c r="GI214" t="s">
        <v>226</v>
      </c>
      <c r="GJ214" t="s">
        <v>236</v>
      </c>
      <c r="GL214" t="s">
        <v>226</v>
      </c>
      <c r="GM214" t="s">
        <v>226</v>
      </c>
      <c r="GN214" t="s">
        <v>266</v>
      </c>
      <c r="GO214" t="s">
        <v>226</v>
      </c>
      <c r="GP214" t="s">
        <v>226</v>
      </c>
      <c r="GQ214" t="s">
        <v>267</v>
      </c>
      <c r="GR214" t="s">
        <v>226</v>
      </c>
      <c r="GS214" t="s">
        <v>226</v>
      </c>
      <c r="GT214" t="s">
        <v>267</v>
      </c>
      <c r="GU214" t="s">
        <v>226</v>
      </c>
      <c r="GV214" t="s">
        <v>226</v>
      </c>
      <c r="GW214" t="s">
        <v>267</v>
      </c>
      <c r="GX214" t="s">
        <v>236</v>
      </c>
      <c r="HB214" t="s">
        <v>288</v>
      </c>
      <c r="HC214" t="s">
        <v>1865</v>
      </c>
      <c r="HD214" t="s">
        <v>1866</v>
      </c>
      <c r="HE214">
        <v>82966502</v>
      </c>
      <c r="HF214" t="s">
        <v>1867</v>
      </c>
      <c r="HG214" s="2">
        <v>45753.557719907411</v>
      </c>
      <c r="HJ214" t="s">
        <v>248</v>
      </c>
      <c r="HL214" t="s">
        <v>249</v>
      </c>
      <c r="HN214">
        <v>213</v>
      </c>
    </row>
    <row r="215" spans="1:222" x14ac:dyDescent="0.25">
      <c r="A215" s="2">
        <v>45753.348305243053</v>
      </c>
      <c r="B215" s="2">
        <v>45753.352411666667</v>
      </c>
      <c r="C215" t="s">
        <v>385</v>
      </c>
      <c r="D215">
        <v>290</v>
      </c>
      <c r="E215" s="2">
        <v>45730</v>
      </c>
      <c r="F215">
        <v>1</v>
      </c>
      <c r="G215" t="s">
        <v>374</v>
      </c>
      <c r="H215" t="s">
        <v>375</v>
      </c>
      <c r="I215">
        <v>19</v>
      </c>
      <c r="J215" t="str">
        <f t="shared" si="3"/>
        <v>de 18 a 25 años</v>
      </c>
      <c r="K215" t="s">
        <v>251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291</v>
      </c>
      <c r="R215" t="s">
        <v>226</v>
      </c>
      <c r="T215" t="s">
        <v>227</v>
      </c>
      <c r="V215" t="s">
        <v>252</v>
      </c>
      <c r="W215" t="s">
        <v>229</v>
      </c>
      <c r="X215" t="s">
        <v>253</v>
      </c>
      <c r="Z215" t="s">
        <v>308</v>
      </c>
      <c r="AA215" t="s">
        <v>255</v>
      </c>
      <c r="AB215">
        <v>0</v>
      </c>
      <c r="AC215">
        <v>0</v>
      </c>
      <c r="AD215">
        <v>0</v>
      </c>
      <c r="AE215">
        <v>1</v>
      </c>
      <c r="AF215">
        <v>0</v>
      </c>
      <c r="AG215">
        <v>0</v>
      </c>
      <c r="AI215" t="s">
        <v>311</v>
      </c>
      <c r="AJ215">
        <v>0</v>
      </c>
      <c r="AK215">
        <v>1</v>
      </c>
      <c r="AL215">
        <v>1</v>
      </c>
      <c r="AM215">
        <v>0</v>
      </c>
      <c r="AN215" t="s">
        <v>257</v>
      </c>
      <c r="AO215" t="s">
        <v>275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1</v>
      </c>
      <c r="AV215">
        <v>0</v>
      </c>
      <c r="AX215" t="s">
        <v>226</v>
      </c>
      <c r="AY215" t="s">
        <v>226</v>
      </c>
      <c r="AZ215" t="s">
        <v>237</v>
      </c>
      <c r="BA215" t="s">
        <v>1488</v>
      </c>
      <c r="BB215" t="s">
        <v>618</v>
      </c>
      <c r="BE215" t="s">
        <v>259</v>
      </c>
      <c r="BF215" t="s">
        <v>237</v>
      </c>
      <c r="BG215" t="s">
        <v>261</v>
      </c>
      <c r="BH215" t="s">
        <v>259</v>
      </c>
      <c r="BI215" t="s">
        <v>237</v>
      </c>
      <c r="BJ215" t="s">
        <v>261</v>
      </c>
      <c r="BK215" t="s">
        <v>261</v>
      </c>
      <c r="BL215" t="s">
        <v>262</v>
      </c>
      <c r="BM215" t="s">
        <v>278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 t="s">
        <v>243</v>
      </c>
      <c r="CB215" t="s">
        <v>264</v>
      </c>
      <c r="CC215" t="s">
        <v>264</v>
      </c>
      <c r="CD215" t="s">
        <v>226</v>
      </c>
      <c r="CE215" t="s">
        <v>236</v>
      </c>
      <c r="EA215" t="s">
        <v>226</v>
      </c>
      <c r="EB215" t="s">
        <v>244</v>
      </c>
      <c r="EC215" t="s">
        <v>236</v>
      </c>
      <c r="EE215" t="s">
        <v>226</v>
      </c>
      <c r="EF215" t="s">
        <v>244</v>
      </c>
      <c r="EG215" t="s">
        <v>226</v>
      </c>
      <c r="EH215" t="s">
        <v>244</v>
      </c>
      <c r="EI215" t="s">
        <v>236</v>
      </c>
      <c r="EK215" t="s">
        <v>236</v>
      </c>
      <c r="EM215" t="s">
        <v>226</v>
      </c>
      <c r="EN215" t="s">
        <v>244</v>
      </c>
      <c r="EO215" t="s">
        <v>236</v>
      </c>
      <c r="EQ215" t="s">
        <v>236</v>
      </c>
      <c r="ES215" t="s">
        <v>236</v>
      </c>
      <c r="EU215" t="s">
        <v>236</v>
      </c>
      <c r="EW215" t="s">
        <v>226</v>
      </c>
      <c r="EX215" t="s">
        <v>244</v>
      </c>
      <c r="EY215" t="s">
        <v>226</v>
      </c>
      <c r="EZ215" t="s">
        <v>244</v>
      </c>
      <c r="FA215" t="s">
        <v>236</v>
      </c>
      <c r="FC215" t="s">
        <v>236</v>
      </c>
      <c r="FE215" t="s">
        <v>226</v>
      </c>
      <c r="FF215" t="s">
        <v>244</v>
      </c>
      <c r="FG215" t="s">
        <v>236</v>
      </c>
      <c r="FJ215" t="s">
        <v>226</v>
      </c>
      <c r="FK215" t="s">
        <v>245</v>
      </c>
      <c r="FL215" t="s">
        <v>236</v>
      </c>
      <c r="FM215" t="s">
        <v>236</v>
      </c>
      <c r="FW215" t="s">
        <v>226</v>
      </c>
      <c r="FX215" t="s">
        <v>236</v>
      </c>
      <c r="FZ215" t="s">
        <v>236</v>
      </c>
      <c r="GC215" t="s">
        <v>236</v>
      </c>
      <c r="GF215" t="s">
        <v>226</v>
      </c>
      <c r="GG215" t="s">
        <v>236</v>
      </c>
      <c r="GI215" t="s">
        <v>236</v>
      </c>
      <c r="GL215" t="s">
        <v>236</v>
      </c>
      <c r="GO215" t="s">
        <v>236</v>
      </c>
      <c r="GR215" t="s">
        <v>226</v>
      </c>
      <c r="GS215" t="s">
        <v>236</v>
      </c>
      <c r="GU215" t="s">
        <v>236</v>
      </c>
      <c r="GX215" t="s">
        <v>236</v>
      </c>
      <c r="HB215" t="s">
        <v>338</v>
      </c>
      <c r="HC215" t="s">
        <v>1489</v>
      </c>
      <c r="HE215">
        <v>82966603</v>
      </c>
      <c r="HF215" t="s">
        <v>1490</v>
      </c>
      <c r="HG215" s="2">
        <v>45753.560648148137</v>
      </c>
      <c r="HJ215" t="s">
        <v>248</v>
      </c>
      <c r="HL215" t="s">
        <v>249</v>
      </c>
      <c r="HN215">
        <v>215</v>
      </c>
    </row>
    <row r="216" spans="1:222" x14ac:dyDescent="0.25">
      <c r="A216" s="2">
        <v>45753.349392731478</v>
      </c>
      <c r="B216" s="2">
        <v>45753.352194976847</v>
      </c>
      <c r="C216" t="s">
        <v>221</v>
      </c>
      <c r="D216">
        <v>410</v>
      </c>
      <c r="E216" s="2">
        <v>45731</v>
      </c>
      <c r="F216">
        <v>3</v>
      </c>
      <c r="G216" t="s">
        <v>306</v>
      </c>
      <c r="H216" t="s">
        <v>307</v>
      </c>
      <c r="I216">
        <v>53</v>
      </c>
      <c r="J216" t="str">
        <f t="shared" si="3"/>
        <v>de 41 a 55 años</v>
      </c>
      <c r="K216" t="s">
        <v>341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225</v>
      </c>
      <c r="R216" t="s">
        <v>226</v>
      </c>
      <c r="T216" t="s">
        <v>227</v>
      </c>
      <c r="V216" t="s">
        <v>272</v>
      </c>
      <c r="W216" t="s">
        <v>229</v>
      </c>
      <c r="X216" t="s">
        <v>230</v>
      </c>
      <c r="Z216" t="s">
        <v>398</v>
      </c>
      <c r="AA216" t="s">
        <v>232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I216" t="s">
        <v>233</v>
      </c>
      <c r="AJ216">
        <v>0</v>
      </c>
      <c r="AK216">
        <v>1</v>
      </c>
      <c r="AL216">
        <v>0</v>
      </c>
      <c r="AM216">
        <v>0</v>
      </c>
      <c r="AN216" t="s">
        <v>257</v>
      </c>
      <c r="AO216" t="s">
        <v>235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X216" t="s">
        <v>226</v>
      </c>
      <c r="AY216" t="s">
        <v>226</v>
      </c>
      <c r="AZ216" t="s">
        <v>237</v>
      </c>
      <c r="BA216" t="s">
        <v>1868</v>
      </c>
      <c r="BE216" t="s">
        <v>259</v>
      </c>
      <c r="BF216" t="s">
        <v>259</v>
      </c>
      <c r="BG216" t="s">
        <v>259</v>
      </c>
      <c r="BH216" t="s">
        <v>239</v>
      </c>
      <c r="BI216" t="s">
        <v>239</v>
      </c>
      <c r="BJ216" t="s">
        <v>259</v>
      </c>
      <c r="BK216" t="s">
        <v>261</v>
      </c>
      <c r="BL216" t="s">
        <v>262</v>
      </c>
      <c r="BM216" t="s">
        <v>357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 t="s">
        <v>264</v>
      </c>
      <c r="CB216" t="s">
        <v>328</v>
      </c>
      <c r="CC216" t="s">
        <v>328</v>
      </c>
      <c r="CD216" t="s">
        <v>236</v>
      </c>
      <c r="CE216" t="s">
        <v>236</v>
      </c>
      <c r="EA216" t="s">
        <v>236</v>
      </c>
      <c r="EC216" t="s">
        <v>236</v>
      </c>
      <c r="EE216" t="s">
        <v>226</v>
      </c>
      <c r="EF216" t="s">
        <v>245</v>
      </c>
      <c r="EG216" t="s">
        <v>236</v>
      </c>
      <c r="EI216" t="s">
        <v>226</v>
      </c>
      <c r="EJ216" t="s">
        <v>245</v>
      </c>
      <c r="EK216" t="s">
        <v>236</v>
      </c>
      <c r="EM216" t="s">
        <v>226</v>
      </c>
      <c r="EN216" t="s">
        <v>245</v>
      </c>
      <c r="EO216" t="s">
        <v>236</v>
      </c>
      <c r="EQ216" t="s">
        <v>236</v>
      </c>
      <c r="ES216" t="s">
        <v>236</v>
      </c>
      <c r="EU216" t="s">
        <v>236</v>
      </c>
      <c r="EW216" t="s">
        <v>236</v>
      </c>
      <c r="EY216" t="s">
        <v>236</v>
      </c>
      <c r="FA216" t="s">
        <v>226</v>
      </c>
      <c r="FB216" t="s">
        <v>245</v>
      </c>
      <c r="FC216" t="s">
        <v>236</v>
      </c>
      <c r="FE216" t="s">
        <v>226</v>
      </c>
      <c r="FF216" t="s">
        <v>244</v>
      </c>
      <c r="FG216" t="s">
        <v>236</v>
      </c>
      <c r="FJ216" t="s">
        <v>226</v>
      </c>
      <c r="FK216" t="s">
        <v>245</v>
      </c>
      <c r="FL216" t="s">
        <v>236</v>
      </c>
      <c r="FM216" t="s">
        <v>236</v>
      </c>
      <c r="FW216" t="s">
        <v>226</v>
      </c>
      <c r="FX216" t="s">
        <v>226</v>
      </c>
      <c r="FY216" t="s">
        <v>266</v>
      </c>
      <c r="FZ216" t="s">
        <v>236</v>
      </c>
      <c r="GC216" t="s">
        <v>236</v>
      </c>
      <c r="GF216" t="s">
        <v>226</v>
      </c>
      <c r="GG216" t="s">
        <v>236</v>
      </c>
      <c r="GI216" t="s">
        <v>236</v>
      </c>
      <c r="GL216" t="s">
        <v>236</v>
      </c>
      <c r="GO216" t="s">
        <v>226</v>
      </c>
      <c r="GP216" t="s">
        <v>226</v>
      </c>
      <c r="GQ216" t="s">
        <v>267</v>
      </c>
      <c r="GR216" t="s">
        <v>236</v>
      </c>
      <c r="GU216" t="s">
        <v>236</v>
      </c>
      <c r="GX216" t="s">
        <v>236</v>
      </c>
      <c r="HB216" t="s">
        <v>1304</v>
      </c>
      <c r="HC216" t="s">
        <v>726</v>
      </c>
      <c r="HE216">
        <v>82966601</v>
      </c>
      <c r="HF216" t="s">
        <v>1869</v>
      </c>
      <c r="HG216" s="2">
        <v>45753.560532407413</v>
      </c>
      <c r="HJ216" t="s">
        <v>248</v>
      </c>
      <c r="HL216" t="s">
        <v>249</v>
      </c>
      <c r="HN216">
        <v>214</v>
      </c>
    </row>
    <row r="217" spans="1:222" x14ac:dyDescent="0.25">
      <c r="A217" s="2">
        <v>45753.352195810177</v>
      </c>
      <c r="B217" s="2">
        <v>45753.355273125002</v>
      </c>
      <c r="C217" t="s">
        <v>221</v>
      </c>
      <c r="D217">
        <v>411</v>
      </c>
      <c r="E217" s="2">
        <v>45731</v>
      </c>
      <c r="F217">
        <v>3</v>
      </c>
      <c r="G217" t="s">
        <v>306</v>
      </c>
      <c r="H217" t="s">
        <v>307</v>
      </c>
      <c r="I217">
        <v>30</v>
      </c>
      <c r="J217" t="str">
        <f t="shared" si="3"/>
        <v>de 26 a 40 años</v>
      </c>
      <c r="K217" t="s">
        <v>341</v>
      </c>
      <c r="L217">
        <v>1</v>
      </c>
      <c r="M217">
        <v>0</v>
      </c>
      <c r="N217">
        <v>0</v>
      </c>
      <c r="O217">
        <v>0</v>
      </c>
      <c r="P217">
        <v>0</v>
      </c>
      <c r="Q217" t="s">
        <v>225</v>
      </c>
      <c r="R217" t="s">
        <v>226</v>
      </c>
      <c r="T217" t="s">
        <v>227</v>
      </c>
      <c r="V217" t="s">
        <v>252</v>
      </c>
      <c r="W217" t="s">
        <v>229</v>
      </c>
      <c r="X217" t="s">
        <v>230</v>
      </c>
      <c r="Z217" t="s">
        <v>231</v>
      </c>
      <c r="AA217" t="s">
        <v>232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I217" t="s">
        <v>1870</v>
      </c>
      <c r="AJ217">
        <v>0</v>
      </c>
      <c r="AK217">
        <v>1</v>
      </c>
      <c r="AL217">
        <v>0</v>
      </c>
      <c r="AM217">
        <v>1</v>
      </c>
      <c r="AN217" t="s">
        <v>234</v>
      </c>
      <c r="AO217" t="s">
        <v>1871</v>
      </c>
      <c r="AP217">
        <v>1</v>
      </c>
      <c r="AQ217">
        <v>1</v>
      </c>
      <c r="AR217">
        <v>0</v>
      </c>
      <c r="AS217">
        <v>1</v>
      </c>
      <c r="AT217">
        <v>0</v>
      </c>
      <c r="AU217">
        <v>0</v>
      </c>
      <c r="AV217">
        <v>0</v>
      </c>
      <c r="AX217" t="s">
        <v>226</v>
      </c>
      <c r="AY217" t="s">
        <v>226</v>
      </c>
      <c r="AZ217" t="s">
        <v>237</v>
      </c>
      <c r="BA217" t="s">
        <v>336</v>
      </c>
      <c r="BE217" t="s">
        <v>259</v>
      </c>
      <c r="BF217" t="s">
        <v>259</v>
      </c>
      <c r="BG217" t="s">
        <v>259</v>
      </c>
      <c r="BH217" t="s">
        <v>237</v>
      </c>
      <c r="BI217" t="s">
        <v>237</v>
      </c>
      <c r="BJ217" t="s">
        <v>237</v>
      </c>
      <c r="BK217" t="s">
        <v>259</v>
      </c>
      <c r="BL217" t="s">
        <v>313</v>
      </c>
      <c r="BM217" t="s">
        <v>278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1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 t="s">
        <v>264</v>
      </c>
      <c r="CB217" t="s">
        <v>243</v>
      </c>
      <c r="CC217" t="s">
        <v>264</v>
      </c>
      <c r="CD217" t="s">
        <v>226</v>
      </c>
      <c r="CE217" t="s">
        <v>236</v>
      </c>
      <c r="EA217" t="s">
        <v>236</v>
      </c>
      <c r="EC217" t="s">
        <v>226</v>
      </c>
      <c r="ED217" t="s">
        <v>244</v>
      </c>
      <c r="EE217" t="s">
        <v>226</v>
      </c>
      <c r="EF217" t="s">
        <v>245</v>
      </c>
      <c r="EG217" t="s">
        <v>236</v>
      </c>
      <c r="EI217" t="s">
        <v>226</v>
      </c>
      <c r="EJ217" t="s">
        <v>244</v>
      </c>
      <c r="EK217" t="s">
        <v>236</v>
      </c>
      <c r="EM217" t="s">
        <v>236</v>
      </c>
      <c r="EO217" t="s">
        <v>236</v>
      </c>
      <c r="EQ217" t="s">
        <v>236</v>
      </c>
      <c r="ES217" t="s">
        <v>236</v>
      </c>
      <c r="EU217" t="s">
        <v>236</v>
      </c>
      <c r="EW217" t="s">
        <v>236</v>
      </c>
      <c r="EY217" t="s">
        <v>226</v>
      </c>
      <c r="EZ217" t="s">
        <v>244</v>
      </c>
      <c r="FA217" t="s">
        <v>226</v>
      </c>
      <c r="FB217" t="s">
        <v>244</v>
      </c>
      <c r="FC217" t="s">
        <v>236</v>
      </c>
      <c r="FE217" t="s">
        <v>236</v>
      </c>
      <c r="FG217" t="s">
        <v>236</v>
      </c>
      <c r="FJ217" t="s">
        <v>226</v>
      </c>
      <c r="FK217" t="s">
        <v>265</v>
      </c>
      <c r="FL217" t="s">
        <v>236</v>
      </c>
      <c r="FM217" t="s">
        <v>236</v>
      </c>
      <c r="FW217" t="s">
        <v>226</v>
      </c>
      <c r="FX217" t="s">
        <v>236</v>
      </c>
      <c r="FZ217" t="s">
        <v>236</v>
      </c>
      <c r="GC217" t="s">
        <v>226</v>
      </c>
      <c r="GD217" t="s">
        <v>236</v>
      </c>
      <c r="GF217" t="s">
        <v>226</v>
      </c>
      <c r="GG217" t="s">
        <v>226</v>
      </c>
      <c r="GH217" t="s">
        <v>266</v>
      </c>
      <c r="GI217" t="s">
        <v>226</v>
      </c>
      <c r="GJ217" t="s">
        <v>236</v>
      </c>
      <c r="GL217" t="s">
        <v>226</v>
      </c>
      <c r="GM217" t="s">
        <v>226</v>
      </c>
      <c r="GN217" t="s">
        <v>266</v>
      </c>
      <c r="GO217" t="s">
        <v>226</v>
      </c>
      <c r="GP217" t="s">
        <v>226</v>
      </c>
      <c r="GQ217" t="s">
        <v>266</v>
      </c>
      <c r="GR217" t="s">
        <v>226</v>
      </c>
      <c r="GS217" t="s">
        <v>236</v>
      </c>
      <c r="GU217" t="s">
        <v>236</v>
      </c>
      <c r="GX217" t="s">
        <v>226</v>
      </c>
      <c r="GY217" t="s">
        <v>236</v>
      </c>
      <c r="HB217" t="s">
        <v>575</v>
      </c>
      <c r="HC217" t="s">
        <v>547</v>
      </c>
      <c r="HD217" t="s">
        <v>735</v>
      </c>
      <c r="HE217">
        <v>82966670</v>
      </c>
      <c r="HF217" t="s">
        <v>1872</v>
      </c>
      <c r="HG217" s="2">
        <v>45753.563599537039</v>
      </c>
      <c r="HJ217" t="s">
        <v>248</v>
      </c>
      <c r="HL217" t="s">
        <v>249</v>
      </c>
      <c r="HN217">
        <v>216</v>
      </c>
    </row>
    <row r="218" spans="1:222" x14ac:dyDescent="0.25">
      <c r="A218" s="2">
        <v>45753.352412615743</v>
      </c>
      <c r="B218" s="2">
        <v>45753.359347662037</v>
      </c>
      <c r="C218" t="s">
        <v>385</v>
      </c>
      <c r="D218">
        <v>289</v>
      </c>
      <c r="E218" s="2">
        <v>45730</v>
      </c>
      <c r="F218">
        <v>1</v>
      </c>
      <c r="G218" t="s">
        <v>374</v>
      </c>
      <c r="H218" t="s">
        <v>375</v>
      </c>
      <c r="I218">
        <v>65</v>
      </c>
      <c r="J218" t="str">
        <f t="shared" si="3"/>
        <v>de 56 a más</v>
      </c>
      <c r="K218" t="s">
        <v>341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291</v>
      </c>
      <c r="R218" t="s">
        <v>226</v>
      </c>
      <c r="T218" t="s">
        <v>392</v>
      </c>
      <c r="V218" t="s">
        <v>393</v>
      </c>
      <c r="W218" t="s">
        <v>229</v>
      </c>
      <c r="X218" t="s">
        <v>368</v>
      </c>
      <c r="Z218" t="s">
        <v>351</v>
      </c>
      <c r="AA218" t="s">
        <v>352</v>
      </c>
      <c r="AB218">
        <v>1</v>
      </c>
      <c r="AC218">
        <v>0</v>
      </c>
      <c r="AD218">
        <v>0</v>
      </c>
      <c r="AE218">
        <v>0</v>
      </c>
      <c r="AF218">
        <v>1</v>
      </c>
      <c r="AG218">
        <v>0</v>
      </c>
      <c r="AI218" t="s">
        <v>233</v>
      </c>
      <c r="AJ218">
        <v>0</v>
      </c>
      <c r="AK218">
        <v>1</v>
      </c>
      <c r="AL218">
        <v>0</v>
      </c>
      <c r="AM218">
        <v>0</v>
      </c>
      <c r="AN218" t="s">
        <v>300</v>
      </c>
      <c r="AO218" t="s">
        <v>1481</v>
      </c>
      <c r="AP218">
        <v>0</v>
      </c>
      <c r="AQ218">
        <v>0</v>
      </c>
      <c r="AR218">
        <v>0</v>
      </c>
      <c r="AS218">
        <v>1</v>
      </c>
      <c r="AT218">
        <v>0</v>
      </c>
      <c r="AU218">
        <v>1</v>
      </c>
      <c r="AV218">
        <v>1</v>
      </c>
      <c r="AW218" t="s">
        <v>1482</v>
      </c>
      <c r="AX218" t="s">
        <v>226</v>
      </c>
      <c r="AY218" t="s">
        <v>226</v>
      </c>
      <c r="AZ218" t="s">
        <v>362</v>
      </c>
      <c r="BA218" t="s">
        <v>1483</v>
      </c>
      <c r="BB218" t="s">
        <v>1484</v>
      </c>
      <c r="BC218" t="s">
        <v>1485</v>
      </c>
      <c r="BE218" t="s">
        <v>261</v>
      </c>
      <c r="BF218" t="s">
        <v>261</v>
      </c>
      <c r="BG218" t="s">
        <v>259</v>
      </c>
      <c r="BH218" t="s">
        <v>308</v>
      </c>
      <c r="BI218" t="s">
        <v>259</v>
      </c>
      <c r="BJ218" t="s">
        <v>259</v>
      </c>
      <c r="BK218" t="s">
        <v>239</v>
      </c>
      <c r="BL218" t="s">
        <v>240</v>
      </c>
      <c r="BM218" t="s">
        <v>365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 t="s">
        <v>242</v>
      </c>
      <c r="CB218" t="s">
        <v>328</v>
      </c>
      <c r="CC218" t="s">
        <v>264</v>
      </c>
      <c r="CD218" t="s">
        <v>226</v>
      </c>
      <c r="CE218" t="s">
        <v>236</v>
      </c>
      <c r="EA218" t="s">
        <v>236</v>
      </c>
      <c r="EC218" t="s">
        <v>226</v>
      </c>
      <c r="ED218" t="s">
        <v>244</v>
      </c>
      <c r="EE218" t="s">
        <v>236</v>
      </c>
      <c r="EG218" t="s">
        <v>226</v>
      </c>
      <c r="EH218" t="s">
        <v>245</v>
      </c>
      <c r="EI218" t="s">
        <v>226</v>
      </c>
      <c r="EJ218" t="s">
        <v>244</v>
      </c>
      <c r="EK218" t="s">
        <v>236</v>
      </c>
      <c r="EM218" t="s">
        <v>226</v>
      </c>
      <c r="EN218" t="s">
        <v>244</v>
      </c>
      <c r="EO218" t="s">
        <v>236</v>
      </c>
      <c r="EQ218" t="s">
        <v>236</v>
      </c>
      <c r="ES218" t="s">
        <v>236</v>
      </c>
      <c r="EU218" t="s">
        <v>236</v>
      </c>
      <c r="EW218" t="s">
        <v>226</v>
      </c>
      <c r="EX218" t="s">
        <v>244</v>
      </c>
      <c r="EY218" t="s">
        <v>226</v>
      </c>
      <c r="EZ218" t="s">
        <v>244</v>
      </c>
      <c r="FA218" t="s">
        <v>226</v>
      </c>
      <c r="FB218" t="s">
        <v>245</v>
      </c>
      <c r="FC218" t="s">
        <v>236</v>
      </c>
      <c r="FE218" t="s">
        <v>226</v>
      </c>
      <c r="FF218" t="s">
        <v>244</v>
      </c>
      <c r="FG218" t="s">
        <v>236</v>
      </c>
      <c r="FJ218" t="s">
        <v>226</v>
      </c>
      <c r="FK218" t="s">
        <v>265</v>
      </c>
      <c r="FL218" t="s">
        <v>226</v>
      </c>
      <c r="FM218" t="s">
        <v>236</v>
      </c>
      <c r="FW218" t="s">
        <v>226</v>
      </c>
      <c r="FX218" t="s">
        <v>226</v>
      </c>
      <c r="FY218" t="s">
        <v>266</v>
      </c>
      <c r="FZ218" t="s">
        <v>226</v>
      </c>
      <c r="GA218" t="s">
        <v>236</v>
      </c>
      <c r="GC218" t="s">
        <v>236</v>
      </c>
      <c r="GF218" t="s">
        <v>226</v>
      </c>
      <c r="GG218" t="s">
        <v>226</v>
      </c>
      <c r="GH218" t="s">
        <v>266</v>
      </c>
      <c r="GI218" t="s">
        <v>226</v>
      </c>
      <c r="GJ218" t="s">
        <v>226</v>
      </c>
      <c r="GK218" t="s">
        <v>266</v>
      </c>
      <c r="GL218" t="s">
        <v>226</v>
      </c>
      <c r="GM218" t="s">
        <v>226</v>
      </c>
      <c r="GN218" t="s">
        <v>266</v>
      </c>
      <c r="GO218" t="s">
        <v>226</v>
      </c>
      <c r="GP218" t="s">
        <v>226</v>
      </c>
      <c r="GQ218" t="s">
        <v>267</v>
      </c>
      <c r="GR218" t="s">
        <v>226</v>
      </c>
      <c r="GS218" t="s">
        <v>226</v>
      </c>
      <c r="GT218" t="s">
        <v>266</v>
      </c>
      <c r="GU218" t="s">
        <v>226</v>
      </c>
      <c r="GV218" t="s">
        <v>226</v>
      </c>
      <c r="GW218" t="s">
        <v>266</v>
      </c>
      <c r="GX218" t="s">
        <v>226</v>
      </c>
      <c r="GY218" t="s">
        <v>226</v>
      </c>
      <c r="GZ218" t="s">
        <v>266</v>
      </c>
      <c r="HB218" t="s">
        <v>1486</v>
      </c>
      <c r="HE218">
        <v>82966990</v>
      </c>
      <c r="HF218" t="s">
        <v>1487</v>
      </c>
      <c r="HG218" s="2">
        <v>45753.56759259259</v>
      </c>
      <c r="HJ218" t="s">
        <v>248</v>
      </c>
      <c r="HL218" t="s">
        <v>249</v>
      </c>
      <c r="HN218">
        <v>218</v>
      </c>
    </row>
    <row r="219" spans="1:222" x14ac:dyDescent="0.25">
      <c r="A219" s="2">
        <v>45753.355273761583</v>
      </c>
      <c r="B219" s="2">
        <v>45753.358987731481</v>
      </c>
      <c r="C219" t="s">
        <v>221</v>
      </c>
      <c r="D219">
        <v>412</v>
      </c>
      <c r="E219" s="2">
        <v>45731</v>
      </c>
      <c r="F219">
        <v>3</v>
      </c>
      <c r="G219" t="s">
        <v>306</v>
      </c>
      <c r="H219" t="s">
        <v>307</v>
      </c>
      <c r="I219">
        <v>26</v>
      </c>
      <c r="J219" t="str">
        <f t="shared" si="3"/>
        <v>de 26 a 40 años</v>
      </c>
      <c r="K219" t="s">
        <v>224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225</v>
      </c>
      <c r="R219" t="s">
        <v>226</v>
      </c>
      <c r="T219" t="s">
        <v>227</v>
      </c>
      <c r="V219" t="s">
        <v>272</v>
      </c>
      <c r="W219" t="s">
        <v>229</v>
      </c>
      <c r="X219" t="s">
        <v>230</v>
      </c>
      <c r="Z219" t="s">
        <v>308</v>
      </c>
      <c r="AA219" t="s">
        <v>232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I219" t="s">
        <v>233</v>
      </c>
      <c r="AJ219">
        <v>0</v>
      </c>
      <c r="AK219">
        <v>1</v>
      </c>
      <c r="AL219">
        <v>0</v>
      </c>
      <c r="AM219">
        <v>0</v>
      </c>
      <c r="AN219" t="s">
        <v>274</v>
      </c>
      <c r="AO219" t="s">
        <v>294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X219" t="s">
        <v>226</v>
      </c>
      <c r="AY219" t="s">
        <v>226</v>
      </c>
      <c r="AZ219" t="s">
        <v>259</v>
      </c>
      <c r="BA219" t="s">
        <v>260</v>
      </c>
      <c r="BE219" t="s">
        <v>259</v>
      </c>
      <c r="BF219" t="s">
        <v>237</v>
      </c>
      <c r="BG219" t="s">
        <v>259</v>
      </c>
      <c r="BH219" t="s">
        <v>259</v>
      </c>
      <c r="BI219" t="s">
        <v>239</v>
      </c>
      <c r="BJ219" t="s">
        <v>237</v>
      </c>
      <c r="BK219" t="s">
        <v>239</v>
      </c>
      <c r="BL219" t="s">
        <v>313</v>
      </c>
      <c r="BM219" t="s">
        <v>415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 t="s">
        <v>264</v>
      </c>
      <c r="CB219" t="s">
        <v>264</v>
      </c>
      <c r="CC219" t="s">
        <v>328</v>
      </c>
      <c r="CD219" t="s">
        <v>226</v>
      </c>
      <c r="CE219" t="s">
        <v>226</v>
      </c>
      <c r="CF219" t="s">
        <v>1873</v>
      </c>
      <c r="CG219">
        <v>0</v>
      </c>
      <c r="CH219">
        <v>0</v>
      </c>
      <c r="CI219">
        <v>1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U219" t="s">
        <v>236</v>
      </c>
      <c r="DH219" t="s">
        <v>520</v>
      </c>
      <c r="EA219" t="s">
        <v>236</v>
      </c>
      <c r="EC219" t="s">
        <v>226</v>
      </c>
      <c r="ED219" t="s">
        <v>244</v>
      </c>
      <c r="EE219" t="s">
        <v>226</v>
      </c>
      <c r="EF219" t="s">
        <v>245</v>
      </c>
      <c r="EG219" t="s">
        <v>236</v>
      </c>
      <c r="EI219" t="s">
        <v>308</v>
      </c>
      <c r="EK219" t="s">
        <v>226</v>
      </c>
      <c r="EL219" t="s">
        <v>244</v>
      </c>
      <c r="EM219" t="s">
        <v>226</v>
      </c>
      <c r="EN219" t="s">
        <v>265</v>
      </c>
      <c r="EO219" t="s">
        <v>236</v>
      </c>
      <c r="EQ219" t="s">
        <v>236</v>
      </c>
      <c r="ES219" t="s">
        <v>226</v>
      </c>
      <c r="ET219" t="s">
        <v>245</v>
      </c>
      <c r="EU219" t="s">
        <v>236</v>
      </c>
      <c r="EW219" t="s">
        <v>226</v>
      </c>
      <c r="EX219" t="s">
        <v>245</v>
      </c>
      <c r="EY219" t="s">
        <v>226</v>
      </c>
      <c r="EZ219" t="s">
        <v>265</v>
      </c>
      <c r="FA219" t="s">
        <v>226</v>
      </c>
      <c r="FB219" t="s">
        <v>245</v>
      </c>
      <c r="FC219" t="s">
        <v>236</v>
      </c>
      <c r="FE219" t="s">
        <v>226</v>
      </c>
      <c r="FF219" t="s">
        <v>244</v>
      </c>
      <c r="FG219" t="s">
        <v>236</v>
      </c>
      <c r="FJ219" t="s">
        <v>226</v>
      </c>
      <c r="FK219" t="s">
        <v>265</v>
      </c>
      <c r="FL219" t="s">
        <v>236</v>
      </c>
      <c r="FM219" t="s">
        <v>236</v>
      </c>
      <c r="FW219" t="s">
        <v>226</v>
      </c>
      <c r="FX219" t="s">
        <v>236</v>
      </c>
      <c r="FZ219" t="s">
        <v>226</v>
      </c>
      <c r="GA219" t="s">
        <v>236</v>
      </c>
      <c r="GC219" t="s">
        <v>236</v>
      </c>
      <c r="GF219" t="s">
        <v>226</v>
      </c>
      <c r="GG219" t="s">
        <v>226</v>
      </c>
      <c r="GH219" t="s">
        <v>266</v>
      </c>
      <c r="GI219" t="s">
        <v>236</v>
      </c>
      <c r="GL219" t="s">
        <v>226</v>
      </c>
      <c r="GM219" t="s">
        <v>236</v>
      </c>
      <c r="GO219" t="s">
        <v>236</v>
      </c>
      <c r="GR219" t="s">
        <v>226</v>
      </c>
      <c r="GS219" t="s">
        <v>236</v>
      </c>
      <c r="GU219" t="s">
        <v>226</v>
      </c>
      <c r="GV219" t="s">
        <v>226</v>
      </c>
      <c r="GW219" t="s">
        <v>266</v>
      </c>
      <c r="GX219" t="s">
        <v>236</v>
      </c>
      <c r="HB219" t="s">
        <v>547</v>
      </c>
      <c r="HC219" t="s">
        <v>288</v>
      </c>
      <c r="HD219" t="s">
        <v>726</v>
      </c>
      <c r="HE219">
        <v>82966957</v>
      </c>
      <c r="HF219" t="s">
        <v>1874</v>
      </c>
      <c r="HG219" s="2">
        <v>45753.567326388889</v>
      </c>
      <c r="HJ219" t="s">
        <v>248</v>
      </c>
      <c r="HL219" t="s">
        <v>249</v>
      </c>
      <c r="HN219">
        <v>217</v>
      </c>
    </row>
    <row r="220" spans="1:222" x14ac:dyDescent="0.25">
      <c r="A220" s="2">
        <v>45753.358988344909</v>
      </c>
      <c r="B220" s="2">
        <v>45753.375676585652</v>
      </c>
      <c r="C220" t="s">
        <v>221</v>
      </c>
      <c r="D220">
        <v>413</v>
      </c>
      <c r="E220" s="2">
        <v>45731</v>
      </c>
      <c r="F220">
        <v>3</v>
      </c>
      <c r="G220" t="s">
        <v>223</v>
      </c>
      <c r="H220" t="s">
        <v>307</v>
      </c>
      <c r="I220">
        <v>40</v>
      </c>
      <c r="J220" t="str">
        <f t="shared" si="3"/>
        <v>de 26 a 40 años</v>
      </c>
      <c r="K220" t="s">
        <v>251</v>
      </c>
      <c r="L220">
        <v>0</v>
      </c>
      <c r="M220">
        <v>0</v>
      </c>
      <c r="N220">
        <v>0</v>
      </c>
      <c r="O220">
        <v>0</v>
      </c>
      <c r="P220">
        <v>0</v>
      </c>
      <c r="Q220" t="s">
        <v>225</v>
      </c>
      <c r="R220" t="s">
        <v>226</v>
      </c>
      <c r="T220" t="s">
        <v>227</v>
      </c>
      <c r="V220" t="s">
        <v>228</v>
      </c>
      <c r="W220" t="s">
        <v>229</v>
      </c>
      <c r="X220" t="s">
        <v>350</v>
      </c>
      <c r="Z220" t="s">
        <v>273</v>
      </c>
      <c r="AA220" t="s">
        <v>232</v>
      </c>
      <c r="AB220">
        <v>1</v>
      </c>
      <c r="AC220">
        <v>0</v>
      </c>
      <c r="AD220">
        <v>0</v>
      </c>
      <c r="AE220">
        <v>0</v>
      </c>
      <c r="AF220">
        <v>0</v>
      </c>
      <c r="AG220">
        <v>0</v>
      </c>
      <c r="AI220" t="s">
        <v>233</v>
      </c>
      <c r="AJ220">
        <v>0</v>
      </c>
      <c r="AK220">
        <v>1</v>
      </c>
      <c r="AL220">
        <v>0</v>
      </c>
      <c r="AM220">
        <v>0</v>
      </c>
      <c r="AN220" t="s">
        <v>300</v>
      </c>
      <c r="AO220" t="s">
        <v>382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X220" t="s">
        <v>236</v>
      </c>
      <c r="AZ220" t="s">
        <v>259</v>
      </c>
      <c r="BA220" t="s">
        <v>1875</v>
      </c>
      <c r="BE220" t="s">
        <v>259</v>
      </c>
      <c r="BF220" t="s">
        <v>239</v>
      </c>
      <c r="BG220" t="s">
        <v>239</v>
      </c>
      <c r="BH220" t="s">
        <v>239</v>
      </c>
      <c r="BI220" t="s">
        <v>239</v>
      </c>
      <c r="BJ220" t="s">
        <v>259</v>
      </c>
      <c r="BK220" t="s">
        <v>239</v>
      </c>
      <c r="BL220" t="s">
        <v>313</v>
      </c>
      <c r="BM220" t="s">
        <v>365</v>
      </c>
      <c r="BN220">
        <v>0</v>
      </c>
      <c r="BO220">
        <v>1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 t="s">
        <v>264</v>
      </c>
      <c r="CB220" t="s">
        <v>264</v>
      </c>
      <c r="CC220" t="s">
        <v>264</v>
      </c>
      <c r="CD220" t="s">
        <v>236</v>
      </c>
      <c r="CE220" t="s">
        <v>236</v>
      </c>
      <c r="EA220" t="s">
        <v>226</v>
      </c>
      <c r="EB220" t="s">
        <v>245</v>
      </c>
      <c r="EC220" t="s">
        <v>226</v>
      </c>
      <c r="ED220" t="s">
        <v>244</v>
      </c>
      <c r="EE220" t="s">
        <v>226</v>
      </c>
      <c r="EF220" t="s">
        <v>245</v>
      </c>
      <c r="EG220" t="s">
        <v>236</v>
      </c>
      <c r="EI220" t="s">
        <v>308</v>
      </c>
      <c r="EK220" t="s">
        <v>236</v>
      </c>
      <c r="EM220" t="s">
        <v>226</v>
      </c>
      <c r="EN220" t="s">
        <v>244</v>
      </c>
      <c r="EO220" t="s">
        <v>236</v>
      </c>
      <c r="EQ220" t="s">
        <v>236</v>
      </c>
      <c r="ES220" t="s">
        <v>236</v>
      </c>
      <c r="EU220" t="s">
        <v>236</v>
      </c>
      <c r="EW220" t="s">
        <v>236</v>
      </c>
      <c r="EY220" t="s">
        <v>226</v>
      </c>
      <c r="EZ220" t="s">
        <v>245</v>
      </c>
      <c r="FA220" t="s">
        <v>236</v>
      </c>
      <c r="FC220" t="s">
        <v>236</v>
      </c>
      <c r="FE220" t="s">
        <v>236</v>
      </c>
      <c r="FG220" t="s">
        <v>236</v>
      </c>
      <c r="FJ220" t="s">
        <v>226</v>
      </c>
      <c r="FK220" t="s">
        <v>245</v>
      </c>
      <c r="FL220" t="s">
        <v>226</v>
      </c>
      <c r="FM220" t="s">
        <v>236</v>
      </c>
      <c r="FW220" t="s">
        <v>236</v>
      </c>
      <c r="FZ220" t="s">
        <v>236</v>
      </c>
      <c r="GC220" t="s">
        <v>236</v>
      </c>
      <c r="GF220" t="s">
        <v>236</v>
      </c>
      <c r="GI220" t="s">
        <v>236</v>
      </c>
      <c r="GL220" t="s">
        <v>236</v>
      </c>
      <c r="GO220" t="s">
        <v>236</v>
      </c>
      <c r="GR220" t="s">
        <v>236</v>
      </c>
      <c r="GU220" t="s">
        <v>236</v>
      </c>
      <c r="GX220" t="s">
        <v>236</v>
      </c>
      <c r="HB220" t="s">
        <v>358</v>
      </c>
      <c r="HC220" t="s">
        <v>1876</v>
      </c>
      <c r="HE220">
        <v>82968030</v>
      </c>
      <c r="HF220" t="s">
        <v>1877</v>
      </c>
      <c r="HG220" s="2">
        <v>45753.584004629629</v>
      </c>
      <c r="HJ220" t="s">
        <v>248</v>
      </c>
      <c r="HL220" t="s">
        <v>249</v>
      </c>
      <c r="HN220">
        <v>219</v>
      </c>
    </row>
    <row r="221" spans="1:222" x14ac:dyDescent="0.25">
      <c r="A221" s="2">
        <v>45753.359348831022</v>
      </c>
      <c r="B221" s="2">
        <v>45753.387542627323</v>
      </c>
      <c r="C221" t="s">
        <v>385</v>
      </c>
      <c r="D221">
        <v>288</v>
      </c>
      <c r="E221" s="2">
        <v>45730</v>
      </c>
      <c r="F221">
        <v>1</v>
      </c>
      <c r="G221" t="s">
        <v>374</v>
      </c>
      <c r="H221" t="s">
        <v>375</v>
      </c>
      <c r="I221">
        <v>36</v>
      </c>
      <c r="J221" t="str">
        <f t="shared" si="3"/>
        <v>de 26 a 40 años</v>
      </c>
      <c r="K221" t="s">
        <v>341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225</v>
      </c>
      <c r="R221" t="s">
        <v>226</v>
      </c>
      <c r="T221" t="s">
        <v>227</v>
      </c>
      <c r="V221" t="s">
        <v>252</v>
      </c>
      <c r="W221" t="s">
        <v>292</v>
      </c>
      <c r="X221" t="s">
        <v>230</v>
      </c>
      <c r="Z221" t="s">
        <v>231</v>
      </c>
      <c r="AA221" t="s">
        <v>293</v>
      </c>
      <c r="AB221">
        <v>0</v>
      </c>
      <c r="AC221">
        <v>0</v>
      </c>
      <c r="AD221">
        <v>0</v>
      </c>
      <c r="AE221">
        <v>0</v>
      </c>
      <c r="AF221">
        <v>1</v>
      </c>
      <c r="AG221">
        <v>0</v>
      </c>
      <c r="AI221" t="s">
        <v>311</v>
      </c>
      <c r="AJ221">
        <v>0</v>
      </c>
      <c r="AK221">
        <v>1</v>
      </c>
      <c r="AL221">
        <v>1</v>
      </c>
      <c r="AM221">
        <v>0</v>
      </c>
      <c r="AN221" t="s">
        <v>274</v>
      </c>
      <c r="AO221" t="s">
        <v>606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0</v>
      </c>
      <c r="AX221" t="s">
        <v>226</v>
      </c>
      <c r="AY221" t="s">
        <v>236</v>
      </c>
      <c r="AZ221" t="s">
        <v>259</v>
      </c>
      <c r="BA221" t="s">
        <v>1476</v>
      </c>
      <c r="BB221" t="s">
        <v>1477</v>
      </c>
      <c r="BE221" t="s">
        <v>261</v>
      </c>
      <c r="BF221" t="s">
        <v>259</v>
      </c>
      <c r="BG221" t="s">
        <v>259</v>
      </c>
      <c r="BH221" t="s">
        <v>237</v>
      </c>
      <c r="BI221" t="s">
        <v>239</v>
      </c>
      <c r="BJ221" t="s">
        <v>259</v>
      </c>
      <c r="BK221" t="s">
        <v>261</v>
      </c>
      <c r="BL221" t="s">
        <v>313</v>
      </c>
      <c r="BM221" t="s">
        <v>1478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1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 t="s">
        <v>264</v>
      </c>
      <c r="CB221" t="s">
        <v>264</v>
      </c>
      <c r="CC221" t="s">
        <v>328</v>
      </c>
      <c r="CD221" t="s">
        <v>236</v>
      </c>
      <c r="CE221" t="s">
        <v>236</v>
      </c>
      <c r="EA221" t="s">
        <v>236</v>
      </c>
      <c r="EC221" t="s">
        <v>226</v>
      </c>
      <c r="ED221" t="s">
        <v>244</v>
      </c>
      <c r="EE221" t="s">
        <v>226</v>
      </c>
      <c r="EF221" t="s">
        <v>265</v>
      </c>
      <c r="EG221" t="s">
        <v>226</v>
      </c>
      <c r="EH221" t="s">
        <v>265</v>
      </c>
      <c r="EI221" t="s">
        <v>226</v>
      </c>
      <c r="EJ221" t="s">
        <v>245</v>
      </c>
      <c r="EK221" t="s">
        <v>226</v>
      </c>
      <c r="EL221" t="s">
        <v>245</v>
      </c>
      <c r="EM221" t="s">
        <v>226</v>
      </c>
      <c r="EN221" t="s">
        <v>265</v>
      </c>
      <c r="EO221" t="s">
        <v>226</v>
      </c>
      <c r="EP221" t="s">
        <v>245</v>
      </c>
      <c r="EQ221" t="s">
        <v>236</v>
      </c>
      <c r="ES221" t="s">
        <v>226</v>
      </c>
      <c r="ET221" t="s">
        <v>265</v>
      </c>
      <c r="EU221" t="s">
        <v>226</v>
      </c>
      <c r="EV221" t="s">
        <v>265</v>
      </c>
      <c r="EW221" t="s">
        <v>226</v>
      </c>
      <c r="EX221" t="s">
        <v>244</v>
      </c>
      <c r="EY221" t="s">
        <v>226</v>
      </c>
      <c r="EZ221" t="s">
        <v>244</v>
      </c>
      <c r="FA221" t="s">
        <v>226</v>
      </c>
      <c r="FB221" t="s">
        <v>244</v>
      </c>
      <c r="FC221" t="s">
        <v>236</v>
      </c>
      <c r="FE221" t="s">
        <v>236</v>
      </c>
      <c r="FG221" t="s">
        <v>236</v>
      </c>
      <c r="FJ221" t="s">
        <v>226</v>
      </c>
      <c r="FK221" t="s">
        <v>265</v>
      </c>
      <c r="FL221" t="s">
        <v>236</v>
      </c>
      <c r="FM221" t="s">
        <v>226</v>
      </c>
      <c r="FN221" t="s">
        <v>967</v>
      </c>
      <c r="FO221">
        <v>1</v>
      </c>
      <c r="FP221">
        <v>0</v>
      </c>
      <c r="FQ221">
        <v>0</v>
      </c>
      <c r="FR221">
        <v>0</v>
      </c>
      <c r="FS221">
        <v>0</v>
      </c>
      <c r="FU221" t="s">
        <v>226</v>
      </c>
      <c r="FW221" t="s">
        <v>226</v>
      </c>
      <c r="FX221" t="s">
        <v>236</v>
      </c>
      <c r="FZ221" t="s">
        <v>236</v>
      </c>
      <c r="GC221" t="s">
        <v>236</v>
      </c>
      <c r="GF221" t="s">
        <v>226</v>
      </c>
      <c r="GG221" t="s">
        <v>236</v>
      </c>
      <c r="GI221" t="s">
        <v>236</v>
      </c>
      <c r="GL221" t="s">
        <v>226</v>
      </c>
      <c r="GM221" t="s">
        <v>226</v>
      </c>
      <c r="GN221" t="s">
        <v>266</v>
      </c>
      <c r="GO221" t="s">
        <v>226</v>
      </c>
      <c r="GP221" t="s">
        <v>226</v>
      </c>
      <c r="GQ221" t="s">
        <v>267</v>
      </c>
      <c r="GR221" t="s">
        <v>226</v>
      </c>
      <c r="GS221" t="s">
        <v>236</v>
      </c>
      <c r="GU221" t="s">
        <v>226</v>
      </c>
      <c r="GV221" t="s">
        <v>236</v>
      </c>
      <c r="GX221" t="s">
        <v>236</v>
      </c>
      <c r="HB221" t="s">
        <v>338</v>
      </c>
      <c r="HC221" t="s">
        <v>1479</v>
      </c>
      <c r="HE221">
        <v>82968804</v>
      </c>
      <c r="HF221" t="s">
        <v>1480</v>
      </c>
      <c r="HG221" s="2">
        <v>45753.59578703704</v>
      </c>
      <c r="HJ221" t="s">
        <v>248</v>
      </c>
      <c r="HL221" t="s">
        <v>249</v>
      </c>
      <c r="HN221">
        <v>222</v>
      </c>
    </row>
    <row r="222" spans="1:222" x14ac:dyDescent="0.25">
      <c r="A222" s="2">
        <v>45753.375677233787</v>
      </c>
      <c r="B222" s="2">
        <v>45753.379930960647</v>
      </c>
      <c r="C222" t="s">
        <v>221</v>
      </c>
      <c r="D222">
        <v>414</v>
      </c>
      <c r="E222" s="2">
        <v>45731</v>
      </c>
      <c r="F222">
        <v>3</v>
      </c>
      <c r="G222" t="s">
        <v>223</v>
      </c>
      <c r="H222" t="s">
        <v>307</v>
      </c>
      <c r="I222">
        <v>34</v>
      </c>
      <c r="J222" t="str">
        <f t="shared" si="3"/>
        <v>de 26 a 40 años</v>
      </c>
      <c r="K222" t="s">
        <v>341</v>
      </c>
      <c r="L222">
        <v>2</v>
      </c>
      <c r="M222">
        <v>0</v>
      </c>
      <c r="N222">
        <v>0</v>
      </c>
      <c r="O222">
        <v>0</v>
      </c>
      <c r="P222">
        <v>0</v>
      </c>
      <c r="Q222" t="s">
        <v>225</v>
      </c>
      <c r="R222" t="s">
        <v>226</v>
      </c>
      <c r="T222" t="s">
        <v>227</v>
      </c>
      <c r="V222" t="s">
        <v>252</v>
      </c>
      <c r="W222" t="s">
        <v>229</v>
      </c>
      <c r="X222" t="s">
        <v>230</v>
      </c>
      <c r="Z222" t="s">
        <v>231</v>
      </c>
      <c r="AA222" t="s">
        <v>255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I222" t="s">
        <v>233</v>
      </c>
      <c r="AJ222">
        <v>0</v>
      </c>
      <c r="AK222">
        <v>1</v>
      </c>
      <c r="AL222">
        <v>0</v>
      </c>
      <c r="AM222">
        <v>0</v>
      </c>
      <c r="AN222" t="s">
        <v>257</v>
      </c>
      <c r="AO222" t="s">
        <v>382</v>
      </c>
      <c r="AP222">
        <v>0</v>
      </c>
      <c r="AQ222">
        <v>0</v>
      </c>
      <c r="AR222">
        <v>1</v>
      </c>
      <c r="AS222">
        <v>0</v>
      </c>
      <c r="AT222">
        <v>0</v>
      </c>
      <c r="AU222">
        <v>0</v>
      </c>
      <c r="AV222">
        <v>0</v>
      </c>
      <c r="AX222" t="s">
        <v>236</v>
      </c>
      <c r="AZ222" t="s">
        <v>237</v>
      </c>
      <c r="BA222" t="s">
        <v>1153</v>
      </c>
      <c r="BE222" t="s">
        <v>259</v>
      </c>
      <c r="BF222" t="s">
        <v>259</v>
      </c>
      <c r="BG222" t="s">
        <v>259</v>
      </c>
      <c r="BH222" t="s">
        <v>259</v>
      </c>
      <c r="BI222" t="s">
        <v>237</v>
      </c>
      <c r="BJ222" t="s">
        <v>259</v>
      </c>
      <c r="BK222" t="s">
        <v>239</v>
      </c>
      <c r="BL222" t="s">
        <v>313</v>
      </c>
      <c r="BM222" t="s">
        <v>415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 t="s">
        <v>243</v>
      </c>
      <c r="CB222" t="s">
        <v>328</v>
      </c>
      <c r="CC222" t="s">
        <v>243</v>
      </c>
      <c r="CD222" t="s">
        <v>236</v>
      </c>
      <c r="CE222" t="s">
        <v>236</v>
      </c>
      <c r="EA222" t="s">
        <v>236</v>
      </c>
      <c r="EC222" t="s">
        <v>236</v>
      </c>
      <c r="EE222" t="s">
        <v>226</v>
      </c>
      <c r="EF222" t="s">
        <v>245</v>
      </c>
      <c r="EG222" t="s">
        <v>226</v>
      </c>
      <c r="EH222" t="s">
        <v>244</v>
      </c>
      <c r="EI222" t="s">
        <v>236</v>
      </c>
      <c r="EK222" t="s">
        <v>226</v>
      </c>
      <c r="EL222" t="s">
        <v>245</v>
      </c>
      <c r="EM222" t="s">
        <v>226</v>
      </c>
      <c r="EN222" t="s">
        <v>244</v>
      </c>
      <c r="EO222" t="s">
        <v>226</v>
      </c>
      <c r="EP222" t="s">
        <v>244</v>
      </c>
      <c r="EQ222" t="s">
        <v>236</v>
      </c>
      <c r="ES222" t="s">
        <v>236</v>
      </c>
      <c r="EU222" t="s">
        <v>236</v>
      </c>
      <c r="EW222" t="s">
        <v>236</v>
      </c>
      <c r="EY222" t="s">
        <v>236</v>
      </c>
      <c r="FA222" t="s">
        <v>226</v>
      </c>
      <c r="FB222" t="s">
        <v>245</v>
      </c>
      <c r="FC222" t="s">
        <v>236</v>
      </c>
      <c r="FE222" t="s">
        <v>226</v>
      </c>
      <c r="FF222" t="s">
        <v>245</v>
      </c>
      <c r="FG222" t="s">
        <v>236</v>
      </c>
      <c r="FJ222" t="s">
        <v>226</v>
      </c>
      <c r="FK222" t="s">
        <v>245</v>
      </c>
      <c r="FL222" t="s">
        <v>236</v>
      </c>
      <c r="FM222" t="s">
        <v>236</v>
      </c>
      <c r="FW222" t="s">
        <v>226</v>
      </c>
      <c r="FX222" t="s">
        <v>236</v>
      </c>
      <c r="FZ222" t="s">
        <v>236</v>
      </c>
      <c r="GC222" t="s">
        <v>226</v>
      </c>
      <c r="GD222" t="s">
        <v>236</v>
      </c>
      <c r="GF222" t="s">
        <v>236</v>
      </c>
      <c r="GI222" t="s">
        <v>226</v>
      </c>
      <c r="GJ222" t="s">
        <v>236</v>
      </c>
      <c r="GL222" t="s">
        <v>226</v>
      </c>
      <c r="GM222" t="s">
        <v>236</v>
      </c>
      <c r="GO222" t="s">
        <v>226</v>
      </c>
      <c r="GP222" t="s">
        <v>226</v>
      </c>
      <c r="GQ222" t="s">
        <v>266</v>
      </c>
      <c r="GR222" t="s">
        <v>226</v>
      </c>
      <c r="GS222" t="s">
        <v>236</v>
      </c>
      <c r="GU222" t="s">
        <v>236</v>
      </c>
      <c r="GX222" t="s">
        <v>236</v>
      </c>
      <c r="HB222" t="s">
        <v>338</v>
      </c>
      <c r="HC222" t="s">
        <v>1878</v>
      </c>
      <c r="HD222" t="s">
        <v>1879</v>
      </c>
      <c r="HE222">
        <v>82968313</v>
      </c>
      <c r="HF222" t="s">
        <v>1880</v>
      </c>
      <c r="HG222" s="2">
        <v>45753.588263888887</v>
      </c>
      <c r="HJ222" t="s">
        <v>248</v>
      </c>
      <c r="HL222" t="s">
        <v>249</v>
      </c>
      <c r="HN222">
        <v>220</v>
      </c>
    </row>
    <row r="223" spans="1:222" x14ac:dyDescent="0.25">
      <c r="A223" s="2">
        <v>45753.3799315625</v>
      </c>
      <c r="B223" s="2">
        <v>45753.38326815972</v>
      </c>
      <c r="C223" t="s">
        <v>221</v>
      </c>
      <c r="D223">
        <v>415</v>
      </c>
      <c r="E223" s="2">
        <v>45731</v>
      </c>
      <c r="F223">
        <v>3</v>
      </c>
      <c r="G223" t="s">
        <v>223</v>
      </c>
      <c r="H223" t="s">
        <v>307</v>
      </c>
      <c r="I223">
        <v>63</v>
      </c>
      <c r="J223" t="str">
        <f t="shared" si="3"/>
        <v>de 56 a más</v>
      </c>
      <c r="K223" t="s">
        <v>251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225</v>
      </c>
      <c r="R223" t="s">
        <v>226</v>
      </c>
      <c r="T223" t="s">
        <v>227</v>
      </c>
      <c r="V223" t="s">
        <v>612</v>
      </c>
      <c r="W223" t="s">
        <v>229</v>
      </c>
      <c r="X223" t="s">
        <v>480</v>
      </c>
      <c r="Z223" t="s">
        <v>254</v>
      </c>
      <c r="AA223" t="s">
        <v>293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I223" t="s">
        <v>233</v>
      </c>
      <c r="AJ223">
        <v>0</v>
      </c>
      <c r="AK223">
        <v>1</v>
      </c>
      <c r="AL223">
        <v>0</v>
      </c>
      <c r="AM223">
        <v>0</v>
      </c>
      <c r="AN223" t="s">
        <v>300</v>
      </c>
      <c r="AO223" t="s">
        <v>369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 t="s">
        <v>1881</v>
      </c>
      <c r="AX223" t="s">
        <v>226</v>
      </c>
      <c r="AY223" t="s">
        <v>226</v>
      </c>
      <c r="AZ223" t="s">
        <v>237</v>
      </c>
      <c r="BA223" t="s">
        <v>1592</v>
      </c>
      <c r="BE223" t="s">
        <v>237</v>
      </c>
      <c r="BF223" t="s">
        <v>237</v>
      </c>
      <c r="BG223" t="s">
        <v>237</v>
      </c>
      <c r="BH223" t="s">
        <v>259</v>
      </c>
      <c r="BI223" t="s">
        <v>308</v>
      </c>
      <c r="BJ223" t="s">
        <v>237</v>
      </c>
      <c r="BK223" t="s">
        <v>259</v>
      </c>
      <c r="BL223" t="s">
        <v>262</v>
      </c>
      <c r="BM223" t="s">
        <v>357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 t="s">
        <v>243</v>
      </c>
      <c r="CB223" t="s">
        <v>328</v>
      </c>
      <c r="CC223" t="s">
        <v>328</v>
      </c>
      <c r="CD223" t="s">
        <v>236</v>
      </c>
      <c r="CE223" t="s">
        <v>236</v>
      </c>
      <c r="EA223" t="s">
        <v>226</v>
      </c>
      <c r="EB223" t="s">
        <v>244</v>
      </c>
      <c r="EC223" t="s">
        <v>236</v>
      </c>
      <c r="EE223" t="s">
        <v>236</v>
      </c>
      <c r="EG223" t="s">
        <v>236</v>
      </c>
      <c r="EI223" t="s">
        <v>236</v>
      </c>
      <c r="EK223" t="s">
        <v>236</v>
      </c>
      <c r="EM223" t="s">
        <v>226</v>
      </c>
      <c r="EN223" t="s">
        <v>245</v>
      </c>
      <c r="EO223" t="s">
        <v>236</v>
      </c>
      <c r="EQ223" t="s">
        <v>236</v>
      </c>
      <c r="ES223" t="s">
        <v>236</v>
      </c>
      <c r="EU223" t="s">
        <v>236</v>
      </c>
      <c r="EW223" t="s">
        <v>236</v>
      </c>
      <c r="EY223" t="s">
        <v>226</v>
      </c>
      <c r="EZ223" t="s">
        <v>245</v>
      </c>
      <c r="FA223" t="s">
        <v>226</v>
      </c>
      <c r="FB223" t="s">
        <v>245</v>
      </c>
      <c r="FC223" t="s">
        <v>236</v>
      </c>
      <c r="FE223" t="s">
        <v>236</v>
      </c>
      <c r="FG223" t="s">
        <v>236</v>
      </c>
      <c r="FJ223" t="s">
        <v>226</v>
      </c>
      <c r="FK223" t="s">
        <v>245</v>
      </c>
      <c r="FL223" t="s">
        <v>236</v>
      </c>
      <c r="FM223" t="s">
        <v>236</v>
      </c>
      <c r="FW223" t="s">
        <v>236</v>
      </c>
      <c r="FZ223" t="s">
        <v>236</v>
      </c>
      <c r="GC223" t="s">
        <v>236</v>
      </c>
      <c r="GF223" t="s">
        <v>236</v>
      </c>
      <c r="GI223" t="s">
        <v>236</v>
      </c>
      <c r="GL223" t="s">
        <v>226</v>
      </c>
      <c r="GM223" t="s">
        <v>236</v>
      </c>
      <c r="GO223" t="s">
        <v>226</v>
      </c>
      <c r="GP223" t="s">
        <v>236</v>
      </c>
      <c r="GR223" t="s">
        <v>236</v>
      </c>
      <c r="GU223" t="s">
        <v>236</v>
      </c>
      <c r="GX223" t="s">
        <v>236</v>
      </c>
      <c r="HB223" t="s">
        <v>408</v>
      </c>
      <c r="HC223" t="s">
        <v>1882</v>
      </c>
      <c r="HE223">
        <v>82968586</v>
      </c>
      <c r="HF223" t="s">
        <v>1883</v>
      </c>
      <c r="HG223" s="2">
        <v>45753.591608796298</v>
      </c>
      <c r="HJ223" t="s">
        <v>248</v>
      </c>
      <c r="HL223" t="s">
        <v>249</v>
      </c>
      <c r="HN223">
        <v>221</v>
      </c>
    </row>
    <row r="224" spans="1:222" x14ac:dyDescent="0.25">
      <c r="A224" s="2">
        <v>45753.383268738427</v>
      </c>
      <c r="B224" s="2">
        <v>45753.404179247693</v>
      </c>
      <c r="C224" t="s">
        <v>221</v>
      </c>
      <c r="D224">
        <v>416</v>
      </c>
      <c r="E224" s="2">
        <v>45731</v>
      </c>
      <c r="F224">
        <v>3</v>
      </c>
      <c r="G224" t="s">
        <v>223</v>
      </c>
      <c r="H224" t="s">
        <v>307</v>
      </c>
      <c r="I224">
        <v>42</v>
      </c>
      <c r="J224" t="str">
        <f t="shared" si="3"/>
        <v>de 41 a 55 años</v>
      </c>
      <c r="K224" t="s">
        <v>251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291</v>
      </c>
      <c r="R224" t="s">
        <v>226</v>
      </c>
      <c r="T224" t="s">
        <v>227</v>
      </c>
      <c r="V224" t="s">
        <v>252</v>
      </c>
      <c r="W224" t="s">
        <v>229</v>
      </c>
      <c r="X224" t="s">
        <v>230</v>
      </c>
      <c r="Z224" t="s">
        <v>231</v>
      </c>
      <c r="AA224" t="s">
        <v>293</v>
      </c>
      <c r="AB224">
        <v>0</v>
      </c>
      <c r="AC224">
        <v>0</v>
      </c>
      <c r="AD224">
        <v>0</v>
      </c>
      <c r="AE224">
        <v>0</v>
      </c>
      <c r="AF224">
        <v>1</v>
      </c>
      <c r="AG224">
        <v>0</v>
      </c>
      <c r="AI224" t="s">
        <v>256</v>
      </c>
      <c r="AJ224">
        <v>0</v>
      </c>
      <c r="AK224">
        <v>0</v>
      </c>
      <c r="AL224">
        <v>1</v>
      </c>
      <c r="AM224">
        <v>0</v>
      </c>
      <c r="AN224" t="s">
        <v>257</v>
      </c>
      <c r="AO224" t="s">
        <v>294</v>
      </c>
      <c r="AP224">
        <v>1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X224" t="s">
        <v>226</v>
      </c>
      <c r="AY224" t="s">
        <v>226</v>
      </c>
      <c r="AZ224" t="s">
        <v>259</v>
      </c>
      <c r="BA224" t="s">
        <v>1884</v>
      </c>
      <c r="BE224" t="s">
        <v>259</v>
      </c>
      <c r="BF224" t="s">
        <v>259</v>
      </c>
      <c r="BG224" t="s">
        <v>308</v>
      </c>
      <c r="BH224" t="s">
        <v>259</v>
      </c>
      <c r="BI224" t="s">
        <v>308</v>
      </c>
      <c r="BJ224" t="s">
        <v>237</v>
      </c>
      <c r="BK224" t="s">
        <v>261</v>
      </c>
      <c r="BL224" t="s">
        <v>262</v>
      </c>
      <c r="BM224" t="s">
        <v>372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 t="s">
        <v>243</v>
      </c>
      <c r="CB224" t="s">
        <v>328</v>
      </c>
      <c r="CC224" t="s">
        <v>328</v>
      </c>
      <c r="CD224" t="s">
        <v>226</v>
      </c>
      <c r="CE224" t="s">
        <v>236</v>
      </c>
      <c r="EA224" t="s">
        <v>226</v>
      </c>
      <c r="EB224" t="s">
        <v>245</v>
      </c>
      <c r="EC224" t="s">
        <v>226</v>
      </c>
      <c r="ED224" t="s">
        <v>245</v>
      </c>
      <c r="EE224" t="s">
        <v>226</v>
      </c>
      <c r="EF224" t="s">
        <v>245</v>
      </c>
      <c r="EG224" t="s">
        <v>226</v>
      </c>
      <c r="EH224" t="s">
        <v>245</v>
      </c>
      <c r="EI224" t="s">
        <v>308</v>
      </c>
      <c r="EK224" t="s">
        <v>236</v>
      </c>
      <c r="EM224" t="s">
        <v>226</v>
      </c>
      <c r="EN224" t="s">
        <v>244</v>
      </c>
      <c r="EO224" t="s">
        <v>236</v>
      </c>
      <c r="EQ224" t="s">
        <v>236</v>
      </c>
      <c r="ES224" t="s">
        <v>226</v>
      </c>
      <c r="ET224" t="s">
        <v>244</v>
      </c>
      <c r="EU224" t="s">
        <v>236</v>
      </c>
      <c r="EW224" t="s">
        <v>226</v>
      </c>
      <c r="EX224" t="s">
        <v>245</v>
      </c>
      <c r="EY224" t="s">
        <v>226</v>
      </c>
      <c r="EZ224" t="s">
        <v>245</v>
      </c>
      <c r="FA224" t="s">
        <v>236</v>
      </c>
      <c r="FC224" t="s">
        <v>236</v>
      </c>
      <c r="FE224" t="s">
        <v>226</v>
      </c>
      <c r="FF224" t="s">
        <v>245</v>
      </c>
      <c r="FG224" t="s">
        <v>236</v>
      </c>
      <c r="FJ224" t="s">
        <v>226</v>
      </c>
      <c r="FK224" t="s">
        <v>245</v>
      </c>
      <c r="FL224" t="s">
        <v>236</v>
      </c>
      <c r="FM224" t="s">
        <v>236</v>
      </c>
      <c r="FW224" t="s">
        <v>236</v>
      </c>
      <c r="FZ224" t="s">
        <v>236</v>
      </c>
      <c r="GC224" t="s">
        <v>236</v>
      </c>
      <c r="GF224" t="s">
        <v>226</v>
      </c>
      <c r="GG224" t="s">
        <v>236</v>
      </c>
      <c r="GI224" t="s">
        <v>236</v>
      </c>
      <c r="GL224" t="s">
        <v>236</v>
      </c>
      <c r="GO224" t="s">
        <v>226</v>
      </c>
      <c r="GP224" t="s">
        <v>236</v>
      </c>
      <c r="GR224" t="s">
        <v>236</v>
      </c>
      <c r="GU224" t="s">
        <v>236</v>
      </c>
      <c r="GX224" t="s">
        <v>236</v>
      </c>
      <c r="HB224" t="s">
        <v>1885</v>
      </c>
      <c r="HC224" t="s">
        <v>1886</v>
      </c>
      <c r="HE224">
        <v>82969699</v>
      </c>
      <c r="HF224" t="s">
        <v>1887</v>
      </c>
      <c r="HG224" s="2">
        <v>45753.612511574072</v>
      </c>
      <c r="HJ224" t="s">
        <v>248</v>
      </c>
      <c r="HL224" t="s">
        <v>249</v>
      </c>
      <c r="HN224">
        <v>226</v>
      </c>
    </row>
    <row r="225" spans="1:222" x14ac:dyDescent="0.25">
      <c r="A225" s="2">
        <v>45753.387543657409</v>
      </c>
      <c r="B225" s="2">
        <v>45753.393410497687</v>
      </c>
      <c r="C225" t="s">
        <v>385</v>
      </c>
      <c r="D225">
        <v>287</v>
      </c>
      <c r="E225" s="2">
        <v>45730</v>
      </c>
      <c r="F225">
        <v>1</v>
      </c>
      <c r="G225" t="s">
        <v>1472</v>
      </c>
      <c r="H225" t="s">
        <v>375</v>
      </c>
      <c r="I225">
        <v>39</v>
      </c>
      <c r="J225" t="str">
        <f t="shared" si="3"/>
        <v>de 26 a 40 años</v>
      </c>
      <c r="K225" t="s">
        <v>224</v>
      </c>
      <c r="L225">
        <v>1</v>
      </c>
      <c r="M225">
        <v>0</v>
      </c>
      <c r="N225">
        <v>0</v>
      </c>
      <c r="O225">
        <v>0</v>
      </c>
      <c r="P225">
        <v>0</v>
      </c>
      <c r="Q225" t="s">
        <v>225</v>
      </c>
      <c r="R225" t="s">
        <v>226</v>
      </c>
      <c r="T225" t="s">
        <v>227</v>
      </c>
      <c r="V225" t="s">
        <v>252</v>
      </c>
      <c r="W225" t="s">
        <v>292</v>
      </c>
      <c r="X225" t="s">
        <v>230</v>
      </c>
      <c r="Z225" t="s">
        <v>231</v>
      </c>
      <c r="AA225" t="s">
        <v>232</v>
      </c>
      <c r="AB225">
        <v>1</v>
      </c>
      <c r="AC225">
        <v>0</v>
      </c>
      <c r="AD225">
        <v>0</v>
      </c>
      <c r="AE225">
        <v>0</v>
      </c>
      <c r="AF225">
        <v>0</v>
      </c>
      <c r="AG225">
        <v>0</v>
      </c>
      <c r="AI225" t="s">
        <v>256</v>
      </c>
      <c r="AJ225">
        <v>0</v>
      </c>
      <c r="AK225">
        <v>0</v>
      </c>
      <c r="AL225">
        <v>1</v>
      </c>
      <c r="AM225">
        <v>0</v>
      </c>
      <c r="AN225" t="s">
        <v>274</v>
      </c>
      <c r="AO225" t="s">
        <v>369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 t="s">
        <v>1473</v>
      </c>
      <c r="AX225" t="s">
        <v>226</v>
      </c>
      <c r="AY225" t="s">
        <v>226</v>
      </c>
      <c r="AZ225" t="s">
        <v>237</v>
      </c>
      <c r="BA225" t="s">
        <v>505</v>
      </c>
      <c r="BB225" t="s">
        <v>1474</v>
      </c>
      <c r="BE225" t="s">
        <v>259</v>
      </c>
      <c r="BF225" t="s">
        <v>259</v>
      </c>
      <c r="BG225" t="s">
        <v>237</v>
      </c>
      <c r="BH225" t="s">
        <v>261</v>
      </c>
      <c r="BI225" t="s">
        <v>239</v>
      </c>
      <c r="BJ225" t="s">
        <v>237</v>
      </c>
      <c r="BK225" t="s">
        <v>261</v>
      </c>
      <c r="BL225" t="s">
        <v>313</v>
      </c>
      <c r="BM225" t="s">
        <v>278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 t="s">
        <v>242</v>
      </c>
      <c r="CB225" t="s">
        <v>264</v>
      </c>
      <c r="CC225" t="s">
        <v>328</v>
      </c>
      <c r="CD225" t="s">
        <v>236</v>
      </c>
      <c r="CE225" t="s">
        <v>236</v>
      </c>
      <c r="EA225" t="s">
        <v>226</v>
      </c>
      <c r="EB225" t="s">
        <v>244</v>
      </c>
      <c r="EC225" t="s">
        <v>226</v>
      </c>
      <c r="ED225" t="s">
        <v>245</v>
      </c>
      <c r="EE225" t="s">
        <v>226</v>
      </c>
      <c r="EF225" t="s">
        <v>265</v>
      </c>
      <c r="EG225" t="s">
        <v>226</v>
      </c>
      <c r="EH225" t="s">
        <v>245</v>
      </c>
      <c r="EI225" t="s">
        <v>226</v>
      </c>
      <c r="EJ225" t="s">
        <v>245</v>
      </c>
      <c r="EK225" t="s">
        <v>226</v>
      </c>
      <c r="EL225" t="s">
        <v>244</v>
      </c>
      <c r="EM225" t="s">
        <v>226</v>
      </c>
      <c r="EN225" t="s">
        <v>245</v>
      </c>
      <c r="EO225" t="s">
        <v>226</v>
      </c>
      <c r="EP225" t="s">
        <v>245</v>
      </c>
      <c r="EQ225" t="s">
        <v>236</v>
      </c>
      <c r="ES225" t="s">
        <v>226</v>
      </c>
      <c r="ET225" t="s">
        <v>244</v>
      </c>
      <c r="EU225" t="s">
        <v>236</v>
      </c>
      <c r="EW225" t="s">
        <v>226</v>
      </c>
      <c r="EX225" t="s">
        <v>245</v>
      </c>
      <c r="EY225" t="s">
        <v>226</v>
      </c>
      <c r="EZ225" t="s">
        <v>245</v>
      </c>
      <c r="FA225" t="s">
        <v>226</v>
      </c>
      <c r="FB225" t="s">
        <v>245</v>
      </c>
      <c r="FC225" t="s">
        <v>236</v>
      </c>
      <c r="FE225" t="s">
        <v>226</v>
      </c>
      <c r="FF225" t="s">
        <v>245</v>
      </c>
      <c r="FG225" t="s">
        <v>236</v>
      </c>
      <c r="FJ225" t="s">
        <v>226</v>
      </c>
      <c r="FK225" t="s">
        <v>245</v>
      </c>
      <c r="FL225" t="s">
        <v>236</v>
      </c>
      <c r="FM225" t="s">
        <v>236</v>
      </c>
      <c r="FW225" t="s">
        <v>226</v>
      </c>
      <c r="FX225" t="s">
        <v>226</v>
      </c>
      <c r="FY225" t="s">
        <v>267</v>
      </c>
      <c r="FZ225" t="s">
        <v>236</v>
      </c>
      <c r="GC225" t="s">
        <v>226</v>
      </c>
      <c r="GD225" t="s">
        <v>236</v>
      </c>
      <c r="GF225" t="s">
        <v>226</v>
      </c>
      <c r="GG225" t="s">
        <v>236</v>
      </c>
      <c r="GI225" t="s">
        <v>236</v>
      </c>
      <c r="GL225" t="s">
        <v>226</v>
      </c>
      <c r="GM225" t="s">
        <v>226</v>
      </c>
      <c r="GN225" t="s">
        <v>266</v>
      </c>
      <c r="GO225" t="s">
        <v>226</v>
      </c>
      <c r="GP225" t="s">
        <v>226</v>
      </c>
      <c r="GQ225" t="s">
        <v>267</v>
      </c>
      <c r="GR225" t="s">
        <v>226</v>
      </c>
      <c r="GS225" t="s">
        <v>236</v>
      </c>
      <c r="GU225" t="s">
        <v>236</v>
      </c>
      <c r="GX225" t="s">
        <v>236</v>
      </c>
      <c r="HB225" t="s">
        <v>408</v>
      </c>
      <c r="HC225" t="s">
        <v>1226</v>
      </c>
      <c r="HD225" t="s">
        <v>338</v>
      </c>
      <c r="HE225">
        <v>82969209</v>
      </c>
      <c r="HF225" t="s">
        <v>1475</v>
      </c>
      <c r="HG225" s="2">
        <v>45753.601655092592</v>
      </c>
      <c r="HJ225" t="s">
        <v>248</v>
      </c>
      <c r="HL225" t="s">
        <v>249</v>
      </c>
      <c r="HN225">
        <v>223</v>
      </c>
    </row>
    <row r="226" spans="1:222" x14ac:dyDescent="0.25">
      <c r="A226" s="2">
        <v>45753.393411874997</v>
      </c>
      <c r="B226" s="2">
        <v>45753.397346006946</v>
      </c>
      <c r="C226" t="s">
        <v>385</v>
      </c>
      <c r="D226">
        <v>286</v>
      </c>
      <c r="E226" s="2">
        <v>45730</v>
      </c>
      <c r="F226">
        <v>1</v>
      </c>
      <c r="G226" t="s">
        <v>374</v>
      </c>
      <c r="H226" t="s">
        <v>375</v>
      </c>
      <c r="I226">
        <v>67</v>
      </c>
      <c r="J226" t="str">
        <f t="shared" si="3"/>
        <v>de 56 a más</v>
      </c>
      <c r="K226" t="s">
        <v>224</v>
      </c>
      <c r="L226">
        <v>2</v>
      </c>
      <c r="M226">
        <v>0</v>
      </c>
      <c r="N226">
        <v>0</v>
      </c>
      <c r="O226">
        <v>0</v>
      </c>
      <c r="P226">
        <v>1</v>
      </c>
      <c r="Q226" t="s">
        <v>291</v>
      </c>
      <c r="R226" t="s">
        <v>226</v>
      </c>
      <c r="T226" t="s">
        <v>392</v>
      </c>
      <c r="V226" t="s">
        <v>228</v>
      </c>
      <c r="W226" t="s">
        <v>292</v>
      </c>
      <c r="X226" t="s">
        <v>368</v>
      </c>
      <c r="Z226" t="s">
        <v>351</v>
      </c>
      <c r="AA226" t="s">
        <v>352</v>
      </c>
      <c r="AB226">
        <v>1</v>
      </c>
      <c r="AC226">
        <v>0</v>
      </c>
      <c r="AD226">
        <v>0</v>
      </c>
      <c r="AE226">
        <v>0</v>
      </c>
      <c r="AF226">
        <v>1</v>
      </c>
      <c r="AG226">
        <v>0</v>
      </c>
      <c r="AI226" t="s">
        <v>233</v>
      </c>
      <c r="AJ226">
        <v>0</v>
      </c>
      <c r="AK226">
        <v>1</v>
      </c>
      <c r="AL226">
        <v>0</v>
      </c>
      <c r="AM226">
        <v>0</v>
      </c>
      <c r="AN226" t="s">
        <v>300</v>
      </c>
      <c r="AO226" t="s">
        <v>929</v>
      </c>
      <c r="AP226">
        <v>0</v>
      </c>
      <c r="AQ226">
        <v>0</v>
      </c>
      <c r="AR226">
        <v>1</v>
      </c>
      <c r="AS226">
        <v>0</v>
      </c>
      <c r="AT226">
        <v>1</v>
      </c>
      <c r="AU226">
        <v>1</v>
      </c>
      <c r="AV226">
        <v>0</v>
      </c>
      <c r="AX226" t="s">
        <v>236</v>
      </c>
      <c r="AZ226" t="s">
        <v>237</v>
      </c>
      <c r="BA226" t="s">
        <v>1469</v>
      </c>
      <c r="BE226" t="s">
        <v>237</v>
      </c>
      <c r="BF226" t="s">
        <v>237</v>
      </c>
      <c r="BG226" t="s">
        <v>259</v>
      </c>
      <c r="BH226" t="s">
        <v>239</v>
      </c>
      <c r="BI226" t="s">
        <v>239</v>
      </c>
      <c r="BJ226" t="s">
        <v>237</v>
      </c>
      <c r="BK226" t="s">
        <v>239</v>
      </c>
      <c r="BL226" t="s">
        <v>313</v>
      </c>
      <c r="BM226" t="s">
        <v>365</v>
      </c>
      <c r="BN226">
        <v>0</v>
      </c>
      <c r="BO226">
        <v>1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 t="s">
        <v>264</v>
      </c>
      <c r="CB226" t="s">
        <v>328</v>
      </c>
      <c r="CC226" t="s">
        <v>328</v>
      </c>
      <c r="CD226" t="s">
        <v>236</v>
      </c>
      <c r="CE226" t="s">
        <v>236</v>
      </c>
      <c r="EA226" t="s">
        <v>226</v>
      </c>
      <c r="EB226" t="s">
        <v>245</v>
      </c>
      <c r="EC226" t="s">
        <v>236</v>
      </c>
      <c r="EE226" t="s">
        <v>226</v>
      </c>
      <c r="EF226" t="s">
        <v>244</v>
      </c>
      <c r="EG226" t="s">
        <v>226</v>
      </c>
      <c r="EH226" t="s">
        <v>244</v>
      </c>
      <c r="EI226" t="s">
        <v>236</v>
      </c>
      <c r="EK226" t="s">
        <v>236</v>
      </c>
      <c r="EM226" t="s">
        <v>226</v>
      </c>
      <c r="EN226" t="s">
        <v>244</v>
      </c>
      <c r="EO226" t="s">
        <v>236</v>
      </c>
      <c r="EQ226" t="s">
        <v>236</v>
      </c>
      <c r="ES226" t="s">
        <v>236</v>
      </c>
      <c r="EU226" t="s">
        <v>236</v>
      </c>
      <c r="EW226" t="s">
        <v>226</v>
      </c>
      <c r="EX226" t="s">
        <v>244</v>
      </c>
      <c r="EY226" t="s">
        <v>226</v>
      </c>
      <c r="EZ226" t="s">
        <v>244</v>
      </c>
      <c r="FA226" t="s">
        <v>226</v>
      </c>
      <c r="FB226" t="s">
        <v>245</v>
      </c>
      <c r="FC226" t="s">
        <v>236</v>
      </c>
      <c r="FE226" t="s">
        <v>236</v>
      </c>
      <c r="FG226" t="s">
        <v>236</v>
      </c>
      <c r="FJ226" t="s">
        <v>226</v>
      </c>
      <c r="FK226" t="s">
        <v>245</v>
      </c>
      <c r="FL226" t="s">
        <v>226</v>
      </c>
      <c r="FM226" t="s">
        <v>236</v>
      </c>
      <c r="FW226" t="s">
        <v>226</v>
      </c>
      <c r="FX226" t="s">
        <v>236</v>
      </c>
      <c r="FZ226" t="s">
        <v>226</v>
      </c>
      <c r="GA226" t="s">
        <v>236</v>
      </c>
      <c r="GC226" t="s">
        <v>236</v>
      </c>
      <c r="GF226" t="s">
        <v>226</v>
      </c>
      <c r="GG226" t="s">
        <v>236</v>
      </c>
      <c r="GI226" t="s">
        <v>236</v>
      </c>
      <c r="GL226" t="s">
        <v>236</v>
      </c>
      <c r="GO226" t="s">
        <v>236</v>
      </c>
      <c r="GR226" t="s">
        <v>226</v>
      </c>
      <c r="GS226" t="s">
        <v>226</v>
      </c>
      <c r="GT226" t="s">
        <v>266</v>
      </c>
      <c r="GU226" t="s">
        <v>236</v>
      </c>
      <c r="GX226" t="s">
        <v>236</v>
      </c>
      <c r="HB226" t="s">
        <v>1470</v>
      </c>
      <c r="HE226">
        <v>82969338</v>
      </c>
      <c r="HF226" t="s">
        <v>1471</v>
      </c>
      <c r="HG226" s="2">
        <v>45753.605578703697</v>
      </c>
      <c r="HJ226" t="s">
        <v>248</v>
      </c>
      <c r="HL226" t="s">
        <v>249</v>
      </c>
      <c r="HN226">
        <v>224</v>
      </c>
    </row>
    <row r="227" spans="1:222" x14ac:dyDescent="0.25">
      <c r="A227" s="2">
        <v>45753.397346851852</v>
      </c>
      <c r="B227" s="2">
        <v>45753.403152118059</v>
      </c>
      <c r="C227" t="s">
        <v>385</v>
      </c>
      <c r="D227">
        <v>283</v>
      </c>
      <c r="E227" s="2">
        <v>45730</v>
      </c>
      <c r="F227">
        <v>1</v>
      </c>
      <c r="G227" t="s">
        <v>374</v>
      </c>
      <c r="H227" t="s">
        <v>375</v>
      </c>
      <c r="I227">
        <v>25</v>
      </c>
      <c r="J227" t="str">
        <f t="shared" si="3"/>
        <v>de 18 a 25 años</v>
      </c>
      <c r="K227" t="s">
        <v>341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225</v>
      </c>
      <c r="R227" t="s">
        <v>236</v>
      </c>
      <c r="S227" t="s">
        <v>935</v>
      </c>
      <c r="T227" t="s">
        <v>227</v>
      </c>
      <c r="V227" t="s">
        <v>228</v>
      </c>
      <c r="W227" t="s">
        <v>292</v>
      </c>
      <c r="X227" t="s">
        <v>230</v>
      </c>
      <c r="Z227" t="s">
        <v>231</v>
      </c>
      <c r="AA227" t="s">
        <v>293</v>
      </c>
      <c r="AB227">
        <v>0</v>
      </c>
      <c r="AC227">
        <v>0</v>
      </c>
      <c r="AD227">
        <v>0</v>
      </c>
      <c r="AE227">
        <v>0</v>
      </c>
      <c r="AF227">
        <v>1</v>
      </c>
      <c r="AG227">
        <v>0</v>
      </c>
      <c r="AI227" t="s">
        <v>311</v>
      </c>
      <c r="AJ227">
        <v>0</v>
      </c>
      <c r="AK227">
        <v>1</v>
      </c>
      <c r="AL227">
        <v>1</v>
      </c>
      <c r="AM227">
        <v>0</v>
      </c>
      <c r="AN227" t="s">
        <v>300</v>
      </c>
      <c r="AO227" t="s">
        <v>1012</v>
      </c>
      <c r="AP227">
        <v>0</v>
      </c>
      <c r="AQ227">
        <v>0</v>
      </c>
      <c r="AR227">
        <v>1</v>
      </c>
      <c r="AS227">
        <v>0</v>
      </c>
      <c r="AT227">
        <v>1</v>
      </c>
      <c r="AU227">
        <v>0</v>
      </c>
      <c r="AV227">
        <v>0</v>
      </c>
      <c r="AX227" t="s">
        <v>226</v>
      </c>
      <c r="AY227" t="s">
        <v>226</v>
      </c>
      <c r="AZ227" t="s">
        <v>237</v>
      </c>
      <c r="BA227" t="s">
        <v>1464</v>
      </c>
      <c r="BE227" t="s">
        <v>259</v>
      </c>
      <c r="BF227" t="s">
        <v>237</v>
      </c>
      <c r="BG227" t="s">
        <v>259</v>
      </c>
      <c r="BH227" t="s">
        <v>259</v>
      </c>
      <c r="BI227" t="s">
        <v>239</v>
      </c>
      <c r="BJ227" t="s">
        <v>237</v>
      </c>
      <c r="BK227" t="s">
        <v>261</v>
      </c>
      <c r="BL227" t="s">
        <v>262</v>
      </c>
      <c r="BM227" t="s">
        <v>278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 t="s">
        <v>264</v>
      </c>
      <c r="CB227" t="s">
        <v>264</v>
      </c>
      <c r="CC227" t="s">
        <v>328</v>
      </c>
      <c r="CD227" t="s">
        <v>236</v>
      </c>
      <c r="CE227" t="s">
        <v>236</v>
      </c>
      <c r="EA227" t="s">
        <v>236</v>
      </c>
      <c r="EC227" t="s">
        <v>226</v>
      </c>
      <c r="ED227" t="s">
        <v>265</v>
      </c>
      <c r="EE227" t="s">
        <v>226</v>
      </c>
      <c r="EF227" t="s">
        <v>244</v>
      </c>
      <c r="EG227" t="s">
        <v>226</v>
      </c>
      <c r="EH227" t="s">
        <v>244</v>
      </c>
      <c r="EI227" t="s">
        <v>226</v>
      </c>
      <c r="EJ227" t="s">
        <v>265</v>
      </c>
      <c r="EK227" t="s">
        <v>226</v>
      </c>
      <c r="EL227" t="s">
        <v>244</v>
      </c>
      <c r="EM227" t="s">
        <v>226</v>
      </c>
      <c r="EN227" t="s">
        <v>244</v>
      </c>
      <c r="EO227" t="s">
        <v>226</v>
      </c>
      <c r="EP227" t="s">
        <v>244</v>
      </c>
      <c r="EQ227" t="s">
        <v>236</v>
      </c>
      <c r="ES227" t="s">
        <v>226</v>
      </c>
      <c r="ET227" t="s">
        <v>245</v>
      </c>
      <c r="EU227" t="s">
        <v>236</v>
      </c>
      <c r="EW227" t="s">
        <v>226</v>
      </c>
      <c r="EX227" t="s">
        <v>244</v>
      </c>
      <c r="EY227" t="s">
        <v>236</v>
      </c>
      <c r="FA227" t="s">
        <v>226</v>
      </c>
      <c r="FB227" t="s">
        <v>245</v>
      </c>
      <c r="FC227" t="s">
        <v>236</v>
      </c>
      <c r="FE227" t="s">
        <v>226</v>
      </c>
      <c r="FF227" t="s">
        <v>245</v>
      </c>
      <c r="FG227" t="s">
        <v>236</v>
      </c>
      <c r="FJ227" t="s">
        <v>226</v>
      </c>
      <c r="FK227" t="s">
        <v>245</v>
      </c>
      <c r="FL227" t="s">
        <v>236</v>
      </c>
      <c r="FM227" t="s">
        <v>236</v>
      </c>
      <c r="FW227" t="s">
        <v>226</v>
      </c>
      <c r="FX227" t="s">
        <v>236</v>
      </c>
      <c r="FZ227" t="s">
        <v>226</v>
      </c>
      <c r="GA227" t="s">
        <v>236</v>
      </c>
      <c r="GC227" t="s">
        <v>236</v>
      </c>
      <c r="GF227" t="s">
        <v>226</v>
      </c>
      <c r="GG227" t="s">
        <v>236</v>
      </c>
      <c r="GI227" t="s">
        <v>236</v>
      </c>
      <c r="GL227" t="s">
        <v>236</v>
      </c>
      <c r="GO227" t="s">
        <v>226</v>
      </c>
      <c r="GP227" t="s">
        <v>226</v>
      </c>
      <c r="GQ227" t="s">
        <v>266</v>
      </c>
      <c r="GR227" t="s">
        <v>226</v>
      </c>
      <c r="GS227" t="s">
        <v>226</v>
      </c>
      <c r="GT227" t="s">
        <v>266</v>
      </c>
      <c r="GU227" t="s">
        <v>236</v>
      </c>
      <c r="GX227" t="s">
        <v>236</v>
      </c>
      <c r="HB227" t="s">
        <v>338</v>
      </c>
      <c r="HE227">
        <v>82969632</v>
      </c>
      <c r="HF227" t="s">
        <v>1465</v>
      </c>
      <c r="HG227" s="2">
        <v>45753.611400462964</v>
      </c>
      <c r="HJ227" t="s">
        <v>248</v>
      </c>
      <c r="HL227" t="s">
        <v>249</v>
      </c>
      <c r="HN227">
        <v>225</v>
      </c>
    </row>
    <row r="228" spans="1:222" x14ac:dyDescent="0.25">
      <c r="A228" s="2">
        <v>45753.403153333333</v>
      </c>
      <c r="B228" s="2">
        <v>45753.409595636571</v>
      </c>
      <c r="C228" t="s">
        <v>385</v>
      </c>
      <c r="D228">
        <v>283</v>
      </c>
      <c r="E228" s="2">
        <v>45730</v>
      </c>
      <c r="F228">
        <v>1</v>
      </c>
      <c r="G228" t="s">
        <v>507</v>
      </c>
      <c r="H228" t="s">
        <v>375</v>
      </c>
      <c r="I228">
        <v>50</v>
      </c>
      <c r="J228" t="str">
        <f t="shared" si="3"/>
        <v>de 41 a 55 años</v>
      </c>
      <c r="K228" t="s">
        <v>224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291</v>
      </c>
      <c r="R228" t="s">
        <v>226</v>
      </c>
      <c r="T228" t="s">
        <v>227</v>
      </c>
      <c r="V228" t="s">
        <v>228</v>
      </c>
      <c r="W228" t="s">
        <v>229</v>
      </c>
      <c r="X228" t="s">
        <v>230</v>
      </c>
      <c r="Z228" t="s">
        <v>231</v>
      </c>
      <c r="AA228" t="s">
        <v>255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I228" t="s">
        <v>233</v>
      </c>
      <c r="AJ228">
        <v>0</v>
      </c>
      <c r="AK228">
        <v>1</v>
      </c>
      <c r="AL228">
        <v>0</v>
      </c>
      <c r="AM228">
        <v>0</v>
      </c>
      <c r="AN228" t="s">
        <v>257</v>
      </c>
      <c r="AO228" t="s">
        <v>353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X228" t="s">
        <v>236</v>
      </c>
      <c r="AZ228" t="s">
        <v>237</v>
      </c>
      <c r="BA228" t="s">
        <v>825</v>
      </c>
      <c r="BB228" t="s">
        <v>1462</v>
      </c>
      <c r="BE228" t="s">
        <v>237</v>
      </c>
      <c r="BF228" t="s">
        <v>237</v>
      </c>
      <c r="BG228" t="s">
        <v>259</v>
      </c>
      <c r="BH228" t="s">
        <v>259</v>
      </c>
      <c r="BI228" t="s">
        <v>259</v>
      </c>
      <c r="BJ228" t="s">
        <v>237</v>
      </c>
      <c r="BK228" t="s">
        <v>259</v>
      </c>
      <c r="BL228" t="s">
        <v>262</v>
      </c>
      <c r="BM228" t="s">
        <v>451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 t="s">
        <v>264</v>
      </c>
      <c r="CB228" t="s">
        <v>264</v>
      </c>
      <c r="CC228" t="s">
        <v>243</v>
      </c>
      <c r="CD228" t="s">
        <v>226</v>
      </c>
      <c r="CE228" t="s">
        <v>236</v>
      </c>
      <c r="EA228" t="s">
        <v>236</v>
      </c>
      <c r="EC228" t="s">
        <v>236</v>
      </c>
      <c r="EE228" t="s">
        <v>226</v>
      </c>
      <c r="EF228" t="s">
        <v>244</v>
      </c>
      <c r="EG228" t="s">
        <v>226</v>
      </c>
      <c r="EH228" t="s">
        <v>244</v>
      </c>
      <c r="EI228" t="s">
        <v>236</v>
      </c>
      <c r="EK228" t="s">
        <v>236</v>
      </c>
      <c r="EM228" t="s">
        <v>236</v>
      </c>
      <c r="EO228" t="s">
        <v>226</v>
      </c>
      <c r="EP228" t="s">
        <v>244</v>
      </c>
      <c r="EQ228" t="s">
        <v>236</v>
      </c>
      <c r="ES228" t="s">
        <v>236</v>
      </c>
      <c r="EU228" t="s">
        <v>236</v>
      </c>
      <c r="EW228" t="s">
        <v>236</v>
      </c>
      <c r="EY228" t="s">
        <v>236</v>
      </c>
      <c r="FA228" t="s">
        <v>236</v>
      </c>
      <c r="FC228" t="s">
        <v>236</v>
      </c>
      <c r="FE228" t="s">
        <v>226</v>
      </c>
      <c r="FF228" t="s">
        <v>244</v>
      </c>
      <c r="FG228" t="s">
        <v>236</v>
      </c>
      <c r="FJ228" t="s">
        <v>226</v>
      </c>
      <c r="FK228" t="s">
        <v>245</v>
      </c>
      <c r="FL228" t="s">
        <v>226</v>
      </c>
      <c r="FM228" t="s">
        <v>236</v>
      </c>
      <c r="FW228" t="s">
        <v>236</v>
      </c>
      <c r="FZ228" t="s">
        <v>236</v>
      </c>
      <c r="GC228" t="s">
        <v>236</v>
      </c>
      <c r="GF228" t="s">
        <v>226</v>
      </c>
      <c r="GG228" t="s">
        <v>236</v>
      </c>
      <c r="GI228" t="s">
        <v>236</v>
      </c>
      <c r="GL228" t="s">
        <v>236</v>
      </c>
      <c r="GO228" t="s">
        <v>226</v>
      </c>
      <c r="GP228" t="s">
        <v>236</v>
      </c>
      <c r="GR228" t="s">
        <v>236</v>
      </c>
      <c r="GU228" t="s">
        <v>236</v>
      </c>
      <c r="GX228" t="s">
        <v>236</v>
      </c>
      <c r="HB228" t="s">
        <v>1181</v>
      </c>
      <c r="HC228" t="s">
        <v>734</v>
      </c>
      <c r="HE228">
        <v>82970236</v>
      </c>
      <c r="HF228" t="s">
        <v>1466</v>
      </c>
      <c r="HG228" s="2">
        <v>45753.617835648147</v>
      </c>
      <c r="HJ228" t="s">
        <v>248</v>
      </c>
      <c r="HL228" t="s">
        <v>249</v>
      </c>
      <c r="HN228">
        <v>228</v>
      </c>
    </row>
    <row r="229" spans="1:222" x14ac:dyDescent="0.25">
      <c r="A229" s="2">
        <v>45753.40417991898</v>
      </c>
      <c r="B229" s="2">
        <v>45753.407106527768</v>
      </c>
      <c r="C229" t="s">
        <v>221</v>
      </c>
      <c r="D229">
        <v>417</v>
      </c>
      <c r="E229" s="2">
        <v>45731</v>
      </c>
      <c r="F229">
        <v>3</v>
      </c>
      <c r="G229" t="s">
        <v>223</v>
      </c>
      <c r="H229" t="s">
        <v>307</v>
      </c>
      <c r="I229">
        <v>53</v>
      </c>
      <c r="J229" t="str">
        <f t="shared" si="3"/>
        <v>de 41 a 55 años</v>
      </c>
      <c r="K229" t="s">
        <v>224</v>
      </c>
      <c r="L229">
        <v>2</v>
      </c>
      <c r="M229">
        <v>0</v>
      </c>
      <c r="N229">
        <v>0</v>
      </c>
      <c r="O229">
        <v>0</v>
      </c>
      <c r="P229">
        <v>0</v>
      </c>
      <c r="Q229" t="s">
        <v>291</v>
      </c>
      <c r="R229" t="s">
        <v>226</v>
      </c>
      <c r="T229" t="s">
        <v>227</v>
      </c>
      <c r="V229" t="s">
        <v>321</v>
      </c>
      <c r="W229" t="s">
        <v>229</v>
      </c>
      <c r="X229" t="s">
        <v>299</v>
      </c>
      <c r="Z229" t="s">
        <v>231</v>
      </c>
      <c r="AA229" t="s">
        <v>293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0</v>
      </c>
      <c r="AI229" t="s">
        <v>233</v>
      </c>
      <c r="AJ229">
        <v>0</v>
      </c>
      <c r="AK229">
        <v>1</v>
      </c>
      <c r="AL229">
        <v>0</v>
      </c>
      <c r="AM229">
        <v>0</v>
      </c>
      <c r="AN229" t="s">
        <v>300</v>
      </c>
      <c r="AO229" t="s">
        <v>275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1</v>
      </c>
      <c r="AV229">
        <v>0</v>
      </c>
      <c r="AX229" t="s">
        <v>226</v>
      </c>
      <c r="AY229" t="s">
        <v>226</v>
      </c>
      <c r="AZ229" t="s">
        <v>259</v>
      </c>
      <c r="BA229" t="s">
        <v>1888</v>
      </c>
      <c r="BE229" t="s">
        <v>259</v>
      </c>
      <c r="BF229" t="s">
        <v>259</v>
      </c>
      <c r="BG229" t="s">
        <v>261</v>
      </c>
      <c r="BH229" t="s">
        <v>237</v>
      </c>
      <c r="BI229" t="s">
        <v>237</v>
      </c>
      <c r="BJ229" t="s">
        <v>237</v>
      </c>
      <c r="BK229" t="s">
        <v>261</v>
      </c>
      <c r="BL229" t="s">
        <v>313</v>
      </c>
      <c r="BM229" t="s">
        <v>372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 t="s">
        <v>264</v>
      </c>
      <c r="CB229" t="s">
        <v>264</v>
      </c>
      <c r="CC229" t="s">
        <v>264</v>
      </c>
      <c r="CD229" t="s">
        <v>236</v>
      </c>
      <c r="CE229" t="s">
        <v>236</v>
      </c>
      <c r="EA229" t="s">
        <v>236</v>
      </c>
      <c r="EC229" t="s">
        <v>236</v>
      </c>
      <c r="EE229" t="s">
        <v>236</v>
      </c>
      <c r="EG229" t="s">
        <v>236</v>
      </c>
      <c r="EI229" t="s">
        <v>308</v>
      </c>
      <c r="EK229" t="s">
        <v>236</v>
      </c>
      <c r="EM229" t="s">
        <v>226</v>
      </c>
      <c r="EN229" t="s">
        <v>244</v>
      </c>
      <c r="EO229" t="s">
        <v>236</v>
      </c>
      <c r="EQ229" t="s">
        <v>236</v>
      </c>
      <c r="ES229" t="s">
        <v>236</v>
      </c>
      <c r="EU229" t="s">
        <v>236</v>
      </c>
      <c r="EW229" t="s">
        <v>236</v>
      </c>
      <c r="EY229" t="s">
        <v>226</v>
      </c>
      <c r="EZ229" t="s">
        <v>244</v>
      </c>
      <c r="FA229" t="s">
        <v>226</v>
      </c>
      <c r="FB229" t="s">
        <v>245</v>
      </c>
      <c r="FC229" t="s">
        <v>236</v>
      </c>
      <c r="FE229" t="s">
        <v>226</v>
      </c>
      <c r="FF229" t="s">
        <v>245</v>
      </c>
      <c r="FG229" t="s">
        <v>236</v>
      </c>
      <c r="FJ229" t="s">
        <v>226</v>
      </c>
      <c r="FK229" t="s">
        <v>244</v>
      </c>
      <c r="FL229" t="s">
        <v>236</v>
      </c>
      <c r="FM229" t="s">
        <v>236</v>
      </c>
      <c r="FW229" t="s">
        <v>236</v>
      </c>
      <c r="FZ229" t="s">
        <v>236</v>
      </c>
      <c r="GC229" t="s">
        <v>236</v>
      </c>
      <c r="GF229" t="s">
        <v>226</v>
      </c>
      <c r="GG229" t="s">
        <v>236</v>
      </c>
      <c r="GI229" t="s">
        <v>236</v>
      </c>
      <c r="GL229" t="s">
        <v>236</v>
      </c>
      <c r="GO229" t="s">
        <v>226</v>
      </c>
      <c r="GP229" t="s">
        <v>236</v>
      </c>
      <c r="GR229" t="s">
        <v>226</v>
      </c>
      <c r="GS229" t="s">
        <v>226</v>
      </c>
      <c r="GT229" t="s">
        <v>266</v>
      </c>
      <c r="GU229" t="s">
        <v>236</v>
      </c>
      <c r="GX229" t="s">
        <v>236</v>
      </c>
      <c r="HB229" t="s">
        <v>338</v>
      </c>
      <c r="HC229" t="s">
        <v>1525</v>
      </c>
      <c r="HE229">
        <v>82969969</v>
      </c>
      <c r="HF229" t="s">
        <v>1889</v>
      </c>
      <c r="HG229" s="2">
        <v>45753.615439814806</v>
      </c>
      <c r="HJ229" t="s">
        <v>248</v>
      </c>
      <c r="HL229" t="s">
        <v>249</v>
      </c>
      <c r="HN229">
        <v>227</v>
      </c>
    </row>
    <row r="230" spans="1:222" x14ac:dyDescent="0.25">
      <c r="A230" s="2">
        <v>45753.407107476851</v>
      </c>
      <c r="B230" s="2">
        <v>45753.410040868053</v>
      </c>
      <c r="C230" t="s">
        <v>221</v>
      </c>
      <c r="D230">
        <v>419</v>
      </c>
      <c r="E230" s="2">
        <v>45731</v>
      </c>
      <c r="F230">
        <v>3</v>
      </c>
      <c r="G230" t="s">
        <v>223</v>
      </c>
      <c r="H230" t="s">
        <v>307</v>
      </c>
      <c r="I230">
        <v>74</v>
      </c>
      <c r="J230" t="str">
        <f t="shared" si="3"/>
        <v>de 56 a más</v>
      </c>
      <c r="K230" t="s">
        <v>224</v>
      </c>
      <c r="L230">
        <v>1</v>
      </c>
      <c r="M230">
        <v>0</v>
      </c>
      <c r="N230">
        <v>0</v>
      </c>
      <c r="O230">
        <v>0</v>
      </c>
      <c r="P230">
        <v>0</v>
      </c>
      <c r="Q230" t="s">
        <v>291</v>
      </c>
      <c r="R230" t="s">
        <v>226</v>
      </c>
      <c r="T230" t="s">
        <v>227</v>
      </c>
      <c r="V230" t="s">
        <v>252</v>
      </c>
      <c r="W230" t="s">
        <v>229</v>
      </c>
      <c r="X230" t="s">
        <v>368</v>
      </c>
      <c r="Z230" t="s">
        <v>254</v>
      </c>
      <c r="AA230" t="s">
        <v>255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0</v>
      </c>
      <c r="AI230" t="s">
        <v>256</v>
      </c>
      <c r="AJ230">
        <v>0</v>
      </c>
      <c r="AK230">
        <v>0</v>
      </c>
      <c r="AL230">
        <v>1</v>
      </c>
      <c r="AM230">
        <v>0</v>
      </c>
      <c r="AN230" t="s">
        <v>257</v>
      </c>
      <c r="AO230" t="s">
        <v>275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</v>
      </c>
      <c r="AV230">
        <v>0</v>
      </c>
      <c r="AX230" t="s">
        <v>236</v>
      </c>
      <c r="AZ230" t="s">
        <v>259</v>
      </c>
      <c r="BA230" t="s">
        <v>1892</v>
      </c>
      <c r="BE230" t="s">
        <v>259</v>
      </c>
      <c r="BF230" t="s">
        <v>259</v>
      </c>
      <c r="BG230" t="s">
        <v>237</v>
      </c>
      <c r="BH230" t="s">
        <v>259</v>
      </c>
      <c r="BI230" t="s">
        <v>259</v>
      </c>
      <c r="BJ230" t="s">
        <v>259</v>
      </c>
      <c r="BK230" t="s">
        <v>259</v>
      </c>
      <c r="BL230" t="s">
        <v>240</v>
      </c>
      <c r="BM230" t="s">
        <v>372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1</v>
      </c>
      <c r="CA230" t="s">
        <v>243</v>
      </c>
      <c r="CB230" t="s">
        <v>243</v>
      </c>
      <c r="CC230" t="s">
        <v>243</v>
      </c>
      <c r="CD230" t="s">
        <v>226</v>
      </c>
      <c r="CE230" t="s">
        <v>236</v>
      </c>
      <c r="EA230" t="s">
        <v>236</v>
      </c>
      <c r="EC230" t="s">
        <v>236</v>
      </c>
      <c r="EE230" t="s">
        <v>226</v>
      </c>
      <c r="EF230" t="s">
        <v>244</v>
      </c>
      <c r="EG230" t="s">
        <v>226</v>
      </c>
      <c r="EH230" t="s">
        <v>244</v>
      </c>
      <c r="EI230" t="s">
        <v>308</v>
      </c>
      <c r="EK230" t="s">
        <v>236</v>
      </c>
      <c r="EM230" t="s">
        <v>226</v>
      </c>
      <c r="EN230" t="s">
        <v>245</v>
      </c>
      <c r="EO230" t="s">
        <v>236</v>
      </c>
      <c r="EQ230" t="s">
        <v>236</v>
      </c>
      <c r="ES230" t="s">
        <v>236</v>
      </c>
      <c r="EU230" t="s">
        <v>236</v>
      </c>
      <c r="EW230" t="s">
        <v>236</v>
      </c>
      <c r="EY230" t="s">
        <v>226</v>
      </c>
      <c r="EZ230" t="s">
        <v>244</v>
      </c>
      <c r="FA230" t="s">
        <v>226</v>
      </c>
      <c r="FB230" t="s">
        <v>244</v>
      </c>
      <c r="FC230" t="s">
        <v>236</v>
      </c>
      <c r="FE230" t="s">
        <v>236</v>
      </c>
      <c r="FG230" t="s">
        <v>236</v>
      </c>
      <c r="FJ230" t="s">
        <v>226</v>
      </c>
      <c r="FK230" t="s">
        <v>265</v>
      </c>
      <c r="FL230" t="s">
        <v>236</v>
      </c>
      <c r="FM230" t="s">
        <v>236</v>
      </c>
      <c r="FW230" t="s">
        <v>236</v>
      </c>
      <c r="FZ230" t="s">
        <v>236</v>
      </c>
      <c r="GC230" t="s">
        <v>236</v>
      </c>
      <c r="GF230" t="s">
        <v>236</v>
      </c>
      <c r="GI230" t="s">
        <v>236</v>
      </c>
      <c r="GL230" t="s">
        <v>236</v>
      </c>
      <c r="GO230" t="s">
        <v>226</v>
      </c>
      <c r="GP230" t="s">
        <v>236</v>
      </c>
      <c r="GR230" t="s">
        <v>236</v>
      </c>
      <c r="GU230" t="s">
        <v>236</v>
      </c>
      <c r="GX230" t="s">
        <v>236</v>
      </c>
      <c r="HB230" t="s">
        <v>1893</v>
      </c>
      <c r="HC230" t="s">
        <v>1894</v>
      </c>
      <c r="HE230">
        <v>82970256</v>
      </c>
      <c r="HF230" t="s">
        <v>1895</v>
      </c>
      <c r="HG230" s="2">
        <v>45753.618379629632</v>
      </c>
      <c r="HJ230" t="s">
        <v>248</v>
      </c>
      <c r="HL230" t="s">
        <v>249</v>
      </c>
      <c r="HN230">
        <v>229</v>
      </c>
    </row>
    <row r="231" spans="1:222" x14ac:dyDescent="0.25">
      <c r="A231" s="2">
        <v>45753.409596782411</v>
      </c>
      <c r="B231" s="2">
        <v>45753.413527824072</v>
      </c>
      <c r="C231" t="s">
        <v>385</v>
      </c>
      <c r="D231">
        <v>282</v>
      </c>
      <c r="E231" s="2">
        <v>45730</v>
      </c>
      <c r="F231">
        <v>1</v>
      </c>
      <c r="G231" t="s">
        <v>507</v>
      </c>
      <c r="H231" t="s">
        <v>375</v>
      </c>
      <c r="I231">
        <v>19</v>
      </c>
      <c r="J231" t="str">
        <f t="shared" si="3"/>
        <v>de 18 a 25 años</v>
      </c>
      <c r="K231" t="s">
        <v>251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225</v>
      </c>
      <c r="R231" t="s">
        <v>226</v>
      </c>
      <c r="T231" t="s">
        <v>227</v>
      </c>
      <c r="V231" t="s">
        <v>252</v>
      </c>
      <c r="W231" t="s">
        <v>229</v>
      </c>
      <c r="X231" t="s">
        <v>230</v>
      </c>
      <c r="Z231" t="s">
        <v>231</v>
      </c>
      <c r="AA231" t="s">
        <v>255</v>
      </c>
      <c r="AB231">
        <v>0</v>
      </c>
      <c r="AC231">
        <v>0</v>
      </c>
      <c r="AD231">
        <v>0</v>
      </c>
      <c r="AE231">
        <v>1</v>
      </c>
      <c r="AF231">
        <v>0</v>
      </c>
      <c r="AG231">
        <v>0</v>
      </c>
      <c r="AI231" t="s">
        <v>256</v>
      </c>
      <c r="AJ231">
        <v>0</v>
      </c>
      <c r="AK231">
        <v>0</v>
      </c>
      <c r="AL231">
        <v>1</v>
      </c>
      <c r="AM231">
        <v>0</v>
      </c>
      <c r="AN231" t="s">
        <v>300</v>
      </c>
      <c r="AO231" t="s">
        <v>275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1</v>
      </c>
      <c r="AV231">
        <v>0</v>
      </c>
      <c r="AX231" t="s">
        <v>236</v>
      </c>
      <c r="AZ231" t="s">
        <v>237</v>
      </c>
      <c r="BA231" t="s">
        <v>339</v>
      </c>
      <c r="BB231" t="s">
        <v>512</v>
      </c>
      <c r="BE231" t="s">
        <v>259</v>
      </c>
      <c r="BF231" t="s">
        <v>237</v>
      </c>
      <c r="BG231" t="s">
        <v>237</v>
      </c>
      <c r="BH231" t="s">
        <v>259</v>
      </c>
      <c r="BI231" t="s">
        <v>259</v>
      </c>
      <c r="BJ231" t="s">
        <v>259</v>
      </c>
      <c r="BK231" t="s">
        <v>259</v>
      </c>
      <c r="BL231" t="s">
        <v>262</v>
      </c>
      <c r="BM231" t="s">
        <v>389</v>
      </c>
      <c r="BN231">
        <v>0</v>
      </c>
      <c r="BO231">
        <v>0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 t="s">
        <v>264</v>
      </c>
      <c r="CB231" t="s">
        <v>243</v>
      </c>
      <c r="CC231" t="s">
        <v>243</v>
      </c>
      <c r="CD231" t="s">
        <v>236</v>
      </c>
      <c r="CE231" t="s">
        <v>236</v>
      </c>
      <c r="EA231" t="s">
        <v>236</v>
      </c>
      <c r="EC231" t="s">
        <v>236</v>
      </c>
      <c r="EE231" t="s">
        <v>236</v>
      </c>
      <c r="EG231" t="s">
        <v>226</v>
      </c>
      <c r="EH231" t="s">
        <v>244</v>
      </c>
      <c r="EI231" t="s">
        <v>236</v>
      </c>
      <c r="EK231" t="s">
        <v>236</v>
      </c>
      <c r="EM231" t="s">
        <v>236</v>
      </c>
      <c r="EO231" t="s">
        <v>226</v>
      </c>
      <c r="EP231" t="s">
        <v>245</v>
      </c>
      <c r="EQ231" t="s">
        <v>236</v>
      </c>
      <c r="ES231" t="s">
        <v>226</v>
      </c>
      <c r="ET231" t="s">
        <v>245</v>
      </c>
      <c r="EU231" t="s">
        <v>236</v>
      </c>
      <c r="EW231" t="s">
        <v>236</v>
      </c>
      <c r="EY231" t="s">
        <v>236</v>
      </c>
      <c r="FA231" t="s">
        <v>226</v>
      </c>
      <c r="FB231" t="s">
        <v>244</v>
      </c>
      <c r="FC231" t="s">
        <v>236</v>
      </c>
      <c r="FE231" t="s">
        <v>226</v>
      </c>
      <c r="FF231" t="s">
        <v>244</v>
      </c>
      <c r="FG231" t="s">
        <v>236</v>
      </c>
      <c r="FJ231" t="s">
        <v>226</v>
      </c>
      <c r="FK231" t="s">
        <v>244</v>
      </c>
      <c r="FL231" t="s">
        <v>236</v>
      </c>
      <c r="FM231" t="s">
        <v>236</v>
      </c>
      <c r="FW231" t="s">
        <v>226</v>
      </c>
      <c r="FX231" t="s">
        <v>226</v>
      </c>
      <c r="FY231" t="s">
        <v>266</v>
      </c>
      <c r="FZ231" t="s">
        <v>236</v>
      </c>
      <c r="GC231" t="s">
        <v>236</v>
      </c>
      <c r="GF231" t="s">
        <v>226</v>
      </c>
      <c r="GG231" t="s">
        <v>226</v>
      </c>
      <c r="GH231" t="s">
        <v>266</v>
      </c>
      <c r="GI231" t="s">
        <v>236</v>
      </c>
      <c r="GL231" t="s">
        <v>236</v>
      </c>
      <c r="GO231" t="s">
        <v>226</v>
      </c>
      <c r="GP231" t="s">
        <v>226</v>
      </c>
      <c r="GQ231" t="s">
        <v>266</v>
      </c>
      <c r="GR231" t="s">
        <v>226</v>
      </c>
      <c r="GS231" t="s">
        <v>236</v>
      </c>
      <c r="GU231" t="s">
        <v>236</v>
      </c>
      <c r="GX231" t="s">
        <v>236</v>
      </c>
      <c r="HB231" t="s">
        <v>513</v>
      </c>
      <c r="HC231" t="s">
        <v>338</v>
      </c>
      <c r="HD231" t="s">
        <v>408</v>
      </c>
      <c r="HE231">
        <v>82970474</v>
      </c>
      <c r="HF231" t="s">
        <v>514</v>
      </c>
      <c r="HG231" s="2">
        <v>45753.621770833342</v>
      </c>
      <c r="HJ231" t="s">
        <v>248</v>
      </c>
      <c r="HL231" t="s">
        <v>249</v>
      </c>
      <c r="HN231">
        <v>230</v>
      </c>
    </row>
    <row r="232" spans="1:222" x14ac:dyDescent="0.25">
      <c r="A232" s="2">
        <v>45753.410041435192</v>
      </c>
      <c r="B232" s="2">
        <v>45753.55244699074</v>
      </c>
      <c r="C232" t="s">
        <v>221</v>
      </c>
      <c r="D232">
        <v>422</v>
      </c>
      <c r="E232" s="2">
        <v>45731</v>
      </c>
      <c r="F232">
        <v>3</v>
      </c>
      <c r="G232" t="s">
        <v>223</v>
      </c>
      <c r="H232" t="s">
        <v>307</v>
      </c>
      <c r="I232">
        <v>40</v>
      </c>
      <c r="J232" t="str">
        <f t="shared" si="3"/>
        <v>de 26 a 40 años</v>
      </c>
      <c r="K232" t="s">
        <v>251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291</v>
      </c>
      <c r="R232" t="s">
        <v>226</v>
      </c>
      <c r="T232" t="s">
        <v>227</v>
      </c>
      <c r="V232" t="s">
        <v>228</v>
      </c>
      <c r="W232" t="s">
        <v>229</v>
      </c>
      <c r="X232" t="s">
        <v>230</v>
      </c>
      <c r="Z232" t="s">
        <v>231</v>
      </c>
      <c r="AA232" t="s">
        <v>616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 t="s">
        <v>1901</v>
      </c>
      <c r="AI232" t="s">
        <v>311</v>
      </c>
      <c r="AJ232">
        <v>0</v>
      </c>
      <c r="AK232">
        <v>1</v>
      </c>
      <c r="AL232">
        <v>1</v>
      </c>
      <c r="AM232">
        <v>0</v>
      </c>
      <c r="AN232" t="s">
        <v>274</v>
      </c>
      <c r="AO232" t="s">
        <v>382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X232" t="s">
        <v>236</v>
      </c>
      <c r="AZ232" t="s">
        <v>237</v>
      </c>
      <c r="BA232" t="s">
        <v>1902</v>
      </c>
      <c r="BB232" t="s">
        <v>1903</v>
      </c>
      <c r="BE232" t="s">
        <v>259</v>
      </c>
      <c r="BF232" t="s">
        <v>259</v>
      </c>
      <c r="BG232" t="s">
        <v>237</v>
      </c>
      <c r="BH232" t="s">
        <v>259</v>
      </c>
      <c r="BI232" t="s">
        <v>237</v>
      </c>
      <c r="BJ232" t="s">
        <v>237</v>
      </c>
      <c r="BK232" t="s">
        <v>308</v>
      </c>
      <c r="BL232" t="s">
        <v>262</v>
      </c>
      <c r="BM232" t="s">
        <v>365</v>
      </c>
      <c r="BN232">
        <v>0</v>
      </c>
      <c r="BO232">
        <v>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 t="s">
        <v>264</v>
      </c>
      <c r="CB232" t="s">
        <v>264</v>
      </c>
      <c r="CC232" t="s">
        <v>264</v>
      </c>
      <c r="CD232" t="s">
        <v>236</v>
      </c>
      <c r="CE232" t="s">
        <v>236</v>
      </c>
      <c r="EA232" t="s">
        <v>226</v>
      </c>
      <c r="EB232" t="s">
        <v>245</v>
      </c>
      <c r="EC232" t="s">
        <v>236</v>
      </c>
      <c r="EE232" t="s">
        <v>226</v>
      </c>
      <c r="EF232" t="s">
        <v>245</v>
      </c>
      <c r="EG232" t="s">
        <v>236</v>
      </c>
      <c r="EI232" t="s">
        <v>236</v>
      </c>
      <c r="EK232" t="s">
        <v>236</v>
      </c>
      <c r="EM232" t="s">
        <v>226</v>
      </c>
      <c r="EN232" t="s">
        <v>245</v>
      </c>
      <c r="EO232" t="s">
        <v>226</v>
      </c>
      <c r="EP232" t="s">
        <v>245</v>
      </c>
      <c r="EQ232" t="s">
        <v>226</v>
      </c>
      <c r="ER232" t="s">
        <v>244</v>
      </c>
      <c r="ES232" t="s">
        <v>226</v>
      </c>
      <c r="ET232" t="s">
        <v>245</v>
      </c>
      <c r="EU232" t="s">
        <v>236</v>
      </c>
      <c r="EW232" t="s">
        <v>236</v>
      </c>
      <c r="EY232" t="s">
        <v>236</v>
      </c>
      <c r="FA232" t="s">
        <v>236</v>
      </c>
      <c r="FC232" t="s">
        <v>236</v>
      </c>
      <c r="FE232" t="s">
        <v>226</v>
      </c>
      <c r="FF232" t="s">
        <v>245</v>
      </c>
      <c r="FG232" t="s">
        <v>236</v>
      </c>
      <c r="FJ232" t="s">
        <v>226</v>
      </c>
      <c r="FK232" t="s">
        <v>245</v>
      </c>
      <c r="FL232" t="s">
        <v>236</v>
      </c>
      <c r="FM232" t="s">
        <v>236</v>
      </c>
      <c r="FW232" t="s">
        <v>226</v>
      </c>
      <c r="FX232" t="s">
        <v>226</v>
      </c>
      <c r="FY232" t="s">
        <v>267</v>
      </c>
      <c r="FZ232" t="s">
        <v>226</v>
      </c>
      <c r="GA232" t="s">
        <v>236</v>
      </c>
      <c r="GC232" t="s">
        <v>236</v>
      </c>
      <c r="GF232" t="s">
        <v>226</v>
      </c>
      <c r="GG232" t="s">
        <v>226</v>
      </c>
      <c r="GH232" t="s">
        <v>267</v>
      </c>
      <c r="GI232" t="s">
        <v>236</v>
      </c>
      <c r="GL232" t="s">
        <v>226</v>
      </c>
      <c r="GM232" t="s">
        <v>236</v>
      </c>
      <c r="GO232" t="s">
        <v>226</v>
      </c>
      <c r="GP232" t="s">
        <v>226</v>
      </c>
      <c r="GQ232" t="s">
        <v>267</v>
      </c>
      <c r="GR232" t="s">
        <v>226</v>
      </c>
      <c r="GS232" t="s">
        <v>226</v>
      </c>
      <c r="GT232" t="s">
        <v>267</v>
      </c>
      <c r="GU232" t="s">
        <v>236</v>
      </c>
      <c r="GX232" t="s">
        <v>236</v>
      </c>
      <c r="HB232" t="s">
        <v>789</v>
      </c>
      <c r="HC232" t="s">
        <v>1904</v>
      </c>
      <c r="HE232">
        <v>82975453</v>
      </c>
      <c r="HF232" t="s">
        <v>1905</v>
      </c>
      <c r="HG232" s="2">
        <v>45753.760787037027</v>
      </c>
      <c r="HJ232" t="s">
        <v>248</v>
      </c>
      <c r="HL232" t="s">
        <v>249</v>
      </c>
      <c r="HN232">
        <v>231</v>
      </c>
    </row>
    <row r="233" spans="1:222" x14ac:dyDescent="0.25">
      <c r="A233" s="2">
        <v>45753.552447847222</v>
      </c>
      <c r="B233" s="2">
        <v>45753.556150127311</v>
      </c>
      <c r="C233" t="s">
        <v>221</v>
      </c>
      <c r="D233">
        <v>424</v>
      </c>
      <c r="E233" s="2">
        <v>45731</v>
      </c>
      <c r="F233">
        <v>3</v>
      </c>
      <c r="G233" t="s">
        <v>223</v>
      </c>
      <c r="H233" t="s">
        <v>307</v>
      </c>
      <c r="I233">
        <v>42</v>
      </c>
      <c r="J233" t="str">
        <f t="shared" si="3"/>
        <v>de 41 a 55 años</v>
      </c>
      <c r="K233" t="s">
        <v>341</v>
      </c>
      <c r="L233">
        <v>2</v>
      </c>
      <c r="M233">
        <v>0</v>
      </c>
      <c r="N233">
        <v>0</v>
      </c>
      <c r="O233">
        <v>0</v>
      </c>
      <c r="P233">
        <v>0</v>
      </c>
      <c r="Q233" t="s">
        <v>291</v>
      </c>
      <c r="R233" t="s">
        <v>226</v>
      </c>
      <c r="T233" t="s">
        <v>227</v>
      </c>
      <c r="V233" t="s">
        <v>272</v>
      </c>
      <c r="W233" t="s">
        <v>229</v>
      </c>
      <c r="X233" t="s">
        <v>230</v>
      </c>
      <c r="Z233" t="s">
        <v>398</v>
      </c>
      <c r="AA233" t="s">
        <v>232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I233" t="s">
        <v>311</v>
      </c>
      <c r="AJ233">
        <v>0</v>
      </c>
      <c r="AK233">
        <v>1</v>
      </c>
      <c r="AL233">
        <v>1</v>
      </c>
      <c r="AM233">
        <v>0</v>
      </c>
      <c r="AN233" t="s">
        <v>257</v>
      </c>
      <c r="AO233" t="s">
        <v>382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X233" t="s">
        <v>236</v>
      </c>
      <c r="AZ233" t="s">
        <v>259</v>
      </c>
      <c r="BA233" t="s">
        <v>1910</v>
      </c>
      <c r="BE233" t="s">
        <v>259</v>
      </c>
      <c r="BF233" t="s">
        <v>261</v>
      </c>
      <c r="BG233" t="s">
        <v>237</v>
      </c>
      <c r="BH233" t="s">
        <v>259</v>
      </c>
      <c r="BI233" t="s">
        <v>308</v>
      </c>
      <c r="BJ233" t="s">
        <v>237</v>
      </c>
      <c r="BK233" t="s">
        <v>261</v>
      </c>
      <c r="BL233" t="s">
        <v>262</v>
      </c>
      <c r="BM233" t="s">
        <v>389</v>
      </c>
      <c r="BN233">
        <v>0</v>
      </c>
      <c r="BO233">
        <v>0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 t="s">
        <v>264</v>
      </c>
      <c r="CB233" t="s">
        <v>328</v>
      </c>
      <c r="CC233" t="s">
        <v>328</v>
      </c>
      <c r="CD233" t="s">
        <v>236</v>
      </c>
      <c r="CE233" t="s">
        <v>236</v>
      </c>
      <c r="EA233" t="s">
        <v>236</v>
      </c>
      <c r="EC233" t="s">
        <v>236</v>
      </c>
      <c r="EE233" t="s">
        <v>226</v>
      </c>
      <c r="EF233" t="s">
        <v>265</v>
      </c>
      <c r="EG233" t="s">
        <v>226</v>
      </c>
      <c r="EH233" t="s">
        <v>245</v>
      </c>
      <c r="EI233" t="s">
        <v>226</v>
      </c>
      <c r="EJ233" t="s">
        <v>245</v>
      </c>
      <c r="EK233" t="s">
        <v>236</v>
      </c>
      <c r="EM233" t="s">
        <v>226</v>
      </c>
      <c r="EN233" t="s">
        <v>265</v>
      </c>
      <c r="EO233" t="s">
        <v>236</v>
      </c>
      <c r="EQ233" t="s">
        <v>236</v>
      </c>
      <c r="ES233" t="s">
        <v>236</v>
      </c>
      <c r="EU233" t="s">
        <v>236</v>
      </c>
      <c r="EW233" t="s">
        <v>236</v>
      </c>
      <c r="EY233" t="s">
        <v>236</v>
      </c>
      <c r="FA233" t="s">
        <v>226</v>
      </c>
      <c r="FB233" t="s">
        <v>265</v>
      </c>
      <c r="FC233" t="s">
        <v>236</v>
      </c>
      <c r="FE233" t="s">
        <v>236</v>
      </c>
      <c r="FG233" t="s">
        <v>236</v>
      </c>
      <c r="FJ233" t="s">
        <v>226</v>
      </c>
      <c r="FK233" t="s">
        <v>245</v>
      </c>
      <c r="FL233" t="s">
        <v>236</v>
      </c>
      <c r="FM233" t="s">
        <v>236</v>
      </c>
      <c r="FW233" t="s">
        <v>236</v>
      </c>
      <c r="FZ233" t="s">
        <v>236</v>
      </c>
      <c r="GC233" t="s">
        <v>236</v>
      </c>
      <c r="GF233" t="s">
        <v>226</v>
      </c>
      <c r="GG233" t="s">
        <v>236</v>
      </c>
      <c r="GI233" t="s">
        <v>236</v>
      </c>
      <c r="GL233" t="s">
        <v>236</v>
      </c>
      <c r="GO233" t="s">
        <v>226</v>
      </c>
      <c r="GP233" t="s">
        <v>226</v>
      </c>
      <c r="GQ233" t="s">
        <v>267</v>
      </c>
      <c r="GR233" t="s">
        <v>226</v>
      </c>
      <c r="GS233" t="s">
        <v>236</v>
      </c>
      <c r="GU233" t="s">
        <v>236</v>
      </c>
      <c r="GX233" t="s">
        <v>236</v>
      </c>
      <c r="HB233" t="s">
        <v>1911</v>
      </c>
      <c r="HC233" t="s">
        <v>510</v>
      </c>
      <c r="HE233">
        <v>82975519</v>
      </c>
      <c r="HF233" t="s">
        <v>1912</v>
      </c>
      <c r="HG233" s="2">
        <v>45753.764490740738</v>
      </c>
      <c r="HJ233" t="s">
        <v>248</v>
      </c>
      <c r="HL233" t="s">
        <v>249</v>
      </c>
      <c r="HN233">
        <v>232</v>
      </c>
    </row>
    <row r="234" spans="1:222" x14ac:dyDescent="0.25">
      <c r="A234" s="2">
        <v>45753.55615084491</v>
      </c>
      <c r="B234" s="2">
        <v>45753.581646006947</v>
      </c>
      <c r="C234" t="s">
        <v>221</v>
      </c>
      <c r="D234">
        <v>426</v>
      </c>
      <c r="E234" s="2">
        <v>45731</v>
      </c>
      <c r="F234">
        <v>3</v>
      </c>
      <c r="G234" t="s">
        <v>223</v>
      </c>
      <c r="H234" t="s">
        <v>307</v>
      </c>
      <c r="I234">
        <v>34</v>
      </c>
      <c r="J234" t="str">
        <f t="shared" si="3"/>
        <v>de 26 a 40 años</v>
      </c>
      <c r="K234" t="s">
        <v>224</v>
      </c>
      <c r="L234">
        <v>1</v>
      </c>
      <c r="M234">
        <v>0</v>
      </c>
      <c r="N234">
        <v>0</v>
      </c>
      <c r="O234">
        <v>0</v>
      </c>
      <c r="P234">
        <v>0</v>
      </c>
      <c r="Q234" t="s">
        <v>291</v>
      </c>
      <c r="R234" t="s">
        <v>226</v>
      </c>
      <c r="T234" t="s">
        <v>227</v>
      </c>
      <c r="V234" t="s">
        <v>228</v>
      </c>
      <c r="W234" t="s">
        <v>229</v>
      </c>
      <c r="X234" t="s">
        <v>230</v>
      </c>
      <c r="Z234" t="s">
        <v>273</v>
      </c>
      <c r="AA234" t="s">
        <v>293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I234" t="s">
        <v>233</v>
      </c>
      <c r="AJ234">
        <v>0</v>
      </c>
      <c r="AK234">
        <v>1</v>
      </c>
      <c r="AL234">
        <v>0</v>
      </c>
      <c r="AM234">
        <v>0</v>
      </c>
      <c r="AN234" t="s">
        <v>257</v>
      </c>
      <c r="AO234" t="s">
        <v>454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1</v>
      </c>
      <c r="AV234">
        <v>0</v>
      </c>
      <c r="AX234" t="s">
        <v>226</v>
      </c>
      <c r="AY234" t="s">
        <v>226</v>
      </c>
      <c r="AZ234" t="s">
        <v>237</v>
      </c>
      <c r="BA234" t="s">
        <v>1918</v>
      </c>
      <c r="BE234" t="s">
        <v>259</v>
      </c>
      <c r="BF234" t="s">
        <v>259</v>
      </c>
      <c r="BG234" t="s">
        <v>308</v>
      </c>
      <c r="BH234" t="s">
        <v>308</v>
      </c>
      <c r="BI234" t="s">
        <v>308</v>
      </c>
      <c r="BJ234" t="s">
        <v>237</v>
      </c>
      <c r="BK234" t="s">
        <v>308</v>
      </c>
      <c r="BL234" t="s">
        <v>262</v>
      </c>
      <c r="BM234" t="s">
        <v>365</v>
      </c>
      <c r="BN234">
        <v>0</v>
      </c>
      <c r="BO234">
        <v>1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 t="s">
        <v>243</v>
      </c>
      <c r="CB234" t="s">
        <v>328</v>
      </c>
      <c r="CC234" t="s">
        <v>328</v>
      </c>
      <c r="CD234" t="s">
        <v>226</v>
      </c>
      <c r="CE234" t="s">
        <v>236</v>
      </c>
      <c r="EA234" t="s">
        <v>236</v>
      </c>
      <c r="EC234" t="s">
        <v>236</v>
      </c>
      <c r="EE234" t="s">
        <v>236</v>
      </c>
      <c r="EG234" t="s">
        <v>236</v>
      </c>
      <c r="EI234" t="s">
        <v>226</v>
      </c>
      <c r="EJ234" t="s">
        <v>244</v>
      </c>
      <c r="EK234" t="s">
        <v>236</v>
      </c>
      <c r="EM234" t="s">
        <v>236</v>
      </c>
      <c r="EO234" t="s">
        <v>236</v>
      </c>
      <c r="EQ234" t="s">
        <v>236</v>
      </c>
      <c r="ES234" t="s">
        <v>236</v>
      </c>
      <c r="EU234" t="s">
        <v>236</v>
      </c>
      <c r="EW234" t="s">
        <v>236</v>
      </c>
      <c r="EY234" t="s">
        <v>236</v>
      </c>
      <c r="FA234" t="s">
        <v>236</v>
      </c>
      <c r="FC234" t="s">
        <v>236</v>
      </c>
      <c r="FE234" t="s">
        <v>236</v>
      </c>
      <c r="FG234" t="s">
        <v>236</v>
      </c>
      <c r="FJ234" t="s">
        <v>226</v>
      </c>
      <c r="FK234" t="s">
        <v>244</v>
      </c>
      <c r="FL234" t="s">
        <v>236</v>
      </c>
      <c r="FM234" t="s">
        <v>236</v>
      </c>
      <c r="FW234" t="s">
        <v>226</v>
      </c>
      <c r="FX234" t="s">
        <v>226</v>
      </c>
      <c r="FY234" t="s">
        <v>267</v>
      </c>
      <c r="FZ234" t="s">
        <v>236</v>
      </c>
      <c r="GC234" t="s">
        <v>226</v>
      </c>
      <c r="GD234" t="s">
        <v>236</v>
      </c>
      <c r="GF234" t="s">
        <v>236</v>
      </c>
      <c r="GI234" t="s">
        <v>236</v>
      </c>
      <c r="GL234" t="s">
        <v>226</v>
      </c>
      <c r="GM234" t="s">
        <v>226</v>
      </c>
      <c r="GN234" t="s">
        <v>267</v>
      </c>
      <c r="GO234" t="s">
        <v>226</v>
      </c>
      <c r="GP234" t="s">
        <v>236</v>
      </c>
      <c r="GR234" t="s">
        <v>226</v>
      </c>
      <c r="GS234" t="s">
        <v>236</v>
      </c>
      <c r="GU234" t="s">
        <v>236</v>
      </c>
      <c r="GX234" t="s">
        <v>236</v>
      </c>
      <c r="HB234" t="s">
        <v>338</v>
      </c>
      <c r="HC234" t="s">
        <v>1919</v>
      </c>
      <c r="HD234" t="s">
        <v>288</v>
      </c>
      <c r="HE234">
        <v>82975759</v>
      </c>
      <c r="HF234" t="s">
        <v>1920</v>
      </c>
      <c r="HG234" s="2">
        <v>45753.789976851847</v>
      </c>
      <c r="HJ234" t="s">
        <v>248</v>
      </c>
      <c r="HL234" t="s">
        <v>249</v>
      </c>
      <c r="HN234">
        <v>233</v>
      </c>
    </row>
    <row r="235" spans="1:222" x14ac:dyDescent="0.25">
      <c r="A235" s="2">
        <v>45753.581646701386</v>
      </c>
      <c r="B235" s="2">
        <v>45753.585696562499</v>
      </c>
      <c r="C235" t="s">
        <v>221</v>
      </c>
      <c r="D235">
        <v>427</v>
      </c>
      <c r="E235" s="2">
        <v>45731</v>
      </c>
      <c r="F235">
        <v>3</v>
      </c>
      <c r="G235" t="s">
        <v>223</v>
      </c>
      <c r="H235" t="s">
        <v>307</v>
      </c>
      <c r="I235">
        <v>40</v>
      </c>
      <c r="J235" t="str">
        <f t="shared" si="3"/>
        <v>de 26 a 40 años</v>
      </c>
      <c r="K235" t="s">
        <v>251</v>
      </c>
      <c r="L235">
        <v>2</v>
      </c>
      <c r="M235">
        <v>0</v>
      </c>
      <c r="N235">
        <v>0</v>
      </c>
      <c r="O235">
        <v>0</v>
      </c>
      <c r="P235">
        <v>0</v>
      </c>
      <c r="Q235" t="s">
        <v>291</v>
      </c>
      <c r="R235" t="s">
        <v>226</v>
      </c>
      <c r="T235" t="s">
        <v>227</v>
      </c>
      <c r="V235" t="s">
        <v>228</v>
      </c>
      <c r="W235" t="s">
        <v>229</v>
      </c>
      <c r="X235" t="s">
        <v>230</v>
      </c>
      <c r="Z235" t="s">
        <v>351</v>
      </c>
      <c r="AA235" t="s">
        <v>352</v>
      </c>
      <c r="AB235">
        <v>1</v>
      </c>
      <c r="AC235">
        <v>0</v>
      </c>
      <c r="AD235">
        <v>0</v>
      </c>
      <c r="AE235">
        <v>0</v>
      </c>
      <c r="AF235">
        <v>1</v>
      </c>
      <c r="AG235">
        <v>0</v>
      </c>
      <c r="AI235" t="s">
        <v>233</v>
      </c>
      <c r="AJ235">
        <v>0</v>
      </c>
      <c r="AK235">
        <v>1</v>
      </c>
      <c r="AL235">
        <v>0</v>
      </c>
      <c r="AM235">
        <v>0</v>
      </c>
      <c r="AN235" t="s">
        <v>300</v>
      </c>
      <c r="AO235" t="s">
        <v>454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1</v>
      </c>
      <c r="AV235">
        <v>0</v>
      </c>
      <c r="AX235" t="s">
        <v>226</v>
      </c>
      <c r="AY235" t="s">
        <v>226</v>
      </c>
      <c r="AZ235" t="s">
        <v>259</v>
      </c>
      <c r="BA235" t="s">
        <v>1921</v>
      </c>
      <c r="BB235" t="s">
        <v>1922</v>
      </c>
      <c r="BE235" t="s">
        <v>259</v>
      </c>
      <c r="BF235" t="s">
        <v>259</v>
      </c>
      <c r="BG235" t="s">
        <v>259</v>
      </c>
      <c r="BH235" t="s">
        <v>259</v>
      </c>
      <c r="BI235" t="s">
        <v>308</v>
      </c>
      <c r="BJ235" t="s">
        <v>237</v>
      </c>
      <c r="BK235" t="s">
        <v>259</v>
      </c>
      <c r="BL235" t="s">
        <v>313</v>
      </c>
      <c r="BM235" t="s">
        <v>365</v>
      </c>
      <c r="BN235">
        <v>0</v>
      </c>
      <c r="BO235">
        <v>1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 t="s">
        <v>243</v>
      </c>
      <c r="CB235" t="s">
        <v>328</v>
      </c>
      <c r="CC235" t="s">
        <v>328</v>
      </c>
      <c r="CD235" t="s">
        <v>236</v>
      </c>
      <c r="CE235" t="s">
        <v>236</v>
      </c>
      <c r="EA235" t="s">
        <v>236</v>
      </c>
      <c r="EC235" t="s">
        <v>236</v>
      </c>
      <c r="EE235" t="s">
        <v>226</v>
      </c>
      <c r="EF235" t="s">
        <v>244</v>
      </c>
      <c r="EG235" t="s">
        <v>226</v>
      </c>
      <c r="EH235" t="s">
        <v>245</v>
      </c>
      <c r="EI235" t="s">
        <v>308</v>
      </c>
      <c r="EK235" t="s">
        <v>236</v>
      </c>
      <c r="EM235" t="s">
        <v>226</v>
      </c>
      <c r="EN235" t="s">
        <v>245</v>
      </c>
      <c r="EO235" t="s">
        <v>236</v>
      </c>
      <c r="EQ235" t="s">
        <v>236</v>
      </c>
      <c r="ES235" t="s">
        <v>236</v>
      </c>
      <c r="EU235" t="s">
        <v>236</v>
      </c>
      <c r="EW235" t="s">
        <v>226</v>
      </c>
      <c r="EX235" t="s">
        <v>245</v>
      </c>
      <c r="EY235" t="s">
        <v>236</v>
      </c>
      <c r="FA235" t="s">
        <v>226</v>
      </c>
      <c r="FB235" t="s">
        <v>245</v>
      </c>
      <c r="FC235" t="s">
        <v>236</v>
      </c>
      <c r="FE235" t="s">
        <v>226</v>
      </c>
      <c r="FF235" t="s">
        <v>245</v>
      </c>
      <c r="FG235" t="s">
        <v>236</v>
      </c>
      <c r="FJ235" t="s">
        <v>226</v>
      </c>
      <c r="FK235" t="s">
        <v>265</v>
      </c>
      <c r="FL235" t="s">
        <v>236</v>
      </c>
      <c r="FM235" t="s">
        <v>236</v>
      </c>
      <c r="FW235" t="s">
        <v>226</v>
      </c>
      <c r="FX235" t="s">
        <v>236</v>
      </c>
      <c r="FZ235" t="s">
        <v>236</v>
      </c>
      <c r="GC235" t="s">
        <v>236</v>
      </c>
      <c r="GF235" t="s">
        <v>226</v>
      </c>
      <c r="GG235" t="s">
        <v>236</v>
      </c>
      <c r="GI235" t="s">
        <v>236</v>
      </c>
      <c r="GL235" t="s">
        <v>226</v>
      </c>
      <c r="GM235" t="s">
        <v>236</v>
      </c>
      <c r="GO235" t="s">
        <v>226</v>
      </c>
      <c r="GP235" t="s">
        <v>236</v>
      </c>
      <c r="GR235" t="s">
        <v>226</v>
      </c>
      <c r="GS235" t="s">
        <v>236</v>
      </c>
      <c r="GU235" t="s">
        <v>236</v>
      </c>
      <c r="GX235" t="s">
        <v>236</v>
      </c>
      <c r="HB235" t="s">
        <v>1923</v>
      </c>
      <c r="HC235" t="s">
        <v>1924</v>
      </c>
      <c r="HD235" t="s">
        <v>1925</v>
      </c>
      <c r="HE235">
        <v>82975901</v>
      </c>
      <c r="HF235" t="s">
        <v>1926</v>
      </c>
      <c r="HG235" s="2">
        <v>45753.794027777767</v>
      </c>
      <c r="HJ235" t="s">
        <v>248</v>
      </c>
      <c r="HL235" t="s">
        <v>249</v>
      </c>
      <c r="HN235">
        <v>234</v>
      </c>
    </row>
    <row r="236" spans="1:222" x14ac:dyDescent="0.25">
      <c r="A236" s="2">
        <v>45753.585697175928</v>
      </c>
      <c r="B236" s="2">
        <v>45753.612645266207</v>
      </c>
      <c r="C236" t="s">
        <v>221</v>
      </c>
      <c r="D236">
        <v>428</v>
      </c>
      <c r="E236" s="2">
        <v>45731</v>
      </c>
      <c r="F236">
        <v>3</v>
      </c>
      <c r="G236" t="s">
        <v>380</v>
      </c>
      <c r="H236" t="s">
        <v>307</v>
      </c>
      <c r="I236">
        <v>35</v>
      </c>
      <c r="J236" t="str">
        <f t="shared" si="3"/>
        <v>de 26 a 40 años</v>
      </c>
      <c r="K236" t="s">
        <v>224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225</v>
      </c>
      <c r="R236" t="s">
        <v>226</v>
      </c>
      <c r="T236" t="s">
        <v>227</v>
      </c>
      <c r="V236" t="s">
        <v>228</v>
      </c>
      <c r="W236" t="s">
        <v>229</v>
      </c>
      <c r="X236" t="s">
        <v>230</v>
      </c>
      <c r="Z236" t="s">
        <v>351</v>
      </c>
      <c r="AA236" t="s">
        <v>232</v>
      </c>
      <c r="AB236">
        <v>1</v>
      </c>
      <c r="AC236">
        <v>0</v>
      </c>
      <c r="AD236">
        <v>0</v>
      </c>
      <c r="AE236">
        <v>0</v>
      </c>
      <c r="AF236">
        <v>0</v>
      </c>
      <c r="AG236">
        <v>0</v>
      </c>
      <c r="AI236" t="s">
        <v>256</v>
      </c>
      <c r="AJ236">
        <v>0</v>
      </c>
      <c r="AK236">
        <v>0</v>
      </c>
      <c r="AL236">
        <v>1</v>
      </c>
      <c r="AM236">
        <v>0</v>
      </c>
      <c r="AN236" t="s">
        <v>274</v>
      </c>
      <c r="AO236" t="s">
        <v>294</v>
      </c>
      <c r="AP236">
        <v>1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X236" t="s">
        <v>226</v>
      </c>
      <c r="AY236" t="s">
        <v>226</v>
      </c>
      <c r="AZ236" t="s">
        <v>237</v>
      </c>
      <c r="BA236" t="s">
        <v>1419</v>
      </c>
      <c r="BE236" t="s">
        <v>259</v>
      </c>
      <c r="BF236" t="s">
        <v>237</v>
      </c>
      <c r="BG236" t="s">
        <v>237</v>
      </c>
      <c r="BH236" t="s">
        <v>259</v>
      </c>
      <c r="BI236" t="s">
        <v>237</v>
      </c>
      <c r="BJ236" t="s">
        <v>237</v>
      </c>
      <c r="BK236" t="s">
        <v>261</v>
      </c>
      <c r="BL236" t="s">
        <v>240</v>
      </c>
      <c r="BM236" t="s">
        <v>415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1</v>
      </c>
      <c r="BZ236">
        <v>0</v>
      </c>
      <c r="CA236" t="s">
        <v>243</v>
      </c>
      <c r="CB236" t="s">
        <v>264</v>
      </c>
      <c r="CC236" t="s">
        <v>264</v>
      </c>
      <c r="CD236" t="s">
        <v>236</v>
      </c>
      <c r="CE236" t="s">
        <v>236</v>
      </c>
      <c r="EA236" t="s">
        <v>226</v>
      </c>
      <c r="EB236" t="s">
        <v>245</v>
      </c>
      <c r="EC236" t="s">
        <v>236</v>
      </c>
      <c r="EE236" t="s">
        <v>226</v>
      </c>
      <c r="EF236" t="s">
        <v>245</v>
      </c>
      <c r="EG236" t="s">
        <v>226</v>
      </c>
      <c r="EH236" t="s">
        <v>245</v>
      </c>
      <c r="EI236" t="s">
        <v>236</v>
      </c>
      <c r="EK236" t="s">
        <v>308</v>
      </c>
      <c r="EM236" t="s">
        <v>236</v>
      </c>
      <c r="EO236" t="s">
        <v>226</v>
      </c>
      <c r="EP236" t="s">
        <v>245</v>
      </c>
      <c r="EQ236" t="s">
        <v>236</v>
      </c>
      <c r="ES236" t="s">
        <v>226</v>
      </c>
      <c r="ET236" t="s">
        <v>245</v>
      </c>
      <c r="EU236" t="s">
        <v>236</v>
      </c>
      <c r="EW236" t="s">
        <v>226</v>
      </c>
      <c r="EX236" t="s">
        <v>245</v>
      </c>
      <c r="EY236" t="s">
        <v>236</v>
      </c>
      <c r="FA236" t="s">
        <v>226</v>
      </c>
      <c r="FB236" t="s">
        <v>245</v>
      </c>
      <c r="FC236" t="s">
        <v>236</v>
      </c>
      <c r="FE236" t="s">
        <v>226</v>
      </c>
      <c r="FF236" t="s">
        <v>245</v>
      </c>
      <c r="FG236" t="s">
        <v>236</v>
      </c>
      <c r="FJ236" t="s">
        <v>226</v>
      </c>
      <c r="FK236" t="s">
        <v>245</v>
      </c>
      <c r="FL236" t="s">
        <v>236</v>
      </c>
      <c r="FM236" t="s">
        <v>236</v>
      </c>
      <c r="FW236" t="s">
        <v>226</v>
      </c>
      <c r="FX236" t="s">
        <v>226</v>
      </c>
      <c r="FY236" t="s">
        <v>266</v>
      </c>
      <c r="FZ236" t="s">
        <v>226</v>
      </c>
      <c r="GA236" t="s">
        <v>226</v>
      </c>
      <c r="GB236" t="s">
        <v>266</v>
      </c>
      <c r="GC236" t="s">
        <v>226</v>
      </c>
      <c r="GD236" t="s">
        <v>226</v>
      </c>
      <c r="GE236" t="s">
        <v>266</v>
      </c>
      <c r="GF236" t="s">
        <v>226</v>
      </c>
      <c r="GG236" t="s">
        <v>226</v>
      </c>
      <c r="GH236" t="s">
        <v>266</v>
      </c>
      <c r="GI236" t="s">
        <v>226</v>
      </c>
      <c r="GJ236" t="s">
        <v>226</v>
      </c>
      <c r="GK236" t="s">
        <v>266</v>
      </c>
      <c r="GL236" t="s">
        <v>226</v>
      </c>
      <c r="GM236" t="s">
        <v>226</v>
      </c>
      <c r="GN236" t="s">
        <v>267</v>
      </c>
      <c r="GO236" t="s">
        <v>236</v>
      </c>
      <c r="GR236" t="s">
        <v>226</v>
      </c>
      <c r="GS236" t="s">
        <v>226</v>
      </c>
      <c r="GT236" t="s">
        <v>267</v>
      </c>
      <c r="GU236" t="s">
        <v>236</v>
      </c>
      <c r="GX236" t="s">
        <v>236</v>
      </c>
      <c r="HB236" t="s">
        <v>1927</v>
      </c>
      <c r="HE236">
        <v>82977053</v>
      </c>
      <c r="HF236" t="s">
        <v>1928</v>
      </c>
      <c r="HG236" s="2">
        <v>45753.820972222216</v>
      </c>
      <c r="HJ236" t="s">
        <v>248</v>
      </c>
      <c r="HL236" t="s">
        <v>249</v>
      </c>
      <c r="HN236">
        <v>241</v>
      </c>
    </row>
    <row r="237" spans="1:222" x14ac:dyDescent="0.25">
      <c r="A237" s="2">
        <v>45753.589546655086</v>
      </c>
      <c r="B237" s="2">
        <v>45753.593390347232</v>
      </c>
      <c r="C237" t="s">
        <v>391</v>
      </c>
      <c r="D237">
        <v>400</v>
      </c>
      <c r="E237" s="2">
        <v>45731</v>
      </c>
      <c r="F237">
        <v>3</v>
      </c>
      <c r="G237" t="s">
        <v>306</v>
      </c>
      <c r="H237" t="s">
        <v>307</v>
      </c>
      <c r="I237">
        <v>47</v>
      </c>
      <c r="J237" t="str">
        <f t="shared" si="3"/>
        <v>de 41 a 55 años</v>
      </c>
      <c r="K237" t="s">
        <v>341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291</v>
      </c>
      <c r="R237" t="s">
        <v>226</v>
      </c>
      <c r="T237" t="s">
        <v>227</v>
      </c>
      <c r="V237" t="s">
        <v>272</v>
      </c>
      <c r="W237" t="s">
        <v>229</v>
      </c>
      <c r="X237" t="s">
        <v>253</v>
      </c>
      <c r="Z237" t="s">
        <v>351</v>
      </c>
      <c r="AA237" t="s">
        <v>255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I237" t="s">
        <v>233</v>
      </c>
      <c r="AJ237">
        <v>0</v>
      </c>
      <c r="AK237">
        <v>1</v>
      </c>
      <c r="AL237">
        <v>0</v>
      </c>
      <c r="AM237">
        <v>0</v>
      </c>
      <c r="AN237" t="s">
        <v>300</v>
      </c>
      <c r="AO237" t="s">
        <v>1562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</v>
      </c>
      <c r="AV237">
        <v>0</v>
      </c>
      <c r="AX237" t="s">
        <v>226</v>
      </c>
      <c r="AY237" t="s">
        <v>226</v>
      </c>
      <c r="AZ237" t="s">
        <v>237</v>
      </c>
      <c r="BA237" t="s">
        <v>1844</v>
      </c>
      <c r="BE237" t="s">
        <v>259</v>
      </c>
      <c r="BF237" t="s">
        <v>237</v>
      </c>
      <c r="BG237" t="s">
        <v>259</v>
      </c>
      <c r="BH237" t="s">
        <v>237</v>
      </c>
      <c r="BI237" t="s">
        <v>237</v>
      </c>
      <c r="BJ237" t="s">
        <v>259</v>
      </c>
      <c r="BK237" t="s">
        <v>239</v>
      </c>
      <c r="BL237" t="s">
        <v>262</v>
      </c>
      <c r="BM237" t="s">
        <v>415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1</v>
      </c>
      <c r="BZ237">
        <v>0</v>
      </c>
      <c r="CA237" t="s">
        <v>264</v>
      </c>
      <c r="CB237" t="s">
        <v>328</v>
      </c>
      <c r="CC237" t="s">
        <v>243</v>
      </c>
      <c r="CD237" t="s">
        <v>236</v>
      </c>
      <c r="CE237" t="s">
        <v>236</v>
      </c>
      <c r="EA237" t="s">
        <v>236</v>
      </c>
      <c r="EC237" t="s">
        <v>236</v>
      </c>
      <c r="EE237" t="s">
        <v>236</v>
      </c>
      <c r="EG237" t="s">
        <v>226</v>
      </c>
      <c r="EH237" t="s">
        <v>244</v>
      </c>
      <c r="EI237" t="s">
        <v>236</v>
      </c>
      <c r="EK237" t="s">
        <v>226</v>
      </c>
      <c r="EL237" t="s">
        <v>244</v>
      </c>
      <c r="EM237" t="s">
        <v>236</v>
      </c>
      <c r="EO237" t="s">
        <v>236</v>
      </c>
      <c r="EQ237" t="s">
        <v>236</v>
      </c>
      <c r="ES237" t="s">
        <v>226</v>
      </c>
      <c r="ET237" t="s">
        <v>244</v>
      </c>
      <c r="EU237" t="s">
        <v>236</v>
      </c>
      <c r="EW237" t="s">
        <v>236</v>
      </c>
      <c r="EY237" t="s">
        <v>236</v>
      </c>
      <c r="FA237" t="s">
        <v>236</v>
      </c>
      <c r="FC237" t="s">
        <v>236</v>
      </c>
      <c r="FE237" t="s">
        <v>226</v>
      </c>
      <c r="FF237" t="s">
        <v>244</v>
      </c>
      <c r="FG237" t="s">
        <v>226</v>
      </c>
      <c r="FH237" t="s">
        <v>1845</v>
      </c>
      <c r="FI237" t="s">
        <v>245</v>
      </c>
      <c r="FJ237" t="s">
        <v>236</v>
      </c>
      <c r="FM237" t="s">
        <v>236</v>
      </c>
      <c r="FW237" t="s">
        <v>226</v>
      </c>
      <c r="FX237" t="s">
        <v>236</v>
      </c>
      <c r="FZ237" t="s">
        <v>226</v>
      </c>
      <c r="GA237" t="s">
        <v>236</v>
      </c>
      <c r="GC237" t="s">
        <v>226</v>
      </c>
      <c r="GD237" t="s">
        <v>236</v>
      </c>
      <c r="GF237" t="s">
        <v>226</v>
      </c>
      <c r="GG237" t="s">
        <v>236</v>
      </c>
      <c r="GI237" t="s">
        <v>226</v>
      </c>
      <c r="GJ237" t="s">
        <v>236</v>
      </c>
      <c r="GL237" t="s">
        <v>226</v>
      </c>
      <c r="GM237" t="s">
        <v>236</v>
      </c>
      <c r="GO237" t="s">
        <v>226</v>
      </c>
      <c r="GP237" t="s">
        <v>236</v>
      </c>
      <c r="GR237" t="s">
        <v>226</v>
      </c>
      <c r="GS237" t="s">
        <v>236</v>
      </c>
      <c r="GU237" t="s">
        <v>226</v>
      </c>
      <c r="GV237" t="s">
        <v>236</v>
      </c>
      <c r="GX237" t="s">
        <v>236</v>
      </c>
      <c r="HB237" t="s">
        <v>1846</v>
      </c>
      <c r="HC237" t="s">
        <v>1847</v>
      </c>
      <c r="HE237">
        <v>82976170</v>
      </c>
      <c r="HF237" t="s">
        <v>1848</v>
      </c>
      <c r="HG237" s="2">
        <v>45753.801747685182</v>
      </c>
      <c r="HJ237" t="s">
        <v>248</v>
      </c>
      <c r="HL237" t="s">
        <v>249</v>
      </c>
      <c r="HN237">
        <v>235</v>
      </c>
    </row>
    <row r="238" spans="1:222" x14ac:dyDescent="0.25">
      <c r="A238" s="2">
        <v>45753.593391504633</v>
      </c>
      <c r="B238" s="2">
        <v>45753.596180057873</v>
      </c>
      <c r="C238" t="s">
        <v>391</v>
      </c>
      <c r="D238">
        <v>399</v>
      </c>
      <c r="E238" s="2">
        <v>45731</v>
      </c>
      <c r="F238">
        <v>3</v>
      </c>
      <c r="G238" t="s">
        <v>306</v>
      </c>
      <c r="H238" t="s">
        <v>307</v>
      </c>
      <c r="I238">
        <v>42</v>
      </c>
      <c r="J238" t="str">
        <f t="shared" si="3"/>
        <v>de 41 a 55 años</v>
      </c>
      <c r="K238" t="s">
        <v>341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291</v>
      </c>
      <c r="R238" t="s">
        <v>226</v>
      </c>
      <c r="T238" t="s">
        <v>227</v>
      </c>
      <c r="V238" t="s">
        <v>272</v>
      </c>
      <c r="W238" t="s">
        <v>229</v>
      </c>
      <c r="X238" t="s">
        <v>230</v>
      </c>
      <c r="Z238" t="s">
        <v>398</v>
      </c>
      <c r="AA238" t="s">
        <v>232</v>
      </c>
      <c r="AB238">
        <v>1</v>
      </c>
      <c r="AC238">
        <v>0</v>
      </c>
      <c r="AD238">
        <v>0</v>
      </c>
      <c r="AE238">
        <v>0</v>
      </c>
      <c r="AF238">
        <v>0</v>
      </c>
      <c r="AG238">
        <v>0</v>
      </c>
      <c r="AI238" t="s">
        <v>311</v>
      </c>
      <c r="AJ238">
        <v>0</v>
      </c>
      <c r="AK238">
        <v>1</v>
      </c>
      <c r="AL238">
        <v>1</v>
      </c>
      <c r="AM238">
        <v>0</v>
      </c>
      <c r="AN238" t="s">
        <v>234</v>
      </c>
      <c r="AO238" t="s">
        <v>633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1</v>
      </c>
      <c r="AV238">
        <v>0</v>
      </c>
      <c r="AX238" t="s">
        <v>236</v>
      </c>
      <c r="AZ238" t="s">
        <v>237</v>
      </c>
      <c r="BA238" t="s">
        <v>336</v>
      </c>
      <c r="BE238" t="s">
        <v>237</v>
      </c>
      <c r="BF238" t="s">
        <v>237</v>
      </c>
      <c r="BG238" t="s">
        <v>259</v>
      </c>
      <c r="BH238" t="s">
        <v>237</v>
      </c>
      <c r="BI238" t="s">
        <v>237</v>
      </c>
      <c r="BJ238" t="s">
        <v>237</v>
      </c>
      <c r="BK238" t="s">
        <v>259</v>
      </c>
      <c r="BL238" t="s">
        <v>262</v>
      </c>
      <c r="BM238" t="s">
        <v>365</v>
      </c>
      <c r="BN238">
        <v>0</v>
      </c>
      <c r="BO238">
        <v>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 t="s">
        <v>264</v>
      </c>
      <c r="CB238" t="s">
        <v>264</v>
      </c>
      <c r="CC238" t="s">
        <v>264</v>
      </c>
      <c r="CD238" t="s">
        <v>236</v>
      </c>
      <c r="CE238" t="s">
        <v>236</v>
      </c>
      <c r="EA238" t="s">
        <v>236</v>
      </c>
      <c r="EC238" t="s">
        <v>236</v>
      </c>
      <c r="EE238" t="s">
        <v>226</v>
      </c>
      <c r="EF238" t="s">
        <v>245</v>
      </c>
      <c r="EG238" t="s">
        <v>236</v>
      </c>
      <c r="EI238" t="s">
        <v>226</v>
      </c>
      <c r="EJ238" t="s">
        <v>245</v>
      </c>
      <c r="EK238" t="s">
        <v>236</v>
      </c>
      <c r="EM238" t="s">
        <v>226</v>
      </c>
      <c r="EN238" t="s">
        <v>245</v>
      </c>
      <c r="EO238" t="s">
        <v>226</v>
      </c>
      <c r="EP238" t="s">
        <v>245</v>
      </c>
      <c r="EQ238" t="s">
        <v>236</v>
      </c>
      <c r="ES238" t="s">
        <v>226</v>
      </c>
      <c r="ET238" t="s">
        <v>265</v>
      </c>
      <c r="EU238" t="s">
        <v>226</v>
      </c>
      <c r="EV238" t="s">
        <v>245</v>
      </c>
      <c r="EW238" t="s">
        <v>226</v>
      </c>
      <c r="EX238" t="s">
        <v>245</v>
      </c>
      <c r="EY238" t="s">
        <v>236</v>
      </c>
      <c r="FA238" t="s">
        <v>236</v>
      </c>
      <c r="FC238" t="s">
        <v>236</v>
      </c>
      <c r="FE238" t="s">
        <v>236</v>
      </c>
      <c r="FG238" t="s">
        <v>236</v>
      </c>
      <c r="FJ238" t="s">
        <v>226</v>
      </c>
      <c r="FK238" t="s">
        <v>244</v>
      </c>
      <c r="FL238" t="s">
        <v>236</v>
      </c>
      <c r="FM238" t="s">
        <v>236</v>
      </c>
      <c r="FW238" t="s">
        <v>226</v>
      </c>
      <c r="FX238" t="s">
        <v>226</v>
      </c>
      <c r="FY238" t="s">
        <v>266</v>
      </c>
      <c r="FZ238" t="s">
        <v>236</v>
      </c>
      <c r="GC238" t="s">
        <v>236</v>
      </c>
      <c r="GF238" t="s">
        <v>236</v>
      </c>
      <c r="GI238" t="s">
        <v>236</v>
      </c>
      <c r="GL238" t="s">
        <v>236</v>
      </c>
      <c r="GO238" t="s">
        <v>226</v>
      </c>
      <c r="GP238" t="s">
        <v>226</v>
      </c>
      <c r="GQ238" t="s">
        <v>267</v>
      </c>
      <c r="GR238" t="s">
        <v>226</v>
      </c>
      <c r="GS238" t="s">
        <v>236</v>
      </c>
      <c r="GU238" t="s">
        <v>226</v>
      </c>
      <c r="GV238" t="s">
        <v>226</v>
      </c>
      <c r="GW238" t="s">
        <v>266</v>
      </c>
      <c r="GX238" t="s">
        <v>236</v>
      </c>
      <c r="HB238" t="s">
        <v>1842</v>
      </c>
      <c r="HC238" t="s">
        <v>345</v>
      </c>
      <c r="HE238">
        <v>82976245</v>
      </c>
      <c r="HF238" t="s">
        <v>1843</v>
      </c>
      <c r="HG238" s="2">
        <v>45753.804537037038</v>
      </c>
      <c r="HJ238" t="s">
        <v>248</v>
      </c>
      <c r="HL238" t="s">
        <v>249</v>
      </c>
      <c r="HN238">
        <v>236</v>
      </c>
    </row>
    <row r="239" spans="1:222" x14ac:dyDescent="0.25">
      <c r="A239" s="2">
        <v>45753.596181261571</v>
      </c>
      <c r="B239" s="2">
        <v>45753.59949252315</v>
      </c>
      <c r="C239" t="s">
        <v>391</v>
      </c>
      <c r="D239">
        <v>398</v>
      </c>
      <c r="E239" s="2">
        <v>45731</v>
      </c>
      <c r="F239">
        <v>3</v>
      </c>
      <c r="G239" t="s">
        <v>306</v>
      </c>
      <c r="H239" t="s">
        <v>307</v>
      </c>
      <c r="I239">
        <v>75</v>
      </c>
      <c r="J239" t="str">
        <f t="shared" si="3"/>
        <v>de 56 a más</v>
      </c>
      <c r="K239" t="s">
        <v>224</v>
      </c>
      <c r="L239">
        <v>1</v>
      </c>
      <c r="M239">
        <v>0</v>
      </c>
      <c r="N239">
        <v>0</v>
      </c>
      <c r="O239">
        <v>0</v>
      </c>
      <c r="P239">
        <v>0</v>
      </c>
      <c r="Q239" t="s">
        <v>291</v>
      </c>
      <c r="R239" t="s">
        <v>226</v>
      </c>
      <c r="T239" t="s">
        <v>227</v>
      </c>
      <c r="V239" t="s">
        <v>272</v>
      </c>
      <c r="W239" t="s">
        <v>229</v>
      </c>
      <c r="X239" t="s">
        <v>230</v>
      </c>
      <c r="Z239" t="s">
        <v>273</v>
      </c>
      <c r="AA239" t="s">
        <v>616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 t="s">
        <v>897</v>
      </c>
      <c r="AI239" t="s">
        <v>233</v>
      </c>
      <c r="AJ239">
        <v>0</v>
      </c>
      <c r="AK239">
        <v>1</v>
      </c>
      <c r="AL239">
        <v>0</v>
      </c>
      <c r="AM239">
        <v>0</v>
      </c>
      <c r="AN239" t="s">
        <v>274</v>
      </c>
      <c r="AO239" t="s">
        <v>633</v>
      </c>
      <c r="AP239">
        <v>0</v>
      </c>
      <c r="AQ239">
        <v>0</v>
      </c>
      <c r="AR239">
        <v>0</v>
      </c>
      <c r="AS239">
        <v>1</v>
      </c>
      <c r="AT239">
        <v>0</v>
      </c>
      <c r="AU239">
        <v>1</v>
      </c>
      <c r="AV239">
        <v>0</v>
      </c>
      <c r="AX239" t="s">
        <v>226</v>
      </c>
      <c r="AY239" t="s">
        <v>226</v>
      </c>
      <c r="AZ239" t="s">
        <v>259</v>
      </c>
      <c r="BA239" t="s">
        <v>1838</v>
      </c>
      <c r="BB239" t="s">
        <v>1839</v>
      </c>
      <c r="BE239" t="s">
        <v>259</v>
      </c>
      <c r="BF239" t="s">
        <v>239</v>
      </c>
      <c r="BG239" t="s">
        <v>259</v>
      </c>
      <c r="BH239" t="s">
        <v>239</v>
      </c>
      <c r="BI239" t="s">
        <v>237</v>
      </c>
      <c r="BJ239" t="s">
        <v>237</v>
      </c>
      <c r="BK239" t="s">
        <v>259</v>
      </c>
      <c r="BL239" t="s">
        <v>240</v>
      </c>
      <c r="BM239" t="s">
        <v>372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 t="s">
        <v>264</v>
      </c>
      <c r="CB239" t="s">
        <v>328</v>
      </c>
      <c r="CC239" t="s">
        <v>264</v>
      </c>
      <c r="CD239" t="s">
        <v>236</v>
      </c>
      <c r="CE239" t="s">
        <v>236</v>
      </c>
      <c r="EA239" t="s">
        <v>236</v>
      </c>
      <c r="EC239" t="s">
        <v>236</v>
      </c>
      <c r="EE239" t="s">
        <v>236</v>
      </c>
      <c r="EG239" t="s">
        <v>236</v>
      </c>
      <c r="EI239" t="s">
        <v>226</v>
      </c>
      <c r="EJ239" t="s">
        <v>245</v>
      </c>
      <c r="EK239" t="s">
        <v>226</v>
      </c>
      <c r="EL239" t="s">
        <v>244</v>
      </c>
      <c r="EM239" t="s">
        <v>236</v>
      </c>
      <c r="EO239" t="s">
        <v>236</v>
      </c>
      <c r="EQ239" t="s">
        <v>236</v>
      </c>
      <c r="ES239" t="s">
        <v>236</v>
      </c>
      <c r="EU239" t="s">
        <v>236</v>
      </c>
      <c r="EW239" t="s">
        <v>226</v>
      </c>
      <c r="EX239" t="s">
        <v>244</v>
      </c>
      <c r="EY239" t="s">
        <v>226</v>
      </c>
      <c r="EZ239" t="s">
        <v>244</v>
      </c>
      <c r="FA239" t="s">
        <v>226</v>
      </c>
      <c r="FB239" t="s">
        <v>244</v>
      </c>
      <c r="FC239" t="s">
        <v>236</v>
      </c>
      <c r="FE239" t="s">
        <v>226</v>
      </c>
      <c r="FF239" t="s">
        <v>244</v>
      </c>
      <c r="FG239" t="s">
        <v>236</v>
      </c>
      <c r="FJ239" t="s">
        <v>226</v>
      </c>
      <c r="FK239" t="s">
        <v>245</v>
      </c>
      <c r="FL239" t="s">
        <v>236</v>
      </c>
      <c r="FM239" t="s">
        <v>236</v>
      </c>
      <c r="FW239" t="s">
        <v>226</v>
      </c>
      <c r="FX239" t="s">
        <v>226</v>
      </c>
      <c r="FY239" t="s">
        <v>266</v>
      </c>
      <c r="FZ239" t="s">
        <v>236</v>
      </c>
      <c r="GC239" t="s">
        <v>236</v>
      </c>
      <c r="GF239" t="s">
        <v>226</v>
      </c>
      <c r="GG239" t="s">
        <v>226</v>
      </c>
      <c r="GH239" t="s">
        <v>266</v>
      </c>
      <c r="GI239" t="s">
        <v>236</v>
      </c>
      <c r="GL239" t="s">
        <v>236</v>
      </c>
      <c r="GO239" t="s">
        <v>226</v>
      </c>
      <c r="GP239" t="s">
        <v>226</v>
      </c>
      <c r="GQ239" t="s">
        <v>266</v>
      </c>
      <c r="GR239" t="s">
        <v>236</v>
      </c>
      <c r="GU239" t="s">
        <v>236</v>
      </c>
      <c r="GX239" t="s">
        <v>236</v>
      </c>
      <c r="HB239" t="s">
        <v>1840</v>
      </c>
      <c r="HC239" t="s">
        <v>1379</v>
      </c>
      <c r="HD239" t="s">
        <v>339</v>
      </c>
      <c r="HE239">
        <v>82976335</v>
      </c>
      <c r="HF239" t="s">
        <v>1841</v>
      </c>
      <c r="HG239" s="2">
        <v>45753.807847222219</v>
      </c>
      <c r="HJ239" t="s">
        <v>248</v>
      </c>
      <c r="HL239" t="s">
        <v>249</v>
      </c>
      <c r="HN239">
        <v>237</v>
      </c>
    </row>
    <row r="240" spans="1:222" x14ac:dyDescent="0.25">
      <c r="A240" s="2">
        <v>45753.599493437498</v>
      </c>
      <c r="B240" s="2">
        <v>45753.603635995372</v>
      </c>
      <c r="C240" t="s">
        <v>391</v>
      </c>
      <c r="D240">
        <v>397</v>
      </c>
      <c r="E240" s="2">
        <v>45731</v>
      </c>
      <c r="F240">
        <v>3</v>
      </c>
      <c r="G240" t="s">
        <v>306</v>
      </c>
      <c r="H240" t="s">
        <v>307</v>
      </c>
      <c r="I240">
        <v>56</v>
      </c>
      <c r="J240" t="str">
        <f t="shared" si="3"/>
        <v>de 56 a más</v>
      </c>
      <c r="K240" t="s">
        <v>341</v>
      </c>
      <c r="L240">
        <v>0</v>
      </c>
      <c r="M240">
        <v>1</v>
      </c>
      <c r="N240">
        <v>0</v>
      </c>
      <c r="O240">
        <v>0</v>
      </c>
      <c r="P240">
        <v>0</v>
      </c>
      <c r="Q240" t="s">
        <v>291</v>
      </c>
      <c r="R240" t="s">
        <v>226</v>
      </c>
      <c r="T240" t="s">
        <v>659</v>
      </c>
      <c r="V240" t="s">
        <v>228</v>
      </c>
      <c r="W240" t="s">
        <v>229</v>
      </c>
      <c r="X240" t="s">
        <v>230</v>
      </c>
      <c r="Z240" t="s">
        <v>273</v>
      </c>
      <c r="AA240" t="s">
        <v>255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I240" t="s">
        <v>256</v>
      </c>
      <c r="AJ240">
        <v>0</v>
      </c>
      <c r="AK240">
        <v>0</v>
      </c>
      <c r="AL240">
        <v>1</v>
      </c>
      <c r="AM240">
        <v>0</v>
      </c>
      <c r="AN240" t="s">
        <v>300</v>
      </c>
      <c r="AO240" t="s">
        <v>606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1</v>
      </c>
      <c r="AV240">
        <v>0</v>
      </c>
      <c r="AX240" t="s">
        <v>226</v>
      </c>
      <c r="AY240" t="s">
        <v>226</v>
      </c>
      <c r="AZ240" t="s">
        <v>259</v>
      </c>
      <c r="BA240" t="s">
        <v>1833</v>
      </c>
      <c r="BE240" t="s">
        <v>259</v>
      </c>
      <c r="BF240" t="s">
        <v>259</v>
      </c>
      <c r="BG240" t="s">
        <v>259</v>
      </c>
      <c r="BH240" t="s">
        <v>239</v>
      </c>
      <c r="BI240" t="s">
        <v>239</v>
      </c>
      <c r="BJ240" t="s">
        <v>259</v>
      </c>
      <c r="BK240" t="s">
        <v>239</v>
      </c>
      <c r="BL240" t="s">
        <v>240</v>
      </c>
      <c r="BM240" t="s">
        <v>614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1</v>
      </c>
      <c r="BX240">
        <v>0</v>
      </c>
      <c r="BY240">
        <v>0</v>
      </c>
      <c r="BZ240">
        <v>0</v>
      </c>
      <c r="CA240" t="s">
        <v>264</v>
      </c>
      <c r="CB240" t="s">
        <v>328</v>
      </c>
      <c r="CC240" t="s">
        <v>328</v>
      </c>
      <c r="CD240" t="s">
        <v>226</v>
      </c>
      <c r="CE240" t="s">
        <v>236</v>
      </c>
      <c r="EA240" t="s">
        <v>236</v>
      </c>
      <c r="EC240" t="s">
        <v>236</v>
      </c>
      <c r="EE240" t="s">
        <v>226</v>
      </c>
      <c r="EF240" t="s">
        <v>245</v>
      </c>
      <c r="EG240" t="s">
        <v>226</v>
      </c>
      <c r="EH240" t="s">
        <v>245</v>
      </c>
      <c r="EI240" t="s">
        <v>226</v>
      </c>
      <c r="EJ240" t="s">
        <v>245</v>
      </c>
      <c r="EK240" t="s">
        <v>236</v>
      </c>
      <c r="EM240" t="s">
        <v>226</v>
      </c>
      <c r="EN240" t="s">
        <v>245</v>
      </c>
      <c r="EO240" t="s">
        <v>236</v>
      </c>
      <c r="EQ240" t="s">
        <v>236</v>
      </c>
      <c r="ES240" t="s">
        <v>226</v>
      </c>
      <c r="ET240" t="s">
        <v>245</v>
      </c>
      <c r="EU240" t="s">
        <v>236</v>
      </c>
      <c r="EW240" t="s">
        <v>236</v>
      </c>
      <c r="EY240" t="s">
        <v>226</v>
      </c>
      <c r="EZ240" t="s">
        <v>244</v>
      </c>
      <c r="FA240" t="s">
        <v>226</v>
      </c>
      <c r="FB240" t="s">
        <v>245</v>
      </c>
      <c r="FC240" t="s">
        <v>236</v>
      </c>
      <c r="FE240" t="s">
        <v>226</v>
      </c>
      <c r="FF240" t="s">
        <v>265</v>
      </c>
      <c r="FG240" t="s">
        <v>236</v>
      </c>
      <c r="FJ240" t="s">
        <v>226</v>
      </c>
      <c r="FK240" t="s">
        <v>245</v>
      </c>
      <c r="FL240" t="s">
        <v>226</v>
      </c>
      <c r="FM240" t="s">
        <v>236</v>
      </c>
      <c r="FW240" t="s">
        <v>226</v>
      </c>
      <c r="FX240" t="s">
        <v>226</v>
      </c>
      <c r="FY240" t="s">
        <v>267</v>
      </c>
      <c r="FZ240" t="s">
        <v>226</v>
      </c>
      <c r="GA240" t="s">
        <v>226</v>
      </c>
      <c r="GB240" t="s">
        <v>267</v>
      </c>
      <c r="GC240" t="s">
        <v>236</v>
      </c>
      <c r="GF240" t="s">
        <v>226</v>
      </c>
      <c r="GG240" t="s">
        <v>226</v>
      </c>
      <c r="GH240" t="s">
        <v>267</v>
      </c>
      <c r="GI240" t="s">
        <v>236</v>
      </c>
      <c r="GL240" t="s">
        <v>226</v>
      </c>
      <c r="GM240" t="s">
        <v>226</v>
      </c>
      <c r="GN240" t="s">
        <v>267</v>
      </c>
      <c r="GO240" t="s">
        <v>226</v>
      </c>
      <c r="GP240" t="s">
        <v>226</v>
      </c>
      <c r="GQ240" t="s">
        <v>267</v>
      </c>
      <c r="GR240" t="s">
        <v>226</v>
      </c>
      <c r="GS240" t="s">
        <v>226</v>
      </c>
      <c r="GT240" t="s">
        <v>267</v>
      </c>
      <c r="GU240" t="s">
        <v>226</v>
      </c>
      <c r="GV240" t="s">
        <v>226</v>
      </c>
      <c r="GW240" t="s">
        <v>267</v>
      </c>
      <c r="GX240" t="s">
        <v>236</v>
      </c>
      <c r="HB240" t="s">
        <v>1834</v>
      </c>
      <c r="HC240" t="s">
        <v>1835</v>
      </c>
      <c r="HD240" t="s">
        <v>1836</v>
      </c>
      <c r="HE240">
        <v>82976414</v>
      </c>
      <c r="HF240" t="s">
        <v>1837</v>
      </c>
      <c r="HG240" s="2">
        <v>45753.811979166669</v>
      </c>
      <c r="HJ240" t="s">
        <v>248</v>
      </c>
      <c r="HL240" t="s">
        <v>249</v>
      </c>
      <c r="HN240">
        <v>238</v>
      </c>
    </row>
    <row r="241" spans="1:222" x14ac:dyDescent="0.25">
      <c r="A241" s="2">
        <v>45753.603636921303</v>
      </c>
      <c r="B241" s="2">
        <v>45753.606827719908</v>
      </c>
      <c r="C241" t="s">
        <v>391</v>
      </c>
      <c r="D241">
        <v>396</v>
      </c>
      <c r="E241" s="2">
        <v>45731</v>
      </c>
      <c r="F241">
        <v>3</v>
      </c>
      <c r="G241" t="s">
        <v>1830</v>
      </c>
      <c r="H241" t="s">
        <v>307</v>
      </c>
      <c r="I241">
        <v>24</v>
      </c>
      <c r="J241" t="str">
        <f t="shared" si="3"/>
        <v>de 18 a 25 años</v>
      </c>
      <c r="K241" t="s">
        <v>224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225</v>
      </c>
      <c r="R241" t="s">
        <v>226</v>
      </c>
      <c r="T241" t="s">
        <v>1093</v>
      </c>
      <c r="V241" t="s">
        <v>252</v>
      </c>
      <c r="W241" t="s">
        <v>229</v>
      </c>
      <c r="X241" t="s">
        <v>230</v>
      </c>
      <c r="Z241" t="s">
        <v>231</v>
      </c>
      <c r="AA241" t="s">
        <v>232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0</v>
      </c>
      <c r="AI241" t="s">
        <v>256</v>
      </c>
      <c r="AJ241">
        <v>0</v>
      </c>
      <c r="AK241">
        <v>0</v>
      </c>
      <c r="AL241">
        <v>1</v>
      </c>
      <c r="AM241">
        <v>0</v>
      </c>
      <c r="AN241" t="s">
        <v>234</v>
      </c>
      <c r="AO241" t="s">
        <v>275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1</v>
      </c>
      <c r="AV241">
        <v>0</v>
      </c>
      <c r="AX241" t="s">
        <v>236</v>
      </c>
      <c r="AZ241" t="s">
        <v>362</v>
      </c>
      <c r="BA241" t="s">
        <v>1831</v>
      </c>
      <c r="BE241" t="s">
        <v>237</v>
      </c>
      <c r="BF241" t="s">
        <v>237</v>
      </c>
      <c r="BG241" t="s">
        <v>259</v>
      </c>
      <c r="BH241" t="s">
        <v>237</v>
      </c>
      <c r="BI241" t="s">
        <v>237</v>
      </c>
      <c r="BJ241" t="s">
        <v>237</v>
      </c>
      <c r="BK241" t="s">
        <v>237</v>
      </c>
      <c r="BL241" t="s">
        <v>262</v>
      </c>
      <c r="BM241" t="s">
        <v>389</v>
      </c>
      <c r="BN241">
        <v>0</v>
      </c>
      <c r="BO241">
        <v>0</v>
      </c>
      <c r="BP241">
        <v>1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 t="s">
        <v>264</v>
      </c>
      <c r="CB241" t="s">
        <v>264</v>
      </c>
      <c r="CC241" t="s">
        <v>264</v>
      </c>
      <c r="CD241" t="s">
        <v>236</v>
      </c>
      <c r="CE241" t="s">
        <v>236</v>
      </c>
      <c r="EA241" t="s">
        <v>236</v>
      </c>
      <c r="EC241" t="s">
        <v>236</v>
      </c>
      <c r="EE241" t="s">
        <v>236</v>
      </c>
      <c r="EG241" t="s">
        <v>226</v>
      </c>
      <c r="EH241" t="s">
        <v>245</v>
      </c>
      <c r="EI241" t="s">
        <v>236</v>
      </c>
      <c r="EK241" t="s">
        <v>236</v>
      </c>
      <c r="EM241" t="s">
        <v>226</v>
      </c>
      <c r="EN241" t="s">
        <v>244</v>
      </c>
      <c r="EO241" t="s">
        <v>236</v>
      </c>
      <c r="EQ241" t="s">
        <v>236</v>
      </c>
      <c r="ES241" t="s">
        <v>236</v>
      </c>
      <c r="EU241" t="s">
        <v>236</v>
      </c>
      <c r="EW241" t="s">
        <v>236</v>
      </c>
      <c r="EY241" t="s">
        <v>226</v>
      </c>
      <c r="EZ241" t="s">
        <v>244</v>
      </c>
      <c r="FA241" t="s">
        <v>226</v>
      </c>
      <c r="FB241" t="s">
        <v>244</v>
      </c>
      <c r="FC241" t="s">
        <v>236</v>
      </c>
      <c r="FE241" t="s">
        <v>226</v>
      </c>
      <c r="FF241" t="s">
        <v>245</v>
      </c>
      <c r="FG241" t="s">
        <v>236</v>
      </c>
      <c r="FJ241" t="s">
        <v>226</v>
      </c>
      <c r="FK241" t="s">
        <v>265</v>
      </c>
      <c r="FL241" t="s">
        <v>236</v>
      </c>
      <c r="FM241" t="s">
        <v>236</v>
      </c>
      <c r="FW241" t="s">
        <v>236</v>
      </c>
      <c r="FZ241" t="s">
        <v>236</v>
      </c>
      <c r="GC241" t="s">
        <v>236</v>
      </c>
      <c r="GF241" t="s">
        <v>226</v>
      </c>
      <c r="GG241" t="s">
        <v>236</v>
      </c>
      <c r="GI241" t="s">
        <v>236</v>
      </c>
      <c r="GL241" t="s">
        <v>226</v>
      </c>
      <c r="GM241" t="s">
        <v>236</v>
      </c>
      <c r="GO241" t="s">
        <v>226</v>
      </c>
      <c r="GP241" t="s">
        <v>226</v>
      </c>
      <c r="GQ241" t="s">
        <v>266</v>
      </c>
      <c r="GR241" t="s">
        <v>236</v>
      </c>
      <c r="GU241" t="s">
        <v>236</v>
      </c>
      <c r="GX241" t="s">
        <v>236</v>
      </c>
      <c r="HB241" t="s">
        <v>358</v>
      </c>
      <c r="HC241" t="s">
        <v>378</v>
      </c>
      <c r="HE241">
        <v>82976483</v>
      </c>
      <c r="HF241" t="s">
        <v>1832</v>
      </c>
      <c r="HG241" s="2">
        <v>45753.815185185187</v>
      </c>
      <c r="HJ241" t="s">
        <v>248</v>
      </c>
      <c r="HL241" t="s">
        <v>249</v>
      </c>
      <c r="HN241">
        <v>239</v>
      </c>
    </row>
    <row r="242" spans="1:222" x14ac:dyDescent="0.25">
      <c r="A242" s="2">
        <v>45753.606828900462</v>
      </c>
      <c r="B242" s="2">
        <v>45753.610350127317</v>
      </c>
      <c r="C242" t="s">
        <v>391</v>
      </c>
      <c r="D242">
        <v>395</v>
      </c>
      <c r="E242" s="2">
        <v>45731</v>
      </c>
      <c r="F242">
        <v>3</v>
      </c>
      <c r="G242" t="s">
        <v>1825</v>
      </c>
      <c r="H242" t="s">
        <v>307</v>
      </c>
      <c r="I242">
        <v>43</v>
      </c>
      <c r="J242" t="str">
        <f t="shared" si="3"/>
        <v>de 41 a 55 años</v>
      </c>
      <c r="K242" t="s">
        <v>224</v>
      </c>
      <c r="L242">
        <v>1</v>
      </c>
      <c r="M242">
        <v>0</v>
      </c>
      <c r="N242">
        <v>0</v>
      </c>
      <c r="O242">
        <v>0</v>
      </c>
      <c r="P242">
        <v>0</v>
      </c>
      <c r="Q242" t="s">
        <v>225</v>
      </c>
      <c r="R242" t="s">
        <v>236</v>
      </c>
      <c r="S242" t="s">
        <v>1826</v>
      </c>
      <c r="T242" t="s">
        <v>284</v>
      </c>
      <c r="V242" t="s">
        <v>272</v>
      </c>
      <c r="W242" t="s">
        <v>292</v>
      </c>
      <c r="X242" t="s">
        <v>253</v>
      </c>
      <c r="Z242" t="s">
        <v>254</v>
      </c>
      <c r="AA242" t="s">
        <v>352</v>
      </c>
      <c r="AB242">
        <v>1</v>
      </c>
      <c r="AC242">
        <v>0</v>
      </c>
      <c r="AD242">
        <v>0</v>
      </c>
      <c r="AE242">
        <v>0</v>
      </c>
      <c r="AF242">
        <v>1</v>
      </c>
      <c r="AG242">
        <v>0</v>
      </c>
      <c r="AI242" t="s">
        <v>233</v>
      </c>
      <c r="AJ242">
        <v>0</v>
      </c>
      <c r="AK242">
        <v>1</v>
      </c>
      <c r="AL242">
        <v>0</v>
      </c>
      <c r="AM242">
        <v>0</v>
      </c>
      <c r="AN242" t="s">
        <v>257</v>
      </c>
      <c r="AO242" t="s">
        <v>633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1</v>
      </c>
      <c r="AV242">
        <v>0</v>
      </c>
      <c r="AX242" t="s">
        <v>236</v>
      </c>
      <c r="AZ242" t="s">
        <v>237</v>
      </c>
      <c r="BA242" t="s">
        <v>1827</v>
      </c>
      <c r="BE242" t="s">
        <v>239</v>
      </c>
      <c r="BF242" t="s">
        <v>237</v>
      </c>
      <c r="BG242" t="s">
        <v>237</v>
      </c>
      <c r="BH242" t="s">
        <v>237</v>
      </c>
      <c r="BI242" t="s">
        <v>237</v>
      </c>
      <c r="BJ242" t="s">
        <v>237</v>
      </c>
      <c r="BK242" t="s">
        <v>239</v>
      </c>
      <c r="BL242" t="s">
        <v>262</v>
      </c>
      <c r="BM242" t="s">
        <v>372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1</v>
      </c>
      <c r="CA242" t="s">
        <v>328</v>
      </c>
      <c r="CB242" t="s">
        <v>264</v>
      </c>
      <c r="CC242" t="s">
        <v>264</v>
      </c>
      <c r="CD242" t="s">
        <v>236</v>
      </c>
      <c r="CE242" t="s">
        <v>236</v>
      </c>
      <c r="EA242" t="s">
        <v>236</v>
      </c>
      <c r="EC242" t="s">
        <v>236</v>
      </c>
      <c r="EE242" t="s">
        <v>236</v>
      </c>
      <c r="EG242" t="s">
        <v>226</v>
      </c>
      <c r="EH242" t="s">
        <v>244</v>
      </c>
      <c r="EI242" t="s">
        <v>236</v>
      </c>
      <c r="EK242" t="s">
        <v>236</v>
      </c>
      <c r="EM242" t="s">
        <v>226</v>
      </c>
      <c r="EN242" t="s">
        <v>244</v>
      </c>
      <c r="EO242" t="s">
        <v>236</v>
      </c>
      <c r="EQ242" t="s">
        <v>236</v>
      </c>
      <c r="ES242" t="s">
        <v>236</v>
      </c>
      <c r="EU242" t="s">
        <v>236</v>
      </c>
      <c r="EW242" t="s">
        <v>236</v>
      </c>
      <c r="EY242" t="s">
        <v>236</v>
      </c>
      <c r="FA242" t="s">
        <v>236</v>
      </c>
      <c r="FC242" t="s">
        <v>236</v>
      </c>
      <c r="FE242" t="s">
        <v>236</v>
      </c>
      <c r="FG242" t="s">
        <v>236</v>
      </c>
      <c r="FJ242" t="s">
        <v>226</v>
      </c>
      <c r="FK242" t="s">
        <v>244</v>
      </c>
      <c r="FL242" t="s">
        <v>236</v>
      </c>
      <c r="FM242" t="s">
        <v>236</v>
      </c>
      <c r="FW242" t="s">
        <v>226</v>
      </c>
      <c r="FX242" t="s">
        <v>236</v>
      </c>
      <c r="FZ242" t="s">
        <v>226</v>
      </c>
      <c r="GA242" t="s">
        <v>236</v>
      </c>
      <c r="GC242" t="s">
        <v>236</v>
      </c>
      <c r="GF242" t="s">
        <v>226</v>
      </c>
      <c r="GG242" t="s">
        <v>236</v>
      </c>
      <c r="GI242" t="s">
        <v>236</v>
      </c>
      <c r="GL242" t="s">
        <v>236</v>
      </c>
      <c r="GO242" t="s">
        <v>226</v>
      </c>
      <c r="GP242" t="s">
        <v>226</v>
      </c>
      <c r="GQ242" t="s">
        <v>266</v>
      </c>
      <c r="GR242" t="s">
        <v>226</v>
      </c>
      <c r="GS242" t="s">
        <v>226</v>
      </c>
      <c r="GT242" t="s">
        <v>266</v>
      </c>
      <c r="GU242" t="s">
        <v>226</v>
      </c>
      <c r="GV242" t="s">
        <v>236</v>
      </c>
      <c r="GX242" t="s">
        <v>236</v>
      </c>
      <c r="HB242" t="s">
        <v>1828</v>
      </c>
      <c r="HE242">
        <v>82976824</v>
      </c>
      <c r="HF242" t="s">
        <v>1829</v>
      </c>
      <c r="HG242" s="2">
        <v>45753.818703703713</v>
      </c>
      <c r="HJ242" t="s">
        <v>248</v>
      </c>
      <c r="HL242" t="s">
        <v>249</v>
      </c>
      <c r="HN242">
        <v>240</v>
      </c>
    </row>
    <row r="243" spans="1:222" x14ac:dyDescent="0.25">
      <c r="A243" s="2">
        <v>45753.610351400457</v>
      </c>
      <c r="B243" s="2">
        <v>45753.613304872677</v>
      </c>
      <c r="C243" t="s">
        <v>391</v>
      </c>
      <c r="D243">
        <v>394</v>
      </c>
      <c r="E243" s="2">
        <v>45731</v>
      </c>
      <c r="F243">
        <v>3</v>
      </c>
      <c r="G243" t="s">
        <v>419</v>
      </c>
      <c r="H243" t="s">
        <v>307</v>
      </c>
      <c r="I243">
        <v>53</v>
      </c>
      <c r="J243" t="str">
        <f t="shared" si="3"/>
        <v>de 41 a 55 años</v>
      </c>
      <c r="K243" t="s">
        <v>224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225</v>
      </c>
      <c r="R243" t="s">
        <v>236</v>
      </c>
      <c r="S243" t="s">
        <v>935</v>
      </c>
      <c r="T243" t="s">
        <v>227</v>
      </c>
      <c r="V243" t="s">
        <v>228</v>
      </c>
      <c r="W243" t="s">
        <v>229</v>
      </c>
      <c r="X243" t="s">
        <v>230</v>
      </c>
      <c r="Z243" t="s">
        <v>254</v>
      </c>
      <c r="AA243" t="s">
        <v>293</v>
      </c>
      <c r="AB243">
        <v>0</v>
      </c>
      <c r="AC243">
        <v>0</v>
      </c>
      <c r="AD243">
        <v>0</v>
      </c>
      <c r="AE243">
        <v>0</v>
      </c>
      <c r="AF243">
        <v>1</v>
      </c>
      <c r="AG243">
        <v>0</v>
      </c>
      <c r="AI243" t="s">
        <v>233</v>
      </c>
      <c r="AJ243">
        <v>0</v>
      </c>
      <c r="AK243">
        <v>1</v>
      </c>
      <c r="AL243">
        <v>0</v>
      </c>
      <c r="AM243">
        <v>0</v>
      </c>
      <c r="AN243" t="s">
        <v>234</v>
      </c>
      <c r="AO243" t="s">
        <v>275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1</v>
      </c>
      <c r="AV243">
        <v>0</v>
      </c>
      <c r="AX243" t="s">
        <v>236</v>
      </c>
      <c r="AZ243" t="s">
        <v>237</v>
      </c>
      <c r="BA243" t="s">
        <v>1821</v>
      </c>
      <c r="BE243" t="s">
        <v>237</v>
      </c>
      <c r="BF243" t="s">
        <v>237</v>
      </c>
      <c r="BG243" t="s">
        <v>239</v>
      </c>
      <c r="BH243" t="s">
        <v>237</v>
      </c>
      <c r="BI243" t="s">
        <v>237</v>
      </c>
      <c r="BJ243" t="s">
        <v>237</v>
      </c>
      <c r="BK243" t="s">
        <v>239</v>
      </c>
      <c r="BL243" t="s">
        <v>240</v>
      </c>
      <c r="BM243" t="s">
        <v>415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 t="s">
        <v>264</v>
      </c>
      <c r="CB243" t="s">
        <v>328</v>
      </c>
      <c r="CC243" t="s">
        <v>264</v>
      </c>
      <c r="CD243" t="s">
        <v>236</v>
      </c>
      <c r="CE243" t="s">
        <v>236</v>
      </c>
      <c r="EA243" t="s">
        <v>236</v>
      </c>
      <c r="EC243" t="s">
        <v>236</v>
      </c>
      <c r="EE243" t="s">
        <v>226</v>
      </c>
      <c r="EF243" t="s">
        <v>245</v>
      </c>
      <c r="EG243" t="s">
        <v>236</v>
      </c>
      <c r="EI243" t="s">
        <v>236</v>
      </c>
      <c r="EK243" t="s">
        <v>236</v>
      </c>
      <c r="EM243" t="s">
        <v>236</v>
      </c>
      <c r="EO243" t="s">
        <v>236</v>
      </c>
      <c r="EQ243" t="s">
        <v>236</v>
      </c>
      <c r="ES243" t="s">
        <v>236</v>
      </c>
      <c r="EU243" t="s">
        <v>236</v>
      </c>
      <c r="EW243" t="s">
        <v>236</v>
      </c>
      <c r="EY243" t="s">
        <v>236</v>
      </c>
      <c r="FA243" t="s">
        <v>236</v>
      </c>
      <c r="FC243" t="s">
        <v>236</v>
      </c>
      <c r="FE243" t="s">
        <v>236</v>
      </c>
      <c r="FG243" t="s">
        <v>236</v>
      </c>
      <c r="FJ243" t="s">
        <v>226</v>
      </c>
      <c r="FK243" t="s">
        <v>245</v>
      </c>
      <c r="FL243" t="s">
        <v>236</v>
      </c>
      <c r="FM243" t="s">
        <v>236</v>
      </c>
      <c r="FW243" t="s">
        <v>226</v>
      </c>
      <c r="FX243" t="s">
        <v>236</v>
      </c>
      <c r="FZ243" t="s">
        <v>226</v>
      </c>
      <c r="GA243" t="s">
        <v>236</v>
      </c>
      <c r="GC243" t="s">
        <v>226</v>
      </c>
      <c r="GD243" t="s">
        <v>226</v>
      </c>
      <c r="GE243" t="s">
        <v>267</v>
      </c>
      <c r="GF243" t="s">
        <v>226</v>
      </c>
      <c r="GG243" t="s">
        <v>226</v>
      </c>
      <c r="GH243" t="s">
        <v>267</v>
      </c>
      <c r="GI243" t="s">
        <v>236</v>
      </c>
      <c r="GL243" t="s">
        <v>236</v>
      </c>
      <c r="GO243" t="s">
        <v>226</v>
      </c>
      <c r="GP243" t="s">
        <v>226</v>
      </c>
      <c r="GQ243" t="s">
        <v>267</v>
      </c>
      <c r="GR243" t="s">
        <v>226</v>
      </c>
      <c r="GS243" t="s">
        <v>236</v>
      </c>
      <c r="GU243" t="s">
        <v>226</v>
      </c>
      <c r="GV243" t="s">
        <v>236</v>
      </c>
      <c r="GX243" t="s">
        <v>226</v>
      </c>
      <c r="GY243" t="s">
        <v>236</v>
      </c>
      <c r="HB243" t="s">
        <v>1822</v>
      </c>
      <c r="HC243" t="s">
        <v>1823</v>
      </c>
      <c r="HE243">
        <v>82977088</v>
      </c>
      <c r="HF243" t="s">
        <v>1824</v>
      </c>
      <c r="HG243" s="2">
        <v>45753.821655092594</v>
      </c>
      <c r="HJ243" t="s">
        <v>248</v>
      </c>
      <c r="HL243" t="s">
        <v>249</v>
      </c>
      <c r="HN243">
        <v>242</v>
      </c>
    </row>
    <row r="244" spans="1:222" x14ac:dyDescent="0.25">
      <c r="A244" s="2">
        <v>45753.61264608796</v>
      </c>
      <c r="B244" s="2">
        <v>45753.651931354158</v>
      </c>
      <c r="C244" t="s">
        <v>221</v>
      </c>
      <c r="D244">
        <v>429</v>
      </c>
      <c r="E244" s="2">
        <v>45731</v>
      </c>
      <c r="F244">
        <v>5</v>
      </c>
      <c r="G244" t="s">
        <v>380</v>
      </c>
      <c r="H244" t="s">
        <v>307</v>
      </c>
      <c r="I244">
        <v>22</v>
      </c>
      <c r="J244" t="str">
        <f t="shared" si="3"/>
        <v>de 18 a 25 años</v>
      </c>
      <c r="K244" t="s">
        <v>341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225</v>
      </c>
      <c r="R244" t="s">
        <v>226</v>
      </c>
      <c r="T244" t="s">
        <v>284</v>
      </c>
      <c r="V244" t="s">
        <v>252</v>
      </c>
      <c r="W244" t="s">
        <v>229</v>
      </c>
      <c r="X244" t="s">
        <v>230</v>
      </c>
      <c r="Z244" t="s">
        <v>231</v>
      </c>
      <c r="AA244" t="s">
        <v>232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I244" t="s">
        <v>233</v>
      </c>
      <c r="AJ244">
        <v>0</v>
      </c>
      <c r="AK244">
        <v>1</v>
      </c>
      <c r="AL244">
        <v>0</v>
      </c>
      <c r="AM244">
        <v>0</v>
      </c>
      <c r="AN244" t="s">
        <v>234</v>
      </c>
      <c r="AO244" t="s">
        <v>294</v>
      </c>
      <c r="AP244">
        <v>1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X244" t="s">
        <v>226</v>
      </c>
      <c r="AY244" t="s">
        <v>226</v>
      </c>
      <c r="AZ244" t="s">
        <v>237</v>
      </c>
      <c r="BA244" t="s">
        <v>1929</v>
      </c>
      <c r="BE244" t="s">
        <v>259</v>
      </c>
      <c r="BF244" t="s">
        <v>237</v>
      </c>
      <c r="BG244" t="s">
        <v>259</v>
      </c>
      <c r="BH244" t="s">
        <v>259</v>
      </c>
      <c r="BI244" t="s">
        <v>237</v>
      </c>
      <c r="BJ244" t="s">
        <v>259</v>
      </c>
      <c r="BK244" t="s">
        <v>259</v>
      </c>
      <c r="BL244" t="s">
        <v>262</v>
      </c>
      <c r="BM244" t="s">
        <v>415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 t="s">
        <v>264</v>
      </c>
      <c r="CB244" t="s">
        <v>242</v>
      </c>
      <c r="CC244" t="s">
        <v>264</v>
      </c>
      <c r="CD244" t="s">
        <v>226</v>
      </c>
      <c r="CE244" t="s">
        <v>236</v>
      </c>
      <c r="EA244" t="s">
        <v>236</v>
      </c>
      <c r="EC244" t="s">
        <v>236</v>
      </c>
      <c r="EE244" t="s">
        <v>226</v>
      </c>
      <c r="EF244" t="s">
        <v>244</v>
      </c>
      <c r="EG244" t="s">
        <v>226</v>
      </c>
      <c r="EH244" t="s">
        <v>244</v>
      </c>
      <c r="EI244" t="s">
        <v>236</v>
      </c>
      <c r="EK244" t="s">
        <v>236</v>
      </c>
      <c r="EM244" t="s">
        <v>226</v>
      </c>
      <c r="EN244" t="s">
        <v>244</v>
      </c>
      <c r="EO244" t="s">
        <v>226</v>
      </c>
      <c r="EP244" t="s">
        <v>244</v>
      </c>
      <c r="EQ244" t="s">
        <v>226</v>
      </c>
      <c r="ER244" t="s">
        <v>245</v>
      </c>
      <c r="ES244" t="s">
        <v>226</v>
      </c>
      <c r="ET244" t="s">
        <v>245</v>
      </c>
      <c r="EU244" t="s">
        <v>226</v>
      </c>
      <c r="EV244" t="s">
        <v>245</v>
      </c>
      <c r="EW244" t="s">
        <v>226</v>
      </c>
      <c r="EX244" t="s">
        <v>245</v>
      </c>
      <c r="EY244" t="s">
        <v>226</v>
      </c>
      <c r="EZ244" t="s">
        <v>245</v>
      </c>
      <c r="FA244" t="s">
        <v>226</v>
      </c>
      <c r="FB244" t="s">
        <v>244</v>
      </c>
      <c r="FC244" t="s">
        <v>226</v>
      </c>
      <c r="FD244" t="s">
        <v>245</v>
      </c>
      <c r="FE244" t="s">
        <v>226</v>
      </c>
      <c r="FF244" t="s">
        <v>245</v>
      </c>
      <c r="FG244" t="s">
        <v>236</v>
      </c>
      <c r="FJ244" t="s">
        <v>236</v>
      </c>
      <c r="FM244" t="s">
        <v>236</v>
      </c>
      <c r="FW244" t="s">
        <v>226</v>
      </c>
      <c r="FX244" t="s">
        <v>226</v>
      </c>
      <c r="FY244" t="s">
        <v>266</v>
      </c>
      <c r="FZ244" t="s">
        <v>226</v>
      </c>
      <c r="GA244" t="s">
        <v>226</v>
      </c>
      <c r="GB244" t="s">
        <v>266</v>
      </c>
      <c r="GC244" t="s">
        <v>236</v>
      </c>
      <c r="GF244" t="s">
        <v>226</v>
      </c>
      <c r="GG244" t="s">
        <v>226</v>
      </c>
      <c r="GH244" t="s">
        <v>266</v>
      </c>
      <c r="GI244" t="s">
        <v>226</v>
      </c>
      <c r="GJ244" t="s">
        <v>226</v>
      </c>
      <c r="GK244" t="s">
        <v>266</v>
      </c>
      <c r="GL244" t="s">
        <v>226</v>
      </c>
      <c r="GM244" t="s">
        <v>226</v>
      </c>
      <c r="GN244" t="s">
        <v>267</v>
      </c>
      <c r="GO244" t="s">
        <v>226</v>
      </c>
      <c r="GP244" t="s">
        <v>226</v>
      </c>
      <c r="GQ244" t="s">
        <v>267</v>
      </c>
      <c r="GR244" t="s">
        <v>226</v>
      </c>
      <c r="GS244" t="s">
        <v>226</v>
      </c>
      <c r="GT244" t="s">
        <v>267</v>
      </c>
      <c r="GU244" t="s">
        <v>226</v>
      </c>
      <c r="GV244" t="s">
        <v>226</v>
      </c>
      <c r="GW244" t="s">
        <v>267</v>
      </c>
      <c r="GX244" t="s">
        <v>236</v>
      </c>
      <c r="HB244" t="s">
        <v>1930</v>
      </c>
      <c r="HE244">
        <v>82979761</v>
      </c>
      <c r="HF244" t="s">
        <v>1931</v>
      </c>
      <c r="HG244" s="2">
        <v>45753.860266203701</v>
      </c>
      <c r="HJ244" t="s">
        <v>248</v>
      </c>
      <c r="HL244" t="s">
        <v>249</v>
      </c>
      <c r="HN244">
        <v>254</v>
      </c>
    </row>
    <row r="245" spans="1:222" x14ac:dyDescent="0.25">
      <c r="A245" s="2">
        <v>45753.61330611111</v>
      </c>
      <c r="B245" s="2">
        <v>45753.616214710652</v>
      </c>
      <c r="C245" t="s">
        <v>391</v>
      </c>
      <c r="D245">
        <v>393</v>
      </c>
      <c r="E245" s="2">
        <v>45731</v>
      </c>
      <c r="F245">
        <v>3</v>
      </c>
      <c r="G245" t="s">
        <v>419</v>
      </c>
      <c r="H245" t="s">
        <v>307</v>
      </c>
      <c r="I245">
        <v>46</v>
      </c>
      <c r="J245" t="str">
        <f t="shared" si="3"/>
        <v>de 41 a 55 años</v>
      </c>
      <c r="K245" t="s">
        <v>341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225</v>
      </c>
      <c r="R245" t="s">
        <v>226</v>
      </c>
      <c r="T245" t="s">
        <v>227</v>
      </c>
      <c r="V245" t="s">
        <v>228</v>
      </c>
      <c r="W245" t="s">
        <v>229</v>
      </c>
      <c r="X245" t="s">
        <v>230</v>
      </c>
      <c r="Z245" t="s">
        <v>231</v>
      </c>
      <c r="AA245" t="s">
        <v>420</v>
      </c>
      <c r="AB245">
        <v>1</v>
      </c>
      <c r="AC245">
        <v>0</v>
      </c>
      <c r="AD245">
        <v>0</v>
      </c>
      <c r="AE245">
        <v>1</v>
      </c>
      <c r="AF245">
        <v>1</v>
      </c>
      <c r="AG245">
        <v>0</v>
      </c>
      <c r="AI245" t="s">
        <v>256</v>
      </c>
      <c r="AJ245">
        <v>0</v>
      </c>
      <c r="AK245">
        <v>0</v>
      </c>
      <c r="AL245">
        <v>1</v>
      </c>
      <c r="AM245">
        <v>0</v>
      </c>
      <c r="AN245" t="s">
        <v>257</v>
      </c>
      <c r="AO245" t="s">
        <v>275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1</v>
      </c>
      <c r="AV245">
        <v>0</v>
      </c>
      <c r="AX245" t="s">
        <v>236</v>
      </c>
      <c r="AZ245" t="s">
        <v>237</v>
      </c>
      <c r="BA245" t="s">
        <v>421</v>
      </c>
      <c r="BE245" t="s">
        <v>239</v>
      </c>
      <c r="BF245" t="s">
        <v>237</v>
      </c>
      <c r="BG245" t="s">
        <v>259</v>
      </c>
      <c r="BH245" t="s">
        <v>237</v>
      </c>
      <c r="BI245" t="s">
        <v>237</v>
      </c>
      <c r="BJ245" t="s">
        <v>237</v>
      </c>
      <c r="BK245" t="s">
        <v>259</v>
      </c>
      <c r="BL245" t="s">
        <v>262</v>
      </c>
      <c r="BM245" t="s">
        <v>278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 t="s">
        <v>328</v>
      </c>
      <c r="CB245" t="s">
        <v>243</v>
      </c>
      <c r="CC245" t="s">
        <v>243</v>
      </c>
      <c r="CD245" t="s">
        <v>236</v>
      </c>
      <c r="CE245" t="s">
        <v>236</v>
      </c>
      <c r="EA245" t="s">
        <v>236</v>
      </c>
      <c r="EC245" t="s">
        <v>236</v>
      </c>
      <c r="EE245" t="s">
        <v>226</v>
      </c>
      <c r="EF245" t="s">
        <v>245</v>
      </c>
      <c r="EG245" t="s">
        <v>236</v>
      </c>
      <c r="EI245" t="s">
        <v>308</v>
      </c>
      <c r="EK245" t="s">
        <v>236</v>
      </c>
      <c r="EM245" t="s">
        <v>226</v>
      </c>
      <c r="EN245" t="s">
        <v>244</v>
      </c>
      <c r="EO245" t="s">
        <v>236</v>
      </c>
      <c r="EQ245" t="s">
        <v>236</v>
      </c>
      <c r="ES245" t="s">
        <v>226</v>
      </c>
      <c r="ET245" t="s">
        <v>244</v>
      </c>
      <c r="EU245" t="s">
        <v>236</v>
      </c>
      <c r="EW245" t="s">
        <v>236</v>
      </c>
      <c r="EY245" t="s">
        <v>226</v>
      </c>
      <c r="EZ245" t="s">
        <v>245</v>
      </c>
      <c r="FA245" t="s">
        <v>226</v>
      </c>
      <c r="FB245" t="s">
        <v>245</v>
      </c>
      <c r="FC245" t="s">
        <v>236</v>
      </c>
      <c r="FE245" t="s">
        <v>226</v>
      </c>
      <c r="FF245" t="s">
        <v>245</v>
      </c>
      <c r="FG245" t="s">
        <v>236</v>
      </c>
      <c r="FJ245" t="s">
        <v>226</v>
      </c>
      <c r="FK245" t="s">
        <v>245</v>
      </c>
      <c r="FL245" t="s">
        <v>226</v>
      </c>
      <c r="FM245" t="s">
        <v>236</v>
      </c>
      <c r="FW245" t="s">
        <v>226</v>
      </c>
      <c r="FX245" t="s">
        <v>236</v>
      </c>
      <c r="FZ245" t="s">
        <v>226</v>
      </c>
      <c r="GA245" t="s">
        <v>236</v>
      </c>
      <c r="GC245" t="s">
        <v>236</v>
      </c>
      <c r="GF245" t="s">
        <v>226</v>
      </c>
      <c r="GG245" t="s">
        <v>236</v>
      </c>
      <c r="GI245" t="s">
        <v>236</v>
      </c>
      <c r="GL245" t="s">
        <v>226</v>
      </c>
      <c r="GM245" t="s">
        <v>236</v>
      </c>
      <c r="GO245" t="s">
        <v>226</v>
      </c>
      <c r="GP245" t="s">
        <v>236</v>
      </c>
      <c r="GR245" t="s">
        <v>226</v>
      </c>
      <c r="GS245" t="s">
        <v>236</v>
      </c>
      <c r="GU245" t="s">
        <v>236</v>
      </c>
      <c r="GX245" t="s">
        <v>236</v>
      </c>
      <c r="HB245" t="s">
        <v>422</v>
      </c>
      <c r="HE245">
        <v>82977360</v>
      </c>
      <c r="HF245" t="s">
        <v>423</v>
      </c>
      <c r="HG245" s="2">
        <v>45753.824571759258</v>
      </c>
      <c r="HJ245" t="s">
        <v>248</v>
      </c>
      <c r="HL245" t="s">
        <v>249</v>
      </c>
      <c r="HN245">
        <v>243</v>
      </c>
    </row>
    <row r="246" spans="1:222" x14ac:dyDescent="0.25">
      <c r="A246" s="2">
        <v>45753.616216851849</v>
      </c>
      <c r="B246" s="2">
        <v>45753.619068796303</v>
      </c>
      <c r="C246" t="s">
        <v>391</v>
      </c>
      <c r="D246">
        <v>392</v>
      </c>
      <c r="E246" s="2">
        <v>45731</v>
      </c>
      <c r="F246">
        <v>3</v>
      </c>
      <c r="G246" t="s">
        <v>419</v>
      </c>
      <c r="H246" t="s">
        <v>307</v>
      </c>
      <c r="I246">
        <v>22</v>
      </c>
      <c r="J246" t="str">
        <f t="shared" si="3"/>
        <v>de 18 a 25 años</v>
      </c>
      <c r="K246" t="s">
        <v>224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291</v>
      </c>
      <c r="R246" t="s">
        <v>226</v>
      </c>
      <c r="T246" t="s">
        <v>227</v>
      </c>
      <c r="V246" t="s">
        <v>252</v>
      </c>
      <c r="W246" t="s">
        <v>229</v>
      </c>
      <c r="X246" t="s">
        <v>253</v>
      </c>
      <c r="Z246" t="s">
        <v>254</v>
      </c>
      <c r="AA246" t="s">
        <v>293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I246" t="s">
        <v>256</v>
      </c>
      <c r="AJ246">
        <v>0</v>
      </c>
      <c r="AK246">
        <v>0</v>
      </c>
      <c r="AL246">
        <v>1</v>
      </c>
      <c r="AM246">
        <v>0</v>
      </c>
      <c r="AN246" t="s">
        <v>300</v>
      </c>
      <c r="AO246" t="s">
        <v>275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1</v>
      </c>
      <c r="AV246">
        <v>0</v>
      </c>
      <c r="AX246" t="s">
        <v>226</v>
      </c>
      <c r="AY246" t="s">
        <v>236</v>
      </c>
      <c r="AZ246" t="s">
        <v>237</v>
      </c>
      <c r="BA246" t="s">
        <v>1818</v>
      </c>
      <c r="BE246" t="s">
        <v>239</v>
      </c>
      <c r="BF246" t="s">
        <v>237</v>
      </c>
      <c r="BG246" t="s">
        <v>237</v>
      </c>
      <c r="BH246" t="s">
        <v>239</v>
      </c>
      <c r="BI246" t="s">
        <v>237</v>
      </c>
      <c r="BJ246" t="s">
        <v>237</v>
      </c>
      <c r="BK246" t="s">
        <v>237</v>
      </c>
      <c r="BL246" t="s">
        <v>313</v>
      </c>
      <c r="BM246" t="s">
        <v>415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 t="s">
        <v>264</v>
      </c>
      <c r="CB246" t="s">
        <v>264</v>
      </c>
      <c r="CC246" t="s">
        <v>264</v>
      </c>
      <c r="CD246" t="s">
        <v>236</v>
      </c>
      <c r="CE246" t="s">
        <v>236</v>
      </c>
      <c r="EA246" t="s">
        <v>236</v>
      </c>
      <c r="EC246" t="s">
        <v>236</v>
      </c>
      <c r="EE246" t="s">
        <v>236</v>
      </c>
      <c r="EG246" t="s">
        <v>226</v>
      </c>
      <c r="EH246" t="s">
        <v>245</v>
      </c>
      <c r="EI246" t="s">
        <v>226</v>
      </c>
      <c r="EJ246" t="s">
        <v>244</v>
      </c>
      <c r="EK246" t="s">
        <v>236</v>
      </c>
      <c r="EM246" t="s">
        <v>236</v>
      </c>
      <c r="EO246" t="s">
        <v>226</v>
      </c>
      <c r="EP246" t="s">
        <v>244</v>
      </c>
      <c r="EQ246" t="s">
        <v>236</v>
      </c>
      <c r="ES246" t="s">
        <v>226</v>
      </c>
      <c r="ET246" t="s">
        <v>265</v>
      </c>
      <c r="EU246" t="s">
        <v>236</v>
      </c>
      <c r="EW246" t="s">
        <v>236</v>
      </c>
      <c r="EY246" t="s">
        <v>226</v>
      </c>
      <c r="EZ246" t="s">
        <v>244</v>
      </c>
      <c r="FA246" t="s">
        <v>226</v>
      </c>
      <c r="FB246" t="s">
        <v>244</v>
      </c>
      <c r="FC246" t="s">
        <v>236</v>
      </c>
      <c r="FE246" t="s">
        <v>236</v>
      </c>
      <c r="FG246" t="s">
        <v>236</v>
      </c>
      <c r="FJ246" t="s">
        <v>226</v>
      </c>
      <c r="FK246" t="s">
        <v>265</v>
      </c>
      <c r="FL246" t="s">
        <v>236</v>
      </c>
      <c r="FM246" t="s">
        <v>236</v>
      </c>
      <c r="FW246" t="s">
        <v>226</v>
      </c>
      <c r="FX246" t="s">
        <v>236</v>
      </c>
      <c r="FZ246" t="s">
        <v>236</v>
      </c>
      <c r="GC246" t="s">
        <v>236</v>
      </c>
      <c r="GF246" t="s">
        <v>236</v>
      </c>
      <c r="GI246" t="s">
        <v>236</v>
      </c>
      <c r="GL246" t="s">
        <v>226</v>
      </c>
      <c r="GM246" t="s">
        <v>236</v>
      </c>
      <c r="GO246" t="s">
        <v>226</v>
      </c>
      <c r="GP246" t="s">
        <v>226</v>
      </c>
      <c r="GQ246" t="s">
        <v>267</v>
      </c>
      <c r="GR246" t="s">
        <v>226</v>
      </c>
      <c r="GS246" t="s">
        <v>226</v>
      </c>
      <c r="GT246" t="s">
        <v>266</v>
      </c>
      <c r="GU246" t="s">
        <v>236</v>
      </c>
      <c r="GX246" t="s">
        <v>236</v>
      </c>
      <c r="HB246" t="s">
        <v>1819</v>
      </c>
      <c r="HC246" t="s">
        <v>378</v>
      </c>
      <c r="HE246">
        <v>82977519</v>
      </c>
      <c r="HF246" t="s">
        <v>1820</v>
      </c>
      <c r="HG246" s="2">
        <v>45753.827418981477</v>
      </c>
      <c r="HJ246" t="s">
        <v>248</v>
      </c>
      <c r="HL246" t="s">
        <v>249</v>
      </c>
      <c r="HN246">
        <v>244</v>
      </c>
    </row>
    <row r="247" spans="1:222" x14ac:dyDescent="0.25">
      <c r="A247" s="2">
        <v>45753.619070046298</v>
      </c>
      <c r="B247" s="2">
        <v>45753.62300068287</v>
      </c>
      <c r="C247" t="s">
        <v>391</v>
      </c>
      <c r="D247">
        <v>391</v>
      </c>
      <c r="E247" s="2">
        <v>45731</v>
      </c>
      <c r="F247">
        <v>3</v>
      </c>
      <c r="G247" t="s">
        <v>1058</v>
      </c>
      <c r="H247" t="s">
        <v>307</v>
      </c>
      <c r="I247">
        <v>32</v>
      </c>
      <c r="J247" t="str">
        <f t="shared" si="3"/>
        <v>de 26 a 40 años</v>
      </c>
      <c r="K247" t="s">
        <v>224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225</v>
      </c>
      <c r="R247" t="s">
        <v>226</v>
      </c>
      <c r="T247" t="s">
        <v>227</v>
      </c>
      <c r="V247" t="s">
        <v>321</v>
      </c>
      <c r="W247" t="s">
        <v>229</v>
      </c>
      <c r="X247" t="s">
        <v>230</v>
      </c>
      <c r="Z247" t="s">
        <v>351</v>
      </c>
      <c r="AA247" t="s">
        <v>420</v>
      </c>
      <c r="AB247">
        <v>1</v>
      </c>
      <c r="AC247">
        <v>0</v>
      </c>
      <c r="AD247">
        <v>0</v>
      </c>
      <c r="AE247">
        <v>1</v>
      </c>
      <c r="AF247">
        <v>1</v>
      </c>
      <c r="AG247">
        <v>0</v>
      </c>
      <c r="AI247" t="s">
        <v>311</v>
      </c>
      <c r="AJ247">
        <v>0</v>
      </c>
      <c r="AK247">
        <v>1</v>
      </c>
      <c r="AL247">
        <v>1</v>
      </c>
      <c r="AM247">
        <v>0</v>
      </c>
      <c r="AN247" t="s">
        <v>300</v>
      </c>
      <c r="AO247" t="s">
        <v>818</v>
      </c>
      <c r="AP247">
        <v>0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0</v>
      </c>
      <c r="AX247" t="s">
        <v>226</v>
      </c>
      <c r="AY247" t="s">
        <v>226</v>
      </c>
      <c r="AZ247" t="s">
        <v>237</v>
      </c>
      <c r="BA247" t="s">
        <v>1813</v>
      </c>
      <c r="BB247" t="s">
        <v>1814</v>
      </c>
      <c r="BC247" t="s">
        <v>1815</v>
      </c>
      <c r="BE247" t="s">
        <v>259</v>
      </c>
      <c r="BF247" t="s">
        <v>259</v>
      </c>
      <c r="BG247" t="s">
        <v>259</v>
      </c>
      <c r="BH247" t="s">
        <v>259</v>
      </c>
      <c r="BI247" t="s">
        <v>362</v>
      </c>
      <c r="BJ247" t="s">
        <v>237</v>
      </c>
      <c r="BK247" t="s">
        <v>261</v>
      </c>
      <c r="BL247" t="s">
        <v>262</v>
      </c>
      <c r="BM247" t="s">
        <v>1816</v>
      </c>
      <c r="BN247">
        <v>1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 t="s">
        <v>264</v>
      </c>
      <c r="CB247" t="s">
        <v>243</v>
      </c>
      <c r="CC247" t="s">
        <v>264</v>
      </c>
      <c r="CD247" t="s">
        <v>236</v>
      </c>
      <c r="CE247" t="s">
        <v>236</v>
      </c>
      <c r="EA247" t="s">
        <v>236</v>
      </c>
      <c r="EC247" t="s">
        <v>226</v>
      </c>
      <c r="ED247" t="s">
        <v>245</v>
      </c>
      <c r="EE247" t="s">
        <v>226</v>
      </c>
      <c r="EF247" t="s">
        <v>245</v>
      </c>
      <c r="EG247" t="s">
        <v>226</v>
      </c>
      <c r="EH247" t="s">
        <v>244</v>
      </c>
      <c r="EI247" t="s">
        <v>226</v>
      </c>
      <c r="EJ247" t="s">
        <v>244</v>
      </c>
      <c r="EK247" t="s">
        <v>236</v>
      </c>
      <c r="EM247" t="s">
        <v>226</v>
      </c>
      <c r="EN247" t="s">
        <v>245</v>
      </c>
      <c r="EO247" t="s">
        <v>236</v>
      </c>
      <c r="EQ247" t="s">
        <v>236</v>
      </c>
      <c r="ES247" t="s">
        <v>236</v>
      </c>
      <c r="EU247" t="s">
        <v>236</v>
      </c>
      <c r="EW247" t="s">
        <v>226</v>
      </c>
      <c r="EX247" t="s">
        <v>244</v>
      </c>
      <c r="EY247" t="s">
        <v>236</v>
      </c>
      <c r="FA247" t="s">
        <v>236</v>
      </c>
      <c r="FC247" t="s">
        <v>236</v>
      </c>
      <c r="FE247" t="s">
        <v>236</v>
      </c>
      <c r="FG247" t="s">
        <v>236</v>
      </c>
      <c r="FJ247" t="s">
        <v>226</v>
      </c>
      <c r="FK247" t="s">
        <v>245</v>
      </c>
      <c r="FL247" t="s">
        <v>236</v>
      </c>
      <c r="FM247" t="s">
        <v>236</v>
      </c>
      <c r="FW247" t="s">
        <v>226</v>
      </c>
      <c r="FX247" t="s">
        <v>226</v>
      </c>
      <c r="FY247" t="s">
        <v>267</v>
      </c>
      <c r="FZ247" t="s">
        <v>226</v>
      </c>
      <c r="GA247" t="s">
        <v>236</v>
      </c>
      <c r="GC247" t="s">
        <v>236</v>
      </c>
      <c r="GF247" t="s">
        <v>226</v>
      </c>
      <c r="GG247" t="s">
        <v>226</v>
      </c>
      <c r="GH247" t="s">
        <v>266</v>
      </c>
      <c r="GI247" t="s">
        <v>236</v>
      </c>
      <c r="GL247" t="s">
        <v>236</v>
      </c>
      <c r="GO247" t="s">
        <v>226</v>
      </c>
      <c r="GP247" t="s">
        <v>226</v>
      </c>
      <c r="GQ247" t="s">
        <v>266</v>
      </c>
      <c r="GR247" t="s">
        <v>226</v>
      </c>
      <c r="GS247" t="s">
        <v>226</v>
      </c>
      <c r="GT247" t="s">
        <v>266</v>
      </c>
      <c r="GU247" t="s">
        <v>236</v>
      </c>
      <c r="GX247" t="s">
        <v>236</v>
      </c>
      <c r="HB247" t="s">
        <v>317</v>
      </c>
      <c r="HC247" t="s">
        <v>338</v>
      </c>
      <c r="HD247" t="s">
        <v>279</v>
      </c>
      <c r="HE247">
        <v>82977644</v>
      </c>
      <c r="HF247" t="s">
        <v>1817</v>
      </c>
      <c r="HG247" s="2">
        <v>45753.831354166658</v>
      </c>
      <c r="HJ247" t="s">
        <v>248</v>
      </c>
      <c r="HL247" t="s">
        <v>249</v>
      </c>
      <c r="HN247">
        <v>245</v>
      </c>
    </row>
    <row r="248" spans="1:222" x14ac:dyDescent="0.25">
      <c r="A248" s="2">
        <v>45753.623001458327</v>
      </c>
      <c r="B248" s="2">
        <v>45753.626098645836</v>
      </c>
      <c r="C248" t="s">
        <v>391</v>
      </c>
      <c r="D248">
        <v>390</v>
      </c>
      <c r="E248" s="2">
        <v>45731</v>
      </c>
      <c r="F248">
        <v>3</v>
      </c>
      <c r="G248" t="s">
        <v>486</v>
      </c>
      <c r="H248" t="s">
        <v>307</v>
      </c>
      <c r="I248">
        <v>77</v>
      </c>
      <c r="J248" t="str">
        <f t="shared" si="3"/>
        <v>de 56 a más</v>
      </c>
      <c r="K248" t="s">
        <v>224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225</v>
      </c>
      <c r="R248" t="s">
        <v>226</v>
      </c>
      <c r="T248" t="s">
        <v>227</v>
      </c>
      <c r="V248" t="s">
        <v>612</v>
      </c>
      <c r="W248" t="s">
        <v>229</v>
      </c>
      <c r="X248" t="s">
        <v>230</v>
      </c>
      <c r="Z248" t="s">
        <v>254</v>
      </c>
      <c r="AA248" t="s">
        <v>293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0</v>
      </c>
      <c r="AI248" t="s">
        <v>256</v>
      </c>
      <c r="AJ248">
        <v>0</v>
      </c>
      <c r="AK248">
        <v>0</v>
      </c>
      <c r="AL248">
        <v>1</v>
      </c>
      <c r="AM248">
        <v>0</v>
      </c>
      <c r="AN248" t="s">
        <v>234</v>
      </c>
      <c r="AO248" t="s">
        <v>369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 t="s">
        <v>828</v>
      </c>
      <c r="AX248" t="s">
        <v>226</v>
      </c>
      <c r="AY248" t="s">
        <v>226</v>
      </c>
      <c r="AZ248" t="s">
        <v>237</v>
      </c>
      <c r="BA248" t="s">
        <v>672</v>
      </c>
      <c r="BB248" t="s">
        <v>322</v>
      </c>
      <c r="BC248" t="s">
        <v>338</v>
      </c>
      <c r="BE248" t="s">
        <v>237</v>
      </c>
      <c r="BF248" t="s">
        <v>259</v>
      </c>
      <c r="BG248" t="s">
        <v>237</v>
      </c>
      <c r="BH248" t="s">
        <v>237</v>
      </c>
      <c r="BI248" t="s">
        <v>237</v>
      </c>
      <c r="BJ248" t="s">
        <v>237</v>
      </c>
      <c r="BK248" t="s">
        <v>261</v>
      </c>
      <c r="BL248" t="s">
        <v>262</v>
      </c>
      <c r="BM248" t="s">
        <v>451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 t="s">
        <v>242</v>
      </c>
      <c r="CB248" t="s">
        <v>264</v>
      </c>
      <c r="CC248" t="s">
        <v>264</v>
      </c>
      <c r="CD248" t="s">
        <v>236</v>
      </c>
      <c r="CE248" t="s">
        <v>236</v>
      </c>
      <c r="EA248" t="s">
        <v>236</v>
      </c>
      <c r="EC248" t="s">
        <v>226</v>
      </c>
      <c r="ED248" t="s">
        <v>245</v>
      </c>
      <c r="EE248" t="s">
        <v>226</v>
      </c>
      <c r="EF248" t="s">
        <v>245</v>
      </c>
      <c r="EG248" t="s">
        <v>226</v>
      </c>
      <c r="EH248" t="s">
        <v>245</v>
      </c>
      <c r="EI248" t="s">
        <v>226</v>
      </c>
      <c r="EJ248" t="s">
        <v>265</v>
      </c>
      <c r="EK248" t="s">
        <v>236</v>
      </c>
      <c r="EM248" t="s">
        <v>236</v>
      </c>
      <c r="EO248" t="s">
        <v>236</v>
      </c>
      <c r="EQ248" t="s">
        <v>236</v>
      </c>
      <c r="ES248" t="s">
        <v>236</v>
      </c>
      <c r="EU248" t="s">
        <v>236</v>
      </c>
      <c r="EW248" t="s">
        <v>226</v>
      </c>
      <c r="EX248" t="s">
        <v>244</v>
      </c>
      <c r="EY248" t="s">
        <v>226</v>
      </c>
      <c r="EZ248" t="s">
        <v>245</v>
      </c>
      <c r="FA248" t="s">
        <v>236</v>
      </c>
      <c r="FC248" t="s">
        <v>236</v>
      </c>
      <c r="FE248" t="s">
        <v>236</v>
      </c>
      <c r="FG248" t="s">
        <v>236</v>
      </c>
      <c r="FJ248" t="s">
        <v>226</v>
      </c>
      <c r="FK248" t="s">
        <v>244</v>
      </c>
      <c r="FL248" t="s">
        <v>226</v>
      </c>
      <c r="FM248" t="s">
        <v>236</v>
      </c>
      <c r="FW248" t="s">
        <v>226</v>
      </c>
      <c r="FX248" t="s">
        <v>236</v>
      </c>
      <c r="FZ248" t="s">
        <v>226</v>
      </c>
      <c r="GA248" t="s">
        <v>236</v>
      </c>
      <c r="GC248" t="s">
        <v>226</v>
      </c>
      <c r="GD248" t="s">
        <v>236</v>
      </c>
      <c r="GF248" t="s">
        <v>226</v>
      </c>
      <c r="GG248" t="s">
        <v>236</v>
      </c>
      <c r="GI248" t="s">
        <v>236</v>
      </c>
      <c r="GL248" t="s">
        <v>236</v>
      </c>
      <c r="GO248" t="s">
        <v>226</v>
      </c>
      <c r="GP248" t="s">
        <v>236</v>
      </c>
      <c r="GR248" t="s">
        <v>236</v>
      </c>
      <c r="GU248" t="s">
        <v>236</v>
      </c>
      <c r="GX248" t="s">
        <v>236</v>
      </c>
      <c r="HB248" t="s">
        <v>1811</v>
      </c>
      <c r="HC248" t="s">
        <v>1373</v>
      </c>
      <c r="HD248" t="s">
        <v>640</v>
      </c>
      <c r="HE248">
        <v>82977697</v>
      </c>
      <c r="HF248" t="s">
        <v>1812</v>
      </c>
      <c r="HG248" s="2">
        <v>45753.834456018521</v>
      </c>
      <c r="HJ248" t="s">
        <v>248</v>
      </c>
      <c r="HL248" t="s">
        <v>249</v>
      </c>
      <c r="HN248">
        <v>246</v>
      </c>
    </row>
    <row r="249" spans="1:222" x14ac:dyDescent="0.25">
      <c r="A249" s="2">
        <v>45753.626100046298</v>
      </c>
      <c r="B249" s="2">
        <v>45753.629622152781</v>
      </c>
      <c r="C249" t="s">
        <v>391</v>
      </c>
      <c r="D249">
        <v>389</v>
      </c>
      <c r="E249" s="2">
        <v>45731</v>
      </c>
      <c r="F249">
        <v>3</v>
      </c>
      <c r="G249" t="s">
        <v>486</v>
      </c>
      <c r="H249" t="s">
        <v>307</v>
      </c>
      <c r="I249">
        <v>65</v>
      </c>
      <c r="J249" t="str">
        <f t="shared" si="3"/>
        <v>de 56 a más</v>
      </c>
      <c r="K249" t="s">
        <v>341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225</v>
      </c>
      <c r="R249" t="s">
        <v>236</v>
      </c>
      <c r="S249" t="s">
        <v>1805</v>
      </c>
      <c r="T249" t="s">
        <v>392</v>
      </c>
      <c r="V249" t="s">
        <v>272</v>
      </c>
      <c r="W249" t="s">
        <v>229</v>
      </c>
      <c r="X249" t="s">
        <v>368</v>
      </c>
      <c r="Z249" t="s">
        <v>231</v>
      </c>
      <c r="AA249" t="s">
        <v>293</v>
      </c>
      <c r="AB249">
        <v>0</v>
      </c>
      <c r="AC249">
        <v>0</v>
      </c>
      <c r="AD249">
        <v>0</v>
      </c>
      <c r="AE249">
        <v>0</v>
      </c>
      <c r="AF249">
        <v>1</v>
      </c>
      <c r="AG249">
        <v>0</v>
      </c>
      <c r="AI249" t="s">
        <v>1806</v>
      </c>
      <c r="AJ249">
        <v>1</v>
      </c>
      <c r="AK249">
        <v>0</v>
      </c>
      <c r="AL249">
        <v>1</v>
      </c>
      <c r="AM249">
        <v>1</v>
      </c>
      <c r="AN249" t="s">
        <v>274</v>
      </c>
      <c r="AO249" t="s">
        <v>454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1</v>
      </c>
      <c r="AV249">
        <v>0</v>
      </c>
      <c r="AX249" t="s">
        <v>226</v>
      </c>
      <c r="AY249" t="s">
        <v>236</v>
      </c>
      <c r="AZ249" t="s">
        <v>261</v>
      </c>
      <c r="BA249" t="s">
        <v>1807</v>
      </c>
      <c r="BB249" t="s">
        <v>711</v>
      </c>
      <c r="BC249" t="s">
        <v>545</v>
      </c>
      <c r="BE249" t="s">
        <v>261</v>
      </c>
      <c r="BF249" t="s">
        <v>362</v>
      </c>
      <c r="BG249" t="s">
        <v>261</v>
      </c>
      <c r="BH249" t="s">
        <v>261</v>
      </c>
      <c r="BI249" t="s">
        <v>237</v>
      </c>
      <c r="BJ249" t="s">
        <v>261</v>
      </c>
      <c r="BK249" t="s">
        <v>261</v>
      </c>
      <c r="BL249" t="s">
        <v>262</v>
      </c>
      <c r="BM249" t="s">
        <v>1808</v>
      </c>
      <c r="BN249">
        <v>1</v>
      </c>
      <c r="BO249">
        <v>0</v>
      </c>
      <c r="BP249">
        <v>1</v>
      </c>
      <c r="BQ249">
        <v>0</v>
      </c>
      <c r="BR249">
        <v>0</v>
      </c>
      <c r="BS249">
        <v>1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 t="s">
        <v>243</v>
      </c>
      <c r="CB249" t="s">
        <v>243</v>
      </c>
      <c r="CC249" t="s">
        <v>243</v>
      </c>
      <c r="CD249" t="s">
        <v>226</v>
      </c>
      <c r="CE249" t="s">
        <v>236</v>
      </c>
      <c r="EA249" t="s">
        <v>236</v>
      </c>
      <c r="EC249" t="s">
        <v>226</v>
      </c>
      <c r="ED249" t="s">
        <v>265</v>
      </c>
      <c r="EE249" t="s">
        <v>226</v>
      </c>
      <c r="EF249" t="s">
        <v>265</v>
      </c>
      <c r="EG249" t="s">
        <v>226</v>
      </c>
      <c r="EH249" t="s">
        <v>265</v>
      </c>
      <c r="EI249" t="s">
        <v>226</v>
      </c>
      <c r="EJ249" t="s">
        <v>245</v>
      </c>
      <c r="EK249" t="s">
        <v>236</v>
      </c>
      <c r="EM249" t="s">
        <v>226</v>
      </c>
      <c r="EN249" t="s">
        <v>265</v>
      </c>
      <c r="EO249" t="s">
        <v>226</v>
      </c>
      <c r="EP249" t="s">
        <v>244</v>
      </c>
      <c r="EQ249" t="s">
        <v>236</v>
      </c>
      <c r="ES249" t="s">
        <v>226</v>
      </c>
      <c r="ET249" t="s">
        <v>265</v>
      </c>
      <c r="EU249" t="s">
        <v>236</v>
      </c>
      <c r="EW249" t="s">
        <v>236</v>
      </c>
      <c r="EY249" t="s">
        <v>226</v>
      </c>
      <c r="EZ249" t="s">
        <v>265</v>
      </c>
      <c r="FA249" t="s">
        <v>226</v>
      </c>
      <c r="FB249" t="s">
        <v>244</v>
      </c>
      <c r="FC249" t="s">
        <v>236</v>
      </c>
      <c r="FE249" t="s">
        <v>226</v>
      </c>
      <c r="FF249" t="s">
        <v>244</v>
      </c>
      <c r="FG249" t="s">
        <v>236</v>
      </c>
      <c r="FJ249" t="s">
        <v>226</v>
      </c>
      <c r="FK249" t="s">
        <v>265</v>
      </c>
      <c r="FL249" t="s">
        <v>236</v>
      </c>
      <c r="FM249" t="s">
        <v>236</v>
      </c>
      <c r="FW249" t="s">
        <v>226</v>
      </c>
      <c r="FX249" t="s">
        <v>226</v>
      </c>
      <c r="FY249" t="s">
        <v>266</v>
      </c>
      <c r="FZ249" t="s">
        <v>236</v>
      </c>
      <c r="GC249" t="s">
        <v>236</v>
      </c>
      <c r="GF249" t="s">
        <v>226</v>
      </c>
      <c r="GG249" t="s">
        <v>226</v>
      </c>
      <c r="GH249" t="s">
        <v>266</v>
      </c>
      <c r="GI249" t="s">
        <v>236</v>
      </c>
      <c r="GL249" t="s">
        <v>236</v>
      </c>
      <c r="GO249" t="s">
        <v>236</v>
      </c>
      <c r="GR249" t="s">
        <v>236</v>
      </c>
      <c r="GU249" t="s">
        <v>236</v>
      </c>
      <c r="GX249" t="s">
        <v>236</v>
      </c>
      <c r="HB249" t="s">
        <v>358</v>
      </c>
      <c r="HC249" t="s">
        <v>1809</v>
      </c>
      <c r="HD249" t="s">
        <v>642</v>
      </c>
      <c r="HE249">
        <v>82977923</v>
      </c>
      <c r="HF249" t="s">
        <v>1810</v>
      </c>
      <c r="HG249" s="2">
        <v>45753.83797453704</v>
      </c>
      <c r="HJ249" t="s">
        <v>248</v>
      </c>
      <c r="HL249" t="s">
        <v>249</v>
      </c>
      <c r="HN249">
        <v>247</v>
      </c>
    </row>
    <row r="250" spans="1:222" x14ac:dyDescent="0.25">
      <c r="A250" s="2">
        <v>45753.629623368062</v>
      </c>
      <c r="B250" s="2">
        <v>45753.632698437497</v>
      </c>
      <c r="C250" t="s">
        <v>391</v>
      </c>
      <c r="D250">
        <v>388</v>
      </c>
      <c r="E250" s="2">
        <v>45731</v>
      </c>
      <c r="F250">
        <v>3</v>
      </c>
      <c r="G250" t="s">
        <v>486</v>
      </c>
      <c r="H250" t="s">
        <v>307</v>
      </c>
      <c r="I250">
        <v>23</v>
      </c>
      <c r="J250" t="str">
        <f t="shared" si="3"/>
        <v>de 18 a 25 años</v>
      </c>
      <c r="K250" t="s">
        <v>224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291</v>
      </c>
      <c r="R250" t="s">
        <v>226</v>
      </c>
      <c r="T250" t="s">
        <v>227</v>
      </c>
      <c r="V250" t="s">
        <v>321</v>
      </c>
      <c r="W250" t="s">
        <v>292</v>
      </c>
      <c r="X250" t="s">
        <v>230</v>
      </c>
      <c r="Z250" t="s">
        <v>231</v>
      </c>
      <c r="AA250" t="s">
        <v>293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0</v>
      </c>
      <c r="AI250" t="s">
        <v>256</v>
      </c>
      <c r="AJ250">
        <v>0</v>
      </c>
      <c r="AK250">
        <v>0</v>
      </c>
      <c r="AL250">
        <v>1</v>
      </c>
      <c r="AM250">
        <v>0</v>
      </c>
      <c r="AN250" t="s">
        <v>234</v>
      </c>
      <c r="AO250" t="s">
        <v>275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</v>
      </c>
      <c r="AV250">
        <v>0</v>
      </c>
      <c r="AX250" t="s">
        <v>226</v>
      </c>
      <c r="AY250" t="s">
        <v>226</v>
      </c>
      <c r="AZ250" t="s">
        <v>237</v>
      </c>
      <c r="BA250" t="s">
        <v>1801</v>
      </c>
      <c r="BB250" t="s">
        <v>336</v>
      </c>
      <c r="BC250" t="s">
        <v>1802</v>
      </c>
      <c r="BE250" t="s">
        <v>259</v>
      </c>
      <c r="BF250" t="s">
        <v>237</v>
      </c>
      <c r="BG250" t="s">
        <v>259</v>
      </c>
      <c r="BH250" t="s">
        <v>237</v>
      </c>
      <c r="BI250" t="s">
        <v>237</v>
      </c>
      <c r="BJ250" t="s">
        <v>259</v>
      </c>
      <c r="BK250" t="s">
        <v>261</v>
      </c>
      <c r="BL250" t="s">
        <v>262</v>
      </c>
      <c r="BM250" t="s">
        <v>518</v>
      </c>
      <c r="BN250">
        <v>0</v>
      </c>
      <c r="BO250">
        <v>0</v>
      </c>
      <c r="BP250">
        <v>1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 t="s">
        <v>243</v>
      </c>
      <c r="CB250" t="s">
        <v>264</v>
      </c>
      <c r="CC250" t="s">
        <v>264</v>
      </c>
      <c r="CD250" t="s">
        <v>226</v>
      </c>
      <c r="CE250" t="s">
        <v>236</v>
      </c>
      <c r="EA250" t="s">
        <v>236</v>
      </c>
      <c r="EC250" t="s">
        <v>236</v>
      </c>
      <c r="EE250" t="s">
        <v>226</v>
      </c>
      <c r="EF250" t="s">
        <v>244</v>
      </c>
      <c r="EG250" t="s">
        <v>226</v>
      </c>
      <c r="EH250" t="s">
        <v>245</v>
      </c>
      <c r="EI250" t="s">
        <v>236</v>
      </c>
      <c r="EK250" t="s">
        <v>236</v>
      </c>
      <c r="EM250" t="s">
        <v>226</v>
      </c>
      <c r="EN250" t="s">
        <v>245</v>
      </c>
      <c r="EO250" t="s">
        <v>236</v>
      </c>
      <c r="EQ250" t="s">
        <v>236</v>
      </c>
      <c r="ES250" t="s">
        <v>236</v>
      </c>
      <c r="EU250" t="s">
        <v>236</v>
      </c>
      <c r="EW250" t="s">
        <v>236</v>
      </c>
      <c r="EY250" t="s">
        <v>236</v>
      </c>
      <c r="FA250" t="s">
        <v>226</v>
      </c>
      <c r="FB250" t="s">
        <v>244</v>
      </c>
      <c r="FC250" t="s">
        <v>236</v>
      </c>
      <c r="FE250" t="s">
        <v>236</v>
      </c>
      <c r="FG250" t="s">
        <v>236</v>
      </c>
      <c r="FJ250" t="s">
        <v>236</v>
      </c>
      <c r="FM250" t="s">
        <v>236</v>
      </c>
      <c r="FW250" t="s">
        <v>226</v>
      </c>
      <c r="FX250" t="s">
        <v>236</v>
      </c>
      <c r="FZ250" t="s">
        <v>236</v>
      </c>
      <c r="GC250" t="s">
        <v>236</v>
      </c>
      <c r="GF250" t="s">
        <v>226</v>
      </c>
      <c r="GG250" t="s">
        <v>236</v>
      </c>
      <c r="GI250" t="s">
        <v>236</v>
      </c>
      <c r="GL250" t="s">
        <v>236</v>
      </c>
      <c r="GO250" t="s">
        <v>236</v>
      </c>
      <c r="GR250" t="s">
        <v>226</v>
      </c>
      <c r="GS250" t="s">
        <v>236</v>
      </c>
      <c r="GU250" t="s">
        <v>226</v>
      </c>
      <c r="GV250" t="s">
        <v>236</v>
      </c>
      <c r="GX250" t="s">
        <v>236</v>
      </c>
      <c r="HB250" t="s">
        <v>338</v>
      </c>
      <c r="HC250" t="s">
        <v>345</v>
      </c>
      <c r="HD250" t="s">
        <v>1803</v>
      </c>
      <c r="HE250">
        <v>82978346</v>
      </c>
      <c r="HF250" t="s">
        <v>1804</v>
      </c>
      <c r="HG250" s="2">
        <v>45753.841053240743</v>
      </c>
      <c r="HJ250" t="s">
        <v>248</v>
      </c>
      <c r="HL250" t="s">
        <v>249</v>
      </c>
      <c r="HN250">
        <v>248</v>
      </c>
    </row>
    <row r="251" spans="1:222" x14ac:dyDescent="0.25">
      <c r="A251" s="2">
        <v>45753.632699467591</v>
      </c>
      <c r="B251" s="2">
        <v>45753.636588680558</v>
      </c>
      <c r="C251" t="s">
        <v>391</v>
      </c>
      <c r="D251">
        <v>387</v>
      </c>
      <c r="E251" s="2">
        <v>45731</v>
      </c>
      <c r="F251">
        <v>3</v>
      </c>
      <c r="G251" t="s">
        <v>486</v>
      </c>
      <c r="H251" t="s">
        <v>307</v>
      </c>
      <c r="I251">
        <v>25</v>
      </c>
      <c r="J251" t="str">
        <f t="shared" si="3"/>
        <v>de 18 a 25 años</v>
      </c>
      <c r="K251" t="s">
        <v>251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291</v>
      </c>
      <c r="R251" t="s">
        <v>226</v>
      </c>
      <c r="T251" t="s">
        <v>227</v>
      </c>
      <c r="V251" t="s">
        <v>228</v>
      </c>
      <c r="W251" t="s">
        <v>229</v>
      </c>
      <c r="X251" t="s">
        <v>480</v>
      </c>
      <c r="Z251" t="s">
        <v>231</v>
      </c>
      <c r="AA251" t="s">
        <v>293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I251" t="s">
        <v>256</v>
      </c>
      <c r="AJ251">
        <v>0</v>
      </c>
      <c r="AK251">
        <v>0</v>
      </c>
      <c r="AL251">
        <v>1</v>
      </c>
      <c r="AM251">
        <v>0</v>
      </c>
      <c r="AN251" t="s">
        <v>234</v>
      </c>
      <c r="AO251" t="s">
        <v>275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0</v>
      </c>
      <c r="AX251" t="s">
        <v>226</v>
      </c>
      <c r="AY251" t="s">
        <v>226</v>
      </c>
      <c r="AZ251" t="s">
        <v>259</v>
      </c>
      <c r="BA251" t="s">
        <v>1791</v>
      </c>
      <c r="BB251" t="s">
        <v>1792</v>
      </c>
      <c r="BC251" t="s">
        <v>1793</v>
      </c>
      <c r="BE251" t="s">
        <v>261</v>
      </c>
      <c r="BF251" t="s">
        <v>259</v>
      </c>
      <c r="BG251" t="s">
        <v>259</v>
      </c>
      <c r="BH251" t="s">
        <v>259</v>
      </c>
      <c r="BI251" t="s">
        <v>259</v>
      </c>
      <c r="BJ251" t="s">
        <v>261</v>
      </c>
      <c r="BK251" t="s">
        <v>261</v>
      </c>
      <c r="BL251" t="s">
        <v>262</v>
      </c>
      <c r="BM251" t="s">
        <v>1794</v>
      </c>
      <c r="BN251">
        <v>0</v>
      </c>
      <c r="BO251">
        <v>0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 t="s">
        <v>264</v>
      </c>
      <c r="CB251" t="s">
        <v>243</v>
      </c>
      <c r="CC251" t="s">
        <v>264</v>
      </c>
      <c r="CD251" t="s">
        <v>226</v>
      </c>
      <c r="CE251" t="s">
        <v>236</v>
      </c>
      <c r="EA251" t="s">
        <v>236</v>
      </c>
      <c r="EC251" t="s">
        <v>236</v>
      </c>
      <c r="EE251" t="s">
        <v>226</v>
      </c>
      <c r="EF251" t="s">
        <v>245</v>
      </c>
      <c r="EG251" t="s">
        <v>226</v>
      </c>
      <c r="EH251" t="s">
        <v>244</v>
      </c>
      <c r="EI251" t="s">
        <v>226</v>
      </c>
      <c r="EJ251" t="s">
        <v>265</v>
      </c>
      <c r="EK251" t="s">
        <v>226</v>
      </c>
      <c r="EL251" t="s">
        <v>244</v>
      </c>
      <c r="EM251" t="s">
        <v>226</v>
      </c>
      <c r="EN251" t="s">
        <v>244</v>
      </c>
      <c r="EO251" t="s">
        <v>236</v>
      </c>
      <c r="EQ251" t="s">
        <v>236</v>
      </c>
      <c r="ES251" t="s">
        <v>226</v>
      </c>
      <c r="ET251" t="s">
        <v>244</v>
      </c>
      <c r="EU251" t="s">
        <v>236</v>
      </c>
      <c r="EW251" t="s">
        <v>226</v>
      </c>
      <c r="EX251" t="s">
        <v>245</v>
      </c>
      <c r="EY251" t="s">
        <v>226</v>
      </c>
      <c r="EZ251" t="s">
        <v>245</v>
      </c>
      <c r="FA251" t="s">
        <v>226</v>
      </c>
      <c r="FB251" t="s">
        <v>244</v>
      </c>
      <c r="FC251" t="s">
        <v>236</v>
      </c>
      <c r="FE251" t="s">
        <v>226</v>
      </c>
      <c r="FF251" t="s">
        <v>265</v>
      </c>
      <c r="FG251" t="s">
        <v>226</v>
      </c>
      <c r="FH251" t="s">
        <v>1795</v>
      </c>
      <c r="FI251" t="s">
        <v>245</v>
      </c>
      <c r="FJ251" t="s">
        <v>226</v>
      </c>
      <c r="FK251" t="s">
        <v>265</v>
      </c>
      <c r="FL251" t="s">
        <v>226</v>
      </c>
      <c r="FM251" t="s">
        <v>236</v>
      </c>
      <c r="FW251" t="s">
        <v>226</v>
      </c>
      <c r="FX251" t="s">
        <v>226</v>
      </c>
      <c r="FY251" t="s">
        <v>266</v>
      </c>
      <c r="FZ251" t="s">
        <v>236</v>
      </c>
      <c r="GC251" t="s">
        <v>236</v>
      </c>
      <c r="GF251" t="s">
        <v>226</v>
      </c>
      <c r="GG251" t="s">
        <v>236</v>
      </c>
      <c r="GI251" t="s">
        <v>236</v>
      </c>
      <c r="GL251" t="s">
        <v>236</v>
      </c>
      <c r="GO251" t="s">
        <v>226</v>
      </c>
      <c r="GP251" t="s">
        <v>226</v>
      </c>
      <c r="GQ251" t="s">
        <v>267</v>
      </c>
      <c r="GR251" t="s">
        <v>236</v>
      </c>
      <c r="GU251" t="s">
        <v>236</v>
      </c>
      <c r="GX251" t="s">
        <v>236</v>
      </c>
      <c r="HB251" t="s">
        <v>1796</v>
      </c>
      <c r="HC251" t="s">
        <v>338</v>
      </c>
      <c r="HD251" t="s">
        <v>442</v>
      </c>
      <c r="HE251">
        <v>82978847</v>
      </c>
      <c r="HF251" t="s">
        <v>1797</v>
      </c>
      <c r="HG251" s="2">
        <v>45753.844942129632</v>
      </c>
      <c r="HJ251" t="s">
        <v>248</v>
      </c>
      <c r="HL251" t="s">
        <v>249</v>
      </c>
      <c r="HN251">
        <v>249</v>
      </c>
    </row>
    <row r="252" spans="1:222" x14ac:dyDescent="0.25">
      <c r="A252" s="2">
        <v>45753.636590092603</v>
      </c>
      <c r="B252" s="2">
        <v>45753.640371620371</v>
      </c>
      <c r="C252" t="s">
        <v>391</v>
      </c>
      <c r="D252">
        <v>386</v>
      </c>
      <c r="E252" s="2">
        <v>45731</v>
      </c>
      <c r="F252">
        <v>4</v>
      </c>
      <c r="G252" t="s">
        <v>436</v>
      </c>
      <c r="H252" t="s">
        <v>270</v>
      </c>
      <c r="I252">
        <v>36</v>
      </c>
      <c r="J252" t="str">
        <f t="shared" si="3"/>
        <v>de 26 a 40 años</v>
      </c>
      <c r="K252" t="s">
        <v>341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291</v>
      </c>
      <c r="R252" t="s">
        <v>226</v>
      </c>
      <c r="T252" t="s">
        <v>227</v>
      </c>
      <c r="V252" t="s">
        <v>272</v>
      </c>
      <c r="W252" t="s">
        <v>229</v>
      </c>
      <c r="X252" t="s">
        <v>230</v>
      </c>
      <c r="Z252" t="s">
        <v>308</v>
      </c>
      <c r="AA252" t="s">
        <v>232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I252" t="s">
        <v>233</v>
      </c>
      <c r="AJ252">
        <v>0</v>
      </c>
      <c r="AK252">
        <v>1</v>
      </c>
      <c r="AL252">
        <v>0</v>
      </c>
      <c r="AM252">
        <v>0</v>
      </c>
      <c r="AN252" t="s">
        <v>300</v>
      </c>
      <c r="AO252" t="s">
        <v>1786</v>
      </c>
      <c r="AP252">
        <v>1</v>
      </c>
      <c r="AQ252">
        <v>0</v>
      </c>
      <c r="AR252">
        <v>1</v>
      </c>
      <c r="AS252">
        <v>0</v>
      </c>
      <c r="AT252">
        <v>0</v>
      </c>
      <c r="AU252">
        <v>1</v>
      </c>
      <c r="AV252">
        <v>1</v>
      </c>
      <c r="AW252" t="s">
        <v>445</v>
      </c>
      <c r="AX252" t="s">
        <v>226</v>
      </c>
      <c r="AY252" t="s">
        <v>226</v>
      </c>
      <c r="AZ252" t="s">
        <v>237</v>
      </c>
      <c r="BA252" t="s">
        <v>672</v>
      </c>
      <c r="BB252" t="s">
        <v>1787</v>
      </c>
      <c r="BE252" t="s">
        <v>259</v>
      </c>
      <c r="BF252" t="s">
        <v>237</v>
      </c>
      <c r="BG252" t="s">
        <v>237</v>
      </c>
      <c r="BH252" t="s">
        <v>237</v>
      </c>
      <c r="BI252" t="s">
        <v>237</v>
      </c>
      <c r="BJ252" t="s">
        <v>237</v>
      </c>
      <c r="BK252" t="s">
        <v>261</v>
      </c>
      <c r="BL252" t="s">
        <v>313</v>
      </c>
      <c r="BM252" t="s">
        <v>1720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1</v>
      </c>
      <c r="BT252">
        <v>0</v>
      </c>
      <c r="BU252">
        <v>0</v>
      </c>
      <c r="BV252">
        <v>1</v>
      </c>
      <c r="BW252">
        <v>1</v>
      </c>
      <c r="BX252">
        <v>0</v>
      </c>
      <c r="BY252">
        <v>0</v>
      </c>
      <c r="BZ252">
        <v>0</v>
      </c>
      <c r="CA252" t="s">
        <v>264</v>
      </c>
      <c r="CB252" t="s">
        <v>243</v>
      </c>
      <c r="CC252" t="s">
        <v>328</v>
      </c>
      <c r="CD252" t="s">
        <v>226</v>
      </c>
      <c r="CE252" t="s">
        <v>236</v>
      </c>
      <c r="EA252" t="s">
        <v>236</v>
      </c>
      <c r="EC252" t="s">
        <v>236</v>
      </c>
      <c r="EE252" t="s">
        <v>226</v>
      </c>
      <c r="EF252" t="s">
        <v>244</v>
      </c>
      <c r="EG252" t="s">
        <v>226</v>
      </c>
      <c r="EH252" t="s">
        <v>244</v>
      </c>
      <c r="EI252" t="s">
        <v>226</v>
      </c>
      <c r="EJ252" t="s">
        <v>245</v>
      </c>
      <c r="EK252" t="s">
        <v>236</v>
      </c>
      <c r="EM252" t="s">
        <v>226</v>
      </c>
      <c r="EN252" t="s">
        <v>245</v>
      </c>
      <c r="EO252" t="s">
        <v>226</v>
      </c>
      <c r="EP252" t="s">
        <v>245</v>
      </c>
      <c r="EQ252" t="s">
        <v>236</v>
      </c>
      <c r="ES252" t="s">
        <v>236</v>
      </c>
      <c r="EU252" t="s">
        <v>236</v>
      </c>
      <c r="EW252" t="s">
        <v>236</v>
      </c>
      <c r="EY252" t="s">
        <v>226</v>
      </c>
      <c r="EZ252" t="s">
        <v>244</v>
      </c>
      <c r="FA252" t="s">
        <v>226</v>
      </c>
      <c r="FB252" t="s">
        <v>244</v>
      </c>
      <c r="FC252" t="s">
        <v>226</v>
      </c>
      <c r="FD252" t="s">
        <v>245</v>
      </c>
      <c r="FE252" t="s">
        <v>236</v>
      </c>
      <c r="FG252" t="s">
        <v>236</v>
      </c>
      <c r="FJ252" t="s">
        <v>226</v>
      </c>
      <c r="FK252" t="s">
        <v>245</v>
      </c>
      <c r="FL252" t="s">
        <v>236</v>
      </c>
      <c r="FM252" t="s">
        <v>236</v>
      </c>
      <c r="FW252" t="s">
        <v>236</v>
      </c>
      <c r="FZ252" t="s">
        <v>236</v>
      </c>
      <c r="GC252" t="s">
        <v>236</v>
      </c>
      <c r="GF252" t="s">
        <v>226</v>
      </c>
      <c r="GG252" t="s">
        <v>226</v>
      </c>
      <c r="GH252" t="s">
        <v>266</v>
      </c>
      <c r="GI252" t="s">
        <v>236</v>
      </c>
      <c r="GL252" t="s">
        <v>226</v>
      </c>
      <c r="GM252" t="s">
        <v>226</v>
      </c>
      <c r="GN252" t="s">
        <v>267</v>
      </c>
      <c r="GO252" t="s">
        <v>236</v>
      </c>
      <c r="GR252" t="s">
        <v>236</v>
      </c>
      <c r="GU252" t="s">
        <v>236</v>
      </c>
      <c r="GX252" t="s">
        <v>236</v>
      </c>
      <c r="HB252" t="s">
        <v>1788</v>
      </c>
      <c r="HC252" t="s">
        <v>1789</v>
      </c>
      <c r="HE252">
        <v>82978964</v>
      </c>
      <c r="HF252" t="s">
        <v>1790</v>
      </c>
      <c r="HG252" s="2">
        <v>45753.848726851851</v>
      </c>
      <c r="HJ252" t="s">
        <v>248</v>
      </c>
      <c r="HL252" t="s">
        <v>249</v>
      </c>
      <c r="HN252">
        <v>250</v>
      </c>
    </row>
    <row r="253" spans="1:222" x14ac:dyDescent="0.25">
      <c r="A253" s="2">
        <v>45753.64037241898</v>
      </c>
      <c r="B253" s="2">
        <v>45753.644426747684</v>
      </c>
      <c r="C253" t="s">
        <v>391</v>
      </c>
      <c r="D253">
        <v>385</v>
      </c>
      <c r="E253" s="2">
        <v>45731</v>
      </c>
      <c r="F253">
        <v>4</v>
      </c>
      <c r="G253" t="s">
        <v>413</v>
      </c>
      <c r="H253" t="s">
        <v>270</v>
      </c>
      <c r="I253">
        <v>42</v>
      </c>
      <c r="J253" t="str">
        <f t="shared" si="3"/>
        <v>de 41 a 55 años</v>
      </c>
      <c r="K253" t="s">
        <v>341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291</v>
      </c>
      <c r="R253" t="s">
        <v>226</v>
      </c>
      <c r="T253" t="s">
        <v>227</v>
      </c>
      <c r="V253" t="s">
        <v>252</v>
      </c>
      <c r="W253" t="s">
        <v>229</v>
      </c>
      <c r="X253" t="s">
        <v>230</v>
      </c>
      <c r="Z253" t="s">
        <v>308</v>
      </c>
      <c r="AA253" t="s">
        <v>232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I253" t="s">
        <v>233</v>
      </c>
      <c r="AJ253">
        <v>0</v>
      </c>
      <c r="AK253">
        <v>1</v>
      </c>
      <c r="AL253">
        <v>0</v>
      </c>
      <c r="AM253">
        <v>0</v>
      </c>
      <c r="AN253" t="s">
        <v>274</v>
      </c>
      <c r="AO253" t="s">
        <v>235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X253" t="s">
        <v>226</v>
      </c>
      <c r="AY253" t="s">
        <v>226</v>
      </c>
      <c r="AZ253" t="s">
        <v>237</v>
      </c>
      <c r="BA253" t="s">
        <v>1365</v>
      </c>
      <c r="BB253" t="s">
        <v>1240</v>
      </c>
      <c r="BE253" t="s">
        <v>259</v>
      </c>
      <c r="BF253" t="s">
        <v>259</v>
      </c>
      <c r="BG253" t="s">
        <v>308</v>
      </c>
      <c r="BH253" t="s">
        <v>308</v>
      </c>
      <c r="BI253" t="s">
        <v>308</v>
      </c>
      <c r="BJ253" t="s">
        <v>237</v>
      </c>
      <c r="BK253" t="s">
        <v>237</v>
      </c>
      <c r="BL253" t="s">
        <v>313</v>
      </c>
      <c r="BM253" t="s">
        <v>1270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1</v>
      </c>
      <c r="BZ253">
        <v>0</v>
      </c>
      <c r="CA253" t="s">
        <v>264</v>
      </c>
      <c r="CB253" t="s">
        <v>328</v>
      </c>
      <c r="CC253" t="s">
        <v>328</v>
      </c>
      <c r="CD253" t="s">
        <v>236</v>
      </c>
      <c r="CE253" t="s">
        <v>236</v>
      </c>
      <c r="EA253" t="s">
        <v>226</v>
      </c>
      <c r="EB253" t="s">
        <v>244</v>
      </c>
      <c r="EC253" t="s">
        <v>226</v>
      </c>
      <c r="ED253" t="s">
        <v>245</v>
      </c>
      <c r="EE253" t="s">
        <v>226</v>
      </c>
      <c r="EF253" t="s">
        <v>245</v>
      </c>
      <c r="EG253" t="s">
        <v>226</v>
      </c>
      <c r="EH253" t="s">
        <v>245</v>
      </c>
      <c r="EI253" t="s">
        <v>236</v>
      </c>
      <c r="EK253" t="s">
        <v>236</v>
      </c>
      <c r="EM253" t="s">
        <v>226</v>
      </c>
      <c r="EN253" t="s">
        <v>245</v>
      </c>
      <c r="EO253" t="s">
        <v>226</v>
      </c>
      <c r="EP253" t="s">
        <v>245</v>
      </c>
      <c r="EQ253" t="s">
        <v>226</v>
      </c>
      <c r="ER253" t="s">
        <v>245</v>
      </c>
      <c r="ES253" t="s">
        <v>236</v>
      </c>
      <c r="EU253" t="s">
        <v>236</v>
      </c>
      <c r="EW253" t="s">
        <v>236</v>
      </c>
      <c r="EY253" t="s">
        <v>226</v>
      </c>
      <c r="EZ253" t="s">
        <v>244</v>
      </c>
      <c r="FA253" t="s">
        <v>226</v>
      </c>
      <c r="FB253" t="s">
        <v>245</v>
      </c>
      <c r="FC253" t="s">
        <v>236</v>
      </c>
      <c r="FE253" t="s">
        <v>236</v>
      </c>
      <c r="FG253" t="s">
        <v>236</v>
      </c>
      <c r="FJ253" t="s">
        <v>226</v>
      </c>
      <c r="FK253" t="s">
        <v>245</v>
      </c>
      <c r="FL253" t="s">
        <v>226</v>
      </c>
      <c r="FM253" t="s">
        <v>236</v>
      </c>
      <c r="FW253" t="s">
        <v>226</v>
      </c>
      <c r="FX253" t="s">
        <v>236</v>
      </c>
      <c r="FZ253" t="s">
        <v>226</v>
      </c>
      <c r="GA253" t="s">
        <v>236</v>
      </c>
      <c r="GC253" t="s">
        <v>236</v>
      </c>
      <c r="GF253" t="s">
        <v>226</v>
      </c>
      <c r="GG253" t="s">
        <v>236</v>
      </c>
      <c r="GI253" t="s">
        <v>236</v>
      </c>
      <c r="GL253" t="s">
        <v>236</v>
      </c>
      <c r="GO253" t="s">
        <v>226</v>
      </c>
      <c r="GP253" t="s">
        <v>226</v>
      </c>
      <c r="GQ253" t="s">
        <v>266</v>
      </c>
      <c r="GR253" t="s">
        <v>226</v>
      </c>
      <c r="GS253" t="s">
        <v>236</v>
      </c>
      <c r="GU253" t="s">
        <v>236</v>
      </c>
      <c r="GX253" t="s">
        <v>236</v>
      </c>
      <c r="HB253" t="s">
        <v>723</v>
      </c>
      <c r="HE253">
        <v>82979310</v>
      </c>
      <c r="HF253" t="s">
        <v>1785</v>
      </c>
      <c r="HG253" s="2">
        <v>45753.852789351848</v>
      </c>
      <c r="HJ253" t="s">
        <v>248</v>
      </c>
      <c r="HL253" t="s">
        <v>249</v>
      </c>
      <c r="HN253">
        <v>251</v>
      </c>
    </row>
    <row r="254" spans="1:222" x14ac:dyDescent="0.25">
      <c r="A254" s="2">
        <v>45753.644428645843</v>
      </c>
      <c r="B254" s="2">
        <v>45753.648089282397</v>
      </c>
      <c r="C254" t="s">
        <v>391</v>
      </c>
      <c r="D254">
        <v>384</v>
      </c>
      <c r="E254" s="2">
        <v>45731</v>
      </c>
      <c r="F254">
        <v>4</v>
      </c>
      <c r="G254" t="s">
        <v>436</v>
      </c>
      <c r="H254" t="s">
        <v>270</v>
      </c>
      <c r="I254">
        <v>40</v>
      </c>
      <c r="J254" t="str">
        <f t="shared" si="3"/>
        <v>de 26 a 40 años</v>
      </c>
      <c r="K254" t="s">
        <v>341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291</v>
      </c>
      <c r="R254" t="s">
        <v>226</v>
      </c>
      <c r="T254" t="s">
        <v>227</v>
      </c>
      <c r="V254" t="s">
        <v>228</v>
      </c>
      <c r="W254" t="s">
        <v>229</v>
      </c>
      <c r="X254" t="s">
        <v>230</v>
      </c>
      <c r="Z254" t="s">
        <v>308</v>
      </c>
      <c r="AA254" t="s">
        <v>293</v>
      </c>
      <c r="AB254">
        <v>0</v>
      </c>
      <c r="AC254">
        <v>0</v>
      </c>
      <c r="AD254">
        <v>0</v>
      </c>
      <c r="AE254">
        <v>0</v>
      </c>
      <c r="AF254">
        <v>1</v>
      </c>
      <c r="AG254">
        <v>0</v>
      </c>
      <c r="AI254" t="s">
        <v>233</v>
      </c>
      <c r="AJ254">
        <v>0</v>
      </c>
      <c r="AK254">
        <v>1</v>
      </c>
      <c r="AL254">
        <v>0</v>
      </c>
      <c r="AM254">
        <v>0</v>
      </c>
      <c r="AN254" t="s">
        <v>300</v>
      </c>
      <c r="AO254" t="s">
        <v>369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1</v>
      </c>
      <c r="AW254" t="s">
        <v>532</v>
      </c>
      <c r="AX254" t="s">
        <v>226</v>
      </c>
      <c r="AY254" t="s">
        <v>226</v>
      </c>
      <c r="AZ254" t="s">
        <v>237</v>
      </c>
      <c r="BA254" t="s">
        <v>533</v>
      </c>
      <c r="BB254" t="s">
        <v>276</v>
      </c>
      <c r="BC254" t="s">
        <v>534</v>
      </c>
      <c r="BE254" t="s">
        <v>239</v>
      </c>
      <c r="BF254" t="s">
        <v>237</v>
      </c>
      <c r="BG254" t="s">
        <v>259</v>
      </c>
      <c r="BH254" t="s">
        <v>259</v>
      </c>
      <c r="BI254" t="s">
        <v>237</v>
      </c>
      <c r="BJ254" t="s">
        <v>237</v>
      </c>
      <c r="BK254" t="s">
        <v>239</v>
      </c>
      <c r="BL254" t="s">
        <v>262</v>
      </c>
      <c r="BM254" t="s">
        <v>535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</v>
      </c>
      <c r="BW254">
        <v>0</v>
      </c>
      <c r="BX254">
        <v>0</v>
      </c>
      <c r="BY254">
        <v>1</v>
      </c>
      <c r="BZ254">
        <v>0</v>
      </c>
      <c r="CA254" t="s">
        <v>264</v>
      </c>
      <c r="CB254" t="s">
        <v>264</v>
      </c>
      <c r="CC254" t="s">
        <v>264</v>
      </c>
      <c r="CD254" t="s">
        <v>236</v>
      </c>
      <c r="CE254" t="s">
        <v>236</v>
      </c>
      <c r="EA254" t="s">
        <v>236</v>
      </c>
      <c r="EC254" t="s">
        <v>236</v>
      </c>
      <c r="EE254" t="s">
        <v>236</v>
      </c>
      <c r="EG254" t="s">
        <v>236</v>
      </c>
      <c r="EI254" t="s">
        <v>236</v>
      </c>
      <c r="EK254" t="s">
        <v>236</v>
      </c>
      <c r="EM254" t="s">
        <v>236</v>
      </c>
      <c r="EO254" t="s">
        <v>236</v>
      </c>
      <c r="EQ254" t="s">
        <v>236</v>
      </c>
      <c r="ES254" t="s">
        <v>236</v>
      </c>
      <c r="EU254" t="s">
        <v>236</v>
      </c>
      <c r="EW254" t="s">
        <v>236</v>
      </c>
      <c r="EY254" t="s">
        <v>236</v>
      </c>
      <c r="FA254" t="s">
        <v>236</v>
      </c>
      <c r="FC254" t="s">
        <v>236</v>
      </c>
      <c r="FE254" t="s">
        <v>236</v>
      </c>
      <c r="FG254" t="s">
        <v>236</v>
      </c>
      <c r="FJ254" t="s">
        <v>226</v>
      </c>
      <c r="FK254" t="s">
        <v>245</v>
      </c>
      <c r="FL254" t="s">
        <v>236</v>
      </c>
      <c r="FM254" t="s">
        <v>236</v>
      </c>
      <c r="FW254" t="s">
        <v>236</v>
      </c>
      <c r="FZ254" t="s">
        <v>236</v>
      </c>
      <c r="GC254" t="s">
        <v>236</v>
      </c>
      <c r="GF254" t="s">
        <v>236</v>
      </c>
      <c r="GI254" t="s">
        <v>236</v>
      </c>
      <c r="GL254" t="s">
        <v>236</v>
      </c>
      <c r="GO254" t="s">
        <v>236</v>
      </c>
      <c r="GR254" t="s">
        <v>236</v>
      </c>
      <c r="GU254" t="s">
        <v>236</v>
      </c>
      <c r="GX254" t="s">
        <v>236</v>
      </c>
      <c r="HB254" t="s">
        <v>536</v>
      </c>
      <c r="HC254" t="s">
        <v>537</v>
      </c>
      <c r="HE254">
        <v>82979670</v>
      </c>
      <c r="HF254" t="s">
        <v>538</v>
      </c>
      <c r="HG254" s="2">
        <v>45753.856446759259</v>
      </c>
      <c r="HJ254" t="s">
        <v>248</v>
      </c>
      <c r="HL254" t="s">
        <v>249</v>
      </c>
      <c r="HN254">
        <v>252</v>
      </c>
    </row>
    <row r="255" spans="1:222" x14ac:dyDescent="0.25">
      <c r="A255" s="2">
        <v>45753.648090717586</v>
      </c>
      <c r="B255" s="2">
        <v>45753.651461458343</v>
      </c>
      <c r="C255" t="s">
        <v>391</v>
      </c>
      <c r="D255">
        <v>383</v>
      </c>
      <c r="E255" s="2">
        <v>45731</v>
      </c>
      <c r="F255">
        <v>4</v>
      </c>
      <c r="G255" t="s">
        <v>413</v>
      </c>
      <c r="H255" t="s">
        <v>270</v>
      </c>
      <c r="I255">
        <v>38</v>
      </c>
      <c r="J255" t="str">
        <f t="shared" si="3"/>
        <v>de 26 a 40 años</v>
      </c>
      <c r="K255" t="s">
        <v>251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291</v>
      </c>
      <c r="R255" t="s">
        <v>226</v>
      </c>
      <c r="T255" t="s">
        <v>227</v>
      </c>
      <c r="V255" t="s">
        <v>612</v>
      </c>
      <c r="W255" t="s">
        <v>229</v>
      </c>
      <c r="X255" t="s">
        <v>230</v>
      </c>
      <c r="Z255" t="s">
        <v>308</v>
      </c>
      <c r="AA255" t="s">
        <v>293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I255" t="s">
        <v>233</v>
      </c>
      <c r="AJ255">
        <v>0</v>
      </c>
      <c r="AK255">
        <v>1</v>
      </c>
      <c r="AL255">
        <v>0</v>
      </c>
      <c r="AM255">
        <v>0</v>
      </c>
      <c r="AN255" t="s">
        <v>234</v>
      </c>
      <c r="AO255" t="s">
        <v>275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X255" t="s">
        <v>226</v>
      </c>
      <c r="AY255" t="s">
        <v>226</v>
      </c>
      <c r="AZ255" t="s">
        <v>237</v>
      </c>
      <c r="BA255" t="s">
        <v>1240</v>
      </c>
      <c r="BE255" t="s">
        <v>239</v>
      </c>
      <c r="BF255" t="s">
        <v>237</v>
      </c>
      <c r="BG255" t="s">
        <v>237</v>
      </c>
      <c r="BH255" t="s">
        <v>237</v>
      </c>
      <c r="BI255" t="s">
        <v>237</v>
      </c>
      <c r="BJ255" t="s">
        <v>237</v>
      </c>
      <c r="BK255" t="s">
        <v>237</v>
      </c>
      <c r="BL255" t="s">
        <v>262</v>
      </c>
      <c r="BM255" t="s">
        <v>296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 t="s">
        <v>264</v>
      </c>
      <c r="CB255" t="s">
        <v>243</v>
      </c>
      <c r="CC255" t="s">
        <v>264</v>
      </c>
      <c r="CD255" t="s">
        <v>236</v>
      </c>
      <c r="CE255" t="s">
        <v>236</v>
      </c>
      <c r="EA255" t="s">
        <v>236</v>
      </c>
      <c r="EC255" t="s">
        <v>236</v>
      </c>
      <c r="EE255" t="s">
        <v>236</v>
      </c>
      <c r="EG255" t="s">
        <v>236</v>
      </c>
      <c r="EI255" t="s">
        <v>236</v>
      </c>
      <c r="EK255" t="s">
        <v>236</v>
      </c>
      <c r="EM255" t="s">
        <v>236</v>
      </c>
      <c r="EO255" t="s">
        <v>236</v>
      </c>
      <c r="EQ255" t="s">
        <v>236</v>
      </c>
      <c r="ES255" t="s">
        <v>236</v>
      </c>
      <c r="EU255" t="s">
        <v>236</v>
      </c>
      <c r="EW255" t="s">
        <v>236</v>
      </c>
      <c r="EY255" t="s">
        <v>236</v>
      </c>
      <c r="FA255" t="s">
        <v>226</v>
      </c>
      <c r="FB255" t="s">
        <v>244</v>
      </c>
      <c r="FC255" t="s">
        <v>236</v>
      </c>
      <c r="FE255" t="s">
        <v>236</v>
      </c>
      <c r="FG255" t="s">
        <v>236</v>
      </c>
      <c r="FJ255" t="s">
        <v>236</v>
      </c>
      <c r="FM255" t="s">
        <v>236</v>
      </c>
      <c r="FW255" t="s">
        <v>236</v>
      </c>
      <c r="FZ255" t="s">
        <v>236</v>
      </c>
      <c r="GC255" t="s">
        <v>236</v>
      </c>
      <c r="GF255" t="s">
        <v>236</v>
      </c>
      <c r="GI255" t="s">
        <v>236</v>
      </c>
      <c r="GL255" t="s">
        <v>226</v>
      </c>
      <c r="GM255" t="s">
        <v>236</v>
      </c>
      <c r="GO255" t="s">
        <v>236</v>
      </c>
      <c r="GR255" t="s">
        <v>226</v>
      </c>
      <c r="GS255" t="s">
        <v>236</v>
      </c>
      <c r="GU255" t="s">
        <v>236</v>
      </c>
      <c r="GX255" t="s">
        <v>236</v>
      </c>
      <c r="HB255" t="s">
        <v>1782</v>
      </c>
      <c r="HC255" t="s">
        <v>1783</v>
      </c>
      <c r="HE255">
        <v>82979760</v>
      </c>
      <c r="HF255" t="s">
        <v>1784</v>
      </c>
      <c r="HG255" s="2">
        <v>45753.859814814823</v>
      </c>
      <c r="HJ255" t="s">
        <v>248</v>
      </c>
      <c r="HL255" t="s">
        <v>249</v>
      </c>
      <c r="HN255">
        <v>253</v>
      </c>
    </row>
    <row r="256" spans="1:222" x14ac:dyDescent="0.25">
      <c r="A256" s="2">
        <v>45753.651463136572</v>
      </c>
      <c r="B256" s="2">
        <v>45753.65553103009</v>
      </c>
      <c r="C256" t="s">
        <v>391</v>
      </c>
      <c r="D256">
        <v>382</v>
      </c>
      <c r="E256" s="2">
        <v>45731</v>
      </c>
      <c r="F256">
        <v>4</v>
      </c>
      <c r="G256" t="s">
        <v>436</v>
      </c>
      <c r="H256" t="s">
        <v>270</v>
      </c>
      <c r="I256">
        <v>28</v>
      </c>
      <c r="J256" t="str">
        <f t="shared" si="3"/>
        <v>de 26 a 40 años</v>
      </c>
      <c r="K256" t="s">
        <v>224</v>
      </c>
      <c r="L256">
        <v>2</v>
      </c>
      <c r="M256">
        <v>0</v>
      </c>
      <c r="N256">
        <v>0</v>
      </c>
      <c r="O256">
        <v>0</v>
      </c>
      <c r="P256">
        <v>0</v>
      </c>
      <c r="Q256" t="s">
        <v>291</v>
      </c>
      <c r="R256" t="s">
        <v>226</v>
      </c>
      <c r="T256" t="s">
        <v>227</v>
      </c>
      <c r="V256" t="s">
        <v>321</v>
      </c>
      <c r="W256" t="s">
        <v>292</v>
      </c>
      <c r="X256" t="s">
        <v>230</v>
      </c>
      <c r="Z256" t="s">
        <v>308</v>
      </c>
      <c r="AA256" t="s">
        <v>293</v>
      </c>
      <c r="AB256">
        <v>0</v>
      </c>
      <c r="AC256">
        <v>0</v>
      </c>
      <c r="AD256">
        <v>0</v>
      </c>
      <c r="AE256">
        <v>0</v>
      </c>
      <c r="AF256">
        <v>1</v>
      </c>
      <c r="AG256">
        <v>0</v>
      </c>
      <c r="AI256" t="s">
        <v>256</v>
      </c>
      <c r="AJ256">
        <v>0</v>
      </c>
      <c r="AK256">
        <v>0</v>
      </c>
      <c r="AL256">
        <v>1</v>
      </c>
      <c r="AM256">
        <v>0</v>
      </c>
      <c r="AN256" t="s">
        <v>257</v>
      </c>
      <c r="AO256" t="s">
        <v>369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1</v>
      </c>
      <c r="AW256" t="s">
        <v>551</v>
      </c>
      <c r="AX256" t="s">
        <v>226</v>
      </c>
      <c r="AY256" t="s">
        <v>226</v>
      </c>
      <c r="AZ256" t="s">
        <v>259</v>
      </c>
      <c r="BA256" t="s">
        <v>1778</v>
      </c>
      <c r="BB256" t="s">
        <v>1779</v>
      </c>
      <c r="BC256" t="s">
        <v>1780</v>
      </c>
      <c r="BE256" t="s">
        <v>239</v>
      </c>
      <c r="BF256" t="s">
        <v>259</v>
      </c>
      <c r="BG256" t="s">
        <v>259</v>
      </c>
      <c r="BH256" t="s">
        <v>237</v>
      </c>
      <c r="BI256" t="s">
        <v>239</v>
      </c>
      <c r="BJ256" t="s">
        <v>259</v>
      </c>
      <c r="BK256" t="s">
        <v>259</v>
      </c>
      <c r="BL256" t="s">
        <v>262</v>
      </c>
      <c r="BM256" t="s">
        <v>591</v>
      </c>
      <c r="BN256">
        <v>0</v>
      </c>
      <c r="BO256">
        <v>1</v>
      </c>
      <c r="BP256">
        <v>0</v>
      </c>
      <c r="BQ256">
        <v>0</v>
      </c>
      <c r="BR256">
        <v>1</v>
      </c>
      <c r="BS256">
        <v>1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 t="s">
        <v>243</v>
      </c>
      <c r="CB256" t="s">
        <v>328</v>
      </c>
      <c r="CC256" t="s">
        <v>328</v>
      </c>
      <c r="CD256" t="s">
        <v>236</v>
      </c>
      <c r="CE256" t="s">
        <v>236</v>
      </c>
      <c r="EA256" t="s">
        <v>236</v>
      </c>
      <c r="EC256" t="s">
        <v>236</v>
      </c>
      <c r="EE256" t="s">
        <v>226</v>
      </c>
      <c r="EF256" t="s">
        <v>244</v>
      </c>
      <c r="EG256" t="s">
        <v>226</v>
      </c>
      <c r="EH256" t="s">
        <v>245</v>
      </c>
      <c r="EI256" t="s">
        <v>308</v>
      </c>
      <c r="EK256" t="s">
        <v>236</v>
      </c>
      <c r="EM256" t="s">
        <v>236</v>
      </c>
      <c r="EO256" t="s">
        <v>226</v>
      </c>
      <c r="EP256" t="s">
        <v>245</v>
      </c>
      <c r="EQ256" t="s">
        <v>236</v>
      </c>
      <c r="ES256" t="s">
        <v>226</v>
      </c>
      <c r="ET256" t="s">
        <v>245</v>
      </c>
      <c r="EU256" t="s">
        <v>236</v>
      </c>
      <c r="EW256" t="s">
        <v>236</v>
      </c>
      <c r="EY256" t="s">
        <v>236</v>
      </c>
      <c r="FA256" t="s">
        <v>236</v>
      </c>
      <c r="FC256" t="s">
        <v>236</v>
      </c>
      <c r="FE256" t="s">
        <v>236</v>
      </c>
      <c r="FG256" t="s">
        <v>236</v>
      </c>
      <c r="FJ256" t="s">
        <v>226</v>
      </c>
      <c r="FK256" t="s">
        <v>245</v>
      </c>
      <c r="FL256" t="s">
        <v>226</v>
      </c>
      <c r="FM256" t="s">
        <v>236</v>
      </c>
      <c r="FW256" t="s">
        <v>236</v>
      </c>
      <c r="FZ256" t="s">
        <v>236</v>
      </c>
      <c r="GC256" t="s">
        <v>236</v>
      </c>
      <c r="GF256" t="s">
        <v>226</v>
      </c>
      <c r="GG256" t="s">
        <v>226</v>
      </c>
      <c r="GH256" t="s">
        <v>266</v>
      </c>
      <c r="GI256" t="s">
        <v>236</v>
      </c>
      <c r="GL256" t="s">
        <v>236</v>
      </c>
      <c r="GO256" t="s">
        <v>226</v>
      </c>
      <c r="GP256" t="s">
        <v>226</v>
      </c>
      <c r="GQ256" t="s">
        <v>266</v>
      </c>
      <c r="GR256" t="s">
        <v>226</v>
      </c>
      <c r="GS256" t="s">
        <v>226</v>
      </c>
      <c r="GT256" t="s">
        <v>266</v>
      </c>
      <c r="GU256" t="s">
        <v>236</v>
      </c>
      <c r="GX256" t="s">
        <v>236</v>
      </c>
      <c r="HB256" t="s">
        <v>442</v>
      </c>
      <c r="HE256">
        <v>82979815</v>
      </c>
      <c r="HF256" t="s">
        <v>1781</v>
      </c>
      <c r="HG256" s="2">
        <v>45753.863888888889</v>
      </c>
      <c r="HJ256" t="s">
        <v>248</v>
      </c>
      <c r="HL256" t="s">
        <v>249</v>
      </c>
      <c r="HN256">
        <v>255</v>
      </c>
    </row>
    <row r="257" spans="1:222" x14ac:dyDescent="0.25">
      <c r="A257" s="2">
        <v>45753.651932060187</v>
      </c>
      <c r="B257" s="2">
        <v>45753.662340439812</v>
      </c>
      <c r="C257" t="s">
        <v>221</v>
      </c>
      <c r="D257">
        <v>430</v>
      </c>
      <c r="E257" s="2">
        <v>45731</v>
      </c>
      <c r="F257">
        <v>3</v>
      </c>
      <c r="G257" t="s">
        <v>380</v>
      </c>
      <c r="H257" t="s">
        <v>307</v>
      </c>
      <c r="I257">
        <v>76</v>
      </c>
      <c r="J257" t="str">
        <f t="shared" si="3"/>
        <v>de 56 a más</v>
      </c>
      <c r="K257" t="s">
        <v>341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225</v>
      </c>
      <c r="R257" t="s">
        <v>226</v>
      </c>
      <c r="T257" t="s">
        <v>227</v>
      </c>
      <c r="V257" t="s">
        <v>228</v>
      </c>
      <c r="W257" t="s">
        <v>229</v>
      </c>
      <c r="X257" t="s">
        <v>368</v>
      </c>
      <c r="Z257" t="s">
        <v>351</v>
      </c>
      <c r="AA257" t="s">
        <v>616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 t="s">
        <v>897</v>
      </c>
      <c r="AI257" t="s">
        <v>233</v>
      </c>
      <c r="AJ257">
        <v>0</v>
      </c>
      <c r="AK257">
        <v>1</v>
      </c>
      <c r="AL257">
        <v>0</v>
      </c>
      <c r="AM257">
        <v>0</v>
      </c>
      <c r="AN257" t="s">
        <v>300</v>
      </c>
      <c r="AO257" t="s">
        <v>235</v>
      </c>
      <c r="AP257">
        <v>0</v>
      </c>
      <c r="AQ257">
        <v>0</v>
      </c>
      <c r="AR257">
        <v>0</v>
      </c>
      <c r="AS257">
        <v>1</v>
      </c>
      <c r="AT257">
        <v>0</v>
      </c>
      <c r="AU257">
        <v>0</v>
      </c>
      <c r="AV257">
        <v>0</v>
      </c>
      <c r="AX257" t="s">
        <v>226</v>
      </c>
      <c r="AY257" t="s">
        <v>226</v>
      </c>
      <c r="AZ257" t="s">
        <v>237</v>
      </c>
      <c r="BA257" t="s">
        <v>1932</v>
      </c>
      <c r="BE257" t="s">
        <v>259</v>
      </c>
      <c r="BF257" t="s">
        <v>259</v>
      </c>
      <c r="BG257" t="s">
        <v>259</v>
      </c>
      <c r="BH257" t="s">
        <v>259</v>
      </c>
      <c r="BI257" t="s">
        <v>237</v>
      </c>
      <c r="BJ257" t="s">
        <v>259</v>
      </c>
      <c r="BK257" t="s">
        <v>259</v>
      </c>
      <c r="BL257" t="s">
        <v>262</v>
      </c>
      <c r="BM257" t="s">
        <v>415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 t="s">
        <v>243</v>
      </c>
      <c r="CB257" t="s">
        <v>243</v>
      </c>
      <c r="CC257" t="s">
        <v>264</v>
      </c>
      <c r="CD257" t="s">
        <v>236</v>
      </c>
      <c r="CE257" t="s">
        <v>236</v>
      </c>
      <c r="EA257" t="s">
        <v>226</v>
      </c>
      <c r="EB257" t="s">
        <v>244</v>
      </c>
      <c r="EC257" t="s">
        <v>236</v>
      </c>
      <c r="EE257" t="s">
        <v>226</v>
      </c>
      <c r="EF257" t="s">
        <v>245</v>
      </c>
      <c r="EG257" t="s">
        <v>226</v>
      </c>
      <c r="EH257" t="s">
        <v>245</v>
      </c>
      <c r="EI257" t="s">
        <v>236</v>
      </c>
      <c r="EK257" t="s">
        <v>236</v>
      </c>
      <c r="EM257" t="s">
        <v>236</v>
      </c>
      <c r="EO257" t="s">
        <v>226</v>
      </c>
      <c r="EP257" t="s">
        <v>245</v>
      </c>
      <c r="EQ257" t="s">
        <v>236</v>
      </c>
      <c r="ES257" t="s">
        <v>226</v>
      </c>
      <c r="ET257" t="s">
        <v>245</v>
      </c>
      <c r="EU257" t="s">
        <v>236</v>
      </c>
      <c r="EW257" t="s">
        <v>236</v>
      </c>
      <c r="EY257" t="s">
        <v>236</v>
      </c>
      <c r="FA257" t="s">
        <v>236</v>
      </c>
      <c r="FC257" t="s">
        <v>236</v>
      </c>
      <c r="FE257" t="s">
        <v>236</v>
      </c>
      <c r="FG257" t="s">
        <v>236</v>
      </c>
      <c r="FJ257" t="s">
        <v>226</v>
      </c>
      <c r="FK257" t="s">
        <v>245</v>
      </c>
      <c r="FL257" t="s">
        <v>226</v>
      </c>
      <c r="FM257" t="s">
        <v>236</v>
      </c>
      <c r="FW257" t="s">
        <v>236</v>
      </c>
      <c r="FZ257" t="s">
        <v>236</v>
      </c>
      <c r="GC257" t="s">
        <v>236</v>
      </c>
      <c r="GF257" t="s">
        <v>236</v>
      </c>
      <c r="GI257" t="s">
        <v>236</v>
      </c>
      <c r="GL257" t="s">
        <v>236</v>
      </c>
      <c r="GO257" t="s">
        <v>226</v>
      </c>
      <c r="GP257" t="s">
        <v>226</v>
      </c>
      <c r="GQ257" t="s">
        <v>267</v>
      </c>
      <c r="GR257" t="s">
        <v>226</v>
      </c>
      <c r="GS257" t="s">
        <v>226</v>
      </c>
      <c r="GT257" t="s">
        <v>267</v>
      </c>
      <c r="GU257" t="s">
        <v>236</v>
      </c>
      <c r="GX257" t="s">
        <v>236</v>
      </c>
      <c r="HB257" t="s">
        <v>1933</v>
      </c>
      <c r="HE257">
        <v>82980115</v>
      </c>
      <c r="HF257" t="s">
        <v>1934</v>
      </c>
      <c r="HG257" s="2">
        <v>45753.870671296303</v>
      </c>
      <c r="HJ257" t="s">
        <v>248</v>
      </c>
      <c r="HL257" t="s">
        <v>249</v>
      </c>
      <c r="HN257">
        <v>258</v>
      </c>
    </row>
    <row r="258" spans="1:222" x14ac:dyDescent="0.25">
      <c r="A258" s="2">
        <v>45753.655531956021</v>
      </c>
      <c r="B258" s="2">
        <v>45753.65865016204</v>
      </c>
      <c r="C258" t="s">
        <v>391</v>
      </c>
      <c r="D258">
        <v>381</v>
      </c>
      <c r="E258" s="2">
        <v>45731</v>
      </c>
      <c r="F258">
        <v>4</v>
      </c>
      <c r="G258" t="s">
        <v>413</v>
      </c>
      <c r="H258" t="s">
        <v>270</v>
      </c>
      <c r="I258">
        <v>40</v>
      </c>
      <c r="J258" t="str">
        <f t="shared" ref="J258:J321" si="4">IF(AND(I258&gt;=18,I258&lt;=25), "de 18 a 25 años",IF(AND(I258&gt;=26,I258&lt;=40),"de 26 a 40 años",IF(AND(I258&gt;=41,I258&lt;=55),"de 41 a 55 años","de 56 a más")))</f>
        <v>de 26 a 40 años</v>
      </c>
      <c r="K258" t="s">
        <v>251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291</v>
      </c>
      <c r="R258" t="s">
        <v>226</v>
      </c>
      <c r="T258" t="s">
        <v>227</v>
      </c>
      <c r="V258" t="s">
        <v>228</v>
      </c>
      <c r="W258" t="s">
        <v>229</v>
      </c>
      <c r="X258" t="s">
        <v>230</v>
      </c>
      <c r="Z258" t="s">
        <v>231</v>
      </c>
      <c r="AA258" t="s">
        <v>255</v>
      </c>
      <c r="AB258">
        <v>0</v>
      </c>
      <c r="AC258">
        <v>0</v>
      </c>
      <c r="AD258">
        <v>0</v>
      </c>
      <c r="AE258">
        <v>1</v>
      </c>
      <c r="AF258">
        <v>0</v>
      </c>
      <c r="AG258">
        <v>0</v>
      </c>
      <c r="AI258" t="s">
        <v>233</v>
      </c>
      <c r="AJ258">
        <v>0</v>
      </c>
      <c r="AK258">
        <v>1</v>
      </c>
      <c r="AL258">
        <v>0</v>
      </c>
      <c r="AM258">
        <v>0</v>
      </c>
      <c r="AN258" t="s">
        <v>257</v>
      </c>
      <c r="AO258" t="s">
        <v>275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X258" t="s">
        <v>226</v>
      </c>
      <c r="AY258" t="s">
        <v>226</v>
      </c>
      <c r="AZ258" t="s">
        <v>259</v>
      </c>
      <c r="BA258" t="s">
        <v>414</v>
      </c>
      <c r="BE258" t="s">
        <v>259</v>
      </c>
      <c r="BF258" t="s">
        <v>259</v>
      </c>
      <c r="BG258" t="s">
        <v>259</v>
      </c>
      <c r="BH258" t="s">
        <v>259</v>
      </c>
      <c r="BI258" t="s">
        <v>259</v>
      </c>
      <c r="BJ258" t="s">
        <v>259</v>
      </c>
      <c r="BK258" t="s">
        <v>259</v>
      </c>
      <c r="BL258" t="s">
        <v>262</v>
      </c>
      <c r="BM258" t="s">
        <v>415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 t="s">
        <v>243</v>
      </c>
      <c r="CB258" t="s">
        <v>243</v>
      </c>
      <c r="CC258" t="s">
        <v>243</v>
      </c>
      <c r="CD258" t="s">
        <v>226</v>
      </c>
      <c r="CE258" t="s">
        <v>236</v>
      </c>
      <c r="EA258" t="s">
        <v>226</v>
      </c>
      <c r="EB258" t="s">
        <v>244</v>
      </c>
      <c r="EC258" t="s">
        <v>226</v>
      </c>
      <c r="ED258" t="s">
        <v>244</v>
      </c>
      <c r="EE258" t="s">
        <v>226</v>
      </c>
      <c r="EF258" t="s">
        <v>245</v>
      </c>
      <c r="EG258" t="s">
        <v>226</v>
      </c>
      <c r="EH258" t="s">
        <v>245</v>
      </c>
      <c r="EI258" t="s">
        <v>236</v>
      </c>
      <c r="EK258" t="s">
        <v>226</v>
      </c>
      <c r="EL258" t="s">
        <v>244</v>
      </c>
      <c r="EM258" t="s">
        <v>226</v>
      </c>
      <c r="EN258" t="s">
        <v>244</v>
      </c>
      <c r="EO258" t="s">
        <v>226</v>
      </c>
      <c r="EP258" t="s">
        <v>244</v>
      </c>
      <c r="EQ258" t="s">
        <v>236</v>
      </c>
      <c r="ES258" t="s">
        <v>226</v>
      </c>
      <c r="ET258" t="s">
        <v>244</v>
      </c>
      <c r="EU258" t="s">
        <v>236</v>
      </c>
      <c r="EW258" t="s">
        <v>226</v>
      </c>
      <c r="EX258" t="s">
        <v>244</v>
      </c>
      <c r="EY258" t="s">
        <v>236</v>
      </c>
      <c r="FA258" t="s">
        <v>226</v>
      </c>
      <c r="FB258" t="s">
        <v>245</v>
      </c>
      <c r="FC258" t="s">
        <v>236</v>
      </c>
      <c r="FE258" t="s">
        <v>226</v>
      </c>
      <c r="FF258" t="s">
        <v>245</v>
      </c>
      <c r="FG258" t="s">
        <v>236</v>
      </c>
      <c r="FJ258" t="s">
        <v>236</v>
      </c>
      <c r="FM258" t="s">
        <v>226</v>
      </c>
      <c r="FN258" t="s">
        <v>416</v>
      </c>
      <c r="FO258">
        <v>0</v>
      </c>
      <c r="FP258">
        <v>1</v>
      </c>
      <c r="FQ258">
        <v>0</v>
      </c>
      <c r="FR258">
        <v>0</v>
      </c>
      <c r="FS258">
        <v>0</v>
      </c>
      <c r="FU258" t="s">
        <v>226</v>
      </c>
      <c r="FW258" t="s">
        <v>236</v>
      </c>
      <c r="FZ258" t="s">
        <v>236</v>
      </c>
      <c r="GC258" t="s">
        <v>236</v>
      </c>
      <c r="GF258" t="s">
        <v>236</v>
      </c>
      <c r="GI258" t="s">
        <v>236</v>
      </c>
      <c r="GL258" t="s">
        <v>236</v>
      </c>
      <c r="GO258" t="s">
        <v>226</v>
      </c>
      <c r="GP258" t="s">
        <v>226</v>
      </c>
      <c r="GQ258" t="s">
        <v>267</v>
      </c>
      <c r="GR258" t="s">
        <v>236</v>
      </c>
      <c r="GU258" t="s">
        <v>236</v>
      </c>
      <c r="GX258" t="s">
        <v>236</v>
      </c>
      <c r="HB258" t="s">
        <v>417</v>
      </c>
      <c r="HE258">
        <v>82979878</v>
      </c>
      <c r="HF258" t="s">
        <v>418</v>
      </c>
      <c r="HG258" s="2">
        <v>45753.867002314822</v>
      </c>
      <c r="HJ258" t="s">
        <v>248</v>
      </c>
      <c r="HL258" t="s">
        <v>249</v>
      </c>
      <c r="HN258">
        <v>256</v>
      </c>
    </row>
    <row r="259" spans="1:222" x14ac:dyDescent="0.25">
      <c r="A259" s="2">
        <v>45753.658651215279</v>
      </c>
      <c r="B259" s="2">
        <v>45753.660897870373</v>
      </c>
      <c r="C259" t="s">
        <v>391</v>
      </c>
      <c r="D259">
        <v>380</v>
      </c>
      <c r="E259" s="2">
        <v>45731</v>
      </c>
      <c r="F259">
        <v>4</v>
      </c>
      <c r="G259" t="s">
        <v>436</v>
      </c>
      <c r="H259" t="s">
        <v>270</v>
      </c>
      <c r="I259">
        <v>60</v>
      </c>
      <c r="J259" t="str">
        <f t="shared" si="4"/>
        <v>de 56 a más</v>
      </c>
      <c r="K259" t="s">
        <v>224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291</v>
      </c>
      <c r="R259" t="s">
        <v>226</v>
      </c>
      <c r="T259" t="s">
        <v>227</v>
      </c>
      <c r="V259" t="s">
        <v>612</v>
      </c>
      <c r="W259" t="s">
        <v>229</v>
      </c>
      <c r="X259" t="s">
        <v>230</v>
      </c>
      <c r="Z259" t="s">
        <v>308</v>
      </c>
      <c r="AA259" t="s">
        <v>293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0</v>
      </c>
      <c r="AI259" t="s">
        <v>233</v>
      </c>
      <c r="AJ259">
        <v>0</v>
      </c>
      <c r="AK259">
        <v>1</v>
      </c>
      <c r="AL259">
        <v>0</v>
      </c>
      <c r="AM259">
        <v>0</v>
      </c>
      <c r="AN259" t="s">
        <v>300</v>
      </c>
      <c r="AO259" t="s">
        <v>275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</v>
      </c>
      <c r="AX259" t="s">
        <v>226</v>
      </c>
      <c r="AY259" t="s">
        <v>226</v>
      </c>
      <c r="AZ259" t="s">
        <v>237</v>
      </c>
      <c r="BA259" t="s">
        <v>672</v>
      </c>
      <c r="BB259" t="s">
        <v>1775</v>
      </c>
      <c r="BE259" t="s">
        <v>259</v>
      </c>
      <c r="BF259" t="s">
        <v>237</v>
      </c>
      <c r="BG259" t="s">
        <v>259</v>
      </c>
      <c r="BH259" t="s">
        <v>239</v>
      </c>
      <c r="BI259" t="s">
        <v>239</v>
      </c>
      <c r="BJ259" t="s">
        <v>261</v>
      </c>
      <c r="BK259" t="s">
        <v>239</v>
      </c>
      <c r="BL259" t="s">
        <v>262</v>
      </c>
      <c r="BM259" t="s">
        <v>733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 t="s">
        <v>264</v>
      </c>
      <c r="CB259" t="s">
        <v>328</v>
      </c>
      <c r="CC259" t="s">
        <v>328</v>
      </c>
      <c r="CD259" t="s">
        <v>236</v>
      </c>
      <c r="CE259" t="s">
        <v>236</v>
      </c>
      <c r="EA259" t="s">
        <v>236</v>
      </c>
      <c r="EC259" t="s">
        <v>236</v>
      </c>
      <c r="EE259" t="s">
        <v>236</v>
      </c>
      <c r="EG259" t="s">
        <v>236</v>
      </c>
      <c r="EI259" t="s">
        <v>236</v>
      </c>
      <c r="EK259" t="s">
        <v>236</v>
      </c>
      <c r="EM259" t="s">
        <v>236</v>
      </c>
      <c r="EO259" t="s">
        <v>236</v>
      </c>
      <c r="EQ259" t="s">
        <v>236</v>
      </c>
      <c r="ES259" t="s">
        <v>236</v>
      </c>
      <c r="EU259" t="s">
        <v>236</v>
      </c>
      <c r="EW259" t="s">
        <v>236</v>
      </c>
      <c r="EY259" t="s">
        <v>236</v>
      </c>
      <c r="FA259" t="s">
        <v>236</v>
      </c>
      <c r="FC259" t="s">
        <v>236</v>
      </c>
      <c r="FE259" t="s">
        <v>236</v>
      </c>
      <c r="FG259" t="s">
        <v>236</v>
      </c>
      <c r="FJ259" t="s">
        <v>226</v>
      </c>
      <c r="FK259" t="s">
        <v>245</v>
      </c>
      <c r="FL259" t="s">
        <v>236</v>
      </c>
      <c r="FM259" t="s">
        <v>236</v>
      </c>
      <c r="FW259" t="s">
        <v>236</v>
      </c>
      <c r="FZ259" t="s">
        <v>236</v>
      </c>
      <c r="GC259" t="s">
        <v>236</v>
      </c>
      <c r="GF259" t="s">
        <v>236</v>
      </c>
      <c r="GI259" t="s">
        <v>236</v>
      </c>
      <c r="GL259" t="s">
        <v>236</v>
      </c>
      <c r="GO259" t="s">
        <v>236</v>
      </c>
      <c r="GR259" t="s">
        <v>236</v>
      </c>
      <c r="GU259" t="s">
        <v>236</v>
      </c>
      <c r="GX259" t="s">
        <v>236</v>
      </c>
      <c r="HB259" t="s">
        <v>1776</v>
      </c>
      <c r="HE259">
        <v>82979930</v>
      </c>
      <c r="HF259" t="s">
        <v>1777</v>
      </c>
      <c r="HG259" s="2">
        <v>45753.869247685187</v>
      </c>
      <c r="HJ259" t="s">
        <v>248</v>
      </c>
      <c r="HL259" t="s">
        <v>249</v>
      </c>
      <c r="HN259">
        <v>257</v>
      </c>
    </row>
    <row r="260" spans="1:222" x14ac:dyDescent="0.25">
      <c r="A260" s="2">
        <v>45753.660899016213</v>
      </c>
      <c r="B260" s="2">
        <v>45753.663601886583</v>
      </c>
      <c r="C260" t="s">
        <v>391</v>
      </c>
      <c r="D260">
        <v>379</v>
      </c>
      <c r="E260" s="2">
        <v>45731</v>
      </c>
      <c r="F260">
        <v>4</v>
      </c>
      <c r="G260" t="s">
        <v>367</v>
      </c>
      <c r="H260" t="s">
        <v>270</v>
      </c>
      <c r="I260">
        <v>62</v>
      </c>
      <c r="J260" t="str">
        <f t="shared" si="4"/>
        <v>de 56 a más</v>
      </c>
      <c r="K260" t="s">
        <v>251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291</v>
      </c>
      <c r="R260" t="s">
        <v>226</v>
      </c>
      <c r="T260" t="s">
        <v>227</v>
      </c>
      <c r="V260" t="s">
        <v>228</v>
      </c>
      <c r="W260" t="s">
        <v>229</v>
      </c>
      <c r="X260" t="s">
        <v>230</v>
      </c>
      <c r="Z260" t="s">
        <v>231</v>
      </c>
      <c r="AA260" t="s">
        <v>823</v>
      </c>
      <c r="AB260">
        <v>1</v>
      </c>
      <c r="AC260">
        <v>0</v>
      </c>
      <c r="AD260">
        <v>0</v>
      </c>
      <c r="AE260">
        <v>1</v>
      </c>
      <c r="AF260">
        <v>0</v>
      </c>
      <c r="AG260">
        <v>0</v>
      </c>
      <c r="AI260" t="s">
        <v>256</v>
      </c>
      <c r="AJ260">
        <v>0</v>
      </c>
      <c r="AK260">
        <v>0</v>
      </c>
      <c r="AL260">
        <v>1</v>
      </c>
      <c r="AM260">
        <v>0</v>
      </c>
      <c r="AN260" t="s">
        <v>300</v>
      </c>
      <c r="AO260" t="s">
        <v>539</v>
      </c>
      <c r="AP260">
        <v>1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X260" t="s">
        <v>226</v>
      </c>
      <c r="AY260" t="s">
        <v>226</v>
      </c>
      <c r="AZ260" t="s">
        <v>259</v>
      </c>
      <c r="BA260" t="s">
        <v>312</v>
      </c>
      <c r="BE260" t="s">
        <v>261</v>
      </c>
      <c r="BF260" t="s">
        <v>261</v>
      </c>
      <c r="BG260" t="s">
        <v>259</v>
      </c>
      <c r="BH260" t="s">
        <v>259</v>
      </c>
      <c r="BI260" t="s">
        <v>259</v>
      </c>
      <c r="BJ260" t="s">
        <v>259</v>
      </c>
      <c r="BK260" t="s">
        <v>239</v>
      </c>
      <c r="BL260" t="s">
        <v>313</v>
      </c>
      <c r="BM260" t="s">
        <v>415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 t="s">
        <v>242</v>
      </c>
      <c r="CB260" t="s">
        <v>264</v>
      </c>
      <c r="CC260" t="s">
        <v>264</v>
      </c>
      <c r="CD260" t="s">
        <v>226</v>
      </c>
      <c r="CE260" t="s">
        <v>236</v>
      </c>
      <c r="EA260" t="s">
        <v>226</v>
      </c>
      <c r="EB260" t="s">
        <v>245</v>
      </c>
      <c r="EC260" t="s">
        <v>236</v>
      </c>
      <c r="EE260" t="s">
        <v>236</v>
      </c>
      <c r="EG260" t="s">
        <v>226</v>
      </c>
      <c r="EH260" t="s">
        <v>244</v>
      </c>
      <c r="EI260" t="s">
        <v>308</v>
      </c>
      <c r="EK260" t="s">
        <v>236</v>
      </c>
      <c r="EM260" t="s">
        <v>226</v>
      </c>
      <c r="EN260" t="s">
        <v>244</v>
      </c>
      <c r="EO260" t="s">
        <v>236</v>
      </c>
      <c r="EQ260" t="s">
        <v>236</v>
      </c>
      <c r="ES260" t="s">
        <v>236</v>
      </c>
      <c r="EU260" t="s">
        <v>236</v>
      </c>
      <c r="EW260" t="s">
        <v>236</v>
      </c>
      <c r="EY260" t="s">
        <v>236</v>
      </c>
      <c r="FA260" t="s">
        <v>226</v>
      </c>
      <c r="FB260" t="s">
        <v>244</v>
      </c>
      <c r="FC260" t="s">
        <v>236</v>
      </c>
      <c r="FE260" t="s">
        <v>226</v>
      </c>
      <c r="FF260" t="s">
        <v>245</v>
      </c>
      <c r="FG260" t="s">
        <v>226</v>
      </c>
      <c r="FH260" t="s">
        <v>1773</v>
      </c>
      <c r="FI260" t="s">
        <v>265</v>
      </c>
      <c r="FJ260" t="s">
        <v>226</v>
      </c>
      <c r="FK260" t="s">
        <v>265</v>
      </c>
      <c r="FL260" t="s">
        <v>226</v>
      </c>
      <c r="FM260" t="s">
        <v>236</v>
      </c>
      <c r="FW260" t="s">
        <v>236</v>
      </c>
      <c r="FZ260" t="s">
        <v>236</v>
      </c>
      <c r="GC260" t="s">
        <v>236</v>
      </c>
      <c r="GF260" t="s">
        <v>236</v>
      </c>
      <c r="GI260" t="s">
        <v>236</v>
      </c>
      <c r="GL260" t="s">
        <v>236</v>
      </c>
      <c r="GO260" t="s">
        <v>236</v>
      </c>
      <c r="GR260" t="s">
        <v>236</v>
      </c>
      <c r="GU260" t="s">
        <v>236</v>
      </c>
      <c r="GX260" t="s">
        <v>236</v>
      </c>
      <c r="HB260" t="s">
        <v>920</v>
      </c>
      <c r="HE260">
        <v>82980261</v>
      </c>
      <c r="HF260" t="s">
        <v>1774</v>
      </c>
      <c r="HG260" s="2">
        <v>45753.87195601852</v>
      </c>
      <c r="HJ260" t="s">
        <v>248</v>
      </c>
      <c r="HL260" t="s">
        <v>249</v>
      </c>
      <c r="HN260">
        <v>259</v>
      </c>
    </row>
    <row r="261" spans="1:222" x14ac:dyDescent="0.25">
      <c r="A261" s="2">
        <v>45753.662341226853</v>
      </c>
      <c r="B261" s="2">
        <v>45753.667734444447</v>
      </c>
      <c r="C261" t="s">
        <v>221</v>
      </c>
      <c r="D261">
        <v>431</v>
      </c>
      <c r="E261" s="2">
        <v>45731</v>
      </c>
      <c r="F261">
        <v>3</v>
      </c>
      <c r="G261" t="s">
        <v>380</v>
      </c>
      <c r="H261" t="s">
        <v>307</v>
      </c>
      <c r="I261">
        <v>31</v>
      </c>
      <c r="J261" t="str">
        <f t="shared" si="4"/>
        <v>de 26 a 40 años</v>
      </c>
      <c r="K261" t="s">
        <v>224</v>
      </c>
      <c r="L261">
        <v>1</v>
      </c>
      <c r="M261">
        <v>0</v>
      </c>
      <c r="N261">
        <v>0</v>
      </c>
      <c r="O261">
        <v>0</v>
      </c>
      <c r="P261">
        <v>0</v>
      </c>
      <c r="Q261" t="s">
        <v>225</v>
      </c>
      <c r="R261" t="s">
        <v>226</v>
      </c>
      <c r="T261" t="s">
        <v>227</v>
      </c>
      <c r="V261" t="s">
        <v>252</v>
      </c>
      <c r="W261" t="s">
        <v>229</v>
      </c>
      <c r="X261" t="s">
        <v>230</v>
      </c>
      <c r="Z261" t="s">
        <v>231</v>
      </c>
      <c r="AA261" t="s">
        <v>255</v>
      </c>
      <c r="AB261">
        <v>0</v>
      </c>
      <c r="AC261">
        <v>0</v>
      </c>
      <c r="AD261">
        <v>0</v>
      </c>
      <c r="AE261">
        <v>1</v>
      </c>
      <c r="AF261">
        <v>0</v>
      </c>
      <c r="AG261">
        <v>0</v>
      </c>
      <c r="AI261" t="s">
        <v>233</v>
      </c>
      <c r="AJ261">
        <v>0</v>
      </c>
      <c r="AK261">
        <v>1</v>
      </c>
      <c r="AL261">
        <v>0</v>
      </c>
      <c r="AM261">
        <v>0</v>
      </c>
      <c r="AN261" t="s">
        <v>234</v>
      </c>
      <c r="AO261" t="s">
        <v>294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X261" t="s">
        <v>226</v>
      </c>
      <c r="AY261" t="s">
        <v>226</v>
      </c>
      <c r="AZ261" t="s">
        <v>362</v>
      </c>
      <c r="BA261" t="s">
        <v>1935</v>
      </c>
      <c r="BE261" t="s">
        <v>259</v>
      </c>
      <c r="BF261" t="s">
        <v>237</v>
      </c>
      <c r="BG261" t="s">
        <v>259</v>
      </c>
      <c r="BH261" t="s">
        <v>259</v>
      </c>
      <c r="BI261" t="s">
        <v>237</v>
      </c>
      <c r="BJ261" t="s">
        <v>237</v>
      </c>
      <c r="BK261" t="s">
        <v>259</v>
      </c>
      <c r="BL261" t="s">
        <v>262</v>
      </c>
      <c r="BM261" t="s">
        <v>365</v>
      </c>
      <c r="BN261">
        <v>0</v>
      </c>
      <c r="BO261">
        <v>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 t="s">
        <v>264</v>
      </c>
      <c r="CB261" t="s">
        <v>264</v>
      </c>
      <c r="CC261" t="s">
        <v>242</v>
      </c>
      <c r="CD261" t="s">
        <v>226</v>
      </c>
      <c r="CE261" t="s">
        <v>236</v>
      </c>
      <c r="EA261" t="s">
        <v>236</v>
      </c>
      <c r="EC261" t="s">
        <v>236</v>
      </c>
      <c r="EE261" t="s">
        <v>226</v>
      </c>
      <c r="EF261" t="s">
        <v>245</v>
      </c>
      <c r="EG261" t="s">
        <v>236</v>
      </c>
      <c r="EI261" t="s">
        <v>236</v>
      </c>
      <c r="EK261" t="s">
        <v>236</v>
      </c>
      <c r="EM261" t="s">
        <v>226</v>
      </c>
      <c r="EN261" t="s">
        <v>245</v>
      </c>
      <c r="EO261" t="s">
        <v>236</v>
      </c>
      <c r="EQ261" t="s">
        <v>236</v>
      </c>
      <c r="ES261" t="s">
        <v>226</v>
      </c>
      <c r="ET261" t="s">
        <v>245</v>
      </c>
      <c r="EU261" t="s">
        <v>236</v>
      </c>
      <c r="EW261" t="s">
        <v>226</v>
      </c>
      <c r="EX261" t="s">
        <v>244</v>
      </c>
      <c r="EY261" t="s">
        <v>236</v>
      </c>
      <c r="FA261" t="s">
        <v>226</v>
      </c>
      <c r="FB261" t="s">
        <v>244</v>
      </c>
      <c r="FC261" t="s">
        <v>236</v>
      </c>
      <c r="FE261" t="s">
        <v>226</v>
      </c>
      <c r="FF261" t="s">
        <v>245</v>
      </c>
      <c r="FG261" t="s">
        <v>236</v>
      </c>
      <c r="FJ261" t="s">
        <v>226</v>
      </c>
      <c r="FK261" t="s">
        <v>245</v>
      </c>
      <c r="FL261" t="s">
        <v>236</v>
      </c>
      <c r="FM261" t="s">
        <v>236</v>
      </c>
      <c r="FW261" t="s">
        <v>226</v>
      </c>
      <c r="FX261" t="s">
        <v>226</v>
      </c>
      <c r="FY261" t="s">
        <v>266</v>
      </c>
      <c r="FZ261" t="s">
        <v>226</v>
      </c>
      <c r="GA261" t="s">
        <v>226</v>
      </c>
      <c r="GB261" t="s">
        <v>266</v>
      </c>
      <c r="GC261" t="s">
        <v>236</v>
      </c>
      <c r="GF261" t="s">
        <v>226</v>
      </c>
      <c r="GG261" t="s">
        <v>226</v>
      </c>
      <c r="GH261" t="s">
        <v>266</v>
      </c>
      <c r="GI261" t="s">
        <v>236</v>
      </c>
      <c r="GL261" t="s">
        <v>236</v>
      </c>
      <c r="GO261" t="s">
        <v>226</v>
      </c>
      <c r="GP261" t="s">
        <v>226</v>
      </c>
      <c r="GQ261" t="s">
        <v>267</v>
      </c>
      <c r="GR261" t="s">
        <v>226</v>
      </c>
      <c r="GS261" t="s">
        <v>226</v>
      </c>
      <c r="GT261" t="s">
        <v>267</v>
      </c>
      <c r="GU261" t="s">
        <v>226</v>
      </c>
      <c r="GV261" t="s">
        <v>226</v>
      </c>
      <c r="GW261" t="s">
        <v>267</v>
      </c>
      <c r="GX261" t="s">
        <v>226</v>
      </c>
      <c r="GY261" t="s">
        <v>226</v>
      </c>
      <c r="GZ261" t="s">
        <v>267</v>
      </c>
      <c r="HB261" t="s">
        <v>1936</v>
      </c>
      <c r="HE261">
        <v>82980561</v>
      </c>
      <c r="HF261" t="s">
        <v>1937</v>
      </c>
      <c r="HG261" s="2">
        <v>45753.876064814824</v>
      </c>
      <c r="HJ261" t="s">
        <v>248</v>
      </c>
      <c r="HL261" t="s">
        <v>249</v>
      </c>
      <c r="HN261">
        <v>261</v>
      </c>
    </row>
    <row r="262" spans="1:222" x14ac:dyDescent="0.25">
      <c r="A262" s="2">
        <v>45753.663602638888</v>
      </c>
      <c r="B262" s="2">
        <v>45753.666968136567</v>
      </c>
      <c r="C262" t="s">
        <v>391</v>
      </c>
      <c r="D262">
        <v>378</v>
      </c>
      <c r="E262" s="2">
        <v>45731</v>
      </c>
      <c r="F262">
        <v>4</v>
      </c>
      <c r="G262" t="s">
        <v>436</v>
      </c>
      <c r="H262" t="s">
        <v>270</v>
      </c>
      <c r="I262">
        <v>42</v>
      </c>
      <c r="J262" t="str">
        <f t="shared" si="4"/>
        <v>de 41 a 55 años</v>
      </c>
      <c r="K262" t="s">
        <v>224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225</v>
      </c>
      <c r="R262" t="s">
        <v>226</v>
      </c>
      <c r="T262" t="s">
        <v>227</v>
      </c>
      <c r="V262" t="s">
        <v>272</v>
      </c>
      <c r="W262" t="s">
        <v>229</v>
      </c>
      <c r="X262" t="s">
        <v>348</v>
      </c>
      <c r="Y262" t="s">
        <v>761</v>
      </c>
      <c r="Z262" t="s">
        <v>308</v>
      </c>
      <c r="AA262" t="s">
        <v>293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I262" t="s">
        <v>850</v>
      </c>
      <c r="AJ262">
        <v>0</v>
      </c>
      <c r="AK262">
        <v>0</v>
      </c>
      <c r="AL262">
        <v>1</v>
      </c>
      <c r="AM262">
        <v>1</v>
      </c>
      <c r="AN262" t="s">
        <v>257</v>
      </c>
      <c r="AO262" t="s">
        <v>369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 t="s">
        <v>551</v>
      </c>
      <c r="AX262" t="s">
        <v>236</v>
      </c>
      <c r="AZ262" t="s">
        <v>237</v>
      </c>
      <c r="BA262" t="s">
        <v>1768</v>
      </c>
      <c r="BB262" t="s">
        <v>1769</v>
      </c>
      <c r="BE262" t="s">
        <v>259</v>
      </c>
      <c r="BF262" t="s">
        <v>237</v>
      </c>
      <c r="BG262" t="s">
        <v>259</v>
      </c>
      <c r="BH262" t="s">
        <v>237</v>
      </c>
      <c r="BI262" t="s">
        <v>237</v>
      </c>
      <c r="BJ262" t="s">
        <v>237</v>
      </c>
      <c r="BK262" t="s">
        <v>237</v>
      </c>
      <c r="BL262" t="s">
        <v>313</v>
      </c>
      <c r="BM262" t="s">
        <v>1770</v>
      </c>
      <c r="BN262">
        <v>1</v>
      </c>
      <c r="BO262">
        <v>0</v>
      </c>
      <c r="BP262">
        <v>1</v>
      </c>
      <c r="BQ262">
        <v>1</v>
      </c>
      <c r="BR262">
        <v>1</v>
      </c>
      <c r="BS262">
        <v>0</v>
      </c>
      <c r="BT262">
        <v>0</v>
      </c>
      <c r="BU262">
        <v>1</v>
      </c>
      <c r="BV262">
        <v>1</v>
      </c>
      <c r="BW262">
        <v>0</v>
      </c>
      <c r="BX262">
        <v>0</v>
      </c>
      <c r="BY262">
        <v>0</v>
      </c>
      <c r="BZ262">
        <v>0</v>
      </c>
      <c r="CA262" t="s">
        <v>264</v>
      </c>
      <c r="CB262" t="s">
        <v>264</v>
      </c>
      <c r="CC262" t="s">
        <v>264</v>
      </c>
      <c r="CD262" t="s">
        <v>236</v>
      </c>
      <c r="CE262" t="s">
        <v>236</v>
      </c>
      <c r="EA262" t="s">
        <v>236</v>
      </c>
      <c r="EC262" t="s">
        <v>236</v>
      </c>
      <c r="EE262" t="s">
        <v>226</v>
      </c>
      <c r="EF262" t="s">
        <v>245</v>
      </c>
      <c r="EG262" t="s">
        <v>236</v>
      </c>
      <c r="EI262" t="s">
        <v>308</v>
      </c>
      <c r="EK262" t="s">
        <v>236</v>
      </c>
      <c r="EM262" t="s">
        <v>226</v>
      </c>
      <c r="EN262" t="s">
        <v>244</v>
      </c>
      <c r="EO262" t="s">
        <v>236</v>
      </c>
      <c r="EQ262" t="s">
        <v>236</v>
      </c>
      <c r="ES262" t="s">
        <v>236</v>
      </c>
      <c r="EU262" t="s">
        <v>236</v>
      </c>
      <c r="EW262" t="s">
        <v>236</v>
      </c>
      <c r="EY262" t="s">
        <v>236</v>
      </c>
      <c r="FA262" t="s">
        <v>226</v>
      </c>
      <c r="FB262" t="s">
        <v>245</v>
      </c>
      <c r="FC262" t="s">
        <v>236</v>
      </c>
      <c r="FE262" t="s">
        <v>236</v>
      </c>
      <c r="FG262" t="s">
        <v>236</v>
      </c>
      <c r="FJ262" t="s">
        <v>226</v>
      </c>
      <c r="FK262" t="s">
        <v>245</v>
      </c>
      <c r="FL262" t="s">
        <v>226</v>
      </c>
      <c r="FM262" t="s">
        <v>236</v>
      </c>
      <c r="FW262" t="s">
        <v>226</v>
      </c>
      <c r="FX262" t="s">
        <v>226</v>
      </c>
      <c r="FY262" t="s">
        <v>266</v>
      </c>
      <c r="FZ262" t="s">
        <v>236</v>
      </c>
      <c r="GC262" t="s">
        <v>236</v>
      </c>
      <c r="GF262" t="s">
        <v>226</v>
      </c>
      <c r="GG262" t="s">
        <v>226</v>
      </c>
      <c r="GH262" t="s">
        <v>266</v>
      </c>
      <c r="GI262" t="s">
        <v>236</v>
      </c>
      <c r="GL262" t="s">
        <v>236</v>
      </c>
      <c r="GO262" t="s">
        <v>236</v>
      </c>
      <c r="GR262" t="s">
        <v>226</v>
      </c>
      <c r="GS262" t="s">
        <v>226</v>
      </c>
      <c r="GT262" t="s">
        <v>266</v>
      </c>
      <c r="GU262" t="s">
        <v>236</v>
      </c>
      <c r="GX262" t="s">
        <v>236</v>
      </c>
      <c r="HB262" t="s">
        <v>1771</v>
      </c>
      <c r="HE262">
        <v>82980495</v>
      </c>
      <c r="HF262" t="s">
        <v>1772</v>
      </c>
      <c r="HG262" s="2">
        <v>45753.875324074077</v>
      </c>
      <c r="HJ262" t="s">
        <v>248</v>
      </c>
      <c r="HL262" t="s">
        <v>249</v>
      </c>
      <c r="HN262">
        <v>260</v>
      </c>
    </row>
    <row r="263" spans="1:222" x14ac:dyDescent="0.25">
      <c r="A263" s="2">
        <v>45753.666970937498</v>
      </c>
      <c r="B263" s="2">
        <v>45753.670440034723</v>
      </c>
      <c r="C263" t="s">
        <v>391</v>
      </c>
      <c r="D263">
        <v>377</v>
      </c>
      <c r="E263" s="2">
        <v>45731</v>
      </c>
      <c r="F263">
        <v>4</v>
      </c>
      <c r="G263" t="s">
        <v>528</v>
      </c>
      <c r="H263" t="s">
        <v>270</v>
      </c>
      <c r="I263">
        <v>55</v>
      </c>
      <c r="J263" t="str">
        <f t="shared" si="4"/>
        <v>de 41 a 55 años</v>
      </c>
      <c r="K263" t="s">
        <v>251</v>
      </c>
      <c r="L263">
        <v>2</v>
      </c>
      <c r="M263">
        <v>0</v>
      </c>
      <c r="N263">
        <v>0</v>
      </c>
      <c r="O263">
        <v>0</v>
      </c>
      <c r="P263">
        <v>0</v>
      </c>
      <c r="Q263" t="s">
        <v>225</v>
      </c>
      <c r="R263" t="s">
        <v>226</v>
      </c>
      <c r="T263" t="s">
        <v>392</v>
      </c>
      <c r="V263" t="s">
        <v>321</v>
      </c>
      <c r="W263" t="s">
        <v>229</v>
      </c>
      <c r="X263" t="s">
        <v>348</v>
      </c>
      <c r="Y263" t="s">
        <v>1765</v>
      </c>
      <c r="Z263" t="s">
        <v>231</v>
      </c>
      <c r="AA263" t="s">
        <v>616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 t="s">
        <v>1766</v>
      </c>
      <c r="AI263" t="s">
        <v>233</v>
      </c>
      <c r="AJ263">
        <v>0</v>
      </c>
      <c r="AK263">
        <v>1</v>
      </c>
      <c r="AL263">
        <v>0</v>
      </c>
      <c r="AM263">
        <v>0</v>
      </c>
      <c r="AN263" t="s">
        <v>274</v>
      </c>
      <c r="AO263" t="s">
        <v>369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1</v>
      </c>
      <c r="AW263" t="s">
        <v>1103</v>
      </c>
      <c r="AX263" t="s">
        <v>226</v>
      </c>
      <c r="AY263" t="s">
        <v>226</v>
      </c>
      <c r="AZ263" t="s">
        <v>237</v>
      </c>
      <c r="BA263" t="s">
        <v>336</v>
      </c>
      <c r="BB263" t="s">
        <v>322</v>
      </c>
      <c r="BC263" t="s">
        <v>438</v>
      </c>
      <c r="BE263" t="s">
        <v>259</v>
      </c>
      <c r="BF263" t="s">
        <v>237</v>
      </c>
      <c r="BG263" t="s">
        <v>237</v>
      </c>
      <c r="BH263" t="s">
        <v>237</v>
      </c>
      <c r="BI263" t="s">
        <v>237</v>
      </c>
      <c r="BJ263" t="s">
        <v>237</v>
      </c>
      <c r="BK263" t="s">
        <v>237</v>
      </c>
      <c r="BL263" t="s">
        <v>262</v>
      </c>
      <c r="BM263" t="s">
        <v>372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1</v>
      </c>
      <c r="CA263" t="s">
        <v>264</v>
      </c>
      <c r="CB263" t="s">
        <v>264</v>
      </c>
      <c r="CC263" t="s">
        <v>264</v>
      </c>
      <c r="CD263" t="s">
        <v>236</v>
      </c>
      <c r="CE263" t="s">
        <v>236</v>
      </c>
      <c r="EA263" t="s">
        <v>236</v>
      </c>
      <c r="EC263" t="s">
        <v>236</v>
      </c>
      <c r="EE263" t="s">
        <v>236</v>
      </c>
      <c r="EG263" t="s">
        <v>226</v>
      </c>
      <c r="EH263" t="s">
        <v>244</v>
      </c>
      <c r="EI263" t="s">
        <v>236</v>
      </c>
      <c r="EK263" t="s">
        <v>236</v>
      </c>
      <c r="EM263" t="s">
        <v>226</v>
      </c>
      <c r="EN263" t="s">
        <v>244</v>
      </c>
      <c r="EO263" t="s">
        <v>236</v>
      </c>
      <c r="EQ263" t="s">
        <v>236</v>
      </c>
      <c r="ES263" t="s">
        <v>236</v>
      </c>
      <c r="EU263" t="s">
        <v>236</v>
      </c>
      <c r="EW263" t="s">
        <v>236</v>
      </c>
      <c r="EY263" t="s">
        <v>236</v>
      </c>
      <c r="FA263" t="s">
        <v>236</v>
      </c>
      <c r="FC263" t="s">
        <v>236</v>
      </c>
      <c r="FE263" t="s">
        <v>236</v>
      </c>
      <c r="FG263" t="s">
        <v>236</v>
      </c>
      <c r="FJ263" t="s">
        <v>226</v>
      </c>
      <c r="FK263" t="s">
        <v>245</v>
      </c>
      <c r="FL263" t="s">
        <v>236</v>
      </c>
      <c r="FM263" t="s">
        <v>236</v>
      </c>
      <c r="FW263" t="s">
        <v>226</v>
      </c>
      <c r="FX263" t="s">
        <v>226</v>
      </c>
      <c r="FY263" t="s">
        <v>267</v>
      </c>
      <c r="FZ263" t="s">
        <v>236</v>
      </c>
      <c r="GC263" t="s">
        <v>236</v>
      </c>
      <c r="GF263" t="s">
        <v>236</v>
      </c>
      <c r="GI263" t="s">
        <v>236</v>
      </c>
      <c r="GL263" t="s">
        <v>226</v>
      </c>
      <c r="GM263" t="s">
        <v>226</v>
      </c>
      <c r="GN263" t="s">
        <v>267</v>
      </c>
      <c r="GO263" t="s">
        <v>226</v>
      </c>
      <c r="GP263" t="s">
        <v>226</v>
      </c>
      <c r="GQ263" t="s">
        <v>267</v>
      </c>
      <c r="GR263" t="s">
        <v>236</v>
      </c>
      <c r="GU263" t="s">
        <v>236</v>
      </c>
      <c r="GX263" t="s">
        <v>236</v>
      </c>
      <c r="HB263" t="s">
        <v>1479</v>
      </c>
      <c r="HC263" t="s">
        <v>378</v>
      </c>
      <c r="HD263" t="s">
        <v>1373</v>
      </c>
      <c r="HE263">
        <v>82980872</v>
      </c>
      <c r="HF263" t="s">
        <v>1767</v>
      </c>
      <c r="HG263" s="2">
        <v>45753.878796296303</v>
      </c>
      <c r="HJ263" t="s">
        <v>248</v>
      </c>
      <c r="HL263" t="s">
        <v>249</v>
      </c>
      <c r="HN263">
        <v>262</v>
      </c>
    </row>
    <row r="264" spans="1:222" x14ac:dyDescent="0.25">
      <c r="A264" s="2">
        <v>45753.667735196759</v>
      </c>
      <c r="B264" s="2">
        <v>45753.682751701388</v>
      </c>
      <c r="C264" t="s">
        <v>221</v>
      </c>
      <c r="D264">
        <v>432</v>
      </c>
      <c r="E264" s="2">
        <v>45731</v>
      </c>
      <c r="F264">
        <v>3</v>
      </c>
      <c r="G264" t="s">
        <v>380</v>
      </c>
      <c r="H264" t="s">
        <v>307</v>
      </c>
      <c r="I264">
        <v>40</v>
      </c>
      <c r="J264" t="str">
        <f t="shared" si="4"/>
        <v>de 26 a 40 años</v>
      </c>
      <c r="K264" t="s">
        <v>341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291</v>
      </c>
      <c r="R264" t="s">
        <v>226</v>
      </c>
      <c r="T264" t="s">
        <v>227</v>
      </c>
      <c r="V264" t="s">
        <v>252</v>
      </c>
      <c r="W264" t="s">
        <v>229</v>
      </c>
      <c r="X264" t="s">
        <v>230</v>
      </c>
      <c r="Z264" t="s">
        <v>254</v>
      </c>
      <c r="AA264" t="s">
        <v>232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0</v>
      </c>
      <c r="AI264" t="s">
        <v>233</v>
      </c>
      <c r="AJ264">
        <v>0</v>
      </c>
      <c r="AK264">
        <v>1</v>
      </c>
      <c r="AL264">
        <v>0</v>
      </c>
      <c r="AM264">
        <v>0</v>
      </c>
      <c r="AN264" t="s">
        <v>274</v>
      </c>
      <c r="AO264" t="s">
        <v>382</v>
      </c>
      <c r="AP264">
        <v>0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0</v>
      </c>
      <c r="AX264" t="s">
        <v>226</v>
      </c>
      <c r="AY264" t="s">
        <v>236</v>
      </c>
      <c r="AZ264" t="s">
        <v>259</v>
      </c>
      <c r="BA264" t="s">
        <v>1938</v>
      </c>
      <c r="BE264" t="s">
        <v>259</v>
      </c>
      <c r="BF264" t="s">
        <v>259</v>
      </c>
      <c r="BG264" t="s">
        <v>259</v>
      </c>
      <c r="BH264" t="s">
        <v>259</v>
      </c>
      <c r="BI264" t="s">
        <v>259</v>
      </c>
      <c r="BJ264" t="s">
        <v>237</v>
      </c>
      <c r="BK264" t="s">
        <v>261</v>
      </c>
      <c r="BL264" t="s">
        <v>262</v>
      </c>
      <c r="BM264" t="s">
        <v>296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 t="s">
        <v>264</v>
      </c>
      <c r="CB264" t="s">
        <v>243</v>
      </c>
      <c r="CC264" t="s">
        <v>242</v>
      </c>
      <c r="CD264" t="s">
        <v>236</v>
      </c>
      <c r="CE264" t="s">
        <v>236</v>
      </c>
      <c r="EA264" t="s">
        <v>236</v>
      </c>
      <c r="EC264" t="s">
        <v>226</v>
      </c>
      <c r="ED264" t="s">
        <v>245</v>
      </c>
      <c r="EE264" t="s">
        <v>226</v>
      </c>
      <c r="EF264" t="s">
        <v>245</v>
      </c>
      <c r="EG264" t="s">
        <v>236</v>
      </c>
      <c r="EI264" t="s">
        <v>226</v>
      </c>
      <c r="EJ264" t="s">
        <v>245</v>
      </c>
      <c r="EK264" t="s">
        <v>226</v>
      </c>
      <c r="EL264" t="s">
        <v>245</v>
      </c>
      <c r="EM264" t="s">
        <v>226</v>
      </c>
      <c r="EN264" t="s">
        <v>245</v>
      </c>
      <c r="EO264" t="s">
        <v>236</v>
      </c>
      <c r="EQ264" t="s">
        <v>236</v>
      </c>
      <c r="ES264" t="s">
        <v>236</v>
      </c>
      <c r="EU264" t="s">
        <v>236</v>
      </c>
      <c r="EW264" t="s">
        <v>226</v>
      </c>
      <c r="EX264" t="s">
        <v>244</v>
      </c>
      <c r="EY264" t="s">
        <v>226</v>
      </c>
      <c r="EZ264" t="s">
        <v>244</v>
      </c>
      <c r="FA264" t="s">
        <v>236</v>
      </c>
      <c r="FC264" t="s">
        <v>236</v>
      </c>
      <c r="FE264" t="s">
        <v>226</v>
      </c>
      <c r="FF264" t="s">
        <v>245</v>
      </c>
      <c r="FG264" t="s">
        <v>236</v>
      </c>
      <c r="FJ264" t="s">
        <v>226</v>
      </c>
      <c r="FK264" t="s">
        <v>245</v>
      </c>
      <c r="FL264" t="s">
        <v>226</v>
      </c>
      <c r="FM264" t="s">
        <v>236</v>
      </c>
      <c r="FW264" t="s">
        <v>226</v>
      </c>
      <c r="FX264" t="s">
        <v>226</v>
      </c>
      <c r="FY264" t="s">
        <v>266</v>
      </c>
      <c r="FZ264" t="s">
        <v>226</v>
      </c>
      <c r="GA264" t="s">
        <v>226</v>
      </c>
      <c r="GB264" t="s">
        <v>266</v>
      </c>
      <c r="GC264" t="s">
        <v>236</v>
      </c>
      <c r="GF264" t="s">
        <v>226</v>
      </c>
      <c r="GG264" t="s">
        <v>226</v>
      </c>
      <c r="GH264" t="s">
        <v>266</v>
      </c>
      <c r="GI264" t="s">
        <v>226</v>
      </c>
      <c r="GJ264" t="s">
        <v>226</v>
      </c>
      <c r="GK264" t="s">
        <v>266</v>
      </c>
      <c r="GL264" t="s">
        <v>226</v>
      </c>
      <c r="GM264" t="s">
        <v>226</v>
      </c>
      <c r="GN264" t="s">
        <v>267</v>
      </c>
      <c r="GO264" t="s">
        <v>226</v>
      </c>
      <c r="GP264" t="s">
        <v>226</v>
      </c>
      <c r="GQ264" t="s">
        <v>267</v>
      </c>
      <c r="GR264" t="s">
        <v>226</v>
      </c>
      <c r="GS264" t="s">
        <v>226</v>
      </c>
      <c r="GT264" t="s">
        <v>267</v>
      </c>
      <c r="GU264" t="s">
        <v>226</v>
      </c>
      <c r="GV264" t="s">
        <v>226</v>
      </c>
      <c r="GW264" t="s">
        <v>267</v>
      </c>
      <c r="GX264" t="s">
        <v>226</v>
      </c>
      <c r="GY264" t="s">
        <v>226</v>
      </c>
      <c r="GZ264" t="s">
        <v>266</v>
      </c>
      <c r="HB264" t="s">
        <v>1939</v>
      </c>
      <c r="HE264">
        <v>82982315</v>
      </c>
      <c r="HF264" t="s">
        <v>1940</v>
      </c>
      <c r="HG264" s="2">
        <v>45753.891076388893</v>
      </c>
      <c r="HJ264" t="s">
        <v>248</v>
      </c>
      <c r="HL264" t="s">
        <v>249</v>
      </c>
      <c r="HN264">
        <v>265</v>
      </c>
    </row>
    <row r="265" spans="1:222" x14ac:dyDescent="0.25">
      <c r="A265" s="2">
        <v>45753.670442222217</v>
      </c>
      <c r="B265" s="2">
        <v>45753.6739087963</v>
      </c>
      <c r="C265" t="s">
        <v>391</v>
      </c>
      <c r="D265">
        <v>376</v>
      </c>
      <c r="E265" s="2">
        <v>45731</v>
      </c>
      <c r="F265">
        <v>4</v>
      </c>
      <c r="G265" t="s">
        <v>436</v>
      </c>
      <c r="H265" t="s">
        <v>270</v>
      </c>
      <c r="I265">
        <v>36</v>
      </c>
      <c r="J265" t="str">
        <f t="shared" si="4"/>
        <v>de 26 a 40 años</v>
      </c>
      <c r="K265" t="s">
        <v>224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225</v>
      </c>
      <c r="R265" t="s">
        <v>226</v>
      </c>
      <c r="T265" t="s">
        <v>227</v>
      </c>
      <c r="V265" t="s">
        <v>228</v>
      </c>
      <c r="W265" t="s">
        <v>229</v>
      </c>
      <c r="X265" t="s">
        <v>348</v>
      </c>
      <c r="Y265" t="s">
        <v>1760</v>
      </c>
      <c r="Z265" t="s">
        <v>231</v>
      </c>
      <c r="AA265" t="s">
        <v>352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I265" t="s">
        <v>233</v>
      </c>
      <c r="AJ265">
        <v>0</v>
      </c>
      <c r="AK265">
        <v>1</v>
      </c>
      <c r="AL265">
        <v>0</v>
      </c>
      <c r="AM265">
        <v>0</v>
      </c>
      <c r="AN265" t="s">
        <v>300</v>
      </c>
      <c r="AO265" t="s">
        <v>454</v>
      </c>
      <c r="AP265">
        <v>0</v>
      </c>
      <c r="AQ265">
        <v>0</v>
      </c>
      <c r="AR265">
        <v>1</v>
      </c>
      <c r="AS265">
        <v>0</v>
      </c>
      <c r="AT265">
        <v>0</v>
      </c>
      <c r="AU265">
        <v>1</v>
      </c>
      <c r="AV265">
        <v>0</v>
      </c>
      <c r="AX265" t="s">
        <v>226</v>
      </c>
      <c r="AY265" t="s">
        <v>226</v>
      </c>
      <c r="AZ265" t="s">
        <v>237</v>
      </c>
      <c r="BA265" t="s">
        <v>672</v>
      </c>
      <c r="BB265" t="s">
        <v>1761</v>
      </c>
      <c r="BC265" t="s">
        <v>1762</v>
      </c>
      <c r="BE265" t="s">
        <v>259</v>
      </c>
      <c r="BF265" t="s">
        <v>237</v>
      </c>
      <c r="BG265" t="s">
        <v>259</v>
      </c>
      <c r="BH265" t="s">
        <v>237</v>
      </c>
      <c r="BI265" t="s">
        <v>237</v>
      </c>
      <c r="BJ265" t="s">
        <v>237</v>
      </c>
      <c r="BK265" t="s">
        <v>261</v>
      </c>
      <c r="BL265" t="s">
        <v>262</v>
      </c>
      <c r="BM265" t="s">
        <v>278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1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 t="s">
        <v>264</v>
      </c>
      <c r="CB265" t="s">
        <v>242</v>
      </c>
      <c r="CC265" t="s">
        <v>243</v>
      </c>
      <c r="CD265" t="s">
        <v>226</v>
      </c>
      <c r="CE265" t="s">
        <v>236</v>
      </c>
      <c r="EA265" t="s">
        <v>236</v>
      </c>
      <c r="EC265" t="s">
        <v>226</v>
      </c>
      <c r="ED265" t="s">
        <v>244</v>
      </c>
      <c r="EE265" t="s">
        <v>226</v>
      </c>
      <c r="EF265" t="s">
        <v>244</v>
      </c>
      <c r="EG265" t="s">
        <v>226</v>
      </c>
      <c r="EH265" t="s">
        <v>245</v>
      </c>
      <c r="EI265" t="s">
        <v>226</v>
      </c>
      <c r="EJ265" t="s">
        <v>245</v>
      </c>
      <c r="EK265" t="s">
        <v>236</v>
      </c>
      <c r="EM265" t="s">
        <v>236</v>
      </c>
      <c r="EO265" t="s">
        <v>226</v>
      </c>
      <c r="EP265" t="s">
        <v>244</v>
      </c>
      <c r="EQ265" t="s">
        <v>236</v>
      </c>
      <c r="ES265" t="s">
        <v>226</v>
      </c>
      <c r="ET265" t="s">
        <v>244</v>
      </c>
      <c r="EU265" t="s">
        <v>236</v>
      </c>
      <c r="EW265" t="s">
        <v>226</v>
      </c>
      <c r="EX265" t="s">
        <v>244</v>
      </c>
      <c r="EY265" t="s">
        <v>226</v>
      </c>
      <c r="EZ265" t="s">
        <v>244</v>
      </c>
      <c r="FA265" t="s">
        <v>226</v>
      </c>
      <c r="FB265" t="s">
        <v>245</v>
      </c>
      <c r="FC265" t="s">
        <v>236</v>
      </c>
      <c r="FE265" t="s">
        <v>226</v>
      </c>
      <c r="FF265" t="s">
        <v>244</v>
      </c>
      <c r="FG265" t="s">
        <v>236</v>
      </c>
      <c r="FJ265" t="s">
        <v>226</v>
      </c>
      <c r="FK265" t="s">
        <v>245</v>
      </c>
      <c r="FL265" t="s">
        <v>226</v>
      </c>
      <c r="FM265" t="s">
        <v>236</v>
      </c>
      <c r="FW265" t="s">
        <v>236</v>
      </c>
      <c r="FZ265" t="s">
        <v>236</v>
      </c>
      <c r="GC265" t="s">
        <v>236</v>
      </c>
      <c r="GF265" t="s">
        <v>226</v>
      </c>
      <c r="GG265" t="s">
        <v>226</v>
      </c>
      <c r="GH265" t="s">
        <v>266</v>
      </c>
      <c r="GI265" t="s">
        <v>236</v>
      </c>
      <c r="GL265" t="s">
        <v>236</v>
      </c>
      <c r="GO265" t="s">
        <v>226</v>
      </c>
      <c r="GP265" t="s">
        <v>226</v>
      </c>
      <c r="GQ265" t="s">
        <v>266</v>
      </c>
      <c r="GR265" t="s">
        <v>226</v>
      </c>
      <c r="GS265" t="s">
        <v>226</v>
      </c>
      <c r="GT265" t="s">
        <v>266</v>
      </c>
      <c r="GU265" t="s">
        <v>236</v>
      </c>
      <c r="GX265" t="s">
        <v>236</v>
      </c>
      <c r="HB265" t="s">
        <v>408</v>
      </c>
      <c r="HC265" t="s">
        <v>1763</v>
      </c>
      <c r="HD265" t="s">
        <v>1107</v>
      </c>
      <c r="HE265">
        <v>82981417</v>
      </c>
      <c r="HF265" t="s">
        <v>1764</v>
      </c>
      <c r="HG265" s="2">
        <v>45753.882256944453</v>
      </c>
      <c r="HJ265" t="s">
        <v>248</v>
      </c>
      <c r="HL265" t="s">
        <v>249</v>
      </c>
      <c r="HN265">
        <v>263</v>
      </c>
    </row>
    <row r="266" spans="1:222" x14ac:dyDescent="0.25">
      <c r="A266" s="2">
        <v>45753.673909988429</v>
      </c>
      <c r="B266" s="2">
        <v>45753.677292291657</v>
      </c>
      <c r="C266" t="s">
        <v>391</v>
      </c>
      <c r="D266">
        <v>375</v>
      </c>
      <c r="E266" s="2">
        <v>45731</v>
      </c>
      <c r="F266">
        <v>4</v>
      </c>
      <c r="G266" t="s">
        <v>367</v>
      </c>
      <c r="H266" t="s">
        <v>270</v>
      </c>
      <c r="I266">
        <v>61</v>
      </c>
      <c r="J266" t="str">
        <f t="shared" si="4"/>
        <v>de 56 a más</v>
      </c>
      <c r="K266" t="s">
        <v>224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225</v>
      </c>
      <c r="R266" t="s">
        <v>226</v>
      </c>
      <c r="T266" t="s">
        <v>227</v>
      </c>
      <c r="V266" t="s">
        <v>272</v>
      </c>
      <c r="W266" t="s">
        <v>229</v>
      </c>
      <c r="X266" t="s">
        <v>368</v>
      </c>
      <c r="Z266" t="s">
        <v>351</v>
      </c>
      <c r="AA266" t="s">
        <v>232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I266" t="s">
        <v>233</v>
      </c>
      <c r="AJ266">
        <v>0</v>
      </c>
      <c r="AK266">
        <v>1</v>
      </c>
      <c r="AL266">
        <v>0</v>
      </c>
      <c r="AM266">
        <v>0</v>
      </c>
      <c r="AN266" t="s">
        <v>300</v>
      </c>
      <c r="AO266" t="s">
        <v>874</v>
      </c>
      <c r="AP266">
        <v>1</v>
      </c>
      <c r="AQ266">
        <v>0</v>
      </c>
      <c r="AR266">
        <v>1</v>
      </c>
      <c r="AS266">
        <v>0</v>
      </c>
      <c r="AT266">
        <v>0</v>
      </c>
      <c r="AU266">
        <v>0</v>
      </c>
      <c r="AV266">
        <v>0</v>
      </c>
      <c r="AX266" t="s">
        <v>226</v>
      </c>
      <c r="AY266" t="s">
        <v>226</v>
      </c>
      <c r="AZ266" t="s">
        <v>259</v>
      </c>
      <c r="BA266" t="s">
        <v>1757</v>
      </c>
      <c r="BE266" t="s">
        <v>259</v>
      </c>
      <c r="BF266" t="s">
        <v>237</v>
      </c>
      <c r="BG266" t="s">
        <v>259</v>
      </c>
      <c r="BH266" t="s">
        <v>237</v>
      </c>
      <c r="BI266" t="s">
        <v>259</v>
      </c>
      <c r="BJ266" t="s">
        <v>237</v>
      </c>
      <c r="BK266" t="s">
        <v>261</v>
      </c>
      <c r="BL266" t="s">
        <v>313</v>
      </c>
      <c r="BM266" t="s">
        <v>241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1</v>
      </c>
      <c r="BZ266">
        <v>0</v>
      </c>
      <c r="CA266" t="s">
        <v>264</v>
      </c>
      <c r="CB266" t="s">
        <v>242</v>
      </c>
      <c r="CC266" t="s">
        <v>242</v>
      </c>
      <c r="CD266" t="s">
        <v>236</v>
      </c>
      <c r="CE266" t="s">
        <v>236</v>
      </c>
      <c r="EA266" t="s">
        <v>226</v>
      </c>
      <c r="EB266" t="s">
        <v>245</v>
      </c>
      <c r="EC266" t="s">
        <v>226</v>
      </c>
      <c r="ED266" t="s">
        <v>265</v>
      </c>
      <c r="EE266" t="s">
        <v>226</v>
      </c>
      <c r="EF266" t="s">
        <v>265</v>
      </c>
      <c r="EG266" t="s">
        <v>226</v>
      </c>
      <c r="EH266" t="s">
        <v>265</v>
      </c>
      <c r="EI266" t="s">
        <v>308</v>
      </c>
      <c r="EK266" t="s">
        <v>236</v>
      </c>
      <c r="EM266" t="s">
        <v>236</v>
      </c>
      <c r="EO266" t="s">
        <v>236</v>
      </c>
      <c r="EQ266" t="s">
        <v>236</v>
      </c>
      <c r="ES266" t="s">
        <v>226</v>
      </c>
      <c r="ET266" t="s">
        <v>245</v>
      </c>
      <c r="EU266" t="s">
        <v>226</v>
      </c>
      <c r="EV266" t="s">
        <v>245</v>
      </c>
      <c r="EW266" t="s">
        <v>236</v>
      </c>
      <c r="EY266" t="s">
        <v>226</v>
      </c>
      <c r="EZ266" t="s">
        <v>245</v>
      </c>
      <c r="FA266" t="s">
        <v>236</v>
      </c>
      <c r="FC266" t="s">
        <v>236</v>
      </c>
      <c r="FE266" t="s">
        <v>226</v>
      </c>
      <c r="FF266" t="s">
        <v>244</v>
      </c>
      <c r="FG266" t="s">
        <v>236</v>
      </c>
      <c r="FJ266" t="s">
        <v>226</v>
      </c>
      <c r="FK266" t="s">
        <v>245</v>
      </c>
      <c r="FL266" t="s">
        <v>236</v>
      </c>
      <c r="FM266" t="s">
        <v>236</v>
      </c>
      <c r="FW266" t="s">
        <v>236</v>
      </c>
      <c r="FZ266" t="s">
        <v>226</v>
      </c>
      <c r="GA266" t="s">
        <v>226</v>
      </c>
      <c r="GB266" t="s">
        <v>266</v>
      </c>
      <c r="GC266" t="s">
        <v>236</v>
      </c>
      <c r="GF266" t="s">
        <v>236</v>
      </c>
      <c r="GI266" t="s">
        <v>236</v>
      </c>
      <c r="GL266" t="s">
        <v>236</v>
      </c>
      <c r="GO266" t="s">
        <v>226</v>
      </c>
      <c r="GP266" t="s">
        <v>226</v>
      </c>
      <c r="GQ266" t="s">
        <v>267</v>
      </c>
      <c r="GR266" t="s">
        <v>226</v>
      </c>
      <c r="GS266" t="s">
        <v>226</v>
      </c>
      <c r="GT266" t="s">
        <v>266</v>
      </c>
      <c r="GU266" t="s">
        <v>236</v>
      </c>
      <c r="GX266" t="s">
        <v>236</v>
      </c>
      <c r="HB266" t="s">
        <v>338</v>
      </c>
      <c r="HC266" t="s">
        <v>1090</v>
      </c>
      <c r="HD266" t="s">
        <v>1758</v>
      </c>
      <c r="HE266">
        <v>82981751</v>
      </c>
      <c r="HF266" t="s">
        <v>1759</v>
      </c>
      <c r="HG266" s="2">
        <v>45753.885648148149</v>
      </c>
      <c r="HJ266" t="s">
        <v>248</v>
      </c>
      <c r="HL266" t="s">
        <v>249</v>
      </c>
      <c r="HN266">
        <v>264</v>
      </c>
    </row>
    <row r="267" spans="1:222" x14ac:dyDescent="0.25">
      <c r="A267" s="2">
        <v>45753.677293958332</v>
      </c>
      <c r="B267" s="2">
        <v>45753.685702453702</v>
      </c>
      <c r="C267" t="s">
        <v>391</v>
      </c>
      <c r="D267">
        <v>373</v>
      </c>
      <c r="E267" s="2">
        <v>45731</v>
      </c>
      <c r="F267">
        <v>4</v>
      </c>
      <c r="G267" t="s">
        <v>436</v>
      </c>
      <c r="H267" t="s">
        <v>270</v>
      </c>
      <c r="I267">
        <v>33</v>
      </c>
      <c r="J267" t="str">
        <f t="shared" si="4"/>
        <v>de 26 a 40 años</v>
      </c>
      <c r="K267" t="s">
        <v>251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225</v>
      </c>
      <c r="R267" t="s">
        <v>236</v>
      </c>
      <c r="S267" t="s">
        <v>935</v>
      </c>
      <c r="T267" t="s">
        <v>227</v>
      </c>
      <c r="V267" t="s">
        <v>272</v>
      </c>
      <c r="W267" t="s">
        <v>229</v>
      </c>
      <c r="X267" t="s">
        <v>368</v>
      </c>
      <c r="Z267" t="s">
        <v>398</v>
      </c>
      <c r="AA267" t="s">
        <v>376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I267" t="s">
        <v>233</v>
      </c>
      <c r="AJ267">
        <v>0</v>
      </c>
      <c r="AK267">
        <v>1</v>
      </c>
      <c r="AL267">
        <v>0</v>
      </c>
      <c r="AM267">
        <v>0</v>
      </c>
      <c r="AN267" t="s">
        <v>300</v>
      </c>
      <c r="AO267" t="s">
        <v>550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1</v>
      </c>
      <c r="AV267">
        <v>1</v>
      </c>
      <c r="AW267" t="s">
        <v>1749</v>
      </c>
      <c r="AX267" t="s">
        <v>226</v>
      </c>
      <c r="AY267" t="s">
        <v>226</v>
      </c>
      <c r="AZ267" t="s">
        <v>237</v>
      </c>
      <c r="BA267" t="s">
        <v>1750</v>
      </c>
      <c r="BB267" t="s">
        <v>276</v>
      </c>
      <c r="BC267" t="s">
        <v>1751</v>
      </c>
      <c r="BE267" t="s">
        <v>237</v>
      </c>
      <c r="BF267" t="s">
        <v>237</v>
      </c>
      <c r="BG267" t="s">
        <v>259</v>
      </c>
      <c r="BH267" t="s">
        <v>239</v>
      </c>
      <c r="BI267" t="s">
        <v>237</v>
      </c>
      <c r="BJ267" t="s">
        <v>362</v>
      </c>
      <c r="BK267" t="s">
        <v>239</v>
      </c>
      <c r="BL267" t="s">
        <v>262</v>
      </c>
      <c r="BM267" t="s">
        <v>1752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 t="s">
        <v>264</v>
      </c>
      <c r="CB267" t="s">
        <v>328</v>
      </c>
      <c r="CC267" t="s">
        <v>264</v>
      </c>
      <c r="CD267" t="s">
        <v>226</v>
      </c>
      <c r="CE267" t="s">
        <v>236</v>
      </c>
      <c r="EA267" t="s">
        <v>236</v>
      </c>
      <c r="EC267" t="s">
        <v>236</v>
      </c>
      <c r="EE267" t="s">
        <v>226</v>
      </c>
      <c r="EF267" t="s">
        <v>244</v>
      </c>
      <c r="EG267" t="s">
        <v>226</v>
      </c>
      <c r="EH267" t="s">
        <v>244</v>
      </c>
      <c r="EI267" t="s">
        <v>308</v>
      </c>
      <c r="EK267" t="s">
        <v>236</v>
      </c>
      <c r="EM267" t="s">
        <v>236</v>
      </c>
      <c r="EO267" t="s">
        <v>226</v>
      </c>
      <c r="EP267" t="s">
        <v>244</v>
      </c>
      <c r="EQ267" t="s">
        <v>236</v>
      </c>
      <c r="ES267" t="s">
        <v>226</v>
      </c>
      <c r="ET267" t="s">
        <v>244</v>
      </c>
      <c r="EU267" t="s">
        <v>236</v>
      </c>
      <c r="EW267" t="s">
        <v>236</v>
      </c>
      <c r="EY267" t="s">
        <v>226</v>
      </c>
      <c r="EZ267" t="s">
        <v>244</v>
      </c>
      <c r="FA267" t="s">
        <v>226</v>
      </c>
      <c r="FB267" t="s">
        <v>244</v>
      </c>
      <c r="FC267" t="s">
        <v>236</v>
      </c>
      <c r="FE267" t="s">
        <v>226</v>
      </c>
      <c r="FF267" t="s">
        <v>244</v>
      </c>
      <c r="FG267" t="s">
        <v>236</v>
      </c>
      <c r="FJ267" t="s">
        <v>226</v>
      </c>
      <c r="FK267" t="s">
        <v>244</v>
      </c>
      <c r="FL267" t="s">
        <v>236</v>
      </c>
      <c r="FM267" t="s">
        <v>236</v>
      </c>
      <c r="FW267" t="s">
        <v>226</v>
      </c>
      <c r="FX267" t="s">
        <v>226</v>
      </c>
      <c r="FY267" t="s">
        <v>266</v>
      </c>
      <c r="FZ267" t="s">
        <v>236</v>
      </c>
      <c r="GC267" t="s">
        <v>226</v>
      </c>
      <c r="GD267" t="s">
        <v>226</v>
      </c>
      <c r="GE267" t="s">
        <v>266</v>
      </c>
      <c r="GF267" t="s">
        <v>226</v>
      </c>
      <c r="GG267" t="s">
        <v>226</v>
      </c>
      <c r="GH267" t="s">
        <v>267</v>
      </c>
      <c r="GI267" t="s">
        <v>236</v>
      </c>
      <c r="GL267" t="s">
        <v>236</v>
      </c>
      <c r="GO267" t="s">
        <v>226</v>
      </c>
      <c r="GP267" t="s">
        <v>226</v>
      </c>
      <c r="GQ267" t="s">
        <v>267</v>
      </c>
      <c r="GR267" t="s">
        <v>236</v>
      </c>
      <c r="GU267" t="s">
        <v>236</v>
      </c>
      <c r="GX267" t="s">
        <v>236</v>
      </c>
      <c r="HB267" t="s">
        <v>1753</v>
      </c>
      <c r="HC267" t="s">
        <v>1754</v>
      </c>
      <c r="HD267" t="s">
        <v>1755</v>
      </c>
      <c r="HE267">
        <v>82982509</v>
      </c>
      <c r="HF267" t="s">
        <v>1756</v>
      </c>
      <c r="HG267" s="2">
        <v>45753.894062500003</v>
      </c>
      <c r="HJ267" t="s">
        <v>248</v>
      </c>
      <c r="HL267" t="s">
        <v>249</v>
      </c>
      <c r="HN267">
        <v>266</v>
      </c>
    </row>
    <row r="268" spans="1:222" x14ac:dyDescent="0.25">
      <c r="A268" s="2">
        <v>45753.682752488428</v>
      </c>
      <c r="B268" s="2">
        <v>45753.688036412037</v>
      </c>
      <c r="C268" t="s">
        <v>221</v>
      </c>
      <c r="D268">
        <v>435</v>
      </c>
      <c r="E268" s="2">
        <v>45731</v>
      </c>
      <c r="F268">
        <v>3</v>
      </c>
      <c r="G268" t="s">
        <v>380</v>
      </c>
      <c r="H268" t="s">
        <v>307</v>
      </c>
      <c r="I268">
        <v>27</v>
      </c>
      <c r="J268" t="str">
        <f t="shared" si="4"/>
        <v>de 26 a 40 años</v>
      </c>
      <c r="K268" t="s">
        <v>251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291</v>
      </c>
      <c r="R268" t="s">
        <v>226</v>
      </c>
      <c r="T268" t="s">
        <v>227</v>
      </c>
      <c r="V268" t="s">
        <v>252</v>
      </c>
      <c r="W268" t="s">
        <v>229</v>
      </c>
      <c r="X268" t="s">
        <v>253</v>
      </c>
      <c r="Z268" t="s">
        <v>254</v>
      </c>
      <c r="AA268" t="s">
        <v>255</v>
      </c>
      <c r="AB268">
        <v>0</v>
      </c>
      <c r="AC268">
        <v>0</v>
      </c>
      <c r="AD268">
        <v>0</v>
      </c>
      <c r="AE268">
        <v>1</v>
      </c>
      <c r="AF268">
        <v>0</v>
      </c>
      <c r="AG268">
        <v>0</v>
      </c>
      <c r="AI268" t="s">
        <v>233</v>
      </c>
      <c r="AJ268">
        <v>0</v>
      </c>
      <c r="AK268">
        <v>1</v>
      </c>
      <c r="AL268">
        <v>0</v>
      </c>
      <c r="AM268">
        <v>0</v>
      </c>
      <c r="AN268" t="s">
        <v>300</v>
      </c>
      <c r="AO268" t="s">
        <v>275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1</v>
      </c>
      <c r="AV268">
        <v>0</v>
      </c>
      <c r="AX268" t="s">
        <v>226</v>
      </c>
      <c r="AY268" t="s">
        <v>226</v>
      </c>
      <c r="AZ268" t="s">
        <v>237</v>
      </c>
      <c r="BA268" t="s">
        <v>427</v>
      </c>
      <c r="BE268" t="s">
        <v>259</v>
      </c>
      <c r="BF268" t="s">
        <v>237</v>
      </c>
      <c r="BG268" t="s">
        <v>259</v>
      </c>
      <c r="BH268" t="s">
        <v>259</v>
      </c>
      <c r="BI268" t="s">
        <v>237</v>
      </c>
      <c r="BJ268" t="s">
        <v>259</v>
      </c>
      <c r="BK268" t="s">
        <v>259</v>
      </c>
      <c r="BL268" t="s">
        <v>262</v>
      </c>
      <c r="BM268" t="s">
        <v>372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1</v>
      </c>
      <c r="CA268" t="s">
        <v>243</v>
      </c>
      <c r="CB268" t="s">
        <v>264</v>
      </c>
      <c r="CC268" t="s">
        <v>243</v>
      </c>
      <c r="CD268" t="s">
        <v>236</v>
      </c>
      <c r="CE268" t="s">
        <v>236</v>
      </c>
      <c r="EA268" t="s">
        <v>236</v>
      </c>
      <c r="EC268" t="s">
        <v>226</v>
      </c>
      <c r="ED268" t="s">
        <v>245</v>
      </c>
      <c r="EE268" t="s">
        <v>236</v>
      </c>
      <c r="EG268" t="s">
        <v>226</v>
      </c>
      <c r="EH268" t="s">
        <v>245</v>
      </c>
      <c r="EI268" t="s">
        <v>236</v>
      </c>
      <c r="EK268" t="s">
        <v>236</v>
      </c>
      <c r="EM268" t="s">
        <v>226</v>
      </c>
      <c r="EN268" t="s">
        <v>245</v>
      </c>
      <c r="EO268" t="s">
        <v>236</v>
      </c>
      <c r="EQ268" t="s">
        <v>236</v>
      </c>
      <c r="ES268" t="s">
        <v>236</v>
      </c>
      <c r="EU268" t="s">
        <v>236</v>
      </c>
      <c r="EW268" t="s">
        <v>236</v>
      </c>
      <c r="EY268" t="s">
        <v>236</v>
      </c>
      <c r="FA268" t="s">
        <v>226</v>
      </c>
      <c r="FB268" t="s">
        <v>245</v>
      </c>
      <c r="FC268" t="s">
        <v>236</v>
      </c>
      <c r="FE268" t="s">
        <v>236</v>
      </c>
      <c r="FG268" t="s">
        <v>236</v>
      </c>
      <c r="FJ268" t="s">
        <v>226</v>
      </c>
      <c r="FK268" t="s">
        <v>245</v>
      </c>
      <c r="FL268" t="s">
        <v>236</v>
      </c>
      <c r="FM268" t="s">
        <v>236</v>
      </c>
      <c r="FW268" t="s">
        <v>236</v>
      </c>
      <c r="FZ268" t="s">
        <v>236</v>
      </c>
      <c r="GC268" t="s">
        <v>236</v>
      </c>
      <c r="GF268" t="s">
        <v>236</v>
      </c>
      <c r="GI268" t="s">
        <v>236</v>
      </c>
      <c r="GL268" t="s">
        <v>236</v>
      </c>
      <c r="GO268" t="s">
        <v>236</v>
      </c>
      <c r="GR268" t="s">
        <v>226</v>
      </c>
      <c r="GS268" t="s">
        <v>226</v>
      </c>
      <c r="GT268" t="s">
        <v>267</v>
      </c>
      <c r="GU268" t="s">
        <v>236</v>
      </c>
      <c r="GX268" t="s">
        <v>236</v>
      </c>
      <c r="HB268" t="s">
        <v>428</v>
      </c>
      <c r="HE268">
        <v>82982668</v>
      </c>
      <c r="HF268" t="s">
        <v>429</v>
      </c>
      <c r="HG268" s="2">
        <v>45753.896365740737</v>
      </c>
      <c r="HJ268" t="s">
        <v>248</v>
      </c>
      <c r="HL268" t="s">
        <v>249</v>
      </c>
      <c r="HN268">
        <v>267</v>
      </c>
    </row>
    <row r="269" spans="1:222" x14ac:dyDescent="0.25">
      <c r="A269" s="2">
        <v>45753.685703298608</v>
      </c>
      <c r="B269" s="2">
        <v>45753.688520555559</v>
      </c>
      <c r="C269" t="s">
        <v>391</v>
      </c>
      <c r="D269">
        <v>372</v>
      </c>
      <c r="E269" s="2">
        <v>45731</v>
      </c>
      <c r="F269">
        <v>4</v>
      </c>
      <c r="G269" t="s">
        <v>367</v>
      </c>
      <c r="H269" t="s">
        <v>270</v>
      </c>
      <c r="I269">
        <v>54</v>
      </c>
      <c r="J269" t="str">
        <f t="shared" si="4"/>
        <v>de 41 a 55 años</v>
      </c>
      <c r="K269" t="s">
        <v>251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225</v>
      </c>
      <c r="R269" t="s">
        <v>226</v>
      </c>
      <c r="T269" t="s">
        <v>227</v>
      </c>
      <c r="V269" t="s">
        <v>612</v>
      </c>
      <c r="W269" t="s">
        <v>229</v>
      </c>
      <c r="X269" t="s">
        <v>230</v>
      </c>
      <c r="Z269" t="s">
        <v>231</v>
      </c>
      <c r="AA269" t="s">
        <v>255</v>
      </c>
      <c r="AB269">
        <v>0</v>
      </c>
      <c r="AC269">
        <v>0</v>
      </c>
      <c r="AD269">
        <v>0</v>
      </c>
      <c r="AE269">
        <v>1</v>
      </c>
      <c r="AF269">
        <v>0</v>
      </c>
      <c r="AG269">
        <v>0</v>
      </c>
      <c r="AI269" t="s">
        <v>233</v>
      </c>
      <c r="AJ269">
        <v>0</v>
      </c>
      <c r="AK269">
        <v>1</v>
      </c>
      <c r="AL269">
        <v>0</v>
      </c>
      <c r="AM269">
        <v>0</v>
      </c>
      <c r="AN269" t="s">
        <v>234</v>
      </c>
      <c r="AO269" t="s">
        <v>235</v>
      </c>
      <c r="AP269">
        <v>0</v>
      </c>
      <c r="AQ269">
        <v>0</v>
      </c>
      <c r="AR269">
        <v>0</v>
      </c>
      <c r="AS269">
        <v>1</v>
      </c>
      <c r="AT269">
        <v>0</v>
      </c>
      <c r="AU269">
        <v>0</v>
      </c>
      <c r="AV269">
        <v>0</v>
      </c>
      <c r="AX269" t="s">
        <v>226</v>
      </c>
      <c r="AY269" t="s">
        <v>236</v>
      </c>
      <c r="AZ269" t="s">
        <v>261</v>
      </c>
      <c r="BA269" t="s">
        <v>339</v>
      </c>
      <c r="BB269" t="s">
        <v>904</v>
      </c>
      <c r="BE269" t="s">
        <v>237</v>
      </c>
      <c r="BF269" t="s">
        <v>237</v>
      </c>
      <c r="BG269" t="s">
        <v>259</v>
      </c>
      <c r="BH269" t="s">
        <v>237</v>
      </c>
      <c r="BI269" t="s">
        <v>237</v>
      </c>
      <c r="BJ269" t="s">
        <v>237</v>
      </c>
      <c r="BK269" t="s">
        <v>239</v>
      </c>
      <c r="BL269" t="s">
        <v>240</v>
      </c>
      <c r="BM269" t="s">
        <v>372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1</v>
      </c>
      <c r="CA269" t="s">
        <v>264</v>
      </c>
      <c r="CB269" t="s">
        <v>264</v>
      </c>
      <c r="CC269" t="s">
        <v>264</v>
      </c>
      <c r="CD269" t="s">
        <v>236</v>
      </c>
      <c r="CE269" t="s">
        <v>236</v>
      </c>
      <c r="EA269" t="s">
        <v>236</v>
      </c>
      <c r="EC269" t="s">
        <v>236</v>
      </c>
      <c r="EE269" t="s">
        <v>236</v>
      </c>
      <c r="EG269" t="s">
        <v>236</v>
      </c>
      <c r="EI269" t="s">
        <v>236</v>
      </c>
      <c r="EK269" t="s">
        <v>236</v>
      </c>
      <c r="EM269" t="s">
        <v>236</v>
      </c>
      <c r="EO269" t="s">
        <v>236</v>
      </c>
      <c r="EQ269" t="s">
        <v>236</v>
      </c>
      <c r="ES269" t="s">
        <v>236</v>
      </c>
      <c r="EU269" t="s">
        <v>236</v>
      </c>
      <c r="EW269" t="s">
        <v>236</v>
      </c>
      <c r="EY269" t="s">
        <v>236</v>
      </c>
      <c r="FA269" t="s">
        <v>236</v>
      </c>
      <c r="FC269" t="s">
        <v>226</v>
      </c>
      <c r="FD269" t="s">
        <v>245</v>
      </c>
      <c r="FE269" t="s">
        <v>236</v>
      </c>
      <c r="FG269" t="s">
        <v>236</v>
      </c>
      <c r="FJ269" t="s">
        <v>226</v>
      </c>
      <c r="FK269" t="s">
        <v>245</v>
      </c>
      <c r="FL269" t="s">
        <v>236</v>
      </c>
      <c r="FM269" t="s">
        <v>236</v>
      </c>
      <c r="FW269" t="s">
        <v>226</v>
      </c>
      <c r="FX269" t="s">
        <v>226</v>
      </c>
      <c r="FY269" t="s">
        <v>267</v>
      </c>
      <c r="FZ269" t="s">
        <v>226</v>
      </c>
      <c r="GA269" t="s">
        <v>236</v>
      </c>
      <c r="GC269" t="s">
        <v>236</v>
      </c>
      <c r="GF269" t="s">
        <v>226</v>
      </c>
      <c r="GG269" t="s">
        <v>236</v>
      </c>
      <c r="GI269" t="s">
        <v>226</v>
      </c>
      <c r="GJ269" t="s">
        <v>236</v>
      </c>
      <c r="GL269" t="s">
        <v>226</v>
      </c>
      <c r="GM269" t="s">
        <v>236</v>
      </c>
      <c r="GO269" t="s">
        <v>226</v>
      </c>
      <c r="GP269" t="s">
        <v>236</v>
      </c>
      <c r="GR269" t="s">
        <v>226</v>
      </c>
      <c r="GS269" t="s">
        <v>236</v>
      </c>
      <c r="GU269" t="s">
        <v>226</v>
      </c>
      <c r="GV269" t="s">
        <v>236</v>
      </c>
      <c r="GX269" t="s">
        <v>226</v>
      </c>
      <c r="GY269" t="s">
        <v>236</v>
      </c>
      <c r="HB269" t="s">
        <v>1746</v>
      </c>
      <c r="HC269" t="s">
        <v>1747</v>
      </c>
      <c r="HD269" t="s">
        <v>323</v>
      </c>
      <c r="HE269">
        <v>82982701</v>
      </c>
      <c r="HF269" t="s">
        <v>1748</v>
      </c>
      <c r="HG269" s="2">
        <v>45753.896874999999</v>
      </c>
      <c r="HJ269" t="s">
        <v>248</v>
      </c>
      <c r="HL269" t="s">
        <v>249</v>
      </c>
      <c r="HN269">
        <v>268</v>
      </c>
    </row>
    <row r="270" spans="1:222" x14ac:dyDescent="0.25">
      <c r="A270" s="2">
        <v>45753.68803715278</v>
      </c>
      <c r="B270" s="2">
        <v>45753.697772025473</v>
      </c>
      <c r="C270" t="s">
        <v>221</v>
      </c>
      <c r="D270">
        <v>433</v>
      </c>
      <c r="E270" s="2">
        <v>45731</v>
      </c>
      <c r="F270">
        <v>3</v>
      </c>
      <c r="G270" t="s">
        <v>380</v>
      </c>
      <c r="H270" t="s">
        <v>307</v>
      </c>
      <c r="I270">
        <v>29</v>
      </c>
      <c r="J270" t="str">
        <f t="shared" si="4"/>
        <v>de 26 a 40 años</v>
      </c>
      <c r="K270" t="s">
        <v>251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291</v>
      </c>
      <c r="R270" t="s">
        <v>226</v>
      </c>
      <c r="T270" t="s">
        <v>227</v>
      </c>
      <c r="V270" t="s">
        <v>272</v>
      </c>
      <c r="W270" t="s">
        <v>229</v>
      </c>
      <c r="X270" t="s">
        <v>230</v>
      </c>
      <c r="Z270" t="s">
        <v>231</v>
      </c>
      <c r="AA270" t="s">
        <v>381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I270" t="s">
        <v>233</v>
      </c>
      <c r="AJ270">
        <v>0</v>
      </c>
      <c r="AK270">
        <v>1</v>
      </c>
      <c r="AL270">
        <v>0</v>
      </c>
      <c r="AM270">
        <v>0</v>
      </c>
      <c r="AN270" t="s">
        <v>234</v>
      </c>
      <c r="AO270" t="s">
        <v>275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</v>
      </c>
      <c r="AV270">
        <v>0</v>
      </c>
      <c r="AX270" t="s">
        <v>226</v>
      </c>
      <c r="AY270" t="s">
        <v>236</v>
      </c>
      <c r="AZ270" t="s">
        <v>237</v>
      </c>
      <c r="BA270" t="s">
        <v>424</v>
      </c>
      <c r="BE270" t="s">
        <v>237</v>
      </c>
      <c r="BF270" t="s">
        <v>259</v>
      </c>
      <c r="BG270" t="s">
        <v>259</v>
      </c>
      <c r="BH270" t="s">
        <v>237</v>
      </c>
      <c r="BI270" t="s">
        <v>237</v>
      </c>
      <c r="BJ270" t="s">
        <v>237</v>
      </c>
      <c r="BK270" t="s">
        <v>261</v>
      </c>
      <c r="BL270" t="s">
        <v>262</v>
      </c>
      <c r="BM270" t="s">
        <v>415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 t="s">
        <v>243</v>
      </c>
      <c r="CB270" t="s">
        <v>243</v>
      </c>
      <c r="CC270" t="s">
        <v>264</v>
      </c>
      <c r="CD270" t="s">
        <v>236</v>
      </c>
      <c r="CE270" t="s">
        <v>236</v>
      </c>
      <c r="EA270" t="s">
        <v>236</v>
      </c>
      <c r="EC270" t="s">
        <v>236</v>
      </c>
      <c r="EE270" t="s">
        <v>236</v>
      </c>
      <c r="EG270" t="s">
        <v>226</v>
      </c>
      <c r="EH270" t="s">
        <v>245</v>
      </c>
      <c r="EI270" t="s">
        <v>236</v>
      </c>
      <c r="EK270" t="s">
        <v>236</v>
      </c>
      <c r="EM270" t="s">
        <v>226</v>
      </c>
      <c r="EN270" t="s">
        <v>245</v>
      </c>
      <c r="EO270" t="s">
        <v>236</v>
      </c>
      <c r="EQ270" t="s">
        <v>236</v>
      </c>
      <c r="ES270" t="s">
        <v>226</v>
      </c>
      <c r="ET270" t="s">
        <v>245</v>
      </c>
      <c r="EU270" t="s">
        <v>236</v>
      </c>
      <c r="EW270" t="s">
        <v>226</v>
      </c>
      <c r="EX270" t="s">
        <v>244</v>
      </c>
      <c r="EY270" t="s">
        <v>236</v>
      </c>
      <c r="FA270" t="s">
        <v>226</v>
      </c>
      <c r="FB270" t="s">
        <v>244</v>
      </c>
      <c r="FC270" t="s">
        <v>236</v>
      </c>
      <c r="FE270" t="s">
        <v>226</v>
      </c>
      <c r="FF270" t="s">
        <v>245</v>
      </c>
      <c r="FG270" t="s">
        <v>236</v>
      </c>
      <c r="FJ270" t="s">
        <v>226</v>
      </c>
      <c r="FK270" t="s">
        <v>265</v>
      </c>
      <c r="FL270" t="s">
        <v>226</v>
      </c>
      <c r="FM270" t="s">
        <v>226</v>
      </c>
      <c r="FN270" t="s">
        <v>416</v>
      </c>
      <c r="FO270">
        <v>0</v>
      </c>
      <c r="FP270">
        <v>1</v>
      </c>
      <c r="FQ270">
        <v>0</v>
      </c>
      <c r="FR270">
        <v>0</v>
      </c>
      <c r="FS270">
        <v>0</v>
      </c>
      <c r="FU270" t="s">
        <v>226</v>
      </c>
      <c r="FW270" t="s">
        <v>226</v>
      </c>
      <c r="FX270" t="s">
        <v>226</v>
      </c>
      <c r="FY270" t="s">
        <v>266</v>
      </c>
      <c r="FZ270" t="s">
        <v>226</v>
      </c>
      <c r="GA270" t="s">
        <v>226</v>
      </c>
      <c r="GB270" t="s">
        <v>266</v>
      </c>
      <c r="GC270" t="s">
        <v>236</v>
      </c>
      <c r="GF270" t="s">
        <v>226</v>
      </c>
      <c r="GG270" t="s">
        <v>226</v>
      </c>
      <c r="GH270" t="s">
        <v>266</v>
      </c>
      <c r="GI270" t="s">
        <v>226</v>
      </c>
      <c r="GJ270" t="s">
        <v>226</v>
      </c>
      <c r="GK270" t="s">
        <v>266</v>
      </c>
      <c r="GL270" t="s">
        <v>226</v>
      </c>
      <c r="GM270" t="s">
        <v>226</v>
      </c>
      <c r="GN270" t="s">
        <v>267</v>
      </c>
      <c r="GO270" t="s">
        <v>226</v>
      </c>
      <c r="GP270" t="s">
        <v>226</v>
      </c>
      <c r="GQ270" t="s">
        <v>267</v>
      </c>
      <c r="GR270" t="s">
        <v>226</v>
      </c>
      <c r="GS270" t="s">
        <v>226</v>
      </c>
      <c r="GT270" t="s">
        <v>267</v>
      </c>
      <c r="GU270" t="s">
        <v>236</v>
      </c>
      <c r="GX270" t="s">
        <v>236</v>
      </c>
      <c r="HB270" t="s">
        <v>425</v>
      </c>
      <c r="HE270">
        <v>82982956</v>
      </c>
      <c r="HF270" t="s">
        <v>426</v>
      </c>
      <c r="HG270" s="2">
        <v>45753.906099537038</v>
      </c>
      <c r="HJ270" t="s">
        <v>248</v>
      </c>
      <c r="HL270" t="s">
        <v>249</v>
      </c>
      <c r="HN270">
        <v>271</v>
      </c>
    </row>
    <row r="271" spans="1:222" x14ac:dyDescent="0.25">
      <c r="A271" s="2">
        <v>45753.688521215277</v>
      </c>
      <c r="B271" s="2">
        <v>45753.692479791673</v>
      </c>
      <c r="C271" t="s">
        <v>391</v>
      </c>
      <c r="D271">
        <v>370</v>
      </c>
      <c r="E271" s="2">
        <v>45731</v>
      </c>
      <c r="F271">
        <v>4</v>
      </c>
      <c r="G271" t="s">
        <v>436</v>
      </c>
      <c r="H271" t="s">
        <v>270</v>
      </c>
      <c r="I271">
        <v>44</v>
      </c>
      <c r="J271" t="str">
        <f t="shared" si="4"/>
        <v>de 41 a 55 años</v>
      </c>
      <c r="K271" t="s">
        <v>224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291</v>
      </c>
      <c r="R271" t="s">
        <v>226</v>
      </c>
      <c r="T271" t="s">
        <v>227</v>
      </c>
      <c r="V271" t="s">
        <v>252</v>
      </c>
      <c r="W271" t="s">
        <v>229</v>
      </c>
      <c r="X271" t="s">
        <v>230</v>
      </c>
      <c r="Z271" t="s">
        <v>308</v>
      </c>
      <c r="AA271" t="s">
        <v>255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I271" t="s">
        <v>256</v>
      </c>
      <c r="AJ271">
        <v>0</v>
      </c>
      <c r="AK271">
        <v>0</v>
      </c>
      <c r="AL271">
        <v>1</v>
      </c>
      <c r="AM271">
        <v>0</v>
      </c>
      <c r="AN271" t="s">
        <v>300</v>
      </c>
      <c r="AO271" t="s">
        <v>369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 t="s">
        <v>551</v>
      </c>
      <c r="AX271" t="s">
        <v>226</v>
      </c>
      <c r="AY271" t="s">
        <v>226</v>
      </c>
      <c r="AZ271" t="s">
        <v>259</v>
      </c>
      <c r="BA271" t="s">
        <v>1736</v>
      </c>
      <c r="BE271" t="s">
        <v>259</v>
      </c>
      <c r="BF271" t="s">
        <v>259</v>
      </c>
      <c r="BG271" t="s">
        <v>237</v>
      </c>
      <c r="BH271" t="s">
        <v>239</v>
      </c>
      <c r="BI271" t="s">
        <v>239</v>
      </c>
      <c r="BJ271" t="s">
        <v>259</v>
      </c>
      <c r="BK271" t="s">
        <v>239</v>
      </c>
      <c r="BL271" t="s">
        <v>262</v>
      </c>
      <c r="BM271" t="s">
        <v>1737</v>
      </c>
      <c r="BN271">
        <v>1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 t="s">
        <v>243</v>
      </c>
      <c r="CB271" t="s">
        <v>328</v>
      </c>
      <c r="CC271" t="s">
        <v>328</v>
      </c>
      <c r="CD271" t="s">
        <v>226</v>
      </c>
      <c r="CE271" t="s">
        <v>236</v>
      </c>
      <c r="EA271" t="s">
        <v>236</v>
      </c>
      <c r="EC271" t="s">
        <v>226</v>
      </c>
      <c r="ED271" t="s">
        <v>244</v>
      </c>
      <c r="EE271" t="s">
        <v>226</v>
      </c>
      <c r="EF271" t="s">
        <v>245</v>
      </c>
      <c r="EG271" t="s">
        <v>226</v>
      </c>
      <c r="EH271" t="s">
        <v>245</v>
      </c>
      <c r="EI271" t="s">
        <v>308</v>
      </c>
      <c r="EK271" t="s">
        <v>226</v>
      </c>
      <c r="EL271" t="s">
        <v>244</v>
      </c>
      <c r="EM271" t="s">
        <v>226</v>
      </c>
      <c r="EN271" t="s">
        <v>245</v>
      </c>
      <c r="EO271" t="s">
        <v>226</v>
      </c>
      <c r="EP271" t="s">
        <v>245</v>
      </c>
      <c r="EQ271" t="s">
        <v>236</v>
      </c>
      <c r="ES271" t="s">
        <v>226</v>
      </c>
      <c r="ET271" t="s">
        <v>245</v>
      </c>
      <c r="EU271" t="s">
        <v>236</v>
      </c>
      <c r="EW271" t="s">
        <v>236</v>
      </c>
      <c r="EY271" t="s">
        <v>226</v>
      </c>
      <c r="EZ271" t="s">
        <v>245</v>
      </c>
      <c r="FA271" t="s">
        <v>236</v>
      </c>
      <c r="FC271" t="s">
        <v>236</v>
      </c>
      <c r="FE271" t="s">
        <v>226</v>
      </c>
      <c r="FF271" t="s">
        <v>245</v>
      </c>
      <c r="FG271" t="s">
        <v>236</v>
      </c>
      <c r="FJ271" t="s">
        <v>226</v>
      </c>
      <c r="FK271" t="s">
        <v>245</v>
      </c>
      <c r="FL271" t="s">
        <v>236</v>
      </c>
      <c r="FM271" t="s">
        <v>236</v>
      </c>
      <c r="FW271" t="s">
        <v>236</v>
      </c>
      <c r="FZ271" t="s">
        <v>226</v>
      </c>
      <c r="GA271" t="s">
        <v>226</v>
      </c>
      <c r="GB271" t="s">
        <v>570</v>
      </c>
      <c r="GC271" t="s">
        <v>236</v>
      </c>
      <c r="GF271" t="s">
        <v>226</v>
      </c>
      <c r="GG271" t="s">
        <v>226</v>
      </c>
      <c r="GH271" t="s">
        <v>266</v>
      </c>
      <c r="GI271" t="s">
        <v>236</v>
      </c>
      <c r="GL271" t="s">
        <v>226</v>
      </c>
      <c r="GM271" t="s">
        <v>226</v>
      </c>
      <c r="GN271" t="s">
        <v>266</v>
      </c>
      <c r="GO271" t="s">
        <v>236</v>
      </c>
      <c r="GR271" t="s">
        <v>226</v>
      </c>
      <c r="GS271" t="s">
        <v>226</v>
      </c>
      <c r="GT271" t="s">
        <v>266</v>
      </c>
      <c r="GU271" t="s">
        <v>236</v>
      </c>
      <c r="GX271" t="s">
        <v>236</v>
      </c>
      <c r="HB271" t="s">
        <v>1738</v>
      </c>
      <c r="HC271" t="s">
        <v>864</v>
      </c>
      <c r="HE271">
        <v>82982840</v>
      </c>
      <c r="HF271" t="s">
        <v>1739</v>
      </c>
      <c r="HG271" s="2">
        <v>45753.900833333333</v>
      </c>
      <c r="HJ271" t="s">
        <v>248</v>
      </c>
      <c r="HL271" t="s">
        <v>249</v>
      </c>
      <c r="HN271">
        <v>269</v>
      </c>
    </row>
    <row r="272" spans="1:222" x14ac:dyDescent="0.25">
      <c r="A272" s="2">
        <v>45753.692481053236</v>
      </c>
      <c r="B272" s="2">
        <v>45753.69610050926</v>
      </c>
      <c r="C272" t="s">
        <v>391</v>
      </c>
      <c r="D272">
        <v>369</v>
      </c>
      <c r="E272" s="2">
        <v>45731</v>
      </c>
      <c r="F272">
        <v>4</v>
      </c>
      <c r="G272" t="s">
        <v>436</v>
      </c>
      <c r="H272" t="s">
        <v>270</v>
      </c>
      <c r="I272">
        <v>38</v>
      </c>
      <c r="J272" t="str">
        <f t="shared" si="4"/>
        <v>de 26 a 40 años</v>
      </c>
      <c r="K272" t="s">
        <v>224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291</v>
      </c>
      <c r="R272" t="s">
        <v>226</v>
      </c>
      <c r="T272" t="s">
        <v>227</v>
      </c>
      <c r="V272" t="s">
        <v>228</v>
      </c>
      <c r="W272" t="s">
        <v>229</v>
      </c>
      <c r="X272" t="s">
        <v>230</v>
      </c>
      <c r="Z272" t="s">
        <v>308</v>
      </c>
      <c r="AA272" t="s">
        <v>232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I272" t="s">
        <v>233</v>
      </c>
      <c r="AJ272">
        <v>0</v>
      </c>
      <c r="AK272">
        <v>1</v>
      </c>
      <c r="AL272">
        <v>0</v>
      </c>
      <c r="AM272">
        <v>0</v>
      </c>
      <c r="AN272" t="s">
        <v>300</v>
      </c>
      <c r="AO272" t="s">
        <v>369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 t="s">
        <v>551</v>
      </c>
      <c r="AX272" t="s">
        <v>226</v>
      </c>
      <c r="AY272" t="s">
        <v>226</v>
      </c>
      <c r="AZ272" t="s">
        <v>259</v>
      </c>
      <c r="BA272" t="s">
        <v>1731</v>
      </c>
      <c r="BB272" t="s">
        <v>1732</v>
      </c>
      <c r="BE272" t="s">
        <v>259</v>
      </c>
      <c r="BF272" t="s">
        <v>259</v>
      </c>
      <c r="BG272" t="s">
        <v>259</v>
      </c>
      <c r="BH272" t="s">
        <v>239</v>
      </c>
      <c r="BI272" t="s">
        <v>239</v>
      </c>
      <c r="BJ272" t="s">
        <v>259</v>
      </c>
      <c r="BK272" t="s">
        <v>239</v>
      </c>
      <c r="BL272" t="s">
        <v>313</v>
      </c>
      <c r="BM272" t="s">
        <v>296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 t="s">
        <v>243</v>
      </c>
      <c r="CB272" t="s">
        <v>328</v>
      </c>
      <c r="CC272" t="s">
        <v>264</v>
      </c>
      <c r="CD272" t="s">
        <v>236</v>
      </c>
      <c r="CE272" t="s">
        <v>236</v>
      </c>
      <c r="EA272" t="s">
        <v>236</v>
      </c>
      <c r="EC272" t="s">
        <v>236</v>
      </c>
      <c r="EE272" t="s">
        <v>226</v>
      </c>
      <c r="EF272" t="s">
        <v>244</v>
      </c>
      <c r="EG272" t="s">
        <v>226</v>
      </c>
      <c r="EH272" t="s">
        <v>244</v>
      </c>
      <c r="EI272" t="s">
        <v>236</v>
      </c>
      <c r="EK272" t="s">
        <v>236</v>
      </c>
      <c r="EM272" t="s">
        <v>226</v>
      </c>
      <c r="EN272" t="s">
        <v>245</v>
      </c>
      <c r="EO272" t="s">
        <v>226</v>
      </c>
      <c r="EP272" t="s">
        <v>244</v>
      </c>
      <c r="EQ272" t="s">
        <v>236</v>
      </c>
      <c r="ES272" t="s">
        <v>226</v>
      </c>
      <c r="ET272" t="s">
        <v>245</v>
      </c>
      <c r="EU272" t="s">
        <v>236</v>
      </c>
      <c r="EW272" t="s">
        <v>236</v>
      </c>
      <c r="EY272" t="s">
        <v>236</v>
      </c>
      <c r="FA272" t="s">
        <v>226</v>
      </c>
      <c r="FB272" t="s">
        <v>244</v>
      </c>
      <c r="FC272" t="s">
        <v>236</v>
      </c>
      <c r="FE272" t="s">
        <v>236</v>
      </c>
      <c r="FG272" t="s">
        <v>236</v>
      </c>
      <c r="FJ272" t="s">
        <v>226</v>
      </c>
      <c r="FK272" t="s">
        <v>245</v>
      </c>
      <c r="FL272" t="s">
        <v>226</v>
      </c>
      <c r="FM272" t="s">
        <v>236</v>
      </c>
      <c r="FW272" t="s">
        <v>236</v>
      </c>
      <c r="FZ272" t="s">
        <v>236</v>
      </c>
      <c r="GC272" t="s">
        <v>236</v>
      </c>
      <c r="GF272" t="s">
        <v>236</v>
      </c>
      <c r="GI272" t="s">
        <v>236</v>
      </c>
      <c r="GL272" t="s">
        <v>236</v>
      </c>
      <c r="GO272" t="s">
        <v>226</v>
      </c>
      <c r="GP272" t="s">
        <v>226</v>
      </c>
      <c r="GQ272" t="s">
        <v>570</v>
      </c>
      <c r="GR272" t="s">
        <v>226</v>
      </c>
      <c r="GS272" t="s">
        <v>226</v>
      </c>
      <c r="GT272" t="s">
        <v>570</v>
      </c>
      <c r="GU272" t="s">
        <v>236</v>
      </c>
      <c r="GX272" t="s">
        <v>236</v>
      </c>
      <c r="HB272" t="s">
        <v>358</v>
      </c>
      <c r="HC272" t="s">
        <v>1733</v>
      </c>
      <c r="HD272" t="s">
        <v>1734</v>
      </c>
      <c r="HE272">
        <v>82982922</v>
      </c>
      <c r="HF272" t="s">
        <v>1735</v>
      </c>
      <c r="HG272" s="2">
        <v>45753.904456018521</v>
      </c>
      <c r="HJ272" t="s">
        <v>248</v>
      </c>
      <c r="HL272" t="s">
        <v>249</v>
      </c>
      <c r="HN272">
        <v>270</v>
      </c>
    </row>
    <row r="273" spans="1:222" x14ac:dyDescent="0.25">
      <c r="A273" s="2">
        <v>45753.696101458343</v>
      </c>
      <c r="B273" s="2">
        <v>45753.708195266197</v>
      </c>
      <c r="C273" t="s">
        <v>391</v>
      </c>
      <c r="D273">
        <v>366</v>
      </c>
      <c r="E273" s="2">
        <v>45731</v>
      </c>
      <c r="F273">
        <v>4</v>
      </c>
      <c r="G273" t="s">
        <v>436</v>
      </c>
      <c r="H273" t="s">
        <v>270</v>
      </c>
      <c r="I273">
        <v>37</v>
      </c>
      <c r="J273" t="str">
        <f t="shared" si="4"/>
        <v>de 26 a 40 años</v>
      </c>
      <c r="K273" t="s">
        <v>341</v>
      </c>
      <c r="L273">
        <v>1</v>
      </c>
      <c r="M273">
        <v>0</v>
      </c>
      <c r="N273">
        <v>0</v>
      </c>
      <c r="O273">
        <v>0</v>
      </c>
      <c r="P273">
        <v>0</v>
      </c>
      <c r="Q273" t="s">
        <v>225</v>
      </c>
      <c r="R273" t="s">
        <v>226</v>
      </c>
      <c r="T273" t="s">
        <v>284</v>
      </c>
      <c r="V273" t="s">
        <v>272</v>
      </c>
      <c r="W273" t="s">
        <v>229</v>
      </c>
      <c r="X273" t="s">
        <v>230</v>
      </c>
      <c r="Z273" t="s">
        <v>231</v>
      </c>
      <c r="AA273" t="s">
        <v>232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I273" t="s">
        <v>1209</v>
      </c>
      <c r="AJ273">
        <v>0</v>
      </c>
      <c r="AK273">
        <v>0</v>
      </c>
      <c r="AL273">
        <v>0</v>
      </c>
      <c r="AM273">
        <v>1</v>
      </c>
      <c r="AN273" t="s">
        <v>300</v>
      </c>
      <c r="AO273" t="s">
        <v>294</v>
      </c>
      <c r="AP273">
        <v>1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X273" t="s">
        <v>226</v>
      </c>
      <c r="AY273" t="s">
        <v>226</v>
      </c>
      <c r="AZ273" t="s">
        <v>259</v>
      </c>
      <c r="BA273" t="s">
        <v>1718</v>
      </c>
      <c r="BB273" t="s">
        <v>876</v>
      </c>
      <c r="BC273" t="s">
        <v>1719</v>
      </c>
      <c r="BE273" t="s">
        <v>237</v>
      </c>
      <c r="BF273" t="s">
        <v>259</v>
      </c>
      <c r="BG273" t="s">
        <v>259</v>
      </c>
      <c r="BH273" t="s">
        <v>237</v>
      </c>
      <c r="BI273" t="s">
        <v>237</v>
      </c>
      <c r="BJ273" t="s">
        <v>237</v>
      </c>
      <c r="BK273" t="s">
        <v>259</v>
      </c>
      <c r="BL273" t="s">
        <v>313</v>
      </c>
      <c r="BM273" t="s">
        <v>1720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0</v>
      </c>
      <c r="BU273">
        <v>0</v>
      </c>
      <c r="BV273">
        <v>1</v>
      </c>
      <c r="BW273">
        <v>1</v>
      </c>
      <c r="BX273">
        <v>0</v>
      </c>
      <c r="BY273">
        <v>0</v>
      </c>
      <c r="BZ273">
        <v>0</v>
      </c>
      <c r="CA273" t="s">
        <v>243</v>
      </c>
      <c r="CB273" t="s">
        <v>264</v>
      </c>
      <c r="CC273" t="s">
        <v>264</v>
      </c>
      <c r="CD273" t="s">
        <v>226</v>
      </c>
      <c r="CE273" t="s">
        <v>236</v>
      </c>
      <c r="EA273" t="s">
        <v>236</v>
      </c>
      <c r="EC273" t="s">
        <v>226</v>
      </c>
      <c r="ED273" t="s">
        <v>245</v>
      </c>
      <c r="EE273" t="s">
        <v>226</v>
      </c>
      <c r="EF273" t="s">
        <v>244</v>
      </c>
      <c r="EG273" t="s">
        <v>226</v>
      </c>
      <c r="EH273" t="s">
        <v>245</v>
      </c>
      <c r="EI273" t="s">
        <v>226</v>
      </c>
      <c r="EJ273" t="s">
        <v>265</v>
      </c>
      <c r="EK273" t="s">
        <v>236</v>
      </c>
      <c r="EM273" t="s">
        <v>226</v>
      </c>
      <c r="EN273" t="s">
        <v>245</v>
      </c>
      <c r="EO273" t="s">
        <v>226</v>
      </c>
      <c r="EP273" t="s">
        <v>244</v>
      </c>
      <c r="EQ273" t="s">
        <v>226</v>
      </c>
      <c r="ER273" t="s">
        <v>245</v>
      </c>
      <c r="ES273" t="s">
        <v>226</v>
      </c>
      <c r="ET273" t="s">
        <v>265</v>
      </c>
      <c r="EU273" t="s">
        <v>236</v>
      </c>
      <c r="EW273" t="s">
        <v>236</v>
      </c>
      <c r="EY273" t="s">
        <v>226</v>
      </c>
      <c r="EZ273" t="s">
        <v>244</v>
      </c>
      <c r="FA273" t="s">
        <v>226</v>
      </c>
      <c r="FB273" t="s">
        <v>244</v>
      </c>
      <c r="FC273" t="s">
        <v>236</v>
      </c>
      <c r="FE273" t="s">
        <v>226</v>
      </c>
      <c r="FF273" t="s">
        <v>244</v>
      </c>
      <c r="FG273" t="s">
        <v>236</v>
      </c>
      <c r="FJ273" t="s">
        <v>226</v>
      </c>
      <c r="FK273" t="s">
        <v>245</v>
      </c>
      <c r="FL273" t="s">
        <v>226</v>
      </c>
      <c r="FM273" t="s">
        <v>236</v>
      </c>
      <c r="FW273" t="s">
        <v>236</v>
      </c>
      <c r="FZ273" t="s">
        <v>226</v>
      </c>
      <c r="GA273" t="s">
        <v>226</v>
      </c>
      <c r="GB273" t="s">
        <v>266</v>
      </c>
      <c r="GC273" t="s">
        <v>236</v>
      </c>
      <c r="GF273" t="s">
        <v>236</v>
      </c>
      <c r="GI273" t="s">
        <v>236</v>
      </c>
      <c r="GL273" t="s">
        <v>236</v>
      </c>
      <c r="GO273" t="s">
        <v>226</v>
      </c>
      <c r="GP273" t="s">
        <v>226</v>
      </c>
      <c r="GQ273" t="s">
        <v>266</v>
      </c>
      <c r="GR273" t="s">
        <v>226</v>
      </c>
      <c r="GS273" t="s">
        <v>226</v>
      </c>
      <c r="GT273" t="s">
        <v>266</v>
      </c>
      <c r="GU273" t="s">
        <v>236</v>
      </c>
      <c r="GX273" t="s">
        <v>236</v>
      </c>
      <c r="HB273" t="s">
        <v>1721</v>
      </c>
      <c r="HC273" t="s">
        <v>735</v>
      </c>
      <c r="HE273">
        <v>82983516</v>
      </c>
      <c r="HF273" t="s">
        <v>1722</v>
      </c>
      <c r="HG273" s="2">
        <v>45753.916539351849</v>
      </c>
      <c r="HJ273" t="s">
        <v>248</v>
      </c>
      <c r="HL273" t="s">
        <v>249</v>
      </c>
      <c r="HN273">
        <v>275</v>
      </c>
    </row>
    <row r="274" spans="1:222" x14ac:dyDescent="0.25">
      <c r="A274" s="2">
        <v>45753.697773541673</v>
      </c>
      <c r="B274" s="2">
        <v>45753.700617812501</v>
      </c>
      <c r="C274" t="s">
        <v>221</v>
      </c>
      <c r="D274">
        <v>438</v>
      </c>
      <c r="E274" s="2">
        <v>45738</v>
      </c>
      <c r="F274">
        <v>3</v>
      </c>
      <c r="G274" t="s">
        <v>271</v>
      </c>
      <c r="H274" t="s">
        <v>335</v>
      </c>
      <c r="I274">
        <v>20</v>
      </c>
      <c r="J274" t="str">
        <f t="shared" si="4"/>
        <v>de 18 a 25 años</v>
      </c>
      <c r="K274" t="s">
        <v>251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225</v>
      </c>
      <c r="R274" t="s">
        <v>226</v>
      </c>
      <c r="T274" t="s">
        <v>227</v>
      </c>
      <c r="V274" t="s">
        <v>252</v>
      </c>
      <c r="W274" t="s">
        <v>229</v>
      </c>
      <c r="X274" t="s">
        <v>253</v>
      </c>
      <c r="Z274" t="s">
        <v>254</v>
      </c>
      <c r="AA274" t="s">
        <v>232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0</v>
      </c>
      <c r="AI274" t="s">
        <v>233</v>
      </c>
      <c r="AJ274">
        <v>0</v>
      </c>
      <c r="AK274">
        <v>1</v>
      </c>
      <c r="AL274">
        <v>0</v>
      </c>
      <c r="AM274">
        <v>0</v>
      </c>
      <c r="AN274" t="s">
        <v>234</v>
      </c>
      <c r="AO274" t="s">
        <v>294</v>
      </c>
      <c r="AP274">
        <v>1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X274" t="s">
        <v>226</v>
      </c>
      <c r="AY274" t="s">
        <v>226</v>
      </c>
      <c r="AZ274" t="s">
        <v>259</v>
      </c>
      <c r="BA274" t="s">
        <v>1949</v>
      </c>
      <c r="BB274" t="s">
        <v>1950</v>
      </c>
      <c r="BC274" t="s">
        <v>336</v>
      </c>
      <c r="BE274" t="s">
        <v>259</v>
      </c>
      <c r="BF274" t="s">
        <v>259</v>
      </c>
      <c r="BG274" t="s">
        <v>259</v>
      </c>
      <c r="BH274" t="s">
        <v>259</v>
      </c>
      <c r="BI274" t="s">
        <v>259</v>
      </c>
      <c r="BJ274" t="s">
        <v>259</v>
      </c>
      <c r="BK274" t="s">
        <v>259</v>
      </c>
      <c r="BL274" t="s">
        <v>262</v>
      </c>
      <c r="BM274" t="s">
        <v>451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 t="s">
        <v>264</v>
      </c>
      <c r="CB274" t="s">
        <v>264</v>
      </c>
      <c r="CC274" t="s">
        <v>264</v>
      </c>
      <c r="CD274" t="s">
        <v>236</v>
      </c>
      <c r="CE274" t="s">
        <v>236</v>
      </c>
      <c r="EA274" t="s">
        <v>236</v>
      </c>
      <c r="EC274" t="s">
        <v>236</v>
      </c>
      <c r="EE274" t="s">
        <v>236</v>
      </c>
      <c r="EG274" t="s">
        <v>236</v>
      </c>
      <c r="EI274" t="s">
        <v>236</v>
      </c>
      <c r="EK274" t="s">
        <v>236</v>
      </c>
      <c r="EM274" t="s">
        <v>236</v>
      </c>
      <c r="EO274" t="s">
        <v>236</v>
      </c>
      <c r="EQ274" t="s">
        <v>236</v>
      </c>
      <c r="ES274" t="s">
        <v>236</v>
      </c>
      <c r="EU274" t="s">
        <v>236</v>
      </c>
      <c r="EW274" t="s">
        <v>236</v>
      </c>
      <c r="EY274" t="s">
        <v>236</v>
      </c>
      <c r="FA274" t="s">
        <v>236</v>
      </c>
      <c r="FC274" t="s">
        <v>236</v>
      </c>
      <c r="FE274" t="s">
        <v>236</v>
      </c>
      <c r="FG274" t="s">
        <v>236</v>
      </c>
      <c r="FJ274" t="s">
        <v>226</v>
      </c>
      <c r="FK274" t="s">
        <v>245</v>
      </c>
      <c r="FL274" t="s">
        <v>236</v>
      </c>
      <c r="FM274" t="s">
        <v>236</v>
      </c>
      <c r="FW274" t="s">
        <v>226</v>
      </c>
      <c r="FX274" t="s">
        <v>236</v>
      </c>
      <c r="FZ274" t="s">
        <v>236</v>
      </c>
      <c r="GC274" t="s">
        <v>236</v>
      </c>
      <c r="GF274" t="s">
        <v>226</v>
      </c>
      <c r="GG274" t="s">
        <v>236</v>
      </c>
      <c r="GI274" t="s">
        <v>236</v>
      </c>
      <c r="GL274" t="s">
        <v>236</v>
      </c>
      <c r="GO274" t="s">
        <v>226</v>
      </c>
      <c r="GP274" t="s">
        <v>236</v>
      </c>
      <c r="GR274" t="s">
        <v>226</v>
      </c>
      <c r="GS274" t="s">
        <v>236</v>
      </c>
      <c r="GU274" t="s">
        <v>236</v>
      </c>
      <c r="GX274" t="s">
        <v>236</v>
      </c>
      <c r="HB274" t="s">
        <v>338</v>
      </c>
      <c r="HC274" t="s">
        <v>510</v>
      </c>
      <c r="HD274" t="s">
        <v>1951</v>
      </c>
      <c r="HE274">
        <v>82983055</v>
      </c>
      <c r="HF274" t="s">
        <v>1952</v>
      </c>
      <c r="HG274" s="2">
        <v>45753.908946759257</v>
      </c>
      <c r="HJ274" t="s">
        <v>248</v>
      </c>
      <c r="HL274" t="s">
        <v>249</v>
      </c>
      <c r="HN274">
        <v>272</v>
      </c>
    </row>
    <row r="275" spans="1:222" x14ac:dyDescent="0.25">
      <c r="A275" s="2">
        <v>45753.70061896991</v>
      </c>
      <c r="B275" s="2">
        <v>45753.704031377318</v>
      </c>
      <c r="C275" t="s">
        <v>221</v>
      </c>
      <c r="D275">
        <v>442</v>
      </c>
      <c r="E275" s="2">
        <v>45738</v>
      </c>
      <c r="F275">
        <v>3</v>
      </c>
      <c r="G275" t="s">
        <v>290</v>
      </c>
      <c r="H275" t="s">
        <v>335</v>
      </c>
      <c r="I275">
        <v>45</v>
      </c>
      <c r="J275" t="str">
        <f t="shared" si="4"/>
        <v>de 41 a 55 años</v>
      </c>
      <c r="K275" t="s">
        <v>251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291</v>
      </c>
      <c r="R275" t="s">
        <v>226</v>
      </c>
      <c r="T275" t="s">
        <v>227</v>
      </c>
      <c r="V275" t="s">
        <v>252</v>
      </c>
      <c r="W275" t="s">
        <v>229</v>
      </c>
      <c r="X275" t="s">
        <v>230</v>
      </c>
      <c r="Z275" t="s">
        <v>231</v>
      </c>
      <c r="AA275" t="s">
        <v>293</v>
      </c>
      <c r="AB275">
        <v>0</v>
      </c>
      <c r="AC275">
        <v>0</v>
      </c>
      <c r="AD275">
        <v>0</v>
      </c>
      <c r="AE275">
        <v>0</v>
      </c>
      <c r="AF275">
        <v>1</v>
      </c>
      <c r="AG275">
        <v>0</v>
      </c>
      <c r="AI275" t="s">
        <v>233</v>
      </c>
      <c r="AJ275">
        <v>0</v>
      </c>
      <c r="AK275">
        <v>1</v>
      </c>
      <c r="AL275">
        <v>0</v>
      </c>
      <c r="AM275">
        <v>0</v>
      </c>
      <c r="AN275" t="s">
        <v>300</v>
      </c>
      <c r="AO275" t="s">
        <v>353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X275" t="s">
        <v>226</v>
      </c>
      <c r="AY275" t="s">
        <v>226</v>
      </c>
      <c r="AZ275" t="s">
        <v>237</v>
      </c>
      <c r="BA275" t="s">
        <v>1419</v>
      </c>
      <c r="BB275" t="s">
        <v>1962</v>
      </c>
      <c r="BE275" t="s">
        <v>259</v>
      </c>
      <c r="BF275" t="s">
        <v>259</v>
      </c>
      <c r="BG275" t="s">
        <v>259</v>
      </c>
      <c r="BH275" t="s">
        <v>259</v>
      </c>
      <c r="BI275" t="s">
        <v>237</v>
      </c>
      <c r="BJ275" t="s">
        <v>237</v>
      </c>
      <c r="BK275" t="s">
        <v>259</v>
      </c>
      <c r="BL275" t="s">
        <v>262</v>
      </c>
      <c r="BM275" t="s">
        <v>296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 t="s">
        <v>264</v>
      </c>
      <c r="CB275" t="s">
        <v>264</v>
      </c>
      <c r="CC275" t="s">
        <v>264</v>
      </c>
      <c r="CD275" t="s">
        <v>236</v>
      </c>
      <c r="CE275" t="s">
        <v>236</v>
      </c>
      <c r="EA275" t="s">
        <v>236</v>
      </c>
      <c r="EC275" t="s">
        <v>236</v>
      </c>
      <c r="EE275" t="s">
        <v>236</v>
      </c>
      <c r="EG275" t="s">
        <v>236</v>
      </c>
      <c r="EI275" t="s">
        <v>236</v>
      </c>
      <c r="EK275" t="s">
        <v>236</v>
      </c>
      <c r="EM275" t="s">
        <v>236</v>
      </c>
      <c r="EO275" t="s">
        <v>236</v>
      </c>
      <c r="EQ275" t="s">
        <v>236</v>
      </c>
      <c r="ES275" t="s">
        <v>236</v>
      </c>
      <c r="EU275" t="s">
        <v>236</v>
      </c>
      <c r="EW275" t="s">
        <v>236</v>
      </c>
      <c r="EY275" t="s">
        <v>236</v>
      </c>
      <c r="FA275" t="s">
        <v>236</v>
      </c>
      <c r="FC275" t="s">
        <v>236</v>
      </c>
      <c r="FE275" t="s">
        <v>236</v>
      </c>
      <c r="FG275" t="s">
        <v>236</v>
      </c>
      <c r="FJ275" t="s">
        <v>226</v>
      </c>
      <c r="FK275" t="s">
        <v>245</v>
      </c>
      <c r="FL275" t="s">
        <v>236</v>
      </c>
      <c r="FM275" t="s">
        <v>236</v>
      </c>
      <c r="FW275" t="s">
        <v>236</v>
      </c>
      <c r="FZ275" t="s">
        <v>236</v>
      </c>
      <c r="GC275" t="s">
        <v>236</v>
      </c>
      <c r="GF275" t="s">
        <v>226</v>
      </c>
      <c r="GG275" t="s">
        <v>226</v>
      </c>
      <c r="GH275" t="s">
        <v>267</v>
      </c>
      <c r="GI275" t="s">
        <v>236</v>
      </c>
      <c r="GL275" t="s">
        <v>236</v>
      </c>
      <c r="GO275" t="s">
        <v>226</v>
      </c>
      <c r="GP275" t="s">
        <v>236</v>
      </c>
      <c r="GR275" t="s">
        <v>226</v>
      </c>
      <c r="GS275" t="s">
        <v>236</v>
      </c>
      <c r="GU275" t="s">
        <v>236</v>
      </c>
      <c r="GX275" t="s">
        <v>236</v>
      </c>
      <c r="HB275" t="s">
        <v>1963</v>
      </c>
      <c r="HC275" t="s">
        <v>1964</v>
      </c>
      <c r="HE275">
        <v>82983186</v>
      </c>
      <c r="HF275" t="s">
        <v>1965</v>
      </c>
      <c r="HG275" s="2">
        <v>45753.912361111114</v>
      </c>
      <c r="HJ275" t="s">
        <v>248</v>
      </c>
      <c r="HL275" t="s">
        <v>249</v>
      </c>
      <c r="HN275">
        <v>273</v>
      </c>
    </row>
    <row r="276" spans="1:222" x14ac:dyDescent="0.25">
      <c r="A276" s="2">
        <v>45753.704032164351</v>
      </c>
      <c r="B276" s="2">
        <v>45753.707475532407</v>
      </c>
      <c r="C276" t="s">
        <v>221</v>
      </c>
      <c r="D276">
        <v>444</v>
      </c>
      <c r="E276" s="2">
        <v>45738</v>
      </c>
      <c r="F276">
        <v>3</v>
      </c>
      <c r="G276" t="s">
        <v>271</v>
      </c>
      <c r="H276" t="s">
        <v>335</v>
      </c>
      <c r="I276">
        <v>45</v>
      </c>
      <c r="J276" t="str">
        <f t="shared" si="4"/>
        <v>de 41 a 55 años</v>
      </c>
      <c r="K276" t="s">
        <v>251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291</v>
      </c>
      <c r="R276" t="s">
        <v>226</v>
      </c>
      <c r="T276" t="s">
        <v>227</v>
      </c>
      <c r="V276" t="s">
        <v>252</v>
      </c>
      <c r="W276" t="s">
        <v>229</v>
      </c>
      <c r="X276" t="s">
        <v>230</v>
      </c>
      <c r="Z276" t="s">
        <v>231</v>
      </c>
      <c r="AA276" t="s">
        <v>255</v>
      </c>
      <c r="AB276">
        <v>0</v>
      </c>
      <c r="AC276">
        <v>0</v>
      </c>
      <c r="AD276">
        <v>0</v>
      </c>
      <c r="AE276">
        <v>1</v>
      </c>
      <c r="AF276">
        <v>0</v>
      </c>
      <c r="AG276">
        <v>0</v>
      </c>
      <c r="AI276" t="s">
        <v>233</v>
      </c>
      <c r="AJ276">
        <v>0</v>
      </c>
      <c r="AK276">
        <v>1</v>
      </c>
      <c r="AL276">
        <v>0</v>
      </c>
      <c r="AM276">
        <v>0</v>
      </c>
      <c r="AN276" t="s">
        <v>234</v>
      </c>
      <c r="AO276" t="s">
        <v>275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</v>
      </c>
      <c r="AV276">
        <v>0</v>
      </c>
      <c r="AX276" t="s">
        <v>226</v>
      </c>
      <c r="AY276" t="s">
        <v>226</v>
      </c>
      <c r="AZ276" t="s">
        <v>237</v>
      </c>
      <c r="BA276" t="s">
        <v>1971</v>
      </c>
      <c r="BB276" t="s">
        <v>1972</v>
      </c>
      <c r="BC276" t="s">
        <v>512</v>
      </c>
      <c r="BE276" t="s">
        <v>237</v>
      </c>
      <c r="BF276" t="s">
        <v>237</v>
      </c>
      <c r="BG276" t="s">
        <v>237</v>
      </c>
      <c r="BH276" t="s">
        <v>237</v>
      </c>
      <c r="BI276" t="s">
        <v>237</v>
      </c>
      <c r="BJ276" t="s">
        <v>237</v>
      </c>
      <c r="BK276" t="s">
        <v>237</v>
      </c>
      <c r="BL276" t="s">
        <v>262</v>
      </c>
      <c r="BM276" t="s">
        <v>263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 t="s">
        <v>243</v>
      </c>
      <c r="CB276" t="s">
        <v>243</v>
      </c>
      <c r="CC276" t="s">
        <v>243</v>
      </c>
      <c r="CD276" t="s">
        <v>236</v>
      </c>
      <c r="CE276" t="s">
        <v>236</v>
      </c>
      <c r="EA276" t="s">
        <v>236</v>
      </c>
      <c r="EC276" t="s">
        <v>236</v>
      </c>
      <c r="EE276" t="s">
        <v>236</v>
      </c>
      <c r="EG276" t="s">
        <v>236</v>
      </c>
      <c r="EI276" t="s">
        <v>236</v>
      </c>
      <c r="EK276" t="s">
        <v>236</v>
      </c>
      <c r="EM276" t="s">
        <v>236</v>
      </c>
      <c r="EO276" t="s">
        <v>236</v>
      </c>
      <c r="EQ276" t="s">
        <v>236</v>
      </c>
      <c r="ES276" t="s">
        <v>236</v>
      </c>
      <c r="EU276" t="s">
        <v>236</v>
      </c>
      <c r="EW276" t="s">
        <v>236</v>
      </c>
      <c r="EY276" t="s">
        <v>236</v>
      </c>
      <c r="FA276" t="s">
        <v>236</v>
      </c>
      <c r="FC276" t="s">
        <v>236</v>
      </c>
      <c r="FE276" t="s">
        <v>236</v>
      </c>
      <c r="FG276" t="s">
        <v>236</v>
      </c>
      <c r="FJ276" t="s">
        <v>226</v>
      </c>
      <c r="FK276" t="s">
        <v>244</v>
      </c>
      <c r="FL276" t="s">
        <v>236</v>
      </c>
      <c r="FM276" t="s">
        <v>236</v>
      </c>
      <c r="FW276" t="s">
        <v>226</v>
      </c>
      <c r="FX276" t="s">
        <v>226</v>
      </c>
      <c r="FY276" t="s">
        <v>266</v>
      </c>
      <c r="FZ276" t="s">
        <v>236</v>
      </c>
      <c r="GC276" t="s">
        <v>236</v>
      </c>
      <c r="GF276" t="s">
        <v>226</v>
      </c>
      <c r="GG276" t="s">
        <v>226</v>
      </c>
      <c r="GH276" t="s">
        <v>266</v>
      </c>
      <c r="GI276" t="s">
        <v>226</v>
      </c>
      <c r="GJ276" t="s">
        <v>226</v>
      </c>
      <c r="GK276" t="s">
        <v>266</v>
      </c>
      <c r="GL276" t="s">
        <v>226</v>
      </c>
      <c r="GM276" t="s">
        <v>236</v>
      </c>
      <c r="GO276" t="s">
        <v>226</v>
      </c>
      <c r="GP276" t="s">
        <v>226</v>
      </c>
      <c r="GQ276" t="s">
        <v>266</v>
      </c>
      <c r="GR276" t="s">
        <v>226</v>
      </c>
      <c r="GS276" t="s">
        <v>226</v>
      </c>
      <c r="GT276" t="s">
        <v>266</v>
      </c>
      <c r="GU276" t="s">
        <v>236</v>
      </c>
      <c r="GX276" t="s">
        <v>236</v>
      </c>
      <c r="HB276" t="s">
        <v>288</v>
      </c>
      <c r="HC276" t="s">
        <v>338</v>
      </c>
      <c r="HD276" t="s">
        <v>510</v>
      </c>
      <c r="HE276">
        <v>82983430</v>
      </c>
      <c r="HF276" t="s">
        <v>1973</v>
      </c>
      <c r="HG276" s="2">
        <v>45753.915798611109</v>
      </c>
      <c r="HJ276" t="s">
        <v>248</v>
      </c>
      <c r="HL276" t="s">
        <v>249</v>
      </c>
      <c r="HN276">
        <v>274</v>
      </c>
    </row>
    <row r="277" spans="1:222" x14ac:dyDescent="0.25">
      <c r="A277" s="2">
        <v>45753.707476423609</v>
      </c>
      <c r="B277" s="2">
        <v>45753.714170567131</v>
      </c>
      <c r="C277" t="s">
        <v>221</v>
      </c>
      <c r="D277">
        <v>445</v>
      </c>
      <c r="E277" s="2">
        <v>45738</v>
      </c>
      <c r="F277">
        <v>3</v>
      </c>
      <c r="G277" t="s">
        <v>271</v>
      </c>
      <c r="H277" t="s">
        <v>335</v>
      </c>
      <c r="I277">
        <v>55</v>
      </c>
      <c r="J277" t="str">
        <f t="shared" si="4"/>
        <v>de 41 a 55 años</v>
      </c>
      <c r="K277" t="s">
        <v>224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225</v>
      </c>
      <c r="R277" t="s">
        <v>226</v>
      </c>
      <c r="T277" t="s">
        <v>227</v>
      </c>
      <c r="V277" t="s">
        <v>252</v>
      </c>
      <c r="W277" t="s">
        <v>229</v>
      </c>
      <c r="X277" t="s">
        <v>350</v>
      </c>
      <c r="Z277" t="s">
        <v>351</v>
      </c>
      <c r="AA277" t="s">
        <v>232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I277" t="s">
        <v>233</v>
      </c>
      <c r="AJ277">
        <v>0</v>
      </c>
      <c r="AK277">
        <v>1</v>
      </c>
      <c r="AL277">
        <v>0</v>
      </c>
      <c r="AM277">
        <v>0</v>
      </c>
      <c r="AN277" t="s">
        <v>300</v>
      </c>
      <c r="AO277" t="s">
        <v>294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X277" t="s">
        <v>226</v>
      </c>
      <c r="AY277" t="s">
        <v>226</v>
      </c>
      <c r="AZ277" t="s">
        <v>237</v>
      </c>
      <c r="BA277" t="s">
        <v>825</v>
      </c>
      <c r="BB277" t="s">
        <v>1974</v>
      </c>
      <c r="BC277" t="s">
        <v>363</v>
      </c>
      <c r="BE277" t="s">
        <v>237</v>
      </c>
      <c r="BF277" t="s">
        <v>237</v>
      </c>
      <c r="BG277" t="s">
        <v>237</v>
      </c>
      <c r="BH277" t="s">
        <v>237</v>
      </c>
      <c r="BI277" t="s">
        <v>237</v>
      </c>
      <c r="BJ277" t="s">
        <v>237</v>
      </c>
      <c r="BK277" t="s">
        <v>237</v>
      </c>
      <c r="BL277" t="s">
        <v>262</v>
      </c>
      <c r="BM277" t="s">
        <v>433</v>
      </c>
      <c r="BN277">
        <v>0</v>
      </c>
      <c r="BO277">
        <v>0</v>
      </c>
      <c r="BP277">
        <v>1</v>
      </c>
      <c r="BQ277">
        <v>1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 t="s">
        <v>264</v>
      </c>
      <c r="CB277" t="s">
        <v>264</v>
      </c>
      <c r="CC277" t="s">
        <v>264</v>
      </c>
      <c r="CD277" t="s">
        <v>236</v>
      </c>
      <c r="CE277" t="s">
        <v>236</v>
      </c>
      <c r="EA277" t="s">
        <v>236</v>
      </c>
      <c r="EC277" t="s">
        <v>236</v>
      </c>
      <c r="EE277" t="s">
        <v>236</v>
      </c>
      <c r="EG277" t="s">
        <v>236</v>
      </c>
      <c r="EI277" t="s">
        <v>236</v>
      </c>
      <c r="EK277" t="s">
        <v>236</v>
      </c>
      <c r="EM277" t="s">
        <v>236</v>
      </c>
      <c r="EO277" t="s">
        <v>236</v>
      </c>
      <c r="EQ277" t="s">
        <v>236</v>
      </c>
      <c r="ES277" t="s">
        <v>236</v>
      </c>
      <c r="EU277" t="s">
        <v>236</v>
      </c>
      <c r="EW277" t="s">
        <v>236</v>
      </c>
      <c r="EY277" t="s">
        <v>236</v>
      </c>
      <c r="FA277" t="s">
        <v>236</v>
      </c>
      <c r="FC277" t="s">
        <v>236</v>
      </c>
      <c r="FE277" t="s">
        <v>236</v>
      </c>
      <c r="FG277" t="s">
        <v>236</v>
      </c>
      <c r="FJ277" t="s">
        <v>226</v>
      </c>
      <c r="FK277" t="s">
        <v>244</v>
      </c>
      <c r="FL277" t="s">
        <v>236</v>
      </c>
      <c r="FM277" t="s">
        <v>236</v>
      </c>
      <c r="FW277" t="s">
        <v>226</v>
      </c>
      <c r="FX277" t="s">
        <v>226</v>
      </c>
      <c r="FY277" t="s">
        <v>266</v>
      </c>
      <c r="FZ277" t="s">
        <v>236</v>
      </c>
      <c r="GC277" t="s">
        <v>236</v>
      </c>
      <c r="GF277" t="s">
        <v>226</v>
      </c>
      <c r="GG277" t="s">
        <v>226</v>
      </c>
      <c r="GH277" t="s">
        <v>266</v>
      </c>
      <c r="GI277" t="s">
        <v>236</v>
      </c>
      <c r="GL277" t="s">
        <v>226</v>
      </c>
      <c r="GM277" t="s">
        <v>236</v>
      </c>
      <c r="GO277" t="s">
        <v>226</v>
      </c>
      <c r="GP277" t="s">
        <v>226</v>
      </c>
      <c r="GQ277" t="s">
        <v>266</v>
      </c>
      <c r="GR277" t="s">
        <v>226</v>
      </c>
      <c r="GS277" t="s">
        <v>226</v>
      </c>
      <c r="GT277" t="s">
        <v>266</v>
      </c>
      <c r="GU277" t="s">
        <v>226</v>
      </c>
      <c r="GV277" t="s">
        <v>236</v>
      </c>
      <c r="GX277" t="s">
        <v>236</v>
      </c>
      <c r="HB277" t="s">
        <v>788</v>
      </c>
      <c r="HC277" t="s">
        <v>537</v>
      </c>
      <c r="HD277" t="s">
        <v>279</v>
      </c>
      <c r="HE277">
        <v>82983900</v>
      </c>
      <c r="HF277" t="s">
        <v>1975</v>
      </c>
      <c r="HG277" s="2">
        <v>45753.922500000001</v>
      </c>
      <c r="HJ277" t="s">
        <v>248</v>
      </c>
      <c r="HL277" t="s">
        <v>249</v>
      </c>
      <c r="HN277">
        <v>277</v>
      </c>
    </row>
    <row r="278" spans="1:222" x14ac:dyDescent="0.25">
      <c r="A278" s="2">
        <v>45753.708196238433</v>
      </c>
      <c r="B278" s="2">
        <v>45753.713589826388</v>
      </c>
      <c r="C278" t="s">
        <v>391</v>
      </c>
      <c r="D278">
        <v>365</v>
      </c>
      <c r="E278" s="2">
        <v>45731</v>
      </c>
      <c r="F278">
        <v>4</v>
      </c>
      <c r="G278" t="s">
        <v>367</v>
      </c>
      <c r="H278" t="s">
        <v>270</v>
      </c>
      <c r="I278">
        <v>61</v>
      </c>
      <c r="J278" t="str">
        <f t="shared" si="4"/>
        <v>de 56 a más</v>
      </c>
      <c r="K278" t="s">
        <v>224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225</v>
      </c>
      <c r="R278" t="s">
        <v>226</v>
      </c>
      <c r="T278" t="s">
        <v>227</v>
      </c>
      <c r="V278" t="s">
        <v>228</v>
      </c>
      <c r="W278" t="s">
        <v>229</v>
      </c>
      <c r="X278" t="s">
        <v>368</v>
      </c>
      <c r="Z278" t="s">
        <v>231</v>
      </c>
      <c r="AA278" t="s">
        <v>565</v>
      </c>
      <c r="AB278">
        <v>1</v>
      </c>
      <c r="AC278">
        <v>0</v>
      </c>
      <c r="AD278">
        <v>1</v>
      </c>
      <c r="AE278">
        <v>0</v>
      </c>
      <c r="AF278">
        <v>0</v>
      </c>
      <c r="AG278">
        <v>0</v>
      </c>
      <c r="AI278" t="s">
        <v>233</v>
      </c>
      <c r="AJ278">
        <v>0</v>
      </c>
      <c r="AK278">
        <v>1</v>
      </c>
      <c r="AL278">
        <v>0</v>
      </c>
      <c r="AM278">
        <v>0</v>
      </c>
      <c r="AN278" t="s">
        <v>234</v>
      </c>
      <c r="AO278" t="s">
        <v>326</v>
      </c>
      <c r="AP278">
        <v>0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0</v>
      </c>
      <c r="AX278" t="s">
        <v>226</v>
      </c>
      <c r="AY278" t="s">
        <v>226</v>
      </c>
      <c r="AZ278" t="s">
        <v>237</v>
      </c>
      <c r="BA278" t="s">
        <v>1715</v>
      </c>
      <c r="BE278" t="s">
        <v>237</v>
      </c>
      <c r="BF278" t="s">
        <v>259</v>
      </c>
      <c r="BG278" t="s">
        <v>259</v>
      </c>
      <c r="BH278" t="s">
        <v>237</v>
      </c>
      <c r="BI278" t="s">
        <v>237</v>
      </c>
      <c r="BJ278" t="s">
        <v>237</v>
      </c>
      <c r="BK278" t="s">
        <v>239</v>
      </c>
      <c r="BL278" t="s">
        <v>262</v>
      </c>
      <c r="BM278" t="s">
        <v>400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 t="s">
        <v>264</v>
      </c>
      <c r="CB278" t="s">
        <v>264</v>
      </c>
      <c r="CC278" t="s">
        <v>264</v>
      </c>
      <c r="CD278" t="s">
        <v>236</v>
      </c>
      <c r="CE278" t="s">
        <v>236</v>
      </c>
      <c r="EA278" t="s">
        <v>226</v>
      </c>
      <c r="EB278" t="s">
        <v>245</v>
      </c>
      <c r="EC278" t="s">
        <v>236</v>
      </c>
      <c r="EE278" t="s">
        <v>236</v>
      </c>
      <c r="EG278" t="s">
        <v>226</v>
      </c>
      <c r="EH278" t="s">
        <v>265</v>
      </c>
      <c r="EI278" t="s">
        <v>236</v>
      </c>
      <c r="EK278" t="s">
        <v>236</v>
      </c>
      <c r="EM278" t="s">
        <v>226</v>
      </c>
      <c r="EN278" t="s">
        <v>245</v>
      </c>
      <c r="EO278" t="s">
        <v>236</v>
      </c>
      <c r="EQ278" t="s">
        <v>236</v>
      </c>
      <c r="ES278" t="s">
        <v>236</v>
      </c>
      <c r="EU278" t="s">
        <v>236</v>
      </c>
      <c r="EW278" t="s">
        <v>226</v>
      </c>
      <c r="EX278" t="s">
        <v>245</v>
      </c>
      <c r="EY278" t="s">
        <v>226</v>
      </c>
      <c r="EZ278" t="s">
        <v>245</v>
      </c>
      <c r="FA278" t="s">
        <v>226</v>
      </c>
      <c r="FB278" t="s">
        <v>245</v>
      </c>
      <c r="FC278" t="s">
        <v>236</v>
      </c>
      <c r="FE278" t="s">
        <v>226</v>
      </c>
      <c r="FF278" t="s">
        <v>245</v>
      </c>
      <c r="FG278" t="s">
        <v>236</v>
      </c>
      <c r="FJ278" t="s">
        <v>226</v>
      </c>
      <c r="FK278" t="s">
        <v>245</v>
      </c>
      <c r="FL278" t="s">
        <v>236</v>
      </c>
      <c r="FM278" t="s">
        <v>236</v>
      </c>
      <c r="FW278" t="s">
        <v>236</v>
      </c>
      <c r="FZ278" t="s">
        <v>236</v>
      </c>
      <c r="GC278" t="s">
        <v>236</v>
      </c>
      <c r="GF278" t="s">
        <v>236</v>
      </c>
      <c r="GI278" t="s">
        <v>236</v>
      </c>
      <c r="GL278" t="s">
        <v>236</v>
      </c>
      <c r="GO278" t="s">
        <v>226</v>
      </c>
      <c r="GP278" t="s">
        <v>236</v>
      </c>
      <c r="GR278" t="s">
        <v>236</v>
      </c>
      <c r="GU278" t="s">
        <v>236</v>
      </c>
      <c r="GX278" t="s">
        <v>236</v>
      </c>
      <c r="HB278" t="s">
        <v>1344</v>
      </c>
      <c r="HC278" t="s">
        <v>1716</v>
      </c>
      <c r="HE278">
        <v>82983879</v>
      </c>
      <c r="HF278" t="s">
        <v>1717</v>
      </c>
      <c r="HG278" s="2">
        <v>45753.921932870369</v>
      </c>
      <c r="HJ278" t="s">
        <v>248</v>
      </c>
      <c r="HL278" t="s">
        <v>249</v>
      </c>
      <c r="HN278">
        <v>276</v>
      </c>
    </row>
    <row r="279" spans="1:222" x14ac:dyDescent="0.25">
      <c r="A279" s="2">
        <v>45753.713590509258</v>
      </c>
      <c r="B279" s="2">
        <v>45753.717877118062</v>
      </c>
      <c r="C279" t="s">
        <v>391</v>
      </c>
      <c r="D279">
        <v>364</v>
      </c>
      <c r="E279" s="2">
        <v>45731</v>
      </c>
      <c r="F279">
        <v>4</v>
      </c>
      <c r="G279" t="s">
        <v>436</v>
      </c>
      <c r="H279" t="s">
        <v>270</v>
      </c>
      <c r="I279">
        <v>78</v>
      </c>
      <c r="J279" t="str">
        <f t="shared" si="4"/>
        <v>de 56 a más</v>
      </c>
      <c r="K279" t="s">
        <v>224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291</v>
      </c>
      <c r="R279" t="s">
        <v>226</v>
      </c>
      <c r="T279" t="s">
        <v>227</v>
      </c>
      <c r="V279" t="s">
        <v>228</v>
      </c>
      <c r="W279" t="s">
        <v>229</v>
      </c>
      <c r="X279" t="s">
        <v>253</v>
      </c>
      <c r="Z279" t="s">
        <v>308</v>
      </c>
      <c r="AA279" t="s">
        <v>232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I279" t="s">
        <v>233</v>
      </c>
      <c r="AJ279">
        <v>0</v>
      </c>
      <c r="AK279">
        <v>1</v>
      </c>
      <c r="AL279">
        <v>0</v>
      </c>
      <c r="AM279">
        <v>0</v>
      </c>
      <c r="AN279" t="s">
        <v>300</v>
      </c>
      <c r="AO279" t="s">
        <v>369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 t="s">
        <v>551</v>
      </c>
      <c r="AX279" t="s">
        <v>226</v>
      </c>
      <c r="AY279" t="s">
        <v>226</v>
      </c>
      <c r="AZ279" t="s">
        <v>237</v>
      </c>
      <c r="BA279" t="s">
        <v>672</v>
      </c>
      <c r="BB279" t="s">
        <v>1712</v>
      </c>
      <c r="BC279" t="s">
        <v>1308</v>
      </c>
      <c r="BE279" t="s">
        <v>259</v>
      </c>
      <c r="BF279" t="s">
        <v>237</v>
      </c>
      <c r="BG279" t="s">
        <v>259</v>
      </c>
      <c r="BH279" t="s">
        <v>237</v>
      </c>
      <c r="BI279" t="s">
        <v>237</v>
      </c>
      <c r="BJ279" t="s">
        <v>237</v>
      </c>
      <c r="BK279" t="s">
        <v>239</v>
      </c>
      <c r="BL279" t="s">
        <v>262</v>
      </c>
      <c r="BM279" t="s">
        <v>1713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1</v>
      </c>
      <c r="BW279">
        <v>0</v>
      </c>
      <c r="BX279">
        <v>0</v>
      </c>
      <c r="BY279">
        <v>0</v>
      </c>
      <c r="BZ279">
        <v>0</v>
      </c>
      <c r="CA279" t="s">
        <v>264</v>
      </c>
      <c r="CB279" t="s">
        <v>264</v>
      </c>
      <c r="CC279" t="s">
        <v>264</v>
      </c>
      <c r="CD279" t="s">
        <v>226</v>
      </c>
      <c r="CE279" t="s">
        <v>236</v>
      </c>
      <c r="EA279" t="s">
        <v>226</v>
      </c>
      <c r="EB279" t="s">
        <v>244</v>
      </c>
      <c r="EC279" t="s">
        <v>236</v>
      </c>
      <c r="EE279" t="s">
        <v>226</v>
      </c>
      <c r="EF279" t="s">
        <v>244</v>
      </c>
      <c r="EG279" t="s">
        <v>226</v>
      </c>
      <c r="EH279" t="s">
        <v>245</v>
      </c>
      <c r="EI279" t="s">
        <v>236</v>
      </c>
      <c r="EK279" t="s">
        <v>236</v>
      </c>
      <c r="EM279" t="s">
        <v>226</v>
      </c>
      <c r="EN279" t="s">
        <v>244</v>
      </c>
      <c r="EO279" t="s">
        <v>236</v>
      </c>
      <c r="EQ279" t="s">
        <v>236</v>
      </c>
      <c r="ES279" t="s">
        <v>236</v>
      </c>
      <c r="EU279" t="s">
        <v>236</v>
      </c>
      <c r="EW279" t="s">
        <v>226</v>
      </c>
      <c r="EX279" t="s">
        <v>244</v>
      </c>
      <c r="EY279" t="s">
        <v>236</v>
      </c>
      <c r="FA279" t="s">
        <v>226</v>
      </c>
      <c r="FB279" t="s">
        <v>245</v>
      </c>
      <c r="FC279" t="s">
        <v>236</v>
      </c>
      <c r="FE279" t="s">
        <v>236</v>
      </c>
      <c r="FG279" t="s">
        <v>236</v>
      </c>
      <c r="FJ279" t="s">
        <v>226</v>
      </c>
      <c r="FK279" t="s">
        <v>245</v>
      </c>
      <c r="FL279" t="s">
        <v>236</v>
      </c>
      <c r="FM279" t="s">
        <v>236</v>
      </c>
      <c r="FW279" t="s">
        <v>226</v>
      </c>
      <c r="FX279" t="s">
        <v>226</v>
      </c>
      <c r="FY279" t="s">
        <v>266</v>
      </c>
      <c r="FZ279" t="s">
        <v>226</v>
      </c>
      <c r="GA279" t="s">
        <v>226</v>
      </c>
      <c r="GB279" t="s">
        <v>266</v>
      </c>
      <c r="GC279" t="s">
        <v>236</v>
      </c>
      <c r="GF279" t="s">
        <v>226</v>
      </c>
      <c r="GG279" t="s">
        <v>226</v>
      </c>
      <c r="GH279" t="s">
        <v>266</v>
      </c>
      <c r="GI279" t="s">
        <v>236</v>
      </c>
      <c r="GL279" t="s">
        <v>226</v>
      </c>
      <c r="GM279" t="s">
        <v>226</v>
      </c>
      <c r="GN279" t="s">
        <v>266</v>
      </c>
      <c r="GO279" t="s">
        <v>226</v>
      </c>
      <c r="GP279" t="s">
        <v>226</v>
      </c>
      <c r="GQ279" t="s">
        <v>266</v>
      </c>
      <c r="GR279" t="s">
        <v>226</v>
      </c>
      <c r="GS279" t="s">
        <v>226</v>
      </c>
      <c r="GT279" t="s">
        <v>266</v>
      </c>
      <c r="GU279" t="s">
        <v>236</v>
      </c>
      <c r="GX279" t="s">
        <v>236</v>
      </c>
      <c r="HB279" t="s">
        <v>323</v>
      </c>
      <c r="HC279" t="s">
        <v>408</v>
      </c>
      <c r="HE279">
        <v>82984345</v>
      </c>
      <c r="HF279" t="s">
        <v>1714</v>
      </c>
      <c r="HG279" s="2">
        <v>45753.926215277781</v>
      </c>
      <c r="HJ279" t="s">
        <v>248</v>
      </c>
      <c r="HL279" t="s">
        <v>249</v>
      </c>
      <c r="HN279">
        <v>278</v>
      </c>
    </row>
    <row r="280" spans="1:222" x14ac:dyDescent="0.25">
      <c r="A280" s="2">
        <v>45753.714171701387</v>
      </c>
      <c r="B280" s="2">
        <v>45753.718122326391</v>
      </c>
      <c r="C280" t="s">
        <v>221</v>
      </c>
      <c r="D280">
        <v>448</v>
      </c>
      <c r="E280" s="2">
        <v>45738</v>
      </c>
      <c r="F280">
        <v>1</v>
      </c>
      <c r="G280" t="s">
        <v>436</v>
      </c>
      <c r="H280" t="s">
        <v>270</v>
      </c>
      <c r="I280">
        <v>48</v>
      </c>
      <c r="J280" t="str">
        <f t="shared" si="4"/>
        <v>de 41 a 55 años</v>
      </c>
      <c r="K280" t="s">
        <v>341</v>
      </c>
      <c r="L280">
        <v>5</v>
      </c>
      <c r="M280">
        <v>0</v>
      </c>
      <c r="N280">
        <v>0</v>
      </c>
      <c r="O280">
        <v>0</v>
      </c>
      <c r="P280">
        <v>0</v>
      </c>
      <c r="Q280" t="s">
        <v>291</v>
      </c>
      <c r="R280" t="s">
        <v>226</v>
      </c>
      <c r="T280" t="s">
        <v>227</v>
      </c>
      <c r="V280" t="s">
        <v>252</v>
      </c>
      <c r="W280" t="s">
        <v>229</v>
      </c>
      <c r="X280" t="s">
        <v>299</v>
      </c>
      <c r="Z280" t="s">
        <v>308</v>
      </c>
      <c r="AA280" t="s">
        <v>232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0</v>
      </c>
      <c r="AI280" t="s">
        <v>233</v>
      </c>
      <c r="AJ280">
        <v>0</v>
      </c>
      <c r="AK280">
        <v>1</v>
      </c>
      <c r="AL280">
        <v>0</v>
      </c>
      <c r="AM280">
        <v>0</v>
      </c>
      <c r="AN280" t="s">
        <v>300</v>
      </c>
      <c r="AO280" t="s">
        <v>235</v>
      </c>
      <c r="AP280">
        <v>0</v>
      </c>
      <c r="AQ280">
        <v>0</v>
      </c>
      <c r="AR280">
        <v>0</v>
      </c>
      <c r="AS280">
        <v>1</v>
      </c>
      <c r="AT280">
        <v>0</v>
      </c>
      <c r="AU280">
        <v>0</v>
      </c>
      <c r="AV280">
        <v>0</v>
      </c>
      <c r="AX280" t="s">
        <v>226</v>
      </c>
      <c r="AY280" t="s">
        <v>226</v>
      </c>
      <c r="AZ280" t="s">
        <v>237</v>
      </c>
      <c r="BA280" t="s">
        <v>437</v>
      </c>
      <c r="BB280" t="s">
        <v>438</v>
      </c>
      <c r="BE280" t="s">
        <v>239</v>
      </c>
      <c r="BF280" t="s">
        <v>259</v>
      </c>
      <c r="BG280" t="s">
        <v>259</v>
      </c>
      <c r="BH280" t="s">
        <v>237</v>
      </c>
      <c r="BI280" t="s">
        <v>237</v>
      </c>
      <c r="BJ280" t="s">
        <v>237</v>
      </c>
      <c r="BK280" t="s">
        <v>239</v>
      </c>
      <c r="BL280" t="s">
        <v>262</v>
      </c>
      <c r="BM280" t="s">
        <v>439</v>
      </c>
      <c r="BN280">
        <v>0</v>
      </c>
      <c r="BO280">
        <v>1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1</v>
      </c>
      <c r="BW280">
        <v>1</v>
      </c>
      <c r="BX280">
        <v>0</v>
      </c>
      <c r="BY280">
        <v>0</v>
      </c>
      <c r="BZ280">
        <v>0</v>
      </c>
      <c r="CA280" t="s">
        <v>264</v>
      </c>
      <c r="CB280" t="s">
        <v>264</v>
      </c>
      <c r="CC280" t="s">
        <v>264</v>
      </c>
      <c r="CD280" t="s">
        <v>236</v>
      </c>
      <c r="CE280" t="s">
        <v>236</v>
      </c>
      <c r="EA280" t="s">
        <v>236</v>
      </c>
      <c r="EC280" t="s">
        <v>236</v>
      </c>
      <c r="EE280" t="s">
        <v>236</v>
      </c>
      <c r="EG280" t="s">
        <v>236</v>
      </c>
      <c r="EI280" t="s">
        <v>308</v>
      </c>
      <c r="EK280" t="s">
        <v>236</v>
      </c>
      <c r="EM280" t="s">
        <v>236</v>
      </c>
      <c r="EO280" t="s">
        <v>236</v>
      </c>
      <c r="EQ280" t="s">
        <v>236</v>
      </c>
      <c r="ES280" t="s">
        <v>236</v>
      </c>
      <c r="EU280" t="s">
        <v>236</v>
      </c>
      <c r="EW280" t="s">
        <v>236</v>
      </c>
      <c r="EY280" t="s">
        <v>236</v>
      </c>
      <c r="FA280" t="s">
        <v>236</v>
      </c>
      <c r="FC280" t="s">
        <v>236</v>
      </c>
      <c r="FE280" t="s">
        <v>236</v>
      </c>
      <c r="FG280" t="s">
        <v>236</v>
      </c>
      <c r="FJ280" t="s">
        <v>226</v>
      </c>
      <c r="FK280" t="s">
        <v>245</v>
      </c>
      <c r="FL280" t="s">
        <v>236</v>
      </c>
      <c r="FM280" t="s">
        <v>236</v>
      </c>
      <c r="FW280" t="s">
        <v>226</v>
      </c>
      <c r="FX280" t="s">
        <v>236</v>
      </c>
      <c r="FZ280" t="s">
        <v>236</v>
      </c>
      <c r="GC280" t="s">
        <v>226</v>
      </c>
      <c r="GD280" t="s">
        <v>226</v>
      </c>
      <c r="GE280" t="s">
        <v>266</v>
      </c>
      <c r="GF280" t="s">
        <v>226</v>
      </c>
      <c r="GG280" t="s">
        <v>226</v>
      </c>
      <c r="GH280" t="s">
        <v>266</v>
      </c>
      <c r="GI280" t="s">
        <v>236</v>
      </c>
      <c r="GL280" t="s">
        <v>226</v>
      </c>
      <c r="GM280" t="s">
        <v>236</v>
      </c>
      <c r="GO280" t="s">
        <v>226</v>
      </c>
      <c r="GP280" t="s">
        <v>226</v>
      </c>
      <c r="GQ280" t="s">
        <v>266</v>
      </c>
      <c r="GR280" t="s">
        <v>226</v>
      </c>
      <c r="GS280" t="s">
        <v>226</v>
      </c>
      <c r="GT280" t="s">
        <v>266</v>
      </c>
      <c r="GU280" t="s">
        <v>236</v>
      </c>
      <c r="GX280" t="s">
        <v>236</v>
      </c>
      <c r="HB280" t="s">
        <v>440</v>
      </c>
      <c r="HC280" t="s">
        <v>441</v>
      </c>
      <c r="HD280" t="s">
        <v>442</v>
      </c>
      <c r="HE280">
        <v>82984386</v>
      </c>
      <c r="HF280" t="s">
        <v>443</v>
      </c>
      <c r="HG280" s="2">
        <v>45753.926458333342</v>
      </c>
      <c r="HJ280" t="s">
        <v>248</v>
      </c>
      <c r="HL280" t="s">
        <v>249</v>
      </c>
      <c r="HN280">
        <v>279</v>
      </c>
    </row>
    <row r="281" spans="1:222" x14ac:dyDescent="0.25">
      <c r="A281" s="2">
        <v>45753.71787778935</v>
      </c>
      <c r="B281" s="2">
        <v>45753.721423020826</v>
      </c>
      <c r="C281" t="s">
        <v>391</v>
      </c>
      <c r="D281">
        <v>363</v>
      </c>
      <c r="E281" s="2">
        <v>45731</v>
      </c>
      <c r="F281">
        <v>4</v>
      </c>
      <c r="G281" t="s">
        <v>436</v>
      </c>
      <c r="H281" t="s">
        <v>270</v>
      </c>
      <c r="I281">
        <v>32</v>
      </c>
      <c r="J281" t="str">
        <f t="shared" si="4"/>
        <v>de 26 a 40 años</v>
      </c>
      <c r="K281" t="s">
        <v>224</v>
      </c>
      <c r="L281">
        <v>1</v>
      </c>
      <c r="M281">
        <v>0</v>
      </c>
      <c r="N281">
        <v>0</v>
      </c>
      <c r="O281">
        <v>0</v>
      </c>
      <c r="P281">
        <v>0</v>
      </c>
      <c r="Q281" t="s">
        <v>225</v>
      </c>
      <c r="R281" t="s">
        <v>226</v>
      </c>
      <c r="T281" t="s">
        <v>227</v>
      </c>
      <c r="V281" t="s">
        <v>228</v>
      </c>
      <c r="W281" t="s">
        <v>229</v>
      </c>
      <c r="X281" t="s">
        <v>230</v>
      </c>
      <c r="Z281" t="s">
        <v>308</v>
      </c>
      <c r="AA281" t="s">
        <v>293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0</v>
      </c>
      <c r="AI281" t="s">
        <v>256</v>
      </c>
      <c r="AJ281">
        <v>0</v>
      </c>
      <c r="AK281">
        <v>0</v>
      </c>
      <c r="AL281">
        <v>1</v>
      </c>
      <c r="AM281">
        <v>0</v>
      </c>
      <c r="AN281" t="s">
        <v>300</v>
      </c>
      <c r="AO281" t="s">
        <v>369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</v>
      </c>
      <c r="AW281" t="s">
        <v>551</v>
      </c>
      <c r="AX281" t="s">
        <v>236</v>
      </c>
      <c r="AZ281" t="s">
        <v>237</v>
      </c>
      <c r="BA281" t="s">
        <v>1220</v>
      </c>
      <c r="BE281" t="s">
        <v>237</v>
      </c>
      <c r="BF281" t="s">
        <v>259</v>
      </c>
      <c r="BG281" t="s">
        <v>259</v>
      </c>
      <c r="BH281" t="s">
        <v>237</v>
      </c>
      <c r="BI281" t="s">
        <v>239</v>
      </c>
      <c r="BJ281" t="s">
        <v>237</v>
      </c>
      <c r="BK281" t="s">
        <v>239</v>
      </c>
      <c r="BL281" t="s">
        <v>262</v>
      </c>
      <c r="BM281" t="s">
        <v>278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 t="s">
        <v>264</v>
      </c>
      <c r="CB281" t="s">
        <v>264</v>
      </c>
      <c r="CC281" t="s">
        <v>264</v>
      </c>
      <c r="CD281" t="s">
        <v>236</v>
      </c>
      <c r="CE281" t="s">
        <v>236</v>
      </c>
      <c r="EA281" t="s">
        <v>236</v>
      </c>
      <c r="EC281" t="s">
        <v>236</v>
      </c>
      <c r="EE281" t="s">
        <v>226</v>
      </c>
      <c r="EF281" t="s">
        <v>244</v>
      </c>
      <c r="EG281" t="s">
        <v>236</v>
      </c>
      <c r="EI281" t="s">
        <v>236</v>
      </c>
      <c r="EK281" t="s">
        <v>236</v>
      </c>
      <c r="EM281" t="s">
        <v>226</v>
      </c>
      <c r="EN281" t="s">
        <v>244</v>
      </c>
      <c r="EO281" t="s">
        <v>236</v>
      </c>
      <c r="EQ281" t="s">
        <v>226</v>
      </c>
      <c r="ER281" t="s">
        <v>244</v>
      </c>
      <c r="ES281" t="s">
        <v>226</v>
      </c>
      <c r="ET281" t="s">
        <v>245</v>
      </c>
      <c r="EU281" t="s">
        <v>236</v>
      </c>
      <c r="EW281" t="s">
        <v>236</v>
      </c>
      <c r="EY281" t="s">
        <v>226</v>
      </c>
      <c r="EZ281" t="s">
        <v>244</v>
      </c>
      <c r="FA281" t="s">
        <v>236</v>
      </c>
      <c r="FC281" t="s">
        <v>236</v>
      </c>
      <c r="FE281" t="s">
        <v>236</v>
      </c>
      <c r="FG281" t="s">
        <v>236</v>
      </c>
      <c r="FJ281" t="s">
        <v>226</v>
      </c>
      <c r="FK281" t="s">
        <v>245</v>
      </c>
      <c r="FL281" t="s">
        <v>226</v>
      </c>
      <c r="FM281" t="s">
        <v>236</v>
      </c>
      <c r="FW281" t="s">
        <v>226</v>
      </c>
      <c r="FX281" t="s">
        <v>236</v>
      </c>
      <c r="FZ281" t="s">
        <v>226</v>
      </c>
      <c r="GA281" t="s">
        <v>226</v>
      </c>
      <c r="GB281" t="s">
        <v>266</v>
      </c>
      <c r="GC281" t="s">
        <v>236</v>
      </c>
      <c r="GF281" t="s">
        <v>226</v>
      </c>
      <c r="GG281" t="s">
        <v>226</v>
      </c>
      <c r="GH281" t="s">
        <v>266</v>
      </c>
      <c r="GI281" t="s">
        <v>236</v>
      </c>
      <c r="GL281" t="s">
        <v>236</v>
      </c>
      <c r="GO281" t="s">
        <v>226</v>
      </c>
      <c r="GP281" t="s">
        <v>226</v>
      </c>
      <c r="GQ281" t="s">
        <v>266</v>
      </c>
      <c r="GR281" t="s">
        <v>226</v>
      </c>
      <c r="GS281" t="s">
        <v>226</v>
      </c>
      <c r="GT281" t="s">
        <v>266</v>
      </c>
      <c r="GU281" t="s">
        <v>236</v>
      </c>
      <c r="GX281" t="s">
        <v>236</v>
      </c>
      <c r="HB281" t="s">
        <v>338</v>
      </c>
      <c r="HC281" t="s">
        <v>318</v>
      </c>
      <c r="HE281">
        <v>82984797</v>
      </c>
      <c r="HF281" t="s">
        <v>1711</v>
      </c>
      <c r="HG281" s="2">
        <v>45753.929768518523</v>
      </c>
      <c r="HJ281" t="s">
        <v>248</v>
      </c>
      <c r="HL281" t="s">
        <v>249</v>
      </c>
      <c r="HN281">
        <v>280</v>
      </c>
    </row>
    <row r="282" spans="1:222" x14ac:dyDescent="0.25">
      <c r="A282" s="2">
        <v>45753.721424317133</v>
      </c>
      <c r="B282" s="2">
        <v>45753.72452340278</v>
      </c>
      <c r="C282" t="s">
        <v>391</v>
      </c>
      <c r="D282">
        <v>362</v>
      </c>
      <c r="E282" s="2">
        <v>45731</v>
      </c>
      <c r="F282">
        <v>4</v>
      </c>
      <c r="G282" t="s">
        <v>367</v>
      </c>
      <c r="H282" t="s">
        <v>270</v>
      </c>
      <c r="I282">
        <v>40</v>
      </c>
      <c r="J282" t="str">
        <f t="shared" si="4"/>
        <v>de 26 a 40 años</v>
      </c>
      <c r="K282" t="s">
        <v>341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291</v>
      </c>
      <c r="R282" t="s">
        <v>226</v>
      </c>
      <c r="T282" t="s">
        <v>392</v>
      </c>
      <c r="V282" t="s">
        <v>252</v>
      </c>
      <c r="W282" t="s">
        <v>229</v>
      </c>
      <c r="X282" t="s">
        <v>350</v>
      </c>
      <c r="Z282" t="s">
        <v>231</v>
      </c>
      <c r="AA282" t="s">
        <v>232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I282" t="s">
        <v>233</v>
      </c>
      <c r="AJ282">
        <v>0</v>
      </c>
      <c r="AK282">
        <v>1</v>
      </c>
      <c r="AL282">
        <v>0</v>
      </c>
      <c r="AM282">
        <v>0</v>
      </c>
      <c r="AN282" t="s">
        <v>274</v>
      </c>
      <c r="AO282" t="s">
        <v>294</v>
      </c>
      <c r="AP282">
        <v>1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X282" t="s">
        <v>226</v>
      </c>
      <c r="AY282" t="s">
        <v>226</v>
      </c>
      <c r="AZ282" t="s">
        <v>261</v>
      </c>
      <c r="BA282" t="s">
        <v>1709</v>
      </c>
      <c r="BE282" t="s">
        <v>259</v>
      </c>
      <c r="BF282" t="s">
        <v>237</v>
      </c>
      <c r="BG282" t="s">
        <v>259</v>
      </c>
      <c r="BH282" t="s">
        <v>237</v>
      </c>
      <c r="BI282" t="s">
        <v>237</v>
      </c>
      <c r="BJ282" t="s">
        <v>239</v>
      </c>
      <c r="BK282" t="s">
        <v>239</v>
      </c>
      <c r="BL282" t="s">
        <v>262</v>
      </c>
      <c r="BM282" t="s">
        <v>372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1</v>
      </c>
      <c r="CA282" t="s">
        <v>328</v>
      </c>
      <c r="CB282" t="s">
        <v>264</v>
      </c>
      <c r="CC282" t="s">
        <v>264</v>
      </c>
      <c r="CD282" t="s">
        <v>236</v>
      </c>
      <c r="CE282" t="s">
        <v>236</v>
      </c>
      <c r="EA282" t="s">
        <v>236</v>
      </c>
      <c r="EC282" t="s">
        <v>236</v>
      </c>
      <c r="EE282" t="s">
        <v>226</v>
      </c>
      <c r="EF282" t="s">
        <v>244</v>
      </c>
      <c r="EG282" t="s">
        <v>226</v>
      </c>
      <c r="EH282" t="s">
        <v>245</v>
      </c>
      <c r="EI282" t="s">
        <v>236</v>
      </c>
      <c r="EK282" t="s">
        <v>236</v>
      </c>
      <c r="EM282" t="s">
        <v>236</v>
      </c>
      <c r="EO282" t="s">
        <v>236</v>
      </c>
      <c r="EQ282" t="s">
        <v>236</v>
      </c>
      <c r="ES282" t="s">
        <v>236</v>
      </c>
      <c r="EU282" t="s">
        <v>236</v>
      </c>
      <c r="EW282" t="s">
        <v>236</v>
      </c>
      <c r="EY282" t="s">
        <v>226</v>
      </c>
      <c r="EZ282" t="s">
        <v>244</v>
      </c>
      <c r="FA282" t="s">
        <v>226</v>
      </c>
      <c r="FB282" t="s">
        <v>245</v>
      </c>
      <c r="FC282" t="s">
        <v>236</v>
      </c>
      <c r="FE282" t="s">
        <v>236</v>
      </c>
      <c r="FG282" t="s">
        <v>236</v>
      </c>
      <c r="FJ282" t="s">
        <v>226</v>
      </c>
      <c r="FK282" t="s">
        <v>245</v>
      </c>
      <c r="FL282" t="s">
        <v>236</v>
      </c>
      <c r="FM282" t="s">
        <v>236</v>
      </c>
      <c r="FW282" t="s">
        <v>226</v>
      </c>
      <c r="FX282" t="s">
        <v>236</v>
      </c>
      <c r="FZ282" t="s">
        <v>236</v>
      </c>
      <c r="GC282" t="s">
        <v>236</v>
      </c>
      <c r="GF282" t="s">
        <v>236</v>
      </c>
      <c r="GI282" t="s">
        <v>236</v>
      </c>
      <c r="GL282" t="s">
        <v>236</v>
      </c>
      <c r="GO282" t="s">
        <v>226</v>
      </c>
      <c r="GP282" t="s">
        <v>236</v>
      </c>
      <c r="GR282" t="s">
        <v>226</v>
      </c>
      <c r="GS282" t="s">
        <v>236</v>
      </c>
      <c r="GU282" t="s">
        <v>236</v>
      </c>
      <c r="GX282" t="s">
        <v>236</v>
      </c>
      <c r="HB282" t="s">
        <v>1145</v>
      </c>
      <c r="HC282" t="s">
        <v>338</v>
      </c>
      <c r="HD282" t="s">
        <v>339</v>
      </c>
      <c r="HE282">
        <v>82984877</v>
      </c>
      <c r="HF282" t="s">
        <v>1710</v>
      </c>
      <c r="HG282" s="2">
        <v>45753.932858796303</v>
      </c>
      <c r="HJ282" t="s">
        <v>248</v>
      </c>
      <c r="HL282" t="s">
        <v>249</v>
      </c>
      <c r="HN282">
        <v>281</v>
      </c>
    </row>
    <row r="283" spans="1:222" x14ac:dyDescent="0.25">
      <c r="A283" s="2">
        <v>45753.724524062498</v>
      </c>
      <c r="B283" s="2">
        <v>45753.735260740737</v>
      </c>
      <c r="C283" t="s">
        <v>391</v>
      </c>
      <c r="D283">
        <v>361</v>
      </c>
      <c r="E283" s="2">
        <v>45731</v>
      </c>
      <c r="F283">
        <v>4</v>
      </c>
      <c r="G283" t="s">
        <v>436</v>
      </c>
      <c r="H283" t="s">
        <v>270</v>
      </c>
      <c r="I283">
        <v>50</v>
      </c>
      <c r="J283" t="str">
        <f t="shared" si="4"/>
        <v>de 41 a 55 años</v>
      </c>
      <c r="K283" t="s">
        <v>224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291</v>
      </c>
      <c r="R283" t="s">
        <v>226</v>
      </c>
      <c r="T283" t="s">
        <v>227</v>
      </c>
      <c r="V283" t="s">
        <v>228</v>
      </c>
      <c r="W283" t="s">
        <v>229</v>
      </c>
      <c r="X283" t="s">
        <v>480</v>
      </c>
      <c r="Z283" t="s">
        <v>308</v>
      </c>
      <c r="AA283" t="s">
        <v>232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I283" t="s">
        <v>233</v>
      </c>
      <c r="AJ283">
        <v>0</v>
      </c>
      <c r="AK283">
        <v>1</v>
      </c>
      <c r="AL283">
        <v>0</v>
      </c>
      <c r="AM283">
        <v>0</v>
      </c>
      <c r="AN283" t="s">
        <v>234</v>
      </c>
      <c r="AO283" t="s">
        <v>369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 t="s">
        <v>551</v>
      </c>
      <c r="AX283" t="s">
        <v>226</v>
      </c>
      <c r="AY283" t="s">
        <v>226</v>
      </c>
      <c r="AZ283" t="s">
        <v>259</v>
      </c>
      <c r="BA283" t="s">
        <v>276</v>
      </c>
      <c r="BE283" t="s">
        <v>259</v>
      </c>
      <c r="BF283" t="s">
        <v>237</v>
      </c>
      <c r="BG283" t="s">
        <v>259</v>
      </c>
      <c r="BH283" t="s">
        <v>237</v>
      </c>
      <c r="BI283" t="s">
        <v>237</v>
      </c>
      <c r="BJ283" t="s">
        <v>259</v>
      </c>
      <c r="BK283" t="s">
        <v>239</v>
      </c>
      <c r="BL283" t="s">
        <v>262</v>
      </c>
      <c r="BM283" t="s">
        <v>1478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1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 t="s">
        <v>264</v>
      </c>
      <c r="CB283" t="s">
        <v>264</v>
      </c>
      <c r="CC283" t="s">
        <v>264</v>
      </c>
      <c r="CD283" t="s">
        <v>236</v>
      </c>
      <c r="CE283" t="s">
        <v>236</v>
      </c>
      <c r="EA283" t="s">
        <v>236</v>
      </c>
      <c r="EC283" t="s">
        <v>236</v>
      </c>
      <c r="EE283" t="s">
        <v>236</v>
      </c>
      <c r="EG283" t="s">
        <v>226</v>
      </c>
      <c r="EH283" t="s">
        <v>245</v>
      </c>
      <c r="EI283" t="s">
        <v>308</v>
      </c>
      <c r="EK283" t="s">
        <v>236</v>
      </c>
      <c r="EM283" t="s">
        <v>226</v>
      </c>
      <c r="EN283" t="s">
        <v>244</v>
      </c>
      <c r="EO283" t="s">
        <v>236</v>
      </c>
      <c r="EQ283" t="s">
        <v>236</v>
      </c>
      <c r="ES283" t="s">
        <v>236</v>
      </c>
      <c r="EU283" t="s">
        <v>236</v>
      </c>
      <c r="EW283" t="s">
        <v>236</v>
      </c>
      <c r="EY283" t="s">
        <v>226</v>
      </c>
      <c r="EZ283" t="s">
        <v>245</v>
      </c>
      <c r="FA283" t="s">
        <v>236</v>
      </c>
      <c r="FC283" t="s">
        <v>236</v>
      </c>
      <c r="FE283" t="s">
        <v>236</v>
      </c>
      <c r="FG283" t="s">
        <v>236</v>
      </c>
      <c r="FJ283" t="s">
        <v>236</v>
      </c>
      <c r="FM283" t="s">
        <v>236</v>
      </c>
      <c r="FW283" t="s">
        <v>236</v>
      </c>
      <c r="FZ283" t="s">
        <v>236</v>
      </c>
      <c r="GC283" t="s">
        <v>236</v>
      </c>
      <c r="GF283" t="s">
        <v>236</v>
      </c>
      <c r="GI283" t="s">
        <v>236</v>
      </c>
      <c r="GL283" t="s">
        <v>236</v>
      </c>
      <c r="GO283" t="s">
        <v>236</v>
      </c>
      <c r="GR283" t="s">
        <v>236</v>
      </c>
      <c r="GU283" t="s">
        <v>236</v>
      </c>
      <c r="GX283" t="s">
        <v>236</v>
      </c>
      <c r="HB283" t="s">
        <v>1707</v>
      </c>
      <c r="HE283">
        <v>82985525</v>
      </c>
      <c r="HF283" t="s">
        <v>1708</v>
      </c>
      <c r="HG283" s="2">
        <v>45753.943599537037</v>
      </c>
      <c r="HJ283" t="s">
        <v>248</v>
      </c>
      <c r="HL283" t="s">
        <v>249</v>
      </c>
      <c r="HN283">
        <v>282</v>
      </c>
    </row>
    <row r="284" spans="1:222" x14ac:dyDescent="0.25">
      <c r="A284" s="2">
        <v>45753.883095150457</v>
      </c>
      <c r="B284" s="2">
        <v>45753.890045405089</v>
      </c>
      <c r="C284" t="s">
        <v>375</v>
      </c>
      <c r="D284">
        <v>360</v>
      </c>
      <c r="E284" s="2">
        <v>45731</v>
      </c>
      <c r="F284">
        <v>4</v>
      </c>
      <c r="G284" t="s">
        <v>367</v>
      </c>
      <c r="H284" t="s">
        <v>270</v>
      </c>
      <c r="I284">
        <v>70</v>
      </c>
      <c r="J284" t="str">
        <f t="shared" si="4"/>
        <v>de 56 a más</v>
      </c>
      <c r="K284" t="s">
        <v>341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291</v>
      </c>
      <c r="R284" t="s">
        <v>226</v>
      </c>
      <c r="T284" t="s">
        <v>659</v>
      </c>
      <c r="V284" t="s">
        <v>228</v>
      </c>
      <c r="W284" t="s">
        <v>229</v>
      </c>
      <c r="X284" t="s">
        <v>480</v>
      </c>
      <c r="Z284" t="s">
        <v>254</v>
      </c>
      <c r="AA284" t="s">
        <v>232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I284" t="s">
        <v>233</v>
      </c>
      <c r="AJ284">
        <v>0</v>
      </c>
      <c r="AK284">
        <v>1</v>
      </c>
      <c r="AL284">
        <v>0</v>
      </c>
      <c r="AM284">
        <v>0</v>
      </c>
      <c r="AN284" t="s">
        <v>257</v>
      </c>
      <c r="AO284" t="s">
        <v>326</v>
      </c>
      <c r="AP284">
        <v>0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0</v>
      </c>
      <c r="AX284" t="s">
        <v>226</v>
      </c>
      <c r="AY284" t="s">
        <v>226</v>
      </c>
      <c r="AZ284" t="s">
        <v>259</v>
      </c>
      <c r="BA284" t="s">
        <v>1705</v>
      </c>
      <c r="BB284" t="s">
        <v>904</v>
      </c>
      <c r="BE284" t="s">
        <v>237</v>
      </c>
      <c r="BF284" t="s">
        <v>237</v>
      </c>
      <c r="BG284" t="s">
        <v>237</v>
      </c>
      <c r="BH284" t="s">
        <v>239</v>
      </c>
      <c r="BI284" t="s">
        <v>239</v>
      </c>
      <c r="BJ284" t="s">
        <v>239</v>
      </c>
      <c r="BK284" t="s">
        <v>239</v>
      </c>
      <c r="BL284" t="s">
        <v>262</v>
      </c>
      <c r="BM284" t="s">
        <v>278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 t="s">
        <v>328</v>
      </c>
      <c r="CB284" t="s">
        <v>264</v>
      </c>
      <c r="CC284" t="s">
        <v>328</v>
      </c>
      <c r="CD284" t="s">
        <v>236</v>
      </c>
      <c r="CE284" t="s">
        <v>236</v>
      </c>
      <c r="EA284" t="s">
        <v>236</v>
      </c>
      <c r="EC284" t="s">
        <v>226</v>
      </c>
      <c r="ED284" t="s">
        <v>245</v>
      </c>
      <c r="EE284" t="s">
        <v>226</v>
      </c>
      <c r="EF284" t="s">
        <v>245</v>
      </c>
      <c r="EG284" t="s">
        <v>226</v>
      </c>
      <c r="EH284" t="s">
        <v>265</v>
      </c>
      <c r="EI284" t="s">
        <v>226</v>
      </c>
      <c r="EJ284" t="s">
        <v>245</v>
      </c>
      <c r="EK284" t="s">
        <v>236</v>
      </c>
      <c r="EM284" t="s">
        <v>226</v>
      </c>
      <c r="EN284" t="s">
        <v>244</v>
      </c>
      <c r="EO284" t="s">
        <v>236</v>
      </c>
      <c r="EQ284" t="s">
        <v>236</v>
      </c>
      <c r="ES284" t="s">
        <v>226</v>
      </c>
      <c r="ET284" t="s">
        <v>245</v>
      </c>
      <c r="EU284" t="s">
        <v>236</v>
      </c>
      <c r="EW284" t="s">
        <v>226</v>
      </c>
      <c r="EX284" t="s">
        <v>245</v>
      </c>
      <c r="EY284" t="s">
        <v>236</v>
      </c>
      <c r="FA284" t="s">
        <v>226</v>
      </c>
      <c r="FB284" t="s">
        <v>244</v>
      </c>
      <c r="FC284" t="s">
        <v>236</v>
      </c>
      <c r="FE284" t="s">
        <v>226</v>
      </c>
      <c r="FF284" t="s">
        <v>244</v>
      </c>
      <c r="FG284" t="s">
        <v>236</v>
      </c>
      <c r="FJ284" t="s">
        <v>226</v>
      </c>
      <c r="FK284" t="s">
        <v>245</v>
      </c>
      <c r="FL284" t="s">
        <v>236</v>
      </c>
      <c r="FM284" t="s">
        <v>236</v>
      </c>
      <c r="FW284" t="s">
        <v>226</v>
      </c>
      <c r="FX284" t="s">
        <v>226</v>
      </c>
      <c r="FY284" t="s">
        <v>266</v>
      </c>
      <c r="FZ284" t="s">
        <v>226</v>
      </c>
      <c r="GA284" t="s">
        <v>236</v>
      </c>
      <c r="GC284" t="s">
        <v>236</v>
      </c>
      <c r="GF284" t="s">
        <v>236</v>
      </c>
      <c r="GI284" t="s">
        <v>236</v>
      </c>
      <c r="GL284" t="s">
        <v>226</v>
      </c>
      <c r="GM284" t="s">
        <v>236</v>
      </c>
      <c r="GO284" t="s">
        <v>226</v>
      </c>
      <c r="GP284" t="s">
        <v>226</v>
      </c>
      <c r="GQ284" t="s">
        <v>266</v>
      </c>
      <c r="GR284" t="s">
        <v>226</v>
      </c>
      <c r="GS284" t="s">
        <v>226</v>
      </c>
      <c r="GT284" t="s">
        <v>266</v>
      </c>
      <c r="GU284" t="s">
        <v>236</v>
      </c>
      <c r="GX284" t="s">
        <v>236</v>
      </c>
      <c r="HB284" t="s">
        <v>358</v>
      </c>
      <c r="HE284">
        <v>82993389</v>
      </c>
      <c r="HF284" t="s">
        <v>1706</v>
      </c>
      <c r="HG284" s="2">
        <v>45754.098391203697</v>
      </c>
      <c r="HJ284" t="s">
        <v>248</v>
      </c>
      <c r="HL284" t="s">
        <v>249</v>
      </c>
      <c r="HN284">
        <v>283</v>
      </c>
    </row>
    <row r="285" spans="1:222" x14ac:dyDescent="0.25">
      <c r="A285" s="2">
        <v>45753.890046296299</v>
      </c>
      <c r="B285" s="2">
        <v>45753.894204699071</v>
      </c>
      <c r="C285" t="s">
        <v>375</v>
      </c>
      <c r="D285">
        <v>359</v>
      </c>
      <c r="E285" s="2">
        <v>45731</v>
      </c>
      <c r="F285">
        <v>4</v>
      </c>
      <c r="G285" t="s">
        <v>436</v>
      </c>
      <c r="H285" t="s">
        <v>270</v>
      </c>
      <c r="I285">
        <v>53</v>
      </c>
      <c r="J285" t="str">
        <f t="shared" si="4"/>
        <v>de 41 a 55 años</v>
      </c>
      <c r="K285" t="s">
        <v>224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291</v>
      </c>
      <c r="R285" t="s">
        <v>226</v>
      </c>
      <c r="T285" t="s">
        <v>227</v>
      </c>
      <c r="V285" t="s">
        <v>228</v>
      </c>
      <c r="W285" t="s">
        <v>229</v>
      </c>
      <c r="X285" t="s">
        <v>230</v>
      </c>
      <c r="Z285" t="s">
        <v>308</v>
      </c>
      <c r="AA285" t="s">
        <v>232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I285" t="s">
        <v>233</v>
      </c>
      <c r="AJ285">
        <v>0</v>
      </c>
      <c r="AK285">
        <v>1</v>
      </c>
      <c r="AL285">
        <v>0</v>
      </c>
      <c r="AM285">
        <v>0</v>
      </c>
      <c r="AN285" t="s">
        <v>300</v>
      </c>
      <c r="AO285" t="s">
        <v>444</v>
      </c>
      <c r="AP285">
        <v>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 t="s">
        <v>445</v>
      </c>
      <c r="AX285" t="s">
        <v>226</v>
      </c>
      <c r="AY285" t="s">
        <v>226</v>
      </c>
      <c r="AZ285" t="s">
        <v>237</v>
      </c>
      <c r="BA285" t="s">
        <v>1701</v>
      </c>
      <c r="BB285" t="s">
        <v>276</v>
      </c>
      <c r="BC285" t="s">
        <v>1702</v>
      </c>
      <c r="BE285" t="s">
        <v>237</v>
      </c>
      <c r="BF285" t="s">
        <v>259</v>
      </c>
      <c r="BG285" t="s">
        <v>259</v>
      </c>
      <c r="BH285" t="s">
        <v>239</v>
      </c>
      <c r="BI285" t="s">
        <v>237</v>
      </c>
      <c r="BJ285" t="s">
        <v>237</v>
      </c>
      <c r="BK285" t="s">
        <v>239</v>
      </c>
      <c r="BL285" t="s">
        <v>262</v>
      </c>
      <c r="BM285" t="s">
        <v>365</v>
      </c>
      <c r="BN285">
        <v>0</v>
      </c>
      <c r="BO285">
        <v>1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 t="s">
        <v>264</v>
      </c>
      <c r="CB285" t="s">
        <v>328</v>
      </c>
      <c r="CC285" t="s">
        <v>264</v>
      </c>
      <c r="CD285" t="s">
        <v>226</v>
      </c>
      <c r="CE285" t="s">
        <v>236</v>
      </c>
      <c r="EA285" t="s">
        <v>236</v>
      </c>
      <c r="EC285" t="s">
        <v>226</v>
      </c>
      <c r="ED285" t="s">
        <v>244</v>
      </c>
      <c r="EE285" t="s">
        <v>226</v>
      </c>
      <c r="EF285" t="s">
        <v>245</v>
      </c>
      <c r="EG285" t="s">
        <v>226</v>
      </c>
      <c r="EH285" t="s">
        <v>245</v>
      </c>
      <c r="EI285" t="s">
        <v>236</v>
      </c>
      <c r="EK285" t="s">
        <v>236</v>
      </c>
      <c r="EM285" t="s">
        <v>236</v>
      </c>
      <c r="EO285" t="s">
        <v>226</v>
      </c>
      <c r="EP285" t="s">
        <v>245</v>
      </c>
      <c r="EQ285" t="s">
        <v>226</v>
      </c>
      <c r="ER285" t="s">
        <v>244</v>
      </c>
      <c r="ES285" t="s">
        <v>236</v>
      </c>
      <c r="EU285" t="s">
        <v>236</v>
      </c>
      <c r="EW285" t="s">
        <v>226</v>
      </c>
      <c r="EX285" t="s">
        <v>245</v>
      </c>
      <c r="EY285" t="s">
        <v>226</v>
      </c>
      <c r="EZ285" t="s">
        <v>244</v>
      </c>
      <c r="FA285" t="s">
        <v>236</v>
      </c>
      <c r="FC285" t="s">
        <v>236</v>
      </c>
      <c r="FE285" t="s">
        <v>236</v>
      </c>
      <c r="FG285" t="s">
        <v>236</v>
      </c>
      <c r="FJ285" t="s">
        <v>226</v>
      </c>
      <c r="FK285" t="s">
        <v>245</v>
      </c>
      <c r="FL285" t="s">
        <v>226</v>
      </c>
      <c r="FM285" t="s">
        <v>236</v>
      </c>
      <c r="FW285" t="s">
        <v>226</v>
      </c>
      <c r="FX285" t="s">
        <v>226</v>
      </c>
      <c r="FY285" t="s">
        <v>266</v>
      </c>
      <c r="FZ285" t="s">
        <v>236</v>
      </c>
      <c r="GC285" t="s">
        <v>226</v>
      </c>
      <c r="GD285" t="s">
        <v>226</v>
      </c>
      <c r="GE285" t="s">
        <v>266</v>
      </c>
      <c r="GF285" t="s">
        <v>226</v>
      </c>
      <c r="GG285" t="s">
        <v>226</v>
      </c>
      <c r="GH285" t="s">
        <v>266</v>
      </c>
      <c r="GI285" t="s">
        <v>236</v>
      </c>
      <c r="GL285" t="s">
        <v>236</v>
      </c>
      <c r="GO285" t="s">
        <v>226</v>
      </c>
      <c r="GP285" t="s">
        <v>226</v>
      </c>
      <c r="GQ285" t="s">
        <v>267</v>
      </c>
      <c r="GR285" t="s">
        <v>226</v>
      </c>
      <c r="GS285" t="s">
        <v>226</v>
      </c>
      <c r="GT285" t="s">
        <v>266</v>
      </c>
      <c r="GU285" t="s">
        <v>236</v>
      </c>
      <c r="GX285" t="s">
        <v>236</v>
      </c>
      <c r="HB285" t="s">
        <v>338</v>
      </c>
      <c r="HC285" t="s">
        <v>1703</v>
      </c>
      <c r="HE285">
        <v>82993638</v>
      </c>
      <c r="HF285" t="s">
        <v>1704</v>
      </c>
      <c r="HG285" s="2">
        <v>45754.102546296293</v>
      </c>
      <c r="HJ285" t="s">
        <v>248</v>
      </c>
      <c r="HL285" t="s">
        <v>249</v>
      </c>
      <c r="HN285">
        <v>284</v>
      </c>
    </row>
    <row r="286" spans="1:222" x14ac:dyDescent="0.25">
      <c r="A286" s="2">
        <v>45753.894205416669</v>
      </c>
      <c r="B286" s="2">
        <v>45753.897197696759</v>
      </c>
      <c r="C286" t="s">
        <v>375</v>
      </c>
      <c r="D286">
        <v>358</v>
      </c>
      <c r="E286" s="2">
        <v>45731</v>
      </c>
      <c r="F286">
        <v>4</v>
      </c>
      <c r="G286" t="s">
        <v>528</v>
      </c>
      <c r="H286" t="s">
        <v>270</v>
      </c>
      <c r="I286">
        <v>40</v>
      </c>
      <c r="J286" t="str">
        <f t="shared" si="4"/>
        <v>de 26 a 40 años</v>
      </c>
      <c r="K286" t="s">
        <v>251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291</v>
      </c>
      <c r="R286" t="s">
        <v>226</v>
      </c>
      <c r="T286" t="s">
        <v>227</v>
      </c>
      <c r="V286" t="s">
        <v>228</v>
      </c>
      <c r="W286" t="s">
        <v>229</v>
      </c>
      <c r="X286" t="s">
        <v>230</v>
      </c>
      <c r="Z286" t="s">
        <v>351</v>
      </c>
      <c r="AA286" t="s">
        <v>232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0</v>
      </c>
      <c r="AI286" t="s">
        <v>233</v>
      </c>
      <c r="AJ286">
        <v>0</v>
      </c>
      <c r="AK286">
        <v>1</v>
      </c>
      <c r="AL286">
        <v>0</v>
      </c>
      <c r="AM286">
        <v>0</v>
      </c>
      <c r="AN286" t="s">
        <v>300</v>
      </c>
      <c r="AO286" t="s">
        <v>382</v>
      </c>
      <c r="AP286">
        <v>0</v>
      </c>
      <c r="AQ286">
        <v>0</v>
      </c>
      <c r="AR286">
        <v>1</v>
      </c>
      <c r="AS286">
        <v>0</v>
      </c>
      <c r="AT286">
        <v>0</v>
      </c>
      <c r="AU286">
        <v>0</v>
      </c>
      <c r="AV286">
        <v>0</v>
      </c>
      <c r="AX286" t="s">
        <v>236</v>
      </c>
      <c r="AZ286" t="s">
        <v>237</v>
      </c>
      <c r="BA286" t="s">
        <v>1697</v>
      </c>
      <c r="BE286" t="s">
        <v>259</v>
      </c>
      <c r="BF286" t="s">
        <v>237</v>
      </c>
      <c r="BG286" t="s">
        <v>259</v>
      </c>
      <c r="BH286" t="s">
        <v>239</v>
      </c>
      <c r="BI286" t="s">
        <v>237</v>
      </c>
      <c r="BJ286" t="s">
        <v>259</v>
      </c>
      <c r="BK286" t="s">
        <v>259</v>
      </c>
      <c r="BL286" t="s">
        <v>313</v>
      </c>
      <c r="BM286" t="s">
        <v>372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1</v>
      </c>
      <c r="CA286" t="s">
        <v>242</v>
      </c>
      <c r="CB286" t="s">
        <v>328</v>
      </c>
      <c r="CC286" t="s">
        <v>243</v>
      </c>
      <c r="CD286" t="s">
        <v>236</v>
      </c>
      <c r="CE286" t="s">
        <v>236</v>
      </c>
      <c r="EA286" t="s">
        <v>236</v>
      </c>
      <c r="EC286" t="s">
        <v>236</v>
      </c>
      <c r="EE286" t="s">
        <v>226</v>
      </c>
      <c r="EF286" t="s">
        <v>244</v>
      </c>
      <c r="EG286" t="s">
        <v>236</v>
      </c>
      <c r="EI286" t="s">
        <v>236</v>
      </c>
      <c r="EK286" t="s">
        <v>236</v>
      </c>
      <c r="EM286" t="s">
        <v>226</v>
      </c>
      <c r="EN286" t="s">
        <v>244</v>
      </c>
      <c r="EO286" t="s">
        <v>236</v>
      </c>
      <c r="EQ286" t="s">
        <v>236</v>
      </c>
      <c r="ES286" t="s">
        <v>236</v>
      </c>
      <c r="EU286" t="s">
        <v>236</v>
      </c>
      <c r="EW286" t="s">
        <v>236</v>
      </c>
      <c r="EY286" t="s">
        <v>236</v>
      </c>
      <c r="FA286" t="s">
        <v>226</v>
      </c>
      <c r="FB286" t="s">
        <v>244</v>
      </c>
      <c r="FC286" t="s">
        <v>236</v>
      </c>
      <c r="FE286" t="s">
        <v>236</v>
      </c>
      <c r="FG286" t="s">
        <v>236</v>
      </c>
      <c r="FJ286" t="s">
        <v>226</v>
      </c>
      <c r="FK286" t="s">
        <v>245</v>
      </c>
      <c r="FL286" t="s">
        <v>236</v>
      </c>
      <c r="FM286" t="s">
        <v>236</v>
      </c>
      <c r="FW286" t="s">
        <v>236</v>
      </c>
      <c r="FZ286" t="s">
        <v>236</v>
      </c>
      <c r="GC286" t="s">
        <v>236</v>
      </c>
      <c r="GF286" t="s">
        <v>236</v>
      </c>
      <c r="GI286" t="s">
        <v>236</v>
      </c>
      <c r="GL286" t="s">
        <v>236</v>
      </c>
      <c r="GO286" t="s">
        <v>236</v>
      </c>
      <c r="GR286" t="s">
        <v>236</v>
      </c>
      <c r="GU286" t="s">
        <v>236</v>
      </c>
      <c r="GX286" t="s">
        <v>236</v>
      </c>
      <c r="HB286" t="s">
        <v>1698</v>
      </c>
      <c r="HC286" t="s">
        <v>1699</v>
      </c>
      <c r="HE286">
        <v>82993807</v>
      </c>
      <c r="HF286" t="s">
        <v>1700</v>
      </c>
      <c r="HG286" s="2">
        <v>45754.105532407397</v>
      </c>
      <c r="HJ286" t="s">
        <v>248</v>
      </c>
      <c r="HL286" t="s">
        <v>249</v>
      </c>
      <c r="HN286">
        <v>285</v>
      </c>
    </row>
    <row r="287" spans="1:222" x14ac:dyDescent="0.25">
      <c r="A287" s="2">
        <v>45753.897198252307</v>
      </c>
      <c r="B287" s="2">
        <v>45753.900039224543</v>
      </c>
      <c r="C287" t="s">
        <v>375</v>
      </c>
      <c r="D287">
        <v>357</v>
      </c>
      <c r="E287" s="2">
        <v>45731</v>
      </c>
      <c r="F287">
        <v>4</v>
      </c>
      <c r="G287" t="s">
        <v>525</v>
      </c>
      <c r="H287" t="s">
        <v>270</v>
      </c>
      <c r="I287">
        <v>80</v>
      </c>
      <c r="J287" t="str">
        <f t="shared" si="4"/>
        <v>de 56 a más</v>
      </c>
      <c r="K287" t="s">
        <v>224</v>
      </c>
      <c r="L287">
        <v>3</v>
      </c>
      <c r="M287">
        <v>0</v>
      </c>
      <c r="N287">
        <v>0</v>
      </c>
      <c r="O287">
        <v>0</v>
      </c>
      <c r="P287">
        <v>1</v>
      </c>
      <c r="Q287" t="s">
        <v>225</v>
      </c>
      <c r="R287" t="s">
        <v>226</v>
      </c>
      <c r="T287" t="s">
        <v>227</v>
      </c>
      <c r="V287" t="s">
        <v>321</v>
      </c>
      <c r="W287" t="s">
        <v>229</v>
      </c>
      <c r="X287" t="s">
        <v>230</v>
      </c>
      <c r="Z287" t="s">
        <v>273</v>
      </c>
      <c r="AA287" t="s">
        <v>232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0</v>
      </c>
      <c r="AI287" t="s">
        <v>233</v>
      </c>
      <c r="AJ287">
        <v>0</v>
      </c>
      <c r="AK287">
        <v>1</v>
      </c>
      <c r="AL287">
        <v>0</v>
      </c>
      <c r="AM287">
        <v>0</v>
      </c>
      <c r="AN287" t="s">
        <v>234</v>
      </c>
      <c r="AO287" t="s">
        <v>235</v>
      </c>
      <c r="AP287">
        <v>0</v>
      </c>
      <c r="AQ287">
        <v>0</v>
      </c>
      <c r="AR287">
        <v>0</v>
      </c>
      <c r="AS287">
        <v>1</v>
      </c>
      <c r="AT287">
        <v>0</v>
      </c>
      <c r="AU287">
        <v>0</v>
      </c>
      <c r="AV287">
        <v>0</v>
      </c>
      <c r="AX287" t="s">
        <v>226</v>
      </c>
      <c r="AY287" t="s">
        <v>226</v>
      </c>
      <c r="AZ287" t="s">
        <v>237</v>
      </c>
      <c r="BA287" t="s">
        <v>526</v>
      </c>
      <c r="BE287" t="s">
        <v>237</v>
      </c>
      <c r="BF287" t="s">
        <v>237</v>
      </c>
      <c r="BG287" t="s">
        <v>237</v>
      </c>
      <c r="BH287" t="s">
        <v>237</v>
      </c>
      <c r="BI287" t="s">
        <v>237</v>
      </c>
      <c r="BJ287" t="s">
        <v>237</v>
      </c>
      <c r="BK287" t="s">
        <v>239</v>
      </c>
      <c r="BL287" t="s">
        <v>262</v>
      </c>
      <c r="BM287" t="s">
        <v>365</v>
      </c>
      <c r="BN287">
        <v>0</v>
      </c>
      <c r="BO287">
        <v>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 t="s">
        <v>264</v>
      </c>
      <c r="CB287" t="s">
        <v>264</v>
      </c>
      <c r="CC287" t="s">
        <v>264</v>
      </c>
      <c r="CD287" t="s">
        <v>236</v>
      </c>
      <c r="CE287" t="s">
        <v>236</v>
      </c>
      <c r="EA287" t="s">
        <v>236</v>
      </c>
      <c r="EC287" t="s">
        <v>236</v>
      </c>
      <c r="EE287" t="s">
        <v>226</v>
      </c>
      <c r="EF287" t="s">
        <v>244</v>
      </c>
      <c r="EG287" t="s">
        <v>226</v>
      </c>
      <c r="EH287" t="s">
        <v>245</v>
      </c>
      <c r="EI287" t="s">
        <v>236</v>
      </c>
      <c r="EK287" t="s">
        <v>236</v>
      </c>
      <c r="EM287" t="s">
        <v>236</v>
      </c>
      <c r="EO287" t="s">
        <v>236</v>
      </c>
      <c r="EQ287" t="s">
        <v>236</v>
      </c>
      <c r="ES287" t="s">
        <v>236</v>
      </c>
      <c r="EU287" t="s">
        <v>236</v>
      </c>
      <c r="EW287" t="s">
        <v>226</v>
      </c>
      <c r="EX287" t="s">
        <v>244</v>
      </c>
      <c r="EY287" t="s">
        <v>236</v>
      </c>
      <c r="FA287" t="s">
        <v>236</v>
      </c>
      <c r="FC287" t="s">
        <v>236</v>
      </c>
      <c r="FE287" t="s">
        <v>236</v>
      </c>
      <c r="FG287" t="s">
        <v>236</v>
      </c>
      <c r="FJ287" t="s">
        <v>226</v>
      </c>
      <c r="FK287" t="s">
        <v>244</v>
      </c>
      <c r="FL287" t="s">
        <v>236</v>
      </c>
      <c r="FM287" t="s">
        <v>236</v>
      </c>
      <c r="FW287" t="s">
        <v>226</v>
      </c>
      <c r="FX287" t="s">
        <v>236</v>
      </c>
      <c r="FZ287" t="s">
        <v>236</v>
      </c>
      <c r="GC287" t="s">
        <v>236</v>
      </c>
      <c r="GF287" t="s">
        <v>236</v>
      </c>
      <c r="GI287" t="s">
        <v>236</v>
      </c>
      <c r="GL287" t="s">
        <v>236</v>
      </c>
      <c r="GO287" t="s">
        <v>226</v>
      </c>
      <c r="GP287" t="s">
        <v>226</v>
      </c>
      <c r="GQ287" t="s">
        <v>266</v>
      </c>
      <c r="GR287" t="s">
        <v>226</v>
      </c>
      <c r="GS287" t="s">
        <v>226</v>
      </c>
      <c r="GT287" t="s">
        <v>266</v>
      </c>
      <c r="GU287" t="s">
        <v>226</v>
      </c>
      <c r="GV287" t="s">
        <v>226</v>
      </c>
      <c r="GW287" t="s">
        <v>266</v>
      </c>
      <c r="GX287" t="s">
        <v>236</v>
      </c>
      <c r="HB287" t="s">
        <v>280</v>
      </c>
      <c r="HE287">
        <v>82993941</v>
      </c>
      <c r="HF287" t="s">
        <v>527</v>
      </c>
      <c r="HG287" s="2">
        <v>45754.10837962963</v>
      </c>
      <c r="HJ287" t="s">
        <v>248</v>
      </c>
      <c r="HL287" t="s">
        <v>249</v>
      </c>
      <c r="HN287">
        <v>286</v>
      </c>
    </row>
    <row r="288" spans="1:222" x14ac:dyDescent="0.25">
      <c r="A288" s="2">
        <v>45753.900039930559</v>
      </c>
      <c r="B288" s="2">
        <v>45753.902101296298</v>
      </c>
      <c r="C288" t="s">
        <v>375</v>
      </c>
      <c r="D288">
        <v>356</v>
      </c>
      <c r="E288" s="2">
        <v>45731</v>
      </c>
      <c r="F288">
        <v>4</v>
      </c>
      <c r="G288" t="s">
        <v>528</v>
      </c>
      <c r="H288" t="s">
        <v>270</v>
      </c>
      <c r="I288">
        <v>37</v>
      </c>
      <c r="J288" t="str">
        <f t="shared" si="4"/>
        <v>de 26 a 40 años</v>
      </c>
      <c r="K288" t="s">
        <v>224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225</v>
      </c>
      <c r="R288" t="s">
        <v>226</v>
      </c>
      <c r="T288" t="s">
        <v>227</v>
      </c>
      <c r="V288" t="s">
        <v>228</v>
      </c>
      <c r="W288" t="s">
        <v>229</v>
      </c>
      <c r="X288" t="s">
        <v>230</v>
      </c>
      <c r="Z288" t="s">
        <v>308</v>
      </c>
      <c r="AA288" t="s">
        <v>232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I288" t="s">
        <v>504</v>
      </c>
      <c r="AJ288">
        <v>1</v>
      </c>
      <c r="AK288">
        <v>0</v>
      </c>
      <c r="AL288">
        <v>0</v>
      </c>
      <c r="AM288">
        <v>0</v>
      </c>
      <c r="AN288" t="s">
        <v>300</v>
      </c>
      <c r="AO288" t="s">
        <v>235</v>
      </c>
      <c r="AP288">
        <v>0</v>
      </c>
      <c r="AQ288">
        <v>0</v>
      </c>
      <c r="AR288">
        <v>0</v>
      </c>
      <c r="AS288">
        <v>1</v>
      </c>
      <c r="AT288">
        <v>0</v>
      </c>
      <c r="AU288">
        <v>0</v>
      </c>
      <c r="AV288">
        <v>0</v>
      </c>
      <c r="AX288" t="s">
        <v>226</v>
      </c>
      <c r="AY288" t="s">
        <v>226</v>
      </c>
      <c r="AZ288" t="s">
        <v>362</v>
      </c>
      <c r="BA288" t="s">
        <v>1695</v>
      </c>
      <c r="BE288" t="s">
        <v>237</v>
      </c>
      <c r="BF288" t="s">
        <v>259</v>
      </c>
      <c r="BG288" t="s">
        <v>237</v>
      </c>
      <c r="BH288" t="s">
        <v>259</v>
      </c>
      <c r="BI288" t="s">
        <v>237</v>
      </c>
      <c r="BJ288" t="s">
        <v>237</v>
      </c>
      <c r="BK288" t="s">
        <v>237</v>
      </c>
      <c r="BL288" t="s">
        <v>240</v>
      </c>
      <c r="BM288" t="s">
        <v>278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 t="s">
        <v>243</v>
      </c>
      <c r="CB288" t="s">
        <v>328</v>
      </c>
      <c r="CC288" t="s">
        <v>328</v>
      </c>
      <c r="CD288" t="s">
        <v>236</v>
      </c>
      <c r="CE288" t="s">
        <v>236</v>
      </c>
      <c r="EA288" t="s">
        <v>236</v>
      </c>
      <c r="EC288" t="s">
        <v>236</v>
      </c>
      <c r="EE288" t="s">
        <v>226</v>
      </c>
      <c r="EF288" t="s">
        <v>245</v>
      </c>
      <c r="EG288" t="s">
        <v>226</v>
      </c>
      <c r="EH288" t="s">
        <v>245</v>
      </c>
      <c r="EI288" t="s">
        <v>236</v>
      </c>
      <c r="EK288" t="s">
        <v>236</v>
      </c>
      <c r="EM288" t="s">
        <v>236</v>
      </c>
      <c r="EO288" t="s">
        <v>236</v>
      </c>
      <c r="EQ288" t="s">
        <v>236</v>
      </c>
      <c r="ES288" t="s">
        <v>236</v>
      </c>
      <c r="EU288" t="s">
        <v>236</v>
      </c>
      <c r="EW288" t="s">
        <v>226</v>
      </c>
      <c r="EX288" t="s">
        <v>245</v>
      </c>
      <c r="EY288" t="s">
        <v>226</v>
      </c>
      <c r="EZ288" t="s">
        <v>245</v>
      </c>
      <c r="FA288" t="s">
        <v>236</v>
      </c>
      <c r="FC288" t="s">
        <v>236</v>
      </c>
      <c r="FE288" t="s">
        <v>226</v>
      </c>
      <c r="FF288" t="s">
        <v>245</v>
      </c>
      <c r="FG288" t="s">
        <v>236</v>
      </c>
      <c r="FJ288" t="s">
        <v>226</v>
      </c>
      <c r="FK288" t="s">
        <v>245</v>
      </c>
      <c r="FL288" t="s">
        <v>236</v>
      </c>
      <c r="FM288" t="s">
        <v>236</v>
      </c>
      <c r="FW288" t="s">
        <v>236</v>
      </c>
      <c r="FZ288" t="s">
        <v>236</v>
      </c>
      <c r="GC288" t="s">
        <v>236</v>
      </c>
      <c r="GF288" t="s">
        <v>236</v>
      </c>
      <c r="GI288" t="s">
        <v>226</v>
      </c>
      <c r="GJ288" t="s">
        <v>236</v>
      </c>
      <c r="GL288" t="s">
        <v>236</v>
      </c>
      <c r="GO288" t="s">
        <v>226</v>
      </c>
      <c r="GP288" t="s">
        <v>226</v>
      </c>
      <c r="GQ288" t="s">
        <v>570</v>
      </c>
      <c r="GR288" t="s">
        <v>226</v>
      </c>
      <c r="GS288" t="s">
        <v>236</v>
      </c>
      <c r="GU288" t="s">
        <v>236</v>
      </c>
      <c r="GX288" t="s">
        <v>236</v>
      </c>
      <c r="HB288" t="s">
        <v>280</v>
      </c>
      <c r="HC288" t="s">
        <v>408</v>
      </c>
      <c r="HD288" t="s">
        <v>279</v>
      </c>
      <c r="HE288">
        <v>82994039</v>
      </c>
      <c r="HF288" t="s">
        <v>1696</v>
      </c>
      <c r="HG288" s="2">
        <v>45754.110439814824</v>
      </c>
      <c r="HJ288" t="s">
        <v>248</v>
      </c>
      <c r="HL288" t="s">
        <v>249</v>
      </c>
      <c r="HN288">
        <v>287</v>
      </c>
    </row>
    <row r="289" spans="1:222" x14ac:dyDescent="0.25">
      <c r="A289" s="2">
        <v>45753.902101967593</v>
      </c>
      <c r="B289" s="2">
        <v>45753.904555752313</v>
      </c>
      <c r="C289" t="s">
        <v>375</v>
      </c>
      <c r="D289">
        <v>355</v>
      </c>
      <c r="E289" s="2">
        <v>45731</v>
      </c>
      <c r="F289">
        <v>2</v>
      </c>
      <c r="G289" t="s">
        <v>271</v>
      </c>
      <c r="H289" t="s">
        <v>391</v>
      </c>
      <c r="I289">
        <v>40</v>
      </c>
      <c r="J289" t="str">
        <f t="shared" si="4"/>
        <v>de 26 a 40 años</v>
      </c>
      <c r="K289" t="s">
        <v>224</v>
      </c>
      <c r="L289">
        <v>3</v>
      </c>
      <c r="M289">
        <v>0</v>
      </c>
      <c r="N289">
        <v>0</v>
      </c>
      <c r="O289">
        <v>0</v>
      </c>
      <c r="P289">
        <v>0</v>
      </c>
      <c r="Q289" t="s">
        <v>225</v>
      </c>
      <c r="R289" t="s">
        <v>226</v>
      </c>
      <c r="T289" t="s">
        <v>227</v>
      </c>
      <c r="V289" t="s">
        <v>321</v>
      </c>
      <c r="W289" t="s">
        <v>229</v>
      </c>
      <c r="X289" t="s">
        <v>253</v>
      </c>
      <c r="Z289" t="s">
        <v>231</v>
      </c>
      <c r="AA289" t="s">
        <v>255</v>
      </c>
      <c r="AB289">
        <v>0</v>
      </c>
      <c r="AC289">
        <v>0</v>
      </c>
      <c r="AD289">
        <v>0</v>
      </c>
      <c r="AE289">
        <v>1</v>
      </c>
      <c r="AF289">
        <v>0</v>
      </c>
      <c r="AG289">
        <v>0</v>
      </c>
      <c r="AI289" t="s">
        <v>233</v>
      </c>
      <c r="AJ289">
        <v>0</v>
      </c>
      <c r="AK289">
        <v>1</v>
      </c>
      <c r="AL289">
        <v>0</v>
      </c>
      <c r="AM289">
        <v>0</v>
      </c>
      <c r="AN289" t="s">
        <v>234</v>
      </c>
      <c r="AO289" t="s">
        <v>275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1</v>
      </c>
      <c r="AV289">
        <v>0</v>
      </c>
      <c r="AX289" t="s">
        <v>236</v>
      </c>
      <c r="AZ289" t="s">
        <v>237</v>
      </c>
      <c r="BA289" t="s">
        <v>276</v>
      </c>
      <c r="BB289" t="s">
        <v>1693</v>
      </c>
      <c r="BE289" t="s">
        <v>237</v>
      </c>
      <c r="BF289" t="s">
        <v>237</v>
      </c>
      <c r="BG289" t="s">
        <v>237</v>
      </c>
      <c r="BH289" t="s">
        <v>259</v>
      </c>
      <c r="BI289" t="s">
        <v>259</v>
      </c>
      <c r="BJ289" t="s">
        <v>259</v>
      </c>
      <c r="BK289" t="s">
        <v>259</v>
      </c>
      <c r="BL289" t="s">
        <v>262</v>
      </c>
      <c r="BM289" t="s">
        <v>365</v>
      </c>
      <c r="BN289">
        <v>0</v>
      </c>
      <c r="BO289">
        <v>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 t="s">
        <v>264</v>
      </c>
      <c r="CB289" t="s">
        <v>264</v>
      </c>
      <c r="CC289" t="s">
        <v>264</v>
      </c>
      <c r="CD289" t="s">
        <v>236</v>
      </c>
      <c r="CE289" t="s">
        <v>236</v>
      </c>
      <c r="EA289" t="s">
        <v>236</v>
      </c>
      <c r="EC289" t="s">
        <v>236</v>
      </c>
      <c r="EE289" t="s">
        <v>236</v>
      </c>
      <c r="EG289" t="s">
        <v>236</v>
      </c>
      <c r="EI289" t="s">
        <v>236</v>
      </c>
      <c r="EK289" t="s">
        <v>236</v>
      </c>
      <c r="EM289" t="s">
        <v>236</v>
      </c>
      <c r="EO289" t="s">
        <v>236</v>
      </c>
      <c r="EQ289" t="s">
        <v>236</v>
      </c>
      <c r="ES289" t="s">
        <v>236</v>
      </c>
      <c r="EU289" t="s">
        <v>236</v>
      </c>
      <c r="EW289" t="s">
        <v>236</v>
      </c>
      <c r="EY289" t="s">
        <v>236</v>
      </c>
      <c r="FA289" t="s">
        <v>236</v>
      </c>
      <c r="FC289" t="s">
        <v>236</v>
      </c>
      <c r="FE289" t="s">
        <v>236</v>
      </c>
      <c r="FG289" t="s">
        <v>236</v>
      </c>
      <c r="FJ289" t="s">
        <v>236</v>
      </c>
      <c r="FM289" t="s">
        <v>236</v>
      </c>
      <c r="FW289" t="s">
        <v>226</v>
      </c>
      <c r="FX289" t="s">
        <v>236</v>
      </c>
      <c r="FZ289" t="s">
        <v>236</v>
      </c>
      <c r="GC289" t="s">
        <v>236</v>
      </c>
      <c r="GF289" t="s">
        <v>226</v>
      </c>
      <c r="GG289" t="s">
        <v>236</v>
      </c>
      <c r="GI289" t="s">
        <v>236</v>
      </c>
      <c r="GL289" t="s">
        <v>236</v>
      </c>
      <c r="GO289" t="s">
        <v>236</v>
      </c>
      <c r="GR289" t="s">
        <v>226</v>
      </c>
      <c r="GS289" t="s">
        <v>236</v>
      </c>
      <c r="GU289" t="s">
        <v>236</v>
      </c>
      <c r="GX289" t="s">
        <v>236</v>
      </c>
      <c r="HB289" t="s">
        <v>510</v>
      </c>
      <c r="HC289" t="s">
        <v>338</v>
      </c>
      <c r="HE289">
        <v>82994133</v>
      </c>
      <c r="HF289" t="s">
        <v>1694</v>
      </c>
      <c r="HG289" s="2">
        <v>45754.112905092603</v>
      </c>
      <c r="HJ289" t="s">
        <v>248</v>
      </c>
      <c r="HL289" t="s">
        <v>249</v>
      </c>
      <c r="HN289">
        <v>288</v>
      </c>
    </row>
    <row r="290" spans="1:222" x14ac:dyDescent="0.25">
      <c r="A290" s="2">
        <v>45753.90455655093</v>
      </c>
      <c r="B290" s="2">
        <v>45753.907873576391</v>
      </c>
      <c r="C290" t="s">
        <v>375</v>
      </c>
      <c r="D290">
        <v>354</v>
      </c>
      <c r="E290" s="2">
        <v>45730</v>
      </c>
      <c r="F290">
        <v>2</v>
      </c>
      <c r="G290" t="s">
        <v>419</v>
      </c>
      <c r="H290" t="s">
        <v>391</v>
      </c>
      <c r="I290">
        <v>47</v>
      </c>
      <c r="J290" t="str">
        <f t="shared" si="4"/>
        <v>de 41 a 55 años</v>
      </c>
      <c r="K290" t="s">
        <v>224</v>
      </c>
      <c r="L290">
        <v>1</v>
      </c>
      <c r="M290">
        <v>0</v>
      </c>
      <c r="N290">
        <v>0</v>
      </c>
      <c r="O290">
        <v>0</v>
      </c>
      <c r="P290">
        <v>0</v>
      </c>
      <c r="Q290" t="s">
        <v>225</v>
      </c>
      <c r="R290" t="s">
        <v>226</v>
      </c>
      <c r="T290" t="s">
        <v>227</v>
      </c>
      <c r="V290" t="s">
        <v>228</v>
      </c>
      <c r="W290" t="s">
        <v>292</v>
      </c>
      <c r="X290" t="s">
        <v>230</v>
      </c>
      <c r="Z290" t="s">
        <v>231</v>
      </c>
      <c r="AA290" t="s">
        <v>255</v>
      </c>
      <c r="AB290">
        <v>0</v>
      </c>
      <c r="AC290">
        <v>0</v>
      </c>
      <c r="AD290">
        <v>0</v>
      </c>
      <c r="AE290">
        <v>1</v>
      </c>
      <c r="AF290">
        <v>0</v>
      </c>
      <c r="AG290">
        <v>0</v>
      </c>
      <c r="AI290" t="s">
        <v>256</v>
      </c>
      <c r="AJ290">
        <v>0</v>
      </c>
      <c r="AK290">
        <v>0</v>
      </c>
      <c r="AL290">
        <v>1</v>
      </c>
      <c r="AM290">
        <v>0</v>
      </c>
      <c r="AN290" t="s">
        <v>300</v>
      </c>
      <c r="AO290" t="s">
        <v>275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1</v>
      </c>
      <c r="AV290">
        <v>0</v>
      </c>
      <c r="AX290" t="s">
        <v>226</v>
      </c>
      <c r="AY290" t="s">
        <v>226</v>
      </c>
      <c r="AZ290" t="s">
        <v>237</v>
      </c>
      <c r="BA290" t="s">
        <v>1690</v>
      </c>
      <c r="BE290" t="s">
        <v>259</v>
      </c>
      <c r="BF290" t="s">
        <v>259</v>
      </c>
      <c r="BG290" t="s">
        <v>237</v>
      </c>
      <c r="BH290" t="s">
        <v>237</v>
      </c>
      <c r="BI290" t="s">
        <v>237</v>
      </c>
      <c r="BJ290" t="s">
        <v>237</v>
      </c>
      <c r="BK290" t="s">
        <v>261</v>
      </c>
      <c r="BL290" t="s">
        <v>313</v>
      </c>
      <c r="BM290" t="s">
        <v>415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 t="s">
        <v>264</v>
      </c>
      <c r="CB290" t="s">
        <v>264</v>
      </c>
      <c r="CC290" t="s">
        <v>243</v>
      </c>
      <c r="CD290" t="s">
        <v>226</v>
      </c>
      <c r="CE290" t="s">
        <v>236</v>
      </c>
      <c r="EA290" t="s">
        <v>226</v>
      </c>
      <c r="EB290" t="s">
        <v>244</v>
      </c>
      <c r="EC290" t="s">
        <v>226</v>
      </c>
      <c r="ED290" t="s">
        <v>244</v>
      </c>
      <c r="EE290" t="s">
        <v>226</v>
      </c>
      <c r="EF290" t="s">
        <v>245</v>
      </c>
      <c r="EG290" t="s">
        <v>226</v>
      </c>
      <c r="EH290" t="s">
        <v>244</v>
      </c>
      <c r="EI290" t="s">
        <v>226</v>
      </c>
      <c r="EJ290" t="s">
        <v>244</v>
      </c>
      <c r="EK290" t="s">
        <v>236</v>
      </c>
      <c r="EM290" t="s">
        <v>226</v>
      </c>
      <c r="EN290" t="s">
        <v>244</v>
      </c>
      <c r="EO290" t="s">
        <v>226</v>
      </c>
      <c r="EP290" t="s">
        <v>244</v>
      </c>
      <c r="EQ290" t="s">
        <v>236</v>
      </c>
      <c r="ES290" t="s">
        <v>226</v>
      </c>
      <c r="ET290" t="s">
        <v>245</v>
      </c>
      <c r="EU290" t="s">
        <v>236</v>
      </c>
      <c r="EW290" t="s">
        <v>236</v>
      </c>
      <c r="EY290" t="s">
        <v>236</v>
      </c>
      <c r="FA290" t="s">
        <v>226</v>
      </c>
      <c r="FB290" t="s">
        <v>244</v>
      </c>
      <c r="FC290" t="s">
        <v>236</v>
      </c>
      <c r="FE290" t="s">
        <v>236</v>
      </c>
      <c r="FG290" t="s">
        <v>236</v>
      </c>
      <c r="FJ290" t="s">
        <v>226</v>
      </c>
      <c r="FK290" t="s">
        <v>245</v>
      </c>
      <c r="FL290" t="s">
        <v>226</v>
      </c>
      <c r="FM290" t="s">
        <v>236</v>
      </c>
      <c r="FW290" t="s">
        <v>226</v>
      </c>
      <c r="FX290" t="s">
        <v>236</v>
      </c>
      <c r="FZ290" t="s">
        <v>226</v>
      </c>
      <c r="GA290" t="s">
        <v>236</v>
      </c>
      <c r="GC290" t="s">
        <v>236</v>
      </c>
      <c r="GF290" t="s">
        <v>226</v>
      </c>
      <c r="GG290" t="s">
        <v>236</v>
      </c>
      <c r="GI290" t="s">
        <v>226</v>
      </c>
      <c r="GJ290" t="s">
        <v>236</v>
      </c>
      <c r="GL290" t="s">
        <v>226</v>
      </c>
      <c r="GM290" t="s">
        <v>226</v>
      </c>
      <c r="GN290" t="s">
        <v>267</v>
      </c>
      <c r="GO290" t="s">
        <v>226</v>
      </c>
      <c r="GP290" t="s">
        <v>236</v>
      </c>
      <c r="GR290" t="s">
        <v>226</v>
      </c>
      <c r="GS290" t="s">
        <v>226</v>
      </c>
      <c r="GT290" t="s">
        <v>266</v>
      </c>
      <c r="GU290" t="s">
        <v>226</v>
      </c>
      <c r="GV290" t="s">
        <v>236</v>
      </c>
      <c r="GX290" t="s">
        <v>236</v>
      </c>
      <c r="HB290" t="s">
        <v>1691</v>
      </c>
      <c r="HE290">
        <v>82994268</v>
      </c>
      <c r="HF290" t="s">
        <v>1692</v>
      </c>
      <c r="HG290" s="2">
        <v>45754.116215277783</v>
      </c>
      <c r="HJ290" t="s">
        <v>248</v>
      </c>
      <c r="HL290" t="s">
        <v>249</v>
      </c>
      <c r="HN290">
        <v>289</v>
      </c>
    </row>
    <row r="291" spans="1:222" x14ac:dyDescent="0.25">
      <c r="A291" s="2">
        <v>45753.907874155091</v>
      </c>
      <c r="B291" s="2">
        <v>45753.911801805552</v>
      </c>
      <c r="C291" t="s">
        <v>375</v>
      </c>
      <c r="D291">
        <v>353</v>
      </c>
      <c r="E291" s="2">
        <v>45730</v>
      </c>
      <c r="F291">
        <v>2</v>
      </c>
      <c r="G291" t="s">
        <v>290</v>
      </c>
      <c r="H291" t="s">
        <v>391</v>
      </c>
      <c r="I291">
        <v>70</v>
      </c>
      <c r="J291" t="str">
        <f t="shared" si="4"/>
        <v>de 56 a más</v>
      </c>
      <c r="K291" t="s">
        <v>224</v>
      </c>
      <c r="L291">
        <v>3</v>
      </c>
      <c r="M291">
        <v>0</v>
      </c>
      <c r="N291">
        <v>0</v>
      </c>
      <c r="O291">
        <v>0</v>
      </c>
      <c r="P291">
        <v>0</v>
      </c>
      <c r="Q291" t="s">
        <v>225</v>
      </c>
      <c r="R291" t="s">
        <v>226</v>
      </c>
      <c r="T291" t="s">
        <v>227</v>
      </c>
      <c r="V291" t="s">
        <v>252</v>
      </c>
      <c r="W291" t="s">
        <v>229</v>
      </c>
      <c r="X291" t="s">
        <v>368</v>
      </c>
      <c r="Z291" t="s">
        <v>231</v>
      </c>
      <c r="AA291" t="s">
        <v>232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I291" t="s">
        <v>233</v>
      </c>
      <c r="AJ291">
        <v>0</v>
      </c>
      <c r="AK291">
        <v>1</v>
      </c>
      <c r="AL291">
        <v>0</v>
      </c>
      <c r="AM291">
        <v>0</v>
      </c>
      <c r="AN291" t="s">
        <v>300</v>
      </c>
      <c r="AO291" t="s">
        <v>235</v>
      </c>
      <c r="AP291">
        <v>0</v>
      </c>
      <c r="AQ291">
        <v>0</v>
      </c>
      <c r="AR291">
        <v>0</v>
      </c>
      <c r="AS291">
        <v>1</v>
      </c>
      <c r="AT291">
        <v>0</v>
      </c>
      <c r="AU291">
        <v>0</v>
      </c>
      <c r="AV291">
        <v>0</v>
      </c>
      <c r="AX291" t="s">
        <v>226</v>
      </c>
      <c r="AY291" t="s">
        <v>226</v>
      </c>
      <c r="AZ291" t="s">
        <v>259</v>
      </c>
      <c r="BA291" t="s">
        <v>1687</v>
      </c>
      <c r="BE291" t="s">
        <v>259</v>
      </c>
      <c r="BF291" t="s">
        <v>237</v>
      </c>
      <c r="BG291" t="s">
        <v>259</v>
      </c>
      <c r="BH291" t="s">
        <v>237</v>
      </c>
      <c r="BI291" t="s">
        <v>237</v>
      </c>
      <c r="BJ291" t="s">
        <v>237</v>
      </c>
      <c r="BK291" t="s">
        <v>259</v>
      </c>
      <c r="BL291" t="s">
        <v>313</v>
      </c>
      <c r="BM291" t="s">
        <v>296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 t="s">
        <v>264</v>
      </c>
      <c r="CB291" t="s">
        <v>243</v>
      </c>
      <c r="CC291" t="s">
        <v>243</v>
      </c>
      <c r="CD291" t="s">
        <v>236</v>
      </c>
      <c r="CE291" t="s">
        <v>236</v>
      </c>
      <c r="EA291" t="s">
        <v>236</v>
      </c>
      <c r="EC291" t="s">
        <v>236</v>
      </c>
      <c r="EE291" t="s">
        <v>226</v>
      </c>
      <c r="EF291" t="s">
        <v>244</v>
      </c>
      <c r="EG291" t="s">
        <v>226</v>
      </c>
      <c r="EH291" t="s">
        <v>244</v>
      </c>
      <c r="EI291" t="s">
        <v>226</v>
      </c>
      <c r="EJ291" t="s">
        <v>244</v>
      </c>
      <c r="EK291" t="s">
        <v>236</v>
      </c>
      <c r="EM291" t="s">
        <v>236</v>
      </c>
      <c r="EO291" t="s">
        <v>236</v>
      </c>
      <c r="EQ291" t="s">
        <v>236</v>
      </c>
      <c r="ES291" t="s">
        <v>236</v>
      </c>
      <c r="EU291" t="s">
        <v>236</v>
      </c>
      <c r="EW291" t="s">
        <v>236</v>
      </c>
      <c r="EY291" t="s">
        <v>226</v>
      </c>
      <c r="EZ291" t="s">
        <v>244</v>
      </c>
      <c r="FA291" t="s">
        <v>226</v>
      </c>
      <c r="FB291" t="s">
        <v>244</v>
      </c>
      <c r="FC291" t="s">
        <v>226</v>
      </c>
      <c r="FD291" t="s">
        <v>244</v>
      </c>
      <c r="FE291" t="s">
        <v>236</v>
      </c>
      <c r="FG291" t="s">
        <v>236</v>
      </c>
      <c r="FJ291" t="s">
        <v>236</v>
      </c>
      <c r="FM291" t="s">
        <v>236</v>
      </c>
      <c r="FW291" t="s">
        <v>236</v>
      </c>
      <c r="FZ291" t="s">
        <v>236</v>
      </c>
      <c r="GC291" t="s">
        <v>236</v>
      </c>
      <c r="GF291" t="s">
        <v>226</v>
      </c>
      <c r="GG291" t="s">
        <v>226</v>
      </c>
      <c r="GH291" t="s">
        <v>267</v>
      </c>
      <c r="GI291" t="s">
        <v>236</v>
      </c>
      <c r="GL291" t="s">
        <v>236</v>
      </c>
      <c r="GO291" t="s">
        <v>226</v>
      </c>
      <c r="GP291" t="s">
        <v>236</v>
      </c>
      <c r="GR291" t="s">
        <v>226</v>
      </c>
      <c r="GS291" t="s">
        <v>236</v>
      </c>
      <c r="GU291" t="s">
        <v>236</v>
      </c>
      <c r="GX291" t="s">
        <v>236</v>
      </c>
      <c r="HB291" t="s">
        <v>1688</v>
      </c>
      <c r="HE291">
        <v>82994424</v>
      </c>
      <c r="HF291" t="s">
        <v>1689</v>
      </c>
      <c r="HG291" s="2">
        <v>45754.120138888888</v>
      </c>
      <c r="HJ291" t="s">
        <v>248</v>
      </c>
      <c r="HL291" t="s">
        <v>249</v>
      </c>
      <c r="HN291">
        <v>290</v>
      </c>
    </row>
    <row r="292" spans="1:222" x14ac:dyDescent="0.25">
      <c r="A292" s="2">
        <v>45753.911802557872</v>
      </c>
      <c r="B292" s="2">
        <v>45753.916155578707</v>
      </c>
      <c r="C292" t="s">
        <v>375</v>
      </c>
      <c r="D292">
        <v>352</v>
      </c>
      <c r="E292" s="2">
        <v>45730</v>
      </c>
      <c r="F292">
        <v>2</v>
      </c>
      <c r="G292" t="s">
        <v>419</v>
      </c>
      <c r="H292" t="s">
        <v>391</v>
      </c>
      <c r="I292">
        <v>19</v>
      </c>
      <c r="J292" t="str">
        <f t="shared" si="4"/>
        <v>de 18 a 25 años</v>
      </c>
      <c r="K292" t="s">
        <v>224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225</v>
      </c>
      <c r="R292" t="s">
        <v>226</v>
      </c>
      <c r="T292" t="s">
        <v>227</v>
      </c>
      <c r="V292" t="s">
        <v>228</v>
      </c>
      <c r="W292" t="s">
        <v>292</v>
      </c>
      <c r="X292" t="s">
        <v>253</v>
      </c>
      <c r="Z292" t="s">
        <v>351</v>
      </c>
      <c r="AA292" t="s">
        <v>352</v>
      </c>
      <c r="AB292">
        <v>1</v>
      </c>
      <c r="AC292">
        <v>0</v>
      </c>
      <c r="AD292">
        <v>0</v>
      </c>
      <c r="AE292">
        <v>0</v>
      </c>
      <c r="AF292">
        <v>1</v>
      </c>
      <c r="AG292">
        <v>0</v>
      </c>
      <c r="AI292" t="s">
        <v>233</v>
      </c>
      <c r="AJ292">
        <v>0</v>
      </c>
      <c r="AK292">
        <v>1</v>
      </c>
      <c r="AL292">
        <v>0</v>
      </c>
      <c r="AM292">
        <v>0</v>
      </c>
      <c r="AN292" t="s">
        <v>300</v>
      </c>
      <c r="AO292" t="s">
        <v>454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1</v>
      </c>
      <c r="AV292">
        <v>0</v>
      </c>
      <c r="AX292" t="s">
        <v>226</v>
      </c>
      <c r="AY292" t="s">
        <v>226</v>
      </c>
      <c r="AZ292" t="s">
        <v>259</v>
      </c>
      <c r="BA292" t="s">
        <v>1681</v>
      </c>
      <c r="BB292" t="s">
        <v>1682</v>
      </c>
      <c r="BE292" t="s">
        <v>259</v>
      </c>
      <c r="BF292" t="s">
        <v>259</v>
      </c>
      <c r="BG292" t="s">
        <v>237</v>
      </c>
      <c r="BH292" t="s">
        <v>237</v>
      </c>
      <c r="BI292" t="s">
        <v>237</v>
      </c>
      <c r="BJ292" t="s">
        <v>259</v>
      </c>
      <c r="BK292" t="s">
        <v>261</v>
      </c>
      <c r="BL292" t="s">
        <v>262</v>
      </c>
      <c r="BM292" t="s">
        <v>1683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1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 t="s">
        <v>264</v>
      </c>
      <c r="CB292" t="s">
        <v>243</v>
      </c>
      <c r="CC292" t="s">
        <v>264</v>
      </c>
      <c r="CD292" t="s">
        <v>226</v>
      </c>
      <c r="CE292" t="s">
        <v>236</v>
      </c>
      <c r="EA292" t="s">
        <v>236</v>
      </c>
      <c r="EC292" t="s">
        <v>236</v>
      </c>
      <c r="EE292" t="s">
        <v>226</v>
      </c>
      <c r="EF292" t="s">
        <v>244</v>
      </c>
      <c r="EG292" t="s">
        <v>226</v>
      </c>
      <c r="EH292" t="s">
        <v>265</v>
      </c>
      <c r="EI292" t="s">
        <v>236</v>
      </c>
      <c r="EK292" t="s">
        <v>236</v>
      </c>
      <c r="EM292" t="s">
        <v>226</v>
      </c>
      <c r="EN292" t="s">
        <v>244</v>
      </c>
      <c r="EO292" t="s">
        <v>236</v>
      </c>
      <c r="EQ292" t="s">
        <v>236</v>
      </c>
      <c r="ES292" t="s">
        <v>236</v>
      </c>
      <c r="EU292" t="s">
        <v>236</v>
      </c>
      <c r="EW292" t="s">
        <v>236</v>
      </c>
      <c r="EY292" t="s">
        <v>226</v>
      </c>
      <c r="EZ292" t="s">
        <v>245</v>
      </c>
      <c r="FA292" t="s">
        <v>226</v>
      </c>
      <c r="FB292" t="s">
        <v>245</v>
      </c>
      <c r="FC292" t="s">
        <v>236</v>
      </c>
      <c r="FE292" t="s">
        <v>236</v>
      </c>
      <c r="FG292" t="s">
        <v>236</v>
      </c>
      <c r="FJ292" t="s">
        <v>226</v>
      </c>
      <c r="FK292" t="s">
        <v>265</v>
      </c>
      <c r="FL292" t="s">
        <v>226</v>
      </c>
      <c r="FM292" t="s">
        <v>236</v>
      </c>
      <c r="FW292" t="s">
        <v>226</v>
      </c>
      <c r="FX292" t="s">
        <v>236</v>
      </c>
      <c r="FZ292" t="s">
        <v>236</v>
      </c>
      <c r="GC292" t="s">
        <v>236</v>
      </c>
      <c r="GF292" t="s">
        <v>226</v>
      </c>
      <c r="GG292" t="s">
        <v>236</v>
      </c>
      <c r="GI292" t="s">
        <v>236</v>
      </c>
      <c r="GL292" t="s">
        <v>226</v>
      </c>
      <c r="GM292" t="s">
        <v>236</v>
      </c>
      <c r="GO292" t="s">
        <v>226</v>
      </c>
      <c r="GP292" t="s">
        <v>236</v>
      </c>
      <c r="GR292" t="s">
        <v>226</v>
      </c>
      <c r="GS292" t="s">
        <v>236</v>
      </c>
      <c r="GU292" t="s">
        <v>236</v>
      </c>
      <c r="GX292" t="s">
        <v>236</v>
      </c>
      <c r="HB292" t="s">
        <v>1684</v>
      </c>
      <c r="HC292" t="s">
        <v>1685</v>
      </c>
      <c r="HE292">
        <v>82994625</v>
      </c>
      <c r="HF292" t="s">
        <v>1686</v>
      </c>
      <c r="HG292" s="2">
        <v>45754.124502314808</v>
      </c>
      <c r="HJ292" t="s">
        <v>248</v>
      </c>
      <c r="HL292" t="s">
        <v>249</v>
      </c>
      <c r="HN292">
        <v>291</v>
      </c>
    </row>
    <row r="293" spans="1:222" x14ac:dyDescent="0.25">
      <c r="A293" s="2">
        <v>45753.916156377323</v>
      </c>
      <c r="B293" s="2">
        <v>45753.91898559028</v>
      </c>
      <c r="C293" t="s">
        <v>375</v>
      </c>
      <c r="D293">
        <v>351</v>
      </c>
      <c r="E293" s="2">
        <v>45730</v>
      </c>
      <c r="F293">
        <v>2</v>
      </c>
      <c r="G293" t="s">
        <v>419</v>
      </c>
      <c r="H293" t="s">
        <v>391</v>
      </c>
      <c r="I293">
        <v>24</v>
      </c>
      <c r="J293" t="str">
        <f t="shared" si="4"/>
        <v>de 18 a 25 años</v>
      </c>
      <c r="K293" t="s">
        <v>251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291</v>
      </c>
      <c r="R293" t="s">
        <v>226</v>
      </c>
      <c r="T293" t="s">
        <v>392</v>
      </c>
      <c r="V293" t="s">
        <v>228</v>
      </c>
      <c r="W293" t="s">
        <v>229</v>
      </c>
      <c r="X293" t="s">
        <v>253</v>
      </c>
      <c r="Z293" t="s">
        <v>351</v>
      </c>
      <c r="AA293" t="s">
        <v>293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0</v>
      </c>
      <c r="AI293" t="s">
        <v>256</v>
      </c>
      <c r="AJ293">
        <v>0</v>
      </c>
      <c r="AK293">
        <v>0</v>
      </c>
      <c r="AL293">
        <v>1</v>
      </c>
      <c r="AM293">
        <v>0</v>
      </c>
      <c r="AN293" t="s">
        <v>300</v>
      </c>
      <c r="AO293" t="s">
        <v>235</v>
      </c>
      <c r="AP293">
        <v>0</v>
      </c>
      <c r="AQ293">
        <v>0</v>
      </c>
      <c r="AR293">
        <v>0</v>
      </c>
      <c r="AS293">
        <v>1</v>
      </c>
      <c r="AT293">
        <v>0</v>
      </c>
      <c r="AU293">
        <v>0</v>
      </c>
      <c r="AV293">
        <v>0</v>
      </c>
      <c r="AX293" t="s">
        <v>236</v>
      </c>
      <c r="AZ293" t="s">
        <v>237</v>
      </c>
      <c r="BA293" t="s">
        <v>1678</v>
      </c>
      <c r="BE293" t="s">
        <v>259</v>
      </c>
      <c r="BF293" t="s">
        <v>237</v>
      </c>
      <c r="BG293" t="s">
        <v>237</v>
      </c>
      <c r="BH293" t="s">
        <v>237</v>
      </c>
      <c r="BI293" t="s">
        <v>237</v>
      </c>
      <c r="BJ293" t="s">
        <v>237</v>
      </c>
      <c r="BK293" t="s">
        <v>239</v>
      </c>
      <c r="BL293" t="s">
        <v>262</v>
      </c>
      <c r="BM293" t="s">
        <v>415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 t="s">
        <v>264</v>
      </c>
      <c r="CB293" t="s">
        <v>264</v>
      </c>
      <c r="CC293" t="s">
        <v>264</v>
      </c>
      <c r="CD293" t="s">
        <v>236</v>
      </c>
      <c r="CE293" t="s">
        <v>236</v>
      </c>
      <c r="EA293" t="s">
        <v>236</v>
      </c>
      <c r="EC293" t="s">
        <v>236</v>
      </c>
      <c r="EE293" t="s">
        <v>226</v>
      </c>
      <c r="EF293" t="s">
        <v>244</v>
      </c>
      <c r="EG293" t="s">
        <v>226</v>
      </c>
      <c r="EH293" t="s">
        <v>265</v>
      </c>
      <c r="EI293" t="s">
        <v>236</v>
      </c>
      <c r="EK293" t="s">
        <v>236</v>
      </c>
      <c r="EM293" t="s">
        <v>226</v>
      </c>
      <c r="EN293" t="s">
        <v>244</v>
      </c>
      <c r="EO293" t="s">
        <v>226</v>
      </c>
      <c r="EP293" t="s">
        <v>244</v>
      </c>
      <c r="EQ293" t="s">
        <v>236</v>
      </c>
      <c r="ES293" t="s">
        <v>236</v>
      </c>
      <c r="EU293" t="s">
        <v>236</v>
      </c>
      <c r="EW293" t="s">
        <v>236</v>
      </c>
      <c r="EY293" t="s">
        <v>236</v>
      </c>
      <c r="FA293" t="s">
        <v>226</v>
      </c>
      <c r="FB293" t="s">
        <v>265</v>
      </c>
      <c r="FC293" t="s">
        <v>236</v>
      </c>
      <c r="FE293" t="s">
        <v>236</v>
      </c>
      <c r="FG293" t="s">
        <v>236</v>
      </c>
      <c r="FJ293" t="s">
        <v>226</v>
      </c>
      <c r="FK293" t="s">
        <v>265</v>
      </c>
      <c r="FL293" t="s">
        <v>236</v>
      </c>
      <c r="FM293" t="s">
        <v>236</v>
      </c>
      <c r="FW293" t="s">
        <v>226</v>
      </c>
      <c r="FX293" t="s">
        <v>236</v>
      </c>
      <c r="FZ293" t="s">
        <v>236</v>
      </c>
      <c r="GC293" t="s">
        <v>236</v>
      </c>
      <c r="GF293" t="s">
        <v>236</v>
      </c>
      <c r="GI293" t="s">
        <v>236</v>
      </c>
      <c r="GL293" t="s">
        <v>226</v>
      </c>
      <c r="GM293" t="s">
        <v>236</v>
      </c>
      <c r="GO293" t="s">
        <v>236</v>
      </c>
      <c r="GR293" t="s">
        <v>226</v>
      </c>
      <c r="GS293" t="s">
        <v>226</v>
      </c>
      <c r="GT293" t="s">
        <v>266</v>
      </c>
      <c r="GU293" t="s">
        <v>236</v>
      </c>
      <c r="GX293" t="s">
        <v>236</v>
      </c>
      <c r="HB293" t="s">
        <v>1679</v>
      </c>
      <c r="HE293">
        <v>82994745</v>
      </c>
      <c r="HF293" t="s">
        <v>1680</v>
      </c>
      <c r="HG293" s="2">
        <v>45754.127326388887</v>
      </c>
      <c r="HJ293" t="s">
        <v>248</v>
      </c>
      <c r="HL293" t="s">
        <v>249</v>
      </c>
      <c r="HN293">
        <v>292</v>
      </c>
    </row>
    <row r="294" spans="1:222" x14ac:dyDescent="0.25">
      <c r="A294" s="2">
        <v>45753.918986307872</v>
      </c>
      <c r="B294" s="2">
        <v>45753.9223093287</v>
      </c>
      <c r="C294" t="s">
        <v>375</v>
      </c>
      <c r="D294">
        <v>350</v>
      </c>
      <c r="E294" s="2">
        <v>45731</v>
      </c>
      <c r="F294">
        <v>2</v>
      </c>
      <c r="G294" t="s">
        <v>271</v>
      </c>
      <c r="H294" t="s">
        <v>391</v>
      </c>
      <c r="I294">
        <v>18</v>
      </c>
      <c r="J294" t="str">
        <f t="shared" si="4"/>
        <v>de 18 a 25 años</v>
      </c>
      <c r="K294" t="s">
        <v>224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291</v>
      </c>
      <c r="R294" t="s">
        <v>226</v>
      </c>
      <c r="T294" t="s">
        <v>227</v>
      </c>
      <c r="V294" t="s">
        <v>252</v>
      </c>
      <c r="W294" t="s">
        <v>229</v>
      </c>
      <c r="X294" t="s">
        <v>253</v>
      </c>
      <c r="Z294" t="s">
        <v>254</v>
      </c>
      <c r="AA294" t="s">
        <v>232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0</v>
      </c>
      <c r="AI294" t="s">
        <v>256</v>
      </c>
      <c r="AJ294">
        <v>0</v>
      </c>
      <c r="AK294">
        <v>0</v>
      </c>
      <c r="AL294">
        <v>1</v>
      </c>
      <c r="AM294">
        <v>0</v>
      </c>
      <c r="AN294" t="s">
        <v>300</v>
      </c>
      <c r="AO294" t="s">
        <v>294</v>
      </c>
      <c r="AP294">
        <v>1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X294" t="s">
        <v>226</v>
      </c>
      <c r="AY294" t="s">
        <v>226</v>
      </c>
      <c r="AZ294" t="s">
        <v>237</v>
      </c>
      <c r="BA294" t="s">
        <v>1676</v>
      </c>
      <c r="BB294" t="s">
        <v>618</v>
      </c>
      <c r="BE294" t="s">
        <v>259</v>
      </c>
      <c r="BF294" t="s">
        <v>259</v>
      </c>
      <c r="BG294" t="s">
        <v>259</v>
      </c>
      <c r="BH294" t="s">
        <v>237</v>
      </c>
      <c r="BI294" t="s">
        <v>237</v>
      </c>
      <c r="BJ294" t="s">
        <v>237</v>
      </c>
      <c r="BK294" t="s">
        <v>259</v>
      </c>
      <c r="BL294" t="s">
        <v>262</v>
      </c>
      <c r="BM294" t="s">
        <v>733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 t="s">
        <v>242</v>
      </c>
      <c r="CB294" t="s">
        <v>242</v>
      </c>
      <c r="CC294" t="s">
        <v>328</v>
      </c>
      <c r="CD294" t="s">
        <v>226</v>
      </c>
      <c r="CE294" t="s">
        <v>236</v>
      </c>
      <c r="EA294" t="s">
        <v>226</v>
      </c>
      <c r="EB294" t="s">
        <v>244</v>
      </c>
      <c r="EC294" t="s">
        <v>236</v>
      </c>
      <c r="EE294" t="s">
        <v>226</v>
      </c>
      <c r="EF294" t="s">
        <v>244</v>
      </c>
      <c r="EG294" t="s">
        <v>226</v>
      </c>
      <c r="EH294" t="s">
        <v>244</v>
      </c>
      <c r="EI294" t="s">
        <v>226</v>
      </c>
      <c r="EJ294" t="s">
        <v>244</v>
      </c>
      <c r="EK294" t="s">
        <v>226</v>
      </c>
      <c r="EL294" t="s">
        <v>245</v>
      </c>
      <c r="EM294" t="s">
        <v>308</v>
      </c>
      <c r="EO294" t="s">
        <v>226</v>
      </c>
      <c r="EP294" t="s">
        <v>265</v>
      </c>
      <c r="EQ294" t="s">
        <v>226</v>
      </c>
      <c r="ER294" t="s">
        <v>244</v>
      </c>
      <c r="ES294" t="s">
        <v>226</v>
      </c>
      <c r="ET294" t="s">
        <v>244</v>
      </c>
      <c r="EU294" t="s">
        <v>236</v>
      </c>
      <c r="EW294" t="s">
        <v>236</v>
      </c>
      <c r="EY294" t="s">
        <v>226</v>
      </c>
      <c r="EZ294" t="s">
        <v>244</v>
      </c>
      <c r="FA294" t="s">
        <v>226</v>
      </c>
      <c r="FB294" t="s">
        <v>245</v>
      </c>
      <c r="FC294" t="s">
        <v>308</v>
      </c>
      <c r="FE294" t="s">
        <v>226</v>
      </c>
      <c r="FF294" t="s">
        <v>245</v>
      </c>
      <c r="FG294" t="s">
        <v>236</v>
      </c>
      <c r="FJ294" t="s">
        <v>226</v>
      </c>
      <c r="FK294" t="s">
        <v>245</v>
      </c>
      <c r="FL294" t="s">
        <v>236</v>
      </c>
      <c r="FM294" t="s">
        <v>226</v>
      </c>
      <c r="FN294" t="s">
        <v>416</v>
      </c>
      <c r="FO294">
        <v>0</v>
      </c>
      <c r="FP294">
        <v>1</v>
      </c>
      <c r="FQ294">
        <v>0</v>
      </c>
      <c r="FR294">
        <v>0</v>
      </c>
      <c r="FS294">
        <v>0</v>
      </c>
      <c r="FU294" t="s">
        <v>236</v>
      </c>
      <c r="FW294" t="s">
        <v>226</v>
      </c>
      <c r="FX294" t="s">
        <v>226</v>
      </c>
      <c r="FY294" t="s">
        <v>266</v>
      </c>
      <c r="FZ294" t="s">
        <v>226</v>
      </c>
      <c r="GA294" t="s">
        <v>226</v>
      </c>
      <c r="GB294" t="s">
        <v>266</v>
      </c>
      <c r="GC294" t="s">
        <v>236</v>
      </c>
      <c r="GF294" t="s">
        <v>226</v>
      </c>
      <c r="GG294" t="s">
        <v>226</v>
      </c>
      <c r="GH294" t="s">
        <v>266</v>
      </c>
      <c r="GI294" t="s">
        <v>226</v>
      </c>
      <c r="GJ294" t="s">
        <v>236</v>
      </c>
      <c r="GL294" t="s">
        <v>226</v>
      </c>
      <c r="GM294" t="s">
        <v>236</v>
      </c>
      <c r="GO294" t="s">
        <v>226</v>
      </c>
      <c r="GP294" t="s">
        <v>236</v>
      </c>
      <c r="GR294" t="s">
        <v>226</v>
      </c>
      <c r="GS294" t="s">
        <v>236</v>
      </c>
      <c r="GU294" t="s">
        <v>226</v>
      </c>
      <c r="GV294" t="s">
        <v>236</v>
      </c>
      <c r="GX294" t="s">
        <v>236</v>
      </c>
      <c r="HB294" t="s">
        <v>280</v>
      </c>
      <c r="HC294" t="s">
        <v>279</v>
      </c>
      <c r="HE294">
        <v>82994954</v>
      </c>
      <c r="HF294" t="s">
        <v>1677</v>
      </c>
      <c r="HG294" s="2">
        <v>45754.130648148152</v>
      </c>
      <c r="HJ294" t="s">
        <v>248</v>
      </c>
      <c r="HL294" t="s">
        <v>249</v>
      </c>
      <c r="HN294">
        <v>293</v>
      </c>
    </row>
    <row r="295" spans="1:222" x14ac:dyDescent="0.25">
      <c r="A295" s="2">
        <v>45753.92231008102</v>
      </c>
      <c r="B295" s="2">
        <v>45753.925214675917</v>
      </c>
      <c r="C295" t="s">
        <v>375</v>
      </c>
      <c r="D295">
        <v>349</v>
      </c>
      <c r="E295" s="2">
        <v>45730</v>
      </c>
      <c r="F295">
        <v>2</v>
      </c>
      <c r="G295" t="s">
        <v>419</v>
      </c>
      <c r="H295" t="s">
        <v>391</v>
      </c>
      <c r="I295">
        <v>30</v>
      </c>
      <c r="J295" t="str">
        <f t="shared" si="4"/>
        <v>de 26 a 40 años</v>
      </c>
      <c r="K295" t="s">
        <v>251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291</v>
      </c>
      <c r="R295" t="s">
        <v>226</v>
      </c>
      <c r="T295" t="s">
        <v>227</v>
      </c>
      <c r="V295" t="s">
        <v>228</v>
      </c>
      <c r="W295" t="s">
        <v>292</v>
      </c>
      <c r="X295" t="s">
        <v>253</v>
      </c>
      <c r="Z295" t="s">
        <v>231</v>
      </c>
      <c r="AA295" t="s">
        <v>232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0</v>
      </c>
      <c r="AI295" t="s">
        <v>256</v>
      </c>
      <c r="AJ295">
        <v>0</v>
      </c>
      <c r="AK295">
        <v>0</v>
      </c>
      <c r="AL295">
        <v>1</v>
      </c>
      <c r="AM295">
        <v>0</v>
      </c>
      <c r="AN295" t="s">
        <v>300</v>
      </c>
      <c r="AO295" t="s">
        <v>369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1</v>
      </c>
      <c r="AW295" t="s">
        <v>1250</v>
      </c>
      <c r="AX295" t="s">
        <v>226</v>
      </c>
      <c r="AY295" t="s">
        <v>226</v>
      </c>
      <c r="AZ295" t="s">
        <v>237</v>
      </c>
      <c r="BA295" t="s">
        <v>1673</v>
      </c>
      <c r="BE295" t="s">
        <v>259</v>
      </c>
      <c r="BF295" t="s">
        <v>237</v>
      </c>
      <c r="BG295" t="s">
        <v>259</v>
      </c>
      <c r="BH295" t="s">
        <v>237</v>
      </c>
      <c r="BI295" t="s">
        <v>237</v>
      </c>
      <c r="BJ295" t="s">
        <v>259</v>
      </c>
      <c r="BK295" t="s">
        <v>261</v>
      </c>
      <c r="BL295" t="s">
        <v>313</v>
      </c>
      <c r="BM295" t="s">
        <v>372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1</v>
      </c>
      <c r="CA295" t="s">
        <v>264</v>
      </c>
      <c r="CB295" t="s">
        <v>264</v>
      </c>
      <c r="CC295" t="s">
        <v>264</v>
      </c>
      <c r="CD295" t="s">
        <v>236</v>
      </c>
      <c r="CE295" t="s">
        <v>236</v>
      </c>
      <c r="EA295" t="s">
        <v>236</v>
      </c>
      <c r="EC295" t="s">
        <v>236</v>
      </c>
      <c r="EE295" t="s">
        <v>236</v>
      </c>
      <c r="EG295" t="s">
        <v>236</v>
      </c>
      <c r="EI295" t="s">
        <v>236</v>
      </c>
      <c r="EK295" t="s">
        <v>236</v>
      </c>
      <c r="EM295" t="s">
        <v>226</v>
      </c>
      <c r="EN295" t="s">
        <v>244</v>
      </c>
      <c r="EO295" t="s">
        <v>236</v>
      </c>
      <c r="EQ295" t="s">
        <v>236</v>
      </c>
      <c r="ES295" t="s">
        <v>236</v>
      </c>
      <c r="EU295" t="s">
        <v>236</v>
      </c>
      <c r="EW295" t="s">
        <v>236</v>
      </c>
      <c r="EY295" t="s">
        <v>236</v>
      </c>
      <c r="FA295" t="s">
        <v>236</v>
      </c>
      <c r="FC295" t="s">
        <v>236</v>
      </c>
      <c r="FE295" t="s">
        <v>236</v>
      </c>
      <c r="FG295" t="s">
        <v>236</v>
      </c>
      <c r="FJ295" t="s">
        <v>226</v>
      </c>
      <c r="FK295" t="s">
        <v>245</v>
      </c>
      <c r="FL295" t="s">
        <v>236</v>
      </c>
      <c r="FM295" t="s">
        <v>236</v>
      </c>
      <c r="FW295" t="s">
        <v>236</v>
      </c>
      <c r="FZ295" t="s">
        <v>236</v>
      </c>
      <c r="GC295" t="s">
        <v>236</v>
      </c>
      <c r="GF295" t="s">
        <v>236</v>
      </c>
      <c r="GI295" t="s">
        <v>236</v>
      </c>
      <c r="GL295" t="s">
        <v>236</v>
      </c>
      <c r="GO295" t="s">
        <v>226</v>
      </c>
      <c r="GP295" t="s">
        <v>226</v>
      </c>
      <c r="GQ295" t="s">
        <v>267</v>
      </c>
      <c r="GR295" t="s">
        <v>226</v>
      </c>
      <c r="GS295" t="s">
        <v>236</v>
      </c>
      <c r="GU295" t="s">
        <v>236</v>
      </c>
      <c r="GX295" t="s">
        <v>236</v>
      </c>
      <c r="HB295" t="s">
        <v>1674</v>
      </c>
      <c r="HE295">
        <v>82995204</v>
      </c>
      <c r="HF295" t="s">
        <v>1675</v>
      </c>
      <c r="HG295" s="2">
        <v>45754.133553240739</v>
      </c>
      <c r="HJ295" t="s">
        <v>248</v>
      </c>
      <c r="HL295" t="s">
        <v>249</v>
      </c>
      <c r="HN295">
        <v>294</v>
      </c>
    </row>
    <row r="296" spans="1:222" x14ac:dyDescent="0.25">
      <c r="A296" s="2">
        <v>45753.925215347219</v>
      </c>
      <c r="B296" s="2">
        <v>45753.92867645833</v>
      </c>
      <c r="C296" t="s">
        <v>375</v>
      </c>
      <c r="D296">
        <v>348</v>
      </c>
      <c r="E296" s="2">
        <v>45730</v>
      </c>
      <c r="F296">
        <v>2</v>
      </c>
      <c r="G296" t="s">
        <v>419</v>
      </c>
      <c r="H296" t="s">
        <v>391</v>
      </c>
      <c r="I296">
        <v>22</v>
      </c>
      <c r="J296" t="str">
        <f t="shared" si="4"/>
        <v>de 18 a 25 años</v>
      </c>
      <c r="K296" t="s">
        <v>251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291</v>
      </c>
      <c r="R296" t="s">
        <v>226</v>
      </c>
      <c r="T296" t="s">
        <v>227</v>
      </c>
      <c r="V296" t="s">
        <v>228</v>
      </c>
      <c r="W296" t="s">
        <v>292</v>
      </c>
      <c r="X296" t="s">
        <v>253</v>
      </c>
      <c r="Z296" t="s">
        <v>308</v>
      </c>
      <c r="AA296" t="s">
        <v>232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0</v>
      </c>
      <c r="AI296" t="s">
        <v>233</v>
      </c>
      <c r="AJ296">
        <v>0</v>
      </c>
      <c r="AK296">
        <v>1</v>
      </c>
      <c r="AL296">
        <v>0</v>
      </c>
      <c r="AM296">
        <v>0</v>
      </c>
      <c r="AN296" t="s">
        <v>234</v>
      </c>
      <c r="AO296" t="s">
        <v>859</v>
      </c>
      <c r="AP296">
        <v>0</v>
      </c>
      <c r="AQ296">
        <v>0</v>
      </c>
      <c r="AR296">
        <v>1</v>
      </c>
      <c r="AS296">
        <v>1</v>
      </c>
      <c r="AT296">
        <v>0</v>
      </c>
      <c r="AU296">
        <v>1</v>
      </c>
      <c r="AV296">
        <v>0</v>
      </c>
      <c r="AX296" t="s">
        <v>236</v>
      </c>
      <c r="AZ296" t="s">
        <v>259</v>
      </c>
      <c r="BA296" t="s">
        <v>712</v>
      </c>
      <c r="BB296" t="s">
        <v>1666</v>
      </c>
      <c r="BC296" t="s">
        <v>1667</v>
      </c>
      <c r="BE296" t="s">
        <v>259</v>
      </c>
      <c r="BF296" t="s">
        <v>259</v>
      </c>
      <c r="BG296" t="s">
        <v>237</v>
      </c>
      <c r="BH296" t="s">
        <v>237</v>
      </c>
      <c r="BI296" t="s">
        <v>237</v>
      </c>
      <c r="BJ296" t="s">
        <v>237</v>
      </c>
      <c r="BK296" t="s">
        <v>261</v>
      </c>
      <c r="BL296" t="s">
        <v>313</v>
      </c>
      <c r="BM296" t="s">
        <v>296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 t="s">
        <v>243</v>
      </c>
      <c r="CB296" t="s">
        <v>243</v>
      </c>
      <c r="CC296" t="s">
        <v>264</v>
      </c>
      <c r="CD296" t="s">
        <v>226</v>
      </c>
      <c r="CE296" t="s">
        <v>226</v>
      </c>
      <c r="CF296" t="s">
        <v>1668</v>
      </c>
      <c r="CG296">
        <v>0</v>
      </c>
      <c r="CH296">
        <v>1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T296" t="s">
        <v>236</v>
      </c>
      <c r="DA296" t="s">
        <v>236</v>
      </c>
      <c r="DF296" t="s">
        <v>1669</v>
      </c>
      <c r="DT296" t="s">
        <v>520</v>
      </c>
      <c r="EA296" t="s">
        <v>226</v>
      </c>
      <c r="EB296" t="s">
        <v>245</v>
      </c>
      <c r="EC296" t="s">
        <v>236</v>
      </c>
      <c r="EE296" t="s">
        <v>236</v>
      </c>
      <c r="EG296" t="s">
        <v>226</v>
      </c>
      <c r="EH296" t="s">
        <v>265</v>
      </c>
      <c r="EI296" t="s">
        <v>226</v>
      </c>
      <c r="EJ296" t="s">
        <v>244</v>
      </c>
      <c r="EK296" t="s">
        <v>236</v>
      </c>
      <c r="EM296" t="s">
        <v>226</v>
      </c>
      <c r="EN296" t="s">
        <v>265</v>
      </c>
      <c r="EO296" t="s">
        <v>236</v>
      </c>
      <c r="EQ296" t="s">
        <v>236</v>
      </c>
      <c r="ES296" t="s">
        <v>236</v>
      </c>
      <c r="EU296" t="s">
        <v>236</v>
      </c>
      <c r="EW296" t="s">
        <v>236</v>
      </c>
      <c r="EY296" t="s">
        <v>226</v>
      </c>
      <c r="EZ296" t="s">
        <v>265</v>
      </c>
      <c r="FA296" t="s">
        <v>226</v>
      </c>
      <c r="FB296" t="s">
        <v>265</v>
      </c>
      <c r="FC296" t="s">
        <v>236</v>
      </c>
      <c r="FE296" t="s">
        <v>236</v>
      </c>
      <c r="FG296" t="s">
        <v>236</v>
      </c>
      <c r="FJ296" t="s">
        <v>226</v>
      </c>
      <c r="FK296" t="s">
        <v>265</v>
      </c>
      <c r="FL296" t="s">
        <v>226</v>
      </c>
      <c r="FM296" t="s">
        <v>226</v>
      </c>
      <c r="FN296" t="s">
        <v>967</v>
      </c>
      <c r="FO296">
        <v>1</v>
      </c>
      <c r="FP296">
        <v>0</v>
      </c>
      <c r="FQ296">
        <v>0</v>
      </c>
      <c r="FR296">
        <v>0</v>
      </c>
      <c r="FS296">
        <v>0</v>
      </c>
      <c r="FU296" t="s">
        <v>236</v>
      </c>
      <c r="FW296" t="s">
        <v>226</v>
      </c>
      <c r="FX296" t="s">
        <v>236</v>
      </c>
      <c r="FZ296" t="s">
        <v>226</v>
      </c>
      <c r="GA296" t="s">
        <v>236</v>
      </c>
      <c r="GC296" t="s">
        <v>236</v>
      </c>
      <c r="GF296" t="s">
        <v>226</v>
      </c>
      <c r="GG296" t="s">
        <v>236</v>
      </c>
      <c r="GI296" t="s">
        <v>236</v>
      </c>
      <c r="GL296" t="s">
        <v>226</v>
      </c>
      <c r="GM296" t="s">
        <v>236</v>
      </c>
      <c r="GO296" t="s">
        <v>226</v>
      </c>
      <c r="GP296" t="s">
        <v>236</v>
      </c>
      <c r="GR296" t="s">
        <v>226</v>
      </c>
      <c r="GS296" t="s">
        <v>226</v>
      </c>
      <c r="GT296" t="s">
        <v>266</v>
      </c>
      <c r="GU296" t="s">
        <v>236</v>
      </c>
      <c r="GX296" t="s">
        <v>236</v>
      </c>
      <c r="HB296" t="s">
        <v>1670</v>
      </c>
      <c r="HC296" t="s">
        <v>1671</v>
      </c>
      <c r="HE296">
        <v>82995335</v>
      </c>
      <c r="HF296" t="s">
        <v>1672</v>
      </c>
      <c r="HG296" s="2">
        <v>45754.137013888889</v>
      </c>
      <c r="HJ296" t="s">
        <v>248</v>
      </c>
      <c r="HL296" t="s">
        <v>249</v>
      </c>
      <c r="HN296">
        <v>295</v>
      </c>
    </row>
    <row r="297" spans="1:222" x14ac:dyDescent="0.25">
      <c r="A297" s="2">
        <v>45753.928677303244</v>
      </c>
      <c r="B297" s="2">
        <v>45753.931121076392</v>
      </c>
      <c r="C297" t="s">
        <v>375</v>
      </c>
      <c r="D297">
        <v>347</v>
      </c>
      <c r="E297" s="2">
        <v>45730</v>
      </c>
      <c r="F297">
        <v>2</v>
      </c>
      <c r="G297" t="s">
        <v>290</v>
      </c>
      <c r="H297" t="s">
        <v>391</v>
      </c>
      <c r="I297">
        <v>25</v>
      </c>
      <c r="J297" t="str">
        <f t="shared" si="4"/>
        <v>de 18 a 25 años</v>
      </c>
      <c r="K297" t="s">
        <v>251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291</v>
      </c>
      <c r="R297" t="s">
        <v>226</v>
      </c>
      <c r="T297" t="s">
        <v>227</v>
      </c>
      <c r="V297" t="s">
        <v>228</v>
      </c>
      <c r="W297" t="s">
        <v>229</v>
      </c>
      <c r="X297" t="s">
        <v>230</v>
      </c>
      <c r="Z297" t="s">
        <v>231</v>
      </c>
      <c r="AA297" t="s">
        <v>293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0</v>
      </c>
      <c r="AI297" t="s">
        <v>256</v>
      </c>
      <c r="AJ297">
        <v>0</v>
      </c>
      <c r="AK297">
        <v>0</v>
      </c>
      <c r="AL297">
        <v>1</v>
      </c>
      <c r="AM297">
        <v>0</v>
      </c>
      <c r="AN297" t="s">
        <v>300</v>
      </c>
      <c r="AO297" t="s">
        <v>275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1</v>
      </c>
      <c r="AV297">
        <v>0</v>
      </c>
      <c r="AX297" t="s">
        <v>226</v>
      </c>
      <c r="AY297" t="s">
        <v>226</v>
      </c>
      <c r="AZ297" t="s">
        <v>259</v>
      </c>
      <c r="BA297" t="s">
        <v>388</v>
      </c>
      <c r="BE297" t="s">
        <v>261</v>
      </c>
      <c r="BF297" t="s">
        <v>261</v>
      </c>
      <c r="BG297" t="s">
        <v>239</v>
      </c>
      <c r="BH297" t="s">
        <v>239</v>
      </c>
      <c r="BI297" t="s">
        <v>237</v>
      </c>
      <c r="BJ297" t="s">
        <v>237</v>
      </c>
      <c r="BK297" t="s">
        <v>259</v>
      </c>
      <c r="BL297" t="s">
        <v>313</v>
      </c>
      <c r="BM297" t="s">
        <v>296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 t="s">
        <v>264</v>
      </c>
      <c r="CB297" t="s">
        <v>264</v>
      </c>
      <c r="CC297" t="s">
        <v>242</v>
      </c>
      <c r="CD297" t="s">
        <v>236</v>
      </c>
      <c r="CE297" t="s">
        <v>236</v>
      </c>
      <c r="EA297" t="s">
        <v>226</v>
      </c>
      <c r="EB297" t="s">
        <v>244</v>
      </c>
      <c r="EC297" t="s">
        <v>236</v>
      </c>
      <c r="EE297" t="s">
        <v>236</v>
      </c>
      <c r="EG297" t="s">
        <v>236</v>
      </c>
      <c r="EI297" t="s">
        <v>236</v>
      </c>
      <c r="EK297" t="s">
        <v>236</v>
      </c>
      <c r="EM297" t="s">
        <v>226</v>
      </c>
      <c r="EN297" t="s">
        <v>244</v>
      </c>
      <c r="EO297" t="s">
        <v>236</v>
      </c>
      <c r="EQ297" t="s">
        <v>236</v>
      </c>
      <c r="ES297" t="s">
        <v>226</v>
      </c>
      <c r="ET297" t="s">
        <v>244</v>
      </c>
      <c r="EU297" t="s">
        <v>236</v>
      </c>
      <c r="EW297" t="s">
        <v>236</v>
      </c>
      <c r="EY297" t="s">
        <v>226</v>
      </c>
      <c r="EZ297" t="s">
        <v>244</v>
      </c>
      <c r="FA297" t="s">
        <v>236</v>
      </c>
      <c r="FC297" t="s">
        <v>236</v>
      </c>
      <c r="FE297" t="s">
        <v>236</v>
      </c>
      <c r="FG297" t="s">
        <v>236</v>
      </c>
      <c r="FJ297" t="s">
        <v>226</v>
      </c>
      <c r="FK297" t="s">
        <v>265</v>
      </c>
      <c r="FL297" t="s">
        <v>236</v>
      </c>
      <c r="FM297" t="s">
        <v>236</v>
      </c>
      <c r="FW297" t="s">
        <v>226</v>
      </c>
      <c r="FX297" t="s">
        <v>236</v>
      </c>
      <c r="FZ297" t="s">
        <v>236</v>
      </c>
      <c r="GC297" t="s">
        <v>236</v>
      </c>
      <c r="GF297" t="s">
        <v>226</v>
      </c>
      <c r="GG297" t="s">
        <v>236</v>
      </c>
      <c r="GI297" t="s">
        <v>236</v>
      </c>
      <c r="GL297" t="s">
        <v>226</v>
      </c>
      <c r="GM297" t="s">
        <v>236</v>
      </c>
      <c r="GO297" t="s">
        <v>226</v>
      </c>
      <c r="GP297" t="s">
        <v>226</v>
      </c>
      <c r="GQ297" t="s">
        <v>266</v>
      </c>
      <c r="GR297" t="s">
        <v>226</v>
      </c>
      <c r="GS297" t="s">
        <v>226</v>
      </c>
      <c r="GT297" t="s">
        <v>267</v>
      </c>
      <c r="GU297" t="s">
        <v>236</v>
      </c>
      <c r="GX297" t="s">
        <v>236</v>
      </c>
      <c r="HB297" t="s">
        <v>1664</v>
      </c>
      <c r="HE297">
        <v>82995447</v>
      </c>
      <c r="HF297" t="s">
        <v>1665</v>
      </c>
      <c r="HG297" s="2">
        <v>45754.139456018522</v>
      </c>
      <c r="HJ297" t="s">
        <v>248</v>
      </c>
      <c r="HL297" t="s">
        <v>249</v>
      </c>
      <c r="HN297">
        <v>296</v>
      </c>
    </row>
    <row r="298" spans="1:222" x14ac:dyDescent="0.25">
      <c r="A298" s="2">
        <v>45753.931121643524</v>
      </c>
      <c r="B298" s="2">
        <v>45753.933242696759</v>
      </c>
      <c r="C298" t="s">
        <v>375</v>
      </c>
      <c r="D298">
        <v>346</v>
      </c>
      <c r="E298" s="2">
        <v>45730</v>
      </c>
      <c r="F298">
        <v>2</v>
      </c>
      <c r="G298" t="s">
        <v>403</v>
      </c>
      <c r="H298" t="s">
        <v>391</v>
      </c>
      <c r="I298">
        <v>66</v>
      </c>
      <c r="J298" t="str">
        <f t="shared" si="4"/>
        <v>de 56 a más</v>
      </c>
      <c r="K298" t="s">
        <v>251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291</v>
      </c>
      <c r="R298" t="s">
        <v>226</v>
      </c>
      <c r="T298" t="s">
        <v>386</v>
      </c>
      <c r="V298" t="s">
        <v>252</v>
      </c>
      <c r="W298" t="s">
        <v>229</v>
      </c>
      <c r="X298" t="s">
        <v>368</v>
      </c>
      <c r="Z298" t="s">
        <v>254</v>
      </c>
      <c r="AA298" t="s">
        <v>255</v>
      </c>
      <c r="AB298">
        <v>0</v>
      </c>
      <c r="AC298">
        <v>0</v>
      </c>
      <c r="AD298">
        <v>0</v>
      </c>
      <c r="AE298">
        <v>1</v>
      </c>
      <c r="AF298">
        <v>0</v>
      </c>
      <c r="AG298">
        <v>0</v>
      </c>
      <c r="AI298" t="s">
        <v>233</v>
      </c>
      <c r="AJ298">
        <v>0</v>
      </c>
      <c r="AK298">
        <v>1</v>
      </c>
      <c r="AL298">
        <v>0</v>
      </c>
      <c r="AM298">
        <v>0</v>
      </c>
      <c r="AN298" t="s">
        <v>300</v>
      </c>
      <c r="AO298" t="s">
        <v>275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1</v>
      </c>
      <c r="AV298">
        <v>0</v>
      </c>
      <c r="AX298" t="s">
        <v>226</v>
      </c>
      <c r="AY298" t="s">
        <v>226</v>
      </c>
      <c r="AZ298" t="s">
        <v>237</v>
      </c>
      <c r="BA298" t="s">
        <v>725</v>
      </c>
      <c r="BB298" t="s">
        <v>1662</v>
      </c>
      <c r="BE298" t="s">
        <v>259</v>
      </c>
      <c r="BF298" t="s">
        <v>259</v>
      </c>
      <c r="BG298" t="s">
        <v>259</v>
      </c>
      <c r="BH298" t="s">
        <v>259</v>
      </c>
      <c r="BI298" t="s">
        <v>237</v>
      </c>
      <c r="BJ298" t="s">
        <v>237</v>
      </c>
      <c r="BK298" t="s">
        <v>259</v>
      </c>
      <c r="BL298" t="s">
        <v>313</v>
      </c>
      <c r="BM298" t="s">
        <v>451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 t="s">
        <v>242</v>
      </c>
      <c r="CB298" t="s">
        <v>242</v>
      </c>
      <c r="CC298" t="s">
        <v>243</v>
      </c>
      <c r="CD298" t="s">
        <v>226</v>
      </c>
      <c r="CE298" t="s">
        <v>236</v>
      </c>
      <c r="EA298" t="s">
        <v>236</v>
      </c>
      <c r="EC298" t="s">
        <v>236</v>
      </c>
      <c r="EE298" t="s">
        <v>236</v>
      </c>
      <c r="EG298" t="s">
        <v>226</v>
      </c>
      <c r="EH298" t="s">
        <v>244</v>
      </c>
      <c r="EI298" t="s">
        <v>236</v>
      </c>
      <c r="EK298" t="s">
        <v>236</v>
      </c>
      <c r="EM298" t="s">
        <v>236</v>
      </c>
      <c r="EO298" t="s">
        <v>226</v>
      </c>
      <c r="EP298" t="s">
        <v>245</v>
      </c>
      <c r="EQ298" t="s">
        <v>236</v>
      </c>
      <c r="ES298" t="s">
        <v>226</v>
      </c>
      <c r="ET298" t="s">
        <v>245</v>
      </c>
      <c r="EU298" t="s">
        <v>236</v>
      </c>
      <c r="EW298" t="s">
        <v>236</v>
      </c>
      <c r="EY298" t="s">
        <v>236</v>
      </c>
      <c r="FA298" t="s">
        <v>226</v>
      </c>
      <c r="FB298" t="s">
        <v>245</v>
      </c>
      <c r="FC298" t="s">
        <v>236</v>
      </c>
      <c r="FE298" t="s">
        <v>226</v>
      </c>
      <c r="FF298" t="s">
        <v>245</v>
      </c>
      <c r="FG298" t="s">
        <v>236</v>
      </c>
      <c r="FJ298" t="s">
        <v>226</v>
      </c>
      <c r="FK298" t="s">
        <v>245</v>
      </c>
      <c r="FL298" t="s">
        <v>226</v>
      </c>
      <c r="FM298" t="s">
        <v>236</v>
      </c>
      <c r="FW298" t="s">
        <v>236</v>
      </c>
      <c r="FZ298" t="s">
        <v>236</v>
      </c>
      <c r="GC298" t="s">
        <v>236</v>
      </c>
      <c r="GF298" t="s">
        <v>236</v>
      </c>
      <c r="GI298" t="s">
        <v>236</v>
      </c>
      <c r="GL298" t="s">
        <v>236</v>
      </c>
      <c r="GO298" t="s">
        <v>236</v>
      </c>
      <c r="GR298" t="s">
        <v>236</v>
      </c>
      <c r="GU298" t="s">
        <v>236</v>
      </c>
      <c r="GX298" t="s">
        <v>236</v>
      </c>
      <c r="HB298" t="s">
        <v>513</v>
      </c>
      <c r="HC298" t="s">
        <v>279</v>
      </c>
      <c r="HE298">
        <v>82995657</v>
      </c>
      <c r="HF298" t="s">
        <v>1663</v>
      </c>
      <c r="HG298" s="2">
        <v>45754.141585648147</v>
      </c>
      <c r="HJ298" t="s">
        <v>248</v>
      </c>
      <c r="HL298" t="s">
        <v>249</v>
      </c>
      <c r="HN298">
        <v>297</v>
      </c>
    </row>
    <row r="299" spans="1:222" x14ac:dyDescent="0.25">
      <c r="A299" s="2">
        <v>45753.933243287043</v>
      </c>
      <c r="B299" s="2">
        <v>45753.936092071759</v>
      </c>
      <c r="C299" t="s">
        <v>375</v>
      </c>
      <c r="D299">
        <v>345</v>
      </c>
      <c r="E299" s="2">
        <v>45730</v>
      </c>
      <c r="F299">
        <v>2</v>
      </c>
      <c r="G299" t="s">
        <v>419</v>
      </c>
      <c r="H299" t="s">
        <v>391</v>
      </c>
      <c r="I299">
        <v>51</v>
      </c>
      <c r="J299" t="str">
        <f t="shared" si="4"/>
        <v>de 41 a 55 años</v>
      </c>
      <c r="K299" t="s">
        <v>341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291</v>
      </c>
      <c r="R299" t="s">
        <v>226</v>
      </c>
      <c r="T299" t="s">
        <v>227</v>
      </c>
      <c r="V299" t="s">
        <v>252</v>
      </c>
      <c r="W299" t="s">
        <v>229</v>
      </c>
      <c r="X299" t="s">
        <v>230</v>
      </c>
      <c r="Z299" t="s">
        <v>231</v>
      </c>
      <c r="AA299" t="s">
        <v>255</v>
      </c>
      <c r="AB299">
        <v>0</v>
      </c>
      <c r="AC299">
        <v>0</v>
      </c>
      <c r="AD299">
        <v>0</v>
      </c>
      <c r="AE299">
        <v>1</v>
      </c>
      <c r="AF299">
        <v>0</v>
      </c>
      <c r="AG299">
        <v>0</v>
      </c>
      <c r="AI299" t="s">
        <v>256</v>
      </c>
      <c r="AJ299">
        <v>0</v>
      </c>
      <c r="AK299">
        <v>0</v>
      </c>
      <c r="AL299">
        <v>1</v>
      </c>
      <c r="AM299">
        <v>0</v>
      </c>
      <c r="AN299" t="s">
        <v>234</v>
      </c>
      <c r="AO299" t="s">
        <v>275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X299" t="s">
        <v>226</v>
      </c>
      <c r="AY299" t="s">
        <v>226</v>
      </c>
      <c r="AZ299" t="s">
        <v>237</v>
      </c>
      <c r="BA299" t="s">
        <v>1659</v>
      </c>
      <c r="BE299" t="s">
        <v>237</v>
      </c>
      <c r="BF299" t="s">
        <v>237</v>
      </c>
      <c r="BG299" t="s">
        <v>239</v>
      </c>
      <c r="BH299" t="s">
        <v>239</v>
      </c>
      <c r="BI299" t="s">
        <v>237</v>
      </c>
      <c r="BJ299" t="s">
        <v>237</v>
      </c>
      <c r="BK299" t="s">
        <v>239</v>
      </c>
      <c r="BL299" t="s">
        <v>240</v>
      </c>
      <c r="BM299" t="s">
        <v>372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1</v>
      </c>
      <c r="CA299" t="s">
        <v>243</v>
      </c>
      <c r="CB299" t="s">
        <v>328</v>
      </c>
      <c r="CC299" t="s">
        <v>328</v>
      </c>
      <c r="CD299" t="s">
        <v>236</v>
      </c>
      <c r="CE299" t="s">
        <v>236</v>
      </c>
      <c r="EA299" t="s">
        <v>236</v>
      </c>
      <c r="EC299" t="s">
        <v>236</v>
      </c>
      <c r="EE299" t="s">
        <v>226</v>
      </c>
      <c r="EF299" t="s">
        <v>245</v>
      </c>
      <c r="EG299" t="s">
        <v>226</v>
      </c>
      <c r="EH299" t="s">
        <v>245</v>
      </c>
      <c r="EI299" t="s">
        <v>236</v>
      </c>
      <c r="EK299" t="s">
        <v>236</v>
      </c>
      <c r="EM299" t="s">
        <v>226</v>
      </c>
      <c r="EN299" t="s">
        <v>244</v>
      </c>
      <c r="EO299" t="s">
        <v>226</v>
      </c>
      <c r="EP299" t="s">
        <v>245</v>
      </c>
      <c r="EQ299" t="s">
        <v>236</v>
      </c>
      <c r="ES299" t="s">
        <v>226</v>
      </c>
      <c r="ET299" t="s">
        <v>245</v>
      </c>
      <c r="EU299" t="s">
        <v>236</v>
      </c>
      <c r="EW299" t="s">
        <v>236</v>
      </c>
      <c r="EY299" t="s">
        <v>226</v>
      </c>
      <c r="EZ299" t="s">
        <v>244</v>
      </c>
      <c r="FA299" t="s">
        <v>236</v>
      </c>
      <c r="FC299" t="s">
        <v>236</v>
      </c>
      <c r="FE299" t="s">
        <v>226</v>
      </c>
      <c r="FF299" t="s">
        <v>244</v>
      </c>
      <c r="FG299" t="s">
        <v>236</v>
      </c>
      <c r="FJ299" t="s">
        <v>226</v>
      </c>
      <c r="FK299" t="s">
        <v>245</v>
      </c>
      <c r="FL299" t="s">
        <v>236</v>
      </c>
      <c r="FM299" t="s">
        <v>236</v>
      </c>
      <c r="FW299" t="s">
        <v>226</v>
      </c>
      <c r="FX299" t="s">
        <v>236</v>
      </c>
      <c r="FZ299" t="s">
        <v>226</v>
      </c>
      <c r="GA299" t="s">
        <v>236</v>
      </c>
      <c r="GC299" t="s">
        <v>236</v>
      </c>
      <c r="GF299" t="s">
        <v>236</v>
      </c>
      <c r="GI299" t="s">
        <v>236</v>
      </c>
      <c r="GL299" t="s">
        <v>226</v>
      </c>
      <c r="GM299" t="s">
        <v>236</v>
      </c>
      <c r="GO299" t="s">
        <v>226</v>
      </c>
      <c r="GP299" t="s">
        <v>226</v>
      </c>
      <c r="GQ299" t="s">
        <v>267</v>
      </c>
      <c r="GR299" t="s">
        <v>226</v>
      </c>
      <c r="GS299" t="s">
        <v>226</v>
      </c>
      <c r="GT299" t="s">
        <v>266</v>
      </c>
      <c r="GU299" t="s">
        <v>226</v>
      </c>
      <c r="GV299" t="s">
        <v>236</v>
      </c>
      <c r="GX299" t="s">
        <v>236</v>
      </c>
      <c r="HB299" t="s">
        <v>1660</v>
      </c>
      <c r="HE299">
        <v>82995852</v>
      </c>
      <c r="HF299" t="s">
        <v>1661</v>
      </c>
      <c r="HG299" s="2">
        <v>45754.144432870373</v>
      </c>
      <c r="HJ299" t="s">
        <v>248</v>
      </c>
      <c r="HL299" t="s">
        <v>249</v>
      </c>
      <c r="HN299">
        <v>298</v>
      </c>
    </row>
    <row r="300" spans="1:222" x14ac:dyDescent="0.25">
      <c r="A300" s="2">
        <v>45753.936092627308</v>
      </c>
      <c r="B300" s="2">
        <v>45753.938944895832</v>
      </c>
      <c r="C300" t="s">
        <v>375</v>
      </c>
      <c r="D300">
        <v>344</v>
      </c>
      <c r="E300" s="2">
        <v>45730</v>
      </c>
      <c r="F300">
        <v>2</v>
      </c>
      <c r="G300" t="s">
        <v>290</v>
      </c>
      <c r="H300" t="s">
        <v>391</v>
      </c>
      <c r="I300">
        <v>33</v>
      </c>
      <c r="J300" t="str">
        <f t="shared" si="4"/>
        <v>de 26 a 40 años</v>
      </c>
      <c r="K300" t="s">
        <v>251</v>
      </c>
      <c r="L300">
        <v>2</v>
      </c>
      <c r="M300">
        <v>0</v>
      </c>
      <c r="N300">
        <v>0</v>
      </c>
      <c r="O300">
        <v>0</v>
      </c>
      <c r="P300">
        <v>0</v>
      </c>
      <c r="Q300" t="s">
        <v>291</v>
      </c>
      <c r="R300" t="s">
        <v>226</v>
      </c>
      <c r="T300" t="s">
        <v>227</v>
      </c>
      <c r="V300" t="s">
        <v>321</v>
      </c>
      <c r="W300" t="s">
        <v>229</v>
      </c>
      <c r="X300" t="s">
        <v>230</v>
      </c>
      <c r="Z300" t="s">
        <v>231</v>
      </c>
      <c r="AA300" t="s">
        <v>293</v>
      </c>
      <c r="AB300">
        <v>0</v>
      </c>
      <c r="AC300">
        <v>0</v>
      </c>
      <c r="AD300">
        <v>0</v>
      </c>
      <c r="AE300">
        <v>0</v>
      </c>
      <c r="AF300">
        <v>1</v>
      </c>
      <c r="AG300">
        <v>0</v>
      </c>
      <c r="AI300" t="s">
        <v>233</v>
      </c>
      <c r="AJ300">
        <v>0</v>
      </c>
      <c r="AK300">
        <v>1</v>
      </c>
      <c r="AL300">
        <v>0</v>
      </c>
      <c r="AM300">
        <v>0</v>
      </c>
      <c r="AN300" t="s">
        <v>274</v>
      </c>
      <c r="AO300" t="s">
        <v>275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X300" t="s">
        <v>226</v>
      </c>
      <c r="AY300" t="s">
        <v>226</v>
      </c>
      <c r="AZ300" t="s">
        <v>259</v>
      </c>
      <c r="BA300" t="s">
        <v>1656</v>
      </c>
      <c r="BE300" t="s">
        <v>362</v>
      </c>
      <c r="BF300" t="s">
        <v>237</v>
      </c>
      <c r="BG300" t="s">
        <v>362</v>
      </c>
      <c r="BH300" t="s">
        <v>239</v>
      </c>
      <c r="BI300" t="s">
        <v>362</v>
      </c>
      <c r="BJ300" t="s">
        <v>362</v>
      </c>
      <c r="BK300" t="s">
        <v>261</v>
      </c>
      <c r="BL300" t="s">
        <v>262</v>
      </c>
      <c r="BM300" t="s">
        <v>389</v>
      </c>
      <c r="BN300">
        <v>0</v>
      </c>
      <c r="BO300">
        <v>0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 t="s">
        <v>264</v>
      </c>
      <c r="CB300" t="s">
        <v>243</v>
      </c>
      <c r="CC300" t="s">
        <v>242</v>
      </c>
      <c r="CD300" t="s">
        <v>236</v>
      </c>
      <c r="CE300" t="s">
        <v>236</v>
      </c>
      <c r="EA300" t="s">
        <v>226</v>
      </c>
      <c r="EB300" t="s">
        <v>244</v>
      </c>
      <c r="EC300" t="s">
        <v>236</v>
      </c>
      <c r="EE300" t="s">
        <v>226</v>
      </c>
      <c r="EF300" t="s">
        <v>245</v>
      </c>
      <c r="EG300" t="s">
        <v>226</v>
      </c>
      <c r="EH300" t="s">
        <v>244</v>
      </c>
      <c r="EI300" t="s">
        <v>236</v>
      </c>
      <c r="EK300" t="s">
        <v>236</v>
      </c>
      <c r="EM300" t="s">
        <v>226</v>
      </c>
      <c r="EN300" t="s">
        <v>245</v>
      </c>
      <c r="EO300" t="s">
        <v>226</v>
      </c>
      <c r="EP300" t="s">
        <v>244</v>
      </c>
      <c r="EQ300" t="s">
        <v>236</v>
      </c>
      <c r="ES300" t="s">
        <v>236</v>
      </c>
      <c r="EU300" t="s">
        <v>236</v>
      </c>
      <c r="EW300" t="s">
        <v>236</v>
      </c>
      <c r="EY300" t="s">
        <v>236</v>
      </c>
      <c r="FA300" t="s">
        <v>226</v>
      </c>
      <c r="FB300" t="s">
        <v>245</v>
      </c>
      <c r="FC300" t="s">
        <v>308</v>
      </c>
      <c r="FE300" t="s">
        <v>236</v>
      </c>
      <c r="FG300" t="s">
        <v>236</v>
      </c>
      <c r="FJ300" t="s">
        <v>226</v>
      </c>
      <c r="FK300" t="s">
        <v>265</v>
      </c>
      <c r="FL300" t="s">
        <v>236</v>
      </c>
      <c r="FM300" t="s">
        <v>236</v>
      </c>
      <c r="FW300" t="s">
        <v>226</v>
      </c>
      <c r="FX300" t="s">
        <v>236</v>
      </c>
      <c r="FZ300" t="s">
        <v>236</v>
      </c>
      <c r="GC300" t="s">
        <v>236</v>
      </c>
      <c r="GF300" t="s">
        <v>226</v>
      </c>
      <c r="GG300" t="s">
        <v>236</v>
      </c>
      <c r="GI300" t="s">
        <v>236</v>
      </c>
      <c r="GL300" t="s">
        <v>236</v>
      </c>
      <c r="GO300" t="s">
        <v>226</v>
      </c>
      <c r="GP300" t="s">
        <v>236</v>
      </c>
      <c r="GR300" t="s">
        <v>226</v>
      </c>
      <c r="GS300" t="s">
        <v>226</v>
      </c>
      <c r="GT300" t="s">
        <v>267</v>
      </c>
      <c r="GU300" t="s">
        <v>236</v>
      </c>
      <c r="GX300" t="s">
        <v>236</v>
      </c>
      <c r="HB300" t="s">
        <v>1657</v>
      </c>
      <c r="HE300">
        <v>82996018</v>
      </c>
      <c r="HF300" t="s">
        <v>1658</v>
      </c>
      <c r="HG300" s="2">
        <v>45754.147280092591</v>
      </c>
      <c r="HJ300" t="s">
        <v>248</v>
      </c>
      <c r="HL300" t="s">
        <v>249</v>
      </c>
      <c r="HN300">
        <v>299</v>
      </c>
    </row>
    <row r="301" spans="1:222" x14ac:dyDescent="0.25">
      <c r="A301" s="2">
        <v>45753.93894547454</v>
      </c>
      <c r="B301" s="2">
        <v>45753.942474918978</v>
      </c>
      <c r="C301" t="s">
        <v>375</v>
      </c>
      <c r="D301">
        <v>343</v>
      </c>
      <c r="E301" s="2">
        <v>45731</v>
      </c>
      <c r="F301">
        <v>2</v>
      </c>
      <c r="G301" t="s">
        <v>271</v>
      </c>
      <c r="H301" t="s">
        <v>391</v>
      </c>
      <c r="I301">
        <v>19</v>
      </c>
      <c r="J301" t="str">
        <f t="shared" si="4"/>
        <v>de 18 a 25 años</v>
      </c>
      <c r="K301" t="s">
        <v>251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291</v>
      </c>
      <c r="R301" t="s">
        <v>226</v>
      </c>
      <c r="T301" t="s">
        <v>227</v>
      </c>
      <c r="V301" t="s">
        <v>252</v>
      </c>
      <c r="W301" t="s">
        <v>229</v>
      </c>
      <c r="X301" t="s">
        <v>253</v>
      </c>
      <c r="Z301" t="s">
        <v>231</v>
      </c>
      <c r="AA301" t="s">
        <v>255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I301" t="s">
        <v>256</v>
      </c>
      <c r="AJ301">
        <v>0</v>
      </c>
      <c r="AK301">
        <v>0</v>
      </c>
      <c r="AL301">
        <v>1</v>
      </c>
      <c r="AM301">
        <v>0</v>
      </c>
      <c r="AN301" t="s">
        <v>234</v>
      </c>
      <c r="AO301" t="s">
        <v>235</v>
      </c>
      <c r="AP301">
        <v>0</v>
      </c>
      <c r="AQ301">
        <v>0</v>
      </c>
      <c r="AR301">
        <v>0</v>
      </c>
      <c r="AS301">
        <v>1</v>
      </c>
      <c r="AT301">
        <v>0</v>
      </c>
      <c r="AU301">
        <v>0</v>
      </c>
      <c r="AV301">
        <v>0</v>
      </c>
      <c r="AX301" t="s">
        <v>226</v>
      </c>
      <c r="AY301" t="s">
        <v>226</v>
      </c>
      <c r="AZ301" t="s">
        <v>237</v>
      </c>
      <c r="BA301" t="s">
        <v>1654</v>
      </c>
      <c r="BB301" t="s">
        <v>276</v>
      </c>
      <c r="BE301" t="s">
        <v>259</v>
      </c>
      <c r="BF301" t="s">
        <v>259</v>
      </c>
      <c r="BG301" t="s">
        <v>259</v>
      </c>
      <c r="BH301" t="s">
        <v>237</v>
      </c>
      <c r="BI301" t="s">
        <v>237</v>
      </c>
      <c r="BJ301" t="s">
        <v>237</v>
      </c>
      <c r="BK301" t="s">
        <v>237</v>
      </c>
      <c r="BL301" t="s">
        <v>262</v>
      </c>
      <c r="BM301" t="s">
        <v>415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 t="s">
        <v>264</v>
      </c>
      <c r="CB301" t="s">
        <v>264</v>
      </c>
      <c r="CC301" t="s">
        <v>264</v>
      </c>
      <c r="CD301" t="s">
        <v>236</v>
      </c>
      <c r="CE301" t="s">
        <v>236</v>
      </c>
      <c r="EA301" t="s">
        <v>236</v>
      </c>
      <c r="EC301" t="s">
        <v>236</v>
      </c>
      <c r="EE301" t="s">
        <v>226</v>
      </c>
      <c r="EF301" t="s">
        <v>245</v>
      </c>
      <c r="EG301" t="s">
        <v>236</v>
      </c>
      <c r="EI301" t="s">
        <v>236</v>
      </c>
      <c r="EK301" t="s">
        <v>236</v>
      </c>
      <c r="EM301" t="s">
        <v>226</v>
      </c>
      <c r="EN301" t="s">
        <v>245</v>
      </c>
      <c r="EO301" t="s">
        <v>236</v>
      </c>
      <c r="EQ301" t="s">
        <v>236</v>
      </c>
      <c r="ES301" t="s">
        <v>236</v>
      </c>
      <c r="EU301" t="s">
        <v>236</v>
      </c>
      <c r="EW301" t="s">
        <v>236</v>
      </c>
      <c r="EY301" t="s">
        <v>226</v>
      </c>
      <c r="EZ301" t="s">
        <v>245</v>
      </c>
      <c r="FA301" t="s">
        <v>236</v>
      </c>
      <c r="FC301" t="s">
        <v>236</v>
      </c>
      <c r="FE301" t="s">
        <v>236</v>
      </c>
      <c r="FG301" t="s">
        <v>236</v>
      </c>
      <c r="FJ301" t="s">
        <v>226</v>
      </c>
      <c r="FK301" t="s">
        <v>245</v>
      </c>
      <c r="FL301" t="s">
        <v>236</v>
      </c>
      <c r="FM301" t="s">
        <v>236</v>
      </c>
      <c r="FW301" t="s">
        <v>226</v>
      </c>
      <c r="FX301" t="s">
        <v>226</v>
      </c>
      <c r="FY301" t="s">
        <v>266</v>
      </c>
      <c r="FZ301" t="s">
        <v>236</v>
      </c>
      <c r="GC301" t="s">
        <v>236</v>
      </c>
      <c r="GF301" t="s">
        <v>226</v>
      </c>
      <c r="GG301" t="s">
        <v>226</v>
      </c>
      <c r="GH301" t="s">
        <v>266</v>
      </c>
      <c r="GI301" t="s">
        <v>236</v>
      </c>
      <c r="GL301" t="s">
        <v>236</v>
      </c>
      <c r="GO301" t="s">
        <v>236</v>
      </c>
      <c r="GR301" t="s">
        <v>226</v>
      </c>
      <c r="GS301" t="s">
        <v>226</v>
      </c>
      <c r="GT301" t="s">
        <v>266</v>
      </c>
      <c r="GU301" t="s">
        <v>236</v>
      </c>
      <c r="GX301" t="s">
        <v>236</v>
      </c>
      <c r="HB301" t="s">
        <v>338</v>
      </c>
      <c r="HC301" t="s">
        <v>575</v>
      </c>
      <c r="HE301">
        <v>82996217</v>
      </c>
      <c r="HF301" t="s">
        <v>1655</v>
      </c>
      <c r="HG301" s="2">
        <v>45754.150821759264</v>
      </c>
      <c r="HJ301" t="s">
        <v>248</v>
      </c>
      <c r="HL301" t="s">
        <v>249</v>
      </c>
      <c r="HN301">
        <v>300</v>
      </c>
    </row>
    <row r="302" spans="1:222" x14ac:dyDescent="0.25">
      <c r="A302" s="2">
        <v>45753.942475474527</v>
      </c>
      <c r="B302" s="2">
        <v>45753.96208070602</v>
      </c>
      <c r="C302" t="s">
        <v>375</v>
      </c>
      <c r="D302">
        <v>342</v>
      </c>
      <c r="E302" s="2">
        <v>45730</v>
      </c>
      <c r="F302">
        <v>2</v>
      </c>
      <c r="G302" t="s">
        <v>419</v>
      </c>
      <c r="H302" t="s">
        <v>391</v>
      </c>
      <c r="I302">
        <v>20</v>
      </c>
      <c r="J302" t="str">
        <f t="shared" si="4"/>
        <v>de 18 a 25 años</v>
      </c>
      <c r="K302" t="s">
        <v>251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291</v>
      </c>
      <c r="R302" t="s">
        <v>226</v>
      </c>
      <c r="T302" t="s">
        <v>284</v>
      </c>
      <c r="V302" t="s">
        <v>252</v>
      </c>
      <c r="W302" t="s">
        <v>229</v>
      </c>
      <c r="X302" t="s">
        <v>230</v>
      </c>
      <c r="Z302" t="s">
        <v>231</v>
      </c>
      <c r="AA302" t="s">
        <v>255</v>
      </c>
      <c r="AB302">
        <v>0</v>
      </c>
      <c r="AC302">
        <v>0</v>
      </c>
      <c r="AD302">
        <v>0</v>
      </c>
      <c r="AE302">
        <v>1</v>
      </c>
      <c r="AF302">
        <v>0</v>
      </c>
      <c r="AG302">
        <v>0</v>
      </c>
      <c r="AI302" t="s">
        <v>256</v>
      </c>
      <c r="AJ302">
        <v>0</v>
      </c>
      <c r="AK302">
        <v>0</v>
      </c>
      <c r="AL302">
        <v>1</v>
      </c>
      <c r="AM302">
        <v>0</v>
      </c>
      <c r="AN302" t="s">
        <v>300</v>
      </c>
      <c r="AO302" t="s">
        <v>294</v>
      </c>
      <c r="AP302">
        <v>1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X302" t="s">
        <v>226</v>
      </c>
      <c r="AY302" t="s">
        <v>226</v>
      </c>
      <c r="AZ302" t="s">
        <v>362</v>
      </c>
      <c r="BA302" t="s">
        <v>276</v>
      </c>
      <c r="BB302" t="s">
        <v>438</v>
      </c>
      <c r="BC302" t="s">
        <v>1649</v>
      </c>
      <c r="BE302" t="s">
        <v>259</v>
      </c>
      <c r="BF302" t="s">
        <v>237</v>
      </c>
      <c r="BG302" t="s">
        <v>259</v>
      </c>
      <c r="BH302" t="s">
        <v>261</v>
      </c>
      <c r="BI302" t="s">
        <v>237</v>
      </c>
      <c r="BJ302" t="s">
        <v>237</v>
      </c>
      <c r="BK302" t="s">
        <v>259</v>
      </c>
      <c r="BL302" t="s">
        <v>240</v>
      </c>
      <c r="BM302" t="s">
        <v>314</v>
      </c>
      <c r="BN302">
        <v>0</v>
      </c>
      <c r="BO302">
        <v>0</v>
      </c>
      <c r="BP302">
        <v>0</v>
      </c>
      <c r="BQ302">
        <v>1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 t="s">
        <v>264</v>
      </c>
      <c r="CB302" t="s">
        <v>264</v>
      </c>
      <c r="CC302" t="s">
        <v>264</v>
      </c>
      <c r="CD302" t="s">
        <v>236</v>
      </c>
      <c r="CE302" t="s">
        <v>226</v>
      </c>
      <c r="CF302" t="s">
        <v>599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1</v>
      </c>
      <c r="CR302" t="s">
        <v>1650</v>
      </c>
      <c r="DC302" t="s">
        <v>236</v>
      </c>
      <c r="DX302" t="s">
        <v>520</v>
      </c>
      <c r="EA302" t="s">
        <v>236</v>
      </c>
      <c r="EC302" t="s">
        <v>236</v>
      </c>
      <c r="EE302" t="s">
        <v>226</v>
      </c>
      <c r="EF302" t="s">
        <v>245</v>
      </c>
      <c r="EG302" t="s">
        <v>226</v>
      </c>
      <c r="EH302" t="s">
        <v>245</v>
      </c>
      <c r="EI302" t="s">
        <v>226</v>
      </c>
      <c r="EJ302" t="s">
        <v>244</v>
      </c>
      <c r="EK302" t="s">
        <v>236</v>
      </c>
      <c r="EM302" t="s">
        <v>226</v>
      </c>
      <c r="EN302" t="s">
        <v>245</v>
      </c>
      <c r="EO302" t="s">
        <v>226</v>
      </c>
      <c r="EP302" t="s">
        <v>244</v>
      </c>
      <c r="EQ302" t="s">
        <v>236</v>
      </c>
      <c r="ES302" t="s">
        <v>236</v>
      </c>
      <c r="EU302" t="s">
        <v>236</v>
      </c>
      <c r="EW302" t="s">
        <v>236</v>
      </c>
      <c r="EY302" t="s">
        <v>226</v>
      </c>
      <c r="EZ302" t="s">
        <v>245</v>
      </c>
      <c r="FA302" t="s">
        <v>236</v>
      </c>
      <c r="FC302" t="s">
        <v>236</v>
      </c>
      <c r="FE302" t="s">
        <v>226</v>
      </c>
      <c r="FF302" t="s">
        <v>245</v>
      </c>
      <c r="FG302" t="s">
        <v>236</v>
      </c>
      <c r="FJ302" t="s">
        <v>226</v>
      </c>
      <c r="FK302" t="s">
        <v>244</v>
      </c>
      <c r="FL302" t="s">
        <v>236</v>
      </c>
      <c r="FM302" t="s">
        <v>236</v>
      </c>
      <c r="FW302" t="s">
        <v>226</v>
      </c>
      <c r="FX302" t="s">
        <v>236</v>
      </c>
      <c r="FZ302" t="s">
        <v>236</v>
      </c>
      <c r="GC302" t="s">
        <v>236</v>
      </c>
      <c r="GF302" t="s">
        <v>226</v>
      </c>
      <c r="GG302" t="s">
        <v>236</v>
      </c>
      <c r="GI302" t="s">
        <v>226</v>
      </c>
      <c r="GJ302" t="s">
        <v>226</v>
      </c>
      <c r="GK302" t="s">
        <v>267</v>
      </c>
      <c r="GL302" t="s">
        <v>226</v>
      </c>
      <c r="GM302" t="s">
        <v>226</v>
      </c>
      <c r="GN302" t="s">
        <v>266</v>
      </c>
      <c r="GO302" t="s">
        <v>226</v>
      </c>
      <c r="GP302" t="s">
        <v>226</v>
      </c>
      <c r="GQ302" t="s">
        <v>267</v>
      </c>
      <c r="GR302" t="s">
        <v>226</v>
      </c>
      <c r="GS302" t="s">
        <v>226</v>
      </c>
      <c r="GT302" t="s">
        <v>267</v>
      </c>
      <c r="GU302" t="s">
        <v>236</v>
      </c>
      <c r="GX302" t="s">
        <v>236</v>
      </c>
      <c r="HB302" t="s">
        <v>303</v>
      </c>
      <c r="HC302" t="s">
        <v>1651</v>
      </c>
      <c r="HD302" t="s">
        <v>1652</v>
      </c>
      <c r="HE302">
        <v>82997369</v>
      </c>
      <c r="HF302" t="s">
        <v>1653</v>
      </c>
      <c r="HG302" s="2">
        <v>45754.170428240737</v>
      </c>
      <c r="HJ302" t="s">
        <v>248</v>
      </c>
      <c r="HL302" t="s">
        <v>249</v>
      </c>
      <c r="HN302">
        <v>301</v>
      </c>
    </row>
    <row r="303" spans="1:222" x14ac:dyDescent="0.25">
      <c r="A303" s="2">
        <v>45753.962081331018</v>
      </c>
      <c r="B303" s="2">
        <v>45753.965762314823</v>
      </c>
      <c r="C303" t="s">
        <v>375</v>
      </c>
      <c r="D303">
        <v>341</v>
      </c>
      <c r="E303" s="2">
        <v>45730</v>
      </c>
      <c r="F303">
        <v>2</v>
      </c>
      <c r="G303" t="s">
        <v>419</v>
      </c>
      <c r="H303" t="s">
        <v>391</v>
      </c>
      <c r="I303">
        <v>56</v>
      </c>
      <c r="J303" t="str">
        <f t="shared" si="4"/>
        <v>de 56 a más</v>
      </c>
      <c r="K303" t="s">
        <v>341</v>
      </c>
      <c r="L303">
        <v>3</v>
      </c>
      <c r="M303">
        <v>0</v>
      </c>
      <c r="N303">
        <v>0</v>
      </c>
      <c r="O303">
        <v>0</v>
      </c>
      <c r="P303">
        <v>1</v>
      </c>
      <c r="Q303" t="s">
        <v>291</v>
      </c>
      <c r="R303" t="s">
        <v>226</v>
      </c>
      <c r="T303" t="s">
        <v>227</v>
      </c>
      <c r="V303" t="s">
        <v>228</v>
      </c>
      <c r="W303" t="s">
        <v>229</v>
      </c>
      <c r="X303" t="s">
        <v>230</v>
      </c>
      <c r="Z303" t="s">
        <v>231</v>
      </c>
      <c r="AA303" t="s">
        <v>255</v>
      </c>
      <c r="AB303">
        <v>0</v>
      </c>
      <c r="AC303">
        <v>0</v>
      </c>
      <c r="AD303">
        <v>0</v>
      </c>
      <c r="AE303">
        <v>1</v>
      </c>
      <c r="AF303">
        <v>0</v>
      </c>
      <c r="AG303">
        <v>0</v>
      </c>
      <c r="AI303" t="s">
        <v>256</v>
      </c>
      <c r="AJ303">
        <v>0</v>
      </c>
      <c r="AK303">
        <v>0</v>
      </c>
      <c r="AL303">
        <v>1</v>
      </c>
      <c r="AM303">
        <v>0</v>
      </c>
      <c r="AN303" t="s">
        <v>300</v>
      </c>
      <c r="AO303" t="s">
        <v>275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</v>
      </c>
      <c r="AV303">
        <v>0</v>
      </c>
      <c r="AX303" t="s">
        <v>226</v>
      </c>
      <c r="AY303" t="s">
        <v>226</v>
      </c>
      <c r="AZ303" t="s">
        <v>259</v>
      </c>
      <c r="BA303" t="s">
        <v>1646</v>
      </c>
      <c r="BE303" t="s">
        <v>259</v>
      </c>
      <c r="BF303" t="s">
        <v>259</v>
      </c>
      <c r="BG303" t="s">
        <v>259</v>
      </c>
      <c r="BH303" t="s">
        <v>237</v>
      </c>
      <c r="BI303" t="s">
        <v>237</v>
      </c>
      <c r="BJ303" t="s">
        <v>259</v>
      </c>
      <c r="BK303" t="s">
        <v>261</v>
      </c>
      <c r="BL303" t="s">
        <v>313</v>
      </c>
      <c r="BM303" t="s">
        <v>415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 t="s">
        <v>264</v>
      </c>
      <c r="CB303" t="s">
        <v>243</v>
      </c>
      <c r="CC303" t="s">
        <v>243</v>
      </c>
      <c r="CD303" t="s">
        <v>226</v>
      </c>
      <c r="CE303" t="s">
        <v>236</v>
      </c>
      <c r="EA303" t="s">
        <v>226</v>
      </c>
      <c r="EB303" t="s">
        <v>245</v>
      </c>
      <c r="EC303" t="s">
        <v>226</v>
      </c>
      <c r="ED303" t="s">
        <v>265</v>
      </c>
      <c r="EE303" t="s">
        <v>226</v>
      </c>
      <c r="EF303" t="s">
        <v>265</v>
      </c>
      <c r="EG303" t="s">
        <v>226</v>
      </c>
      <c r="EH303" t="s">
        <v>245</v>
      </c>
      <c r="EI303" t="s">
        <v>226</v>
      </c>
      <c r="EJ303" t="s">
        <v>245</v>
      </c>
      <c r="EK303" t="s">
        <v>226</v>
      </c>
      <c r="EL303" t="s">
        <v>244</v>
      </c>
      <c r="EM303" t="s">
        <v>226</v>
      </c>
      <c r="EN303" t="s">
        <v>245</v>
      </c>
      <c r="EO303" t="s">
        <v>226</v>
      </c>
      <c r="EP303" t="s">
        <v>265</v>
      </c>
      <c r="EQ303" t="s">
        <v>226</v>
      </c>
      <c r="ER303" t="s">
        <v>265</v>
      </c>
      <c r="ES303" t="s">
        <v>226</v>
      </c>
      <c r="ET303" t="s">
        <v>245</v>
      </c>
      <c r="EU303" t="s">
        <v>226</v>
      </c>
      <c r="EV303" t="s">
        <v>245</v>
      </c>
      <c r="EW303" t="s">
        <v>236</v>
      </c>
      <c r="EY303" t="s">
        <v>226</v>
      </c>
      <c r="EZ303" t="s">
        <v>245</v>
      </c>
      <c r="FA303" t="s">
        <v>226</v>
      </c>
      <c r="FB303" t="s">
        <v>245</v>
      </c>
      <c r="FC303" t="s">
        <v>236</v>
      </c>
      <c r="FE303" t="s">
        <v>226</v>
      </c>
      <c r="FF303" t="s">
        <v>245</v>
      </c>
      <c r="FG303" t="s">
        <v>236</v>
      </c>
      <c r="FJ303" t="s">
        <v>226</v>
      </c>
      <c r="FK303" t="s">
        <v>265</v>
      </c>
      <c r="FL303" t="s">
        <v>236</v>
      </c>
      <c r="FM303" t="s">
        <v>236</v>
      </c>
      <c r="FW303" t="s">
        <v>226</v>
      </c>
      <c r="FX303" t="s">
        <v>236</v>
      </c>
      <c r="FZ303" t="s">
        <v>226</v>
      </c>
      <c r="GA303" t="s">
        <v>236</v>
      </c>
      <c r="GC303" t="s">
        <v>236</v>
      </c>
      <c r="GF303" t="s">
        <v>226</v>
      </c>
      <c r="GG303" t="s">
        <v>236</v>
      </c>
      <c r="GI303" t="s">
        <v>236</v>
      </c>
      <c r="GL303" t="s">
        <v>226</v>
      </c>
      <c r="GM303" t="s">
        <v>236</v>
      </c>
      <c r="GO303" t="s">
        <v>226</v>
      </c>
      <c r="GP303" t="s">
        <v>226</v>
      </c>
      <c r="GQ303" t="s">
        <v>570</v>
      </c>
      <c r="GR303" t="s">
        <v>226</v>
      </c>
      <c r="GS303" t="s">
        <v>236</v>
      </c>
      <c r="GU303" t="s">
        <v>236</v>
      </c>
      <c r="GX303" t="s">
        <v>236</v>
      </c>
      <c r="HB303" t="s">
        <v>358</v>
      </c>
      <c r="HC303" t="s">
        <v>1647</v>
      </c>
      <c r="HE303">
        <v>82997774</v>
      </c>
      <c r="HF303" t="s">
        <v>1648</v>
      </c>
      <c r="HG303" s="2">
        <v>45754.174108796287</v>
      </c>
      <c r="HJ303" t="s">
        <v>248</v>
      </c>
      <c r="HL303" t="s">
        <v>249</v>
      </c>
      <c r="HN303">
        <v>302</v>
      </c>
    </row>
    <row r="304" spans="1:222" x14ac:dyDescent="0.25">
      <c r="A304" s="2">
        <v>45753.96576309028</v>
      </c>
      <c r="B304" s="2">
        <v>45753.968621736109</v>
      </c>
      <c r="C304" t="s">
        <v>375</v>
      </c>
      <c r="D304">
        <v>340</v>
      </c>
      <c r="E304" s="2">
        <v>45731</v>
      </c>
      <c r="F304">
        <v>2</v>
      </c>
      <c r="G304" t="s">
        <v>271</v>
      </c>
      <c r="H304" t="s">
        <v>391</v>
      </c>
      <c r="I304">
        <v>21</v>
      </c>
      <c r="J304" t="str">
        <f t="shared" si="4"/>
        <v>de 18 a 25 años</v>
      </c>
      <c r="K304" t="s">
        <v>224</v>
      </c>
      <c r="L304">
        <v>1</v>
      </c>
      <c r="M304">
        <v>0</v>
      </c>
      <c r="N304">
        <v>1</v>
      </c>
      <c r="O304">
        <v>0</v>
      </c>
      <c r="P304">
        <v>0</v>
      </c>
      <c r="Q304" t="s">
        <v>291</v>
      </c>
      <c r="R304" t="s">
        <v>226</v>
      </c>
      <c r="T304" t="s">
        <v>227</v>
      </c>
      <c r="V304" t="s">
        <v>252</v>
      </c>
      <c r="W304" t="s">
        <v>229</v>
      </c>
      <c r="X304" t="s">
        <v>253</v>
      </c>
      <c r="Z304" t="s">
        <v>308</v>
      </c>
      <c r="AA304" t="s">
        <v>255</v>
      </c>
      <c r="AB304">
        <v>0</v>
      </c>
      <c r="AC304">
        <v>0</v>
      </c>
      <c r="AD304">
        <v>0</v>
      </c>
      <c r="AE304">
        <v>1</v>
      </c>
      <c r="AF304">
        <v>0</v>
      </c>
      <c r="AG304">
        <v>0</v>
      </c>
      <c r="AI304" t="s">
        <v>256</v>
      </c>
      <c r="AJ304">
        <v>0</v>
      </c>
      <c r="AK304">
        <v>0</v>
      </c>
      <c r="AL304">
        <v>1</v>
      </c>
      <c r="AM304">
        <v>0</v>
      </c>
      <c r="AN304" t="s">
        <v>234</v>
      </c>
      <c r="AO304" t="s">
        <v>275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X304" t="s">
        <v>226</v>
      </c>
      <c r="AY304" t="s">
        <v>226</v>
      </c>
      <c r="AZ304" t="s">
        <v>237</v>
      </c>
      <c r="BA304" t="s">
        <v>276</v>
      </c>
      <c r="BB304" t="s">
        <v>411</v>
      </c>
      <c r="BE304" t="s">
        <v>237</v>
      </c>
      <c r="BF304" t="s">
        <v>237</v>
      </c>
      <c r="BG304" t="s">
        <v>261</v>
      </c>
      <c r="BH304" t="s">
        <v>259</v>
      </c>
      <c r="BI304" t="s">
        <v>237</v>
      </c>
      <c r="BJ304" t="s">
        <v>259</v>
      </c>
      <c r="BK304" t="s">
        <v>259</v>
      </c>
      <c r="BL304" t="s">
        <v>240</v>
      </c>
      <c r="BM304" t="s">
        <v>278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1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 t="s">
        <v>264</v>
      </c>
      <c r="CB304" t="s">
        <v>264</v>
      </c>
      <c r="CC304" t="s">
        <v>264</v>
      </c>
      <c r="CD304" t="s">
        <v>236</v>
      </c>
      <c r="CE304" t="s">
        <v>236</v>
      </c>
      <c r="EA304" t="s">
        <v>236</v>
      </c>
      <c r="EC304" t="s">
        <v>236</v>
      </c>
      <c r="EE304" t="s">
        <v>226</v>
      </c>
      <c r="EF304" t="s">
        <v>245</v>
      </c>
      <c r="EG304" t="s">
        <v>226</v>
      </c>
      <c r="EH304" t="s">
        <v>244</v>
      </c>
      <c r="EI304" t="s">
        <v>236</v>
      </c>
      <c r="EK304" t="s">
        <v>236</v>
      </c>
      <c r="EM304" t="s">
        <v>226</v>
      </c>
      <c r="EN304" t="s">
        <v>244</v>
      </c>
      <c r="EO304" t="s">
        <v>226</v>
      </c>
      <c r="EP304" t="s">
        <v>244</v>
      </c>
      <c r="EQ304" t="s">
        <v>226</v>
      </c>
      <c r="ER304" t="s">
        <v>244</v>
      </c>
      <c r="ES304" t="s">
        <v>226</v>
      </c>
      <c r="ET304" t="s">
        <v>245</v>
      </c>
      <c r="EU304" t="s">
        <v>236</v>
      </c>
      <c r="EW304" t="s">
        <v>226</v>
      </c>
      <c r="EX304" t="s">
        <v>244</v>
      </c>
      <c r="EY304" t="s">
        <v>226</v>
      </c>
      <c r="EZ304" t="s">
        <v>245</v>
      </c>
      <c r="FA304" t="s">
        <v>226</v>
      </c>
      <c r="FB304" t="s">
        <v>245</v>
      </c>
      <c r="FC304" t="s">
        <v>236</v>
      </c>
      <c r="FE304" t="s">
        <v>226</v>
      </c>
      <c r="FF304" t="s">
        <v>244</v>
      </c>
      <c r="FG304" t="s">
        <v>236</v>
      </c>
      <c r="FJ304" t="s">
        <v>226</v>
      </c>
      <c r="FK304" t="s">
        <v>245</v>
      </c>
      <c r="FL304" t="s">
        <v>236</v>
      </c>
      <c r="FM304" t="s">
        <v>236</v>
      </c>
      <c r="FW304" t="s">
        <v>226</v>
      </c>
      <c r="FX304" t="s">
        <v>236</v>
      </c>
      <c r="FZ304" t="s">
        <v>236</v>
      </c>
      <c r="GC304" t="s">
        <v>236</v>
      </c>
      <c r="GF304" t="s">
        <v>226</v>
      </c>
      <c r="GG304" t="s">
        <v>236</v>
      </c>
      <c r="GI304" t="s">
        <v>236</v>
      </c>
      <c r="GL304" t="s">
        <v>226</v>
      </c>
      <c r="GM304" t="s">
        <v>236</v>
      </c>
      <c r="GO304" t="s">
        <v>236</v>
      </c>
      <c r="GR304" t="s">
        <v>236</v>
      </c>
      <c r="GU304" t="s">
        <v>236</v>
      </c>
      <c r="GX304" t="s">
        <v>236</v>
      </c>
      <c r="HB304" t="s">
        <v>279</v>
      </c>
      <c r="HC304" t="s">
        <v>338</v>
      </c>
      <c r="HE304">
        <v>82998066</v>
      </c>
      <c r="HF304" t="s">
        <v>412</v>
      </c>
      <c r="HG304" s="2">
        <v>45754.17695601852</v>
      </c>
      <c r="HJ304" t="s">
        <v>248</v>
      </c>
      <c r="HL304" t="s">
        <v>249</v>
      </c>
      <c r="HN304">
        <v>303</v>
      </c>
    </row>
    <row r="305" spans="1:222" x14ac:dyDescent="0.25">
      <c r="A305" s="2">
        <v>45753.968622291657</v>
      </c>
      <c r="B305" s="2">
        <v>45753.971886157407</v>
      </c>
      <c r="C305" t="s">
        <v>375</v>
      </c>
      <c r="D305">
        <v>339</v>
      </c>
      <c r="E305" s="2">
        <v>45730</v>
      </c>
      <c r="F305">
        <v>2</v>
      </c>
      <c r="G305" t="s">
        <v>403</v>
      </c>
      <c r="H305" t="s">
        <v>391</v>
      </c>
      <c r="I305">
        <v>18</v>
      </c>
      <c r="J305" t="str">
        <f t="shared" si="4"/>
        <v>de 18 a 25 años</v>
      </c>
      <c r="K305" t="s">
        <v>224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225</v>
      </c>
      <c r="R305" t="s">
        <v>226</v>
      </c>
      <c r="T305" t="s">
        <v>227</v>
      </c>
      <c r="V305" t="s">
        <v>252</v>
      </c>
      <c r="W305" t="s">
        <v>229</v>
      </c>
      <c r="X305" t="s">
        <v>230</v>
      </c>
      <c r="Z305" t="s">
        <v>231</v>
      </c>
      <c r="AA305" t="s">
        <v>352</v>
      </c>
      <c r="AB305">
        <v>1</v>
      </c>
      <c r="AC305">
        <v>0</v>
      </c>
      <c r="AD305">
        <v>0</v>
      </c>
      <c r="AE305">
        <v>0</v>
      </c>
      <c r="AF305">
        <v>1</v>
      </c>
      <c r="AG305">
        <v>0</v>
      </c>
      <c r="AI305" t="s">
        <v>256</v>
      </c>
      <c r="AJ305">
        <v>0</v>
      </c>
      <c r="AK305">
        <v>0</v>
      </c>
      <c r="AL305">
        <v>1</v>
      </c>
      <c r="AM305">
        <v>0</v>
      </c>
      <c r="AN305" t="s">
        <v>234</v>
      </c>
      <c r="AO305" t="s">
        <v>294</v>
      </c>
      <c r="AP305">
        <v>1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X305" t="s">
        <v>226</v>
      </c>
      <c r="AY305" t="s">
        <v>226</v>
      </c>
      <c r="AZ305" t="s">
        <v>259</v>
      </c>
      <c r="BA305" t="s">
        <v>1642</v>
      </c>
      <c r="BB305" t="s">
        <v>1034</v>
      </c>
      <c r="BE305" t="s">
        <v>259</v>
      </c>
      <c r="BF305" t="s">
        <v>259</v>
      </c>
      <c r="BG305" t="s">
        <v>259</v>
      </c>
      <c r="BH305" t="s">
        <v>259</v>
      </c>
      <c r="BI305" t="s">
        <v>237</v>
      </c>
      <c r="BJ305" t="s">
        <v>259</v>
      </c>
      <c r="BK305" t="s">
        <v>261</v>
      </c>
      <c r="BL305" t="s">
        <v>313</v>
      </c>
      <c r="BM305" t="s">
        <v>278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 t="s">
        <v>243</v>
      </c>
      <c r="CB305" t="s">
        <v>242</v>
      </c>
      <c r="CC305" t="s">
        <v>243</v>
      </c>
      <c r="CD305" t="s">
        <v>236</v>
      </c>
      <c r="CE305" t="s">
        <v>226</v>
      </c>
      <c r="CF305" t="s">
        <v>1643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W305" t="s">
        <v>236</v>
      </c>
      <c r="DL305" t="s">
        <v>316</v>
      </c>
      <c r="EA305" t="s">
        <v>236</v>
      </c>
      <c r="EC305" t="s">
        <v>236</v>
      </c>
      <c r="EE305" t="s">
        <v>226</v>
      </c>
      <c r="EF305" t="s">
        <v>265</v>
      </c>
      <c r="EG305" t="s">
        <v>236</v>
      </c>
      <c r="EI305" t="s">
        <v>236</v>
      </c>
      <c r="EK305" t="s">
        <v>236</v>
      </c>
      <c r="EM305" t="s">
        <v>226</v>
      </c>
      <c r="EN305" t="s">
        <v>265</v>
      </c>
      <c r="EO305" t="s">
        <v>236</v>
      </c>
      <c r="EQ305" t="s">
        <v>236</v>
      </c>
      <c r="ES305" t="s">
        <v>236</v>
      </c>
      <c r="EU305" t="s">
        <v>236</v>
      </c>
      <c r="EW305" t="s">
        <v>226</v>
      </c>
      <c r="EX305" t="s">
        <v>244</v>
      </c>
      <c r="EY305" t="s">
        <v>236</v>
      </c>
      <c r="FA305" t="s">
        <v>226</v>
      </c>
      <c r="FB305" t="s">
        <v>245</v>
      </c>
      <c r="FC305" t="s">
        <v>236</v>
      </c>
      <c r="FE305" t="s">
        <v>236</v>
      </c>
      <c r="FG305" t="s">
        <v>236</v>
      </c>
      <c r="FJ305" t="s">
        <v>226</v>
      </c>
      <c r="FK305" t="s">
        <v>265</v>
      </c>
      <c r="FL305" t="s">
        <v>236</v>
      </c>
      <c r="FM305" t="s">
        <v>236</v>
      </c>
      <c r="FW305" t="s">
        <v>226</v>
      </c>
      <c r="FX305" t="s">
        <v>236</v>
      </c>
      <c r="FZ305" t="s">
        <v>236</v>
      </c>
      <c r="GC305" t="s">
        <v>236</v>
      </c>
      <c r="GF305" t="s">
        <v>226</v>
      </c>
      <c r="GG305" t="s">
        <v>226</v>
      </c>
      <c r="GH305" t="s">
        <v>266</v>
      </c>
      <c r="GI305" t="s">
        <v>236</v>
      </c>
      <c r="GL305" t="s">
        <v>236</v>
      </c>
      <c r="GO305" t="s">
        <v>226</v>
      </c>
      <c r="GP305" t="s">
        <v>226</v>
      </c>
      <c r="GQ305" t="s">
        <v>266</v>
      </c>
      <c r="GR305" t="s">
        <v>226</v>
      </c>
      <c r="GS305" t="s">
        <v>236</v>
      </c>
      <c r="GU305" t="s">
        <v>236</v>
      </c>
      <c r="GX305" t="s">
        <v>236</v>
      </c>
      <c r="HB305" t="s">
        <v>513</v>
      </c>
      <c r="HC305" t="s">
        <v>1644</v>
      </c>
      <c r="HD305" t="s">
        <v>280</v>
      </c>
      <c r="HE305">
        <v>82998493</v>
      </c>
      <c r="HF305" t="s">
        <v>1645</v>
      </c>
      <c r="HG305" s="2">
        <v>45754.180219907408</v>
      </c>
      <c r="HJ305" t="s">
        <v>248</v>
      </c>
      <c r="HL305" t="s">
        <v>249</v>
      </c>
      <c r="HN305">
        <v>304</v>
      </c>
    </row>
    <row r="306" spans="1:222" x14ac:dyDescent="0.25">
      <c r="A306" s="2">
        <v>45753.971886793981</v>
      </c>
      <c r="B306" s="2">
        <v>45753.974450069443</v>
      </c>
      <c r="C306" t="s">
        <v>375</v>
      </c>
      <c r="D306">
        <v>338</v>
      </c>
      <c r="E306" s="2">
        <v>45730</v>
      </c>
      <c r="F306">
        <v>2</v>
      </c>
      <c r="G306" t="s">
        <v>290</v>
      </c>
      <c r="H306" t="s">
        <v>391</v>
      </c>
      <c r="I306">
        <v>26</v>
      </c>
      <c r="J306" t="str">
        <f t="shared" si="4"/>
        <v>de 26 a 40 años</v>
      </c>
      <c r="K306" t="s">
        <v>341</v>
      </c>
      <c r="L306">
        <v>2</v>
      </c>
      <c r="M306">
        <v>0</v>
      </c>
      <c r="N306">
        <v>0</v>
      </c>
      <c r="O306">
        <v>0</v>
      </c>
      <c r="P306">
        <v>0</v>
      </c>
      <c r="Q306" t="s">
        <v>225</v>
      </c>
      <c r="R306" t="s">
        <v>226</v>
      </c>
      <c r="T306" t="s">
        <v>227</v>
      </c>
      <c r="V306" t="s">
        <v>252</v>
      </c>
      <c r="W306" t="s">
        <v>229</v>
      </c>
      <c r="X306" t="s">
        <v>230</v>
      </c>
      <c r="Z306" t="s">
        <v>351</v>
      </c>
      <c r="AA306" t="s">
        <v>293</v>
      </c>
      <c r="AB306">
        <v>0</v>
      </c>
      <c r="AC306">
        <v>0</v>
      </c>
      <c r="AD306">
        <v>0</v>
      </c>
      <c r="AE306">
        <v>0</v>
      </c>
      <c r="AF306">
        <v>1</v>
      </c>
      <c r="AG306">
        <v>0</v>
      </c>
      <c r="AI306" t="s">
        <v>233</v>
      </c>
      <c r="AJ306">
        <v>0</v>
      </c>
      <c r="AK306">
        <v>1</v>
      </c>
      <c r="AL306">
        <v>0</v>
      </c>
      <c r="AM306">
        <v>0</v>
      </c>
      <c r="AN306" t="s">
        <v>274</v>
      </c>
      <c r="AO306" t="s">
        <v>275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X306" t="s">
        <v>236</v>
      </c>
      <c r="AZ306" t="s">
        <v>237</v>
      </c>
      <c r="BA306" t="s">
        <v>1639</v>
      </c>
      <c r="BE306" t="s">
        <v>259</v>
      </c>
      <c r="BF306" t="s">
        <v>259</v>
      </c>
      <c r="BG306" t="s">
        <v>259</v>
      </c>
      <c r="BH306" t="s">
        <v>259</v>
      </c>
      <c r="BI306" t="s">
        <v>237</v>
      </c>
      <c r="BJ306" t="s">
        <v>237</v>
      </c>
      <c r="BK306" t="s">
        <v>362</v>
      </c>
      <c r="BL306" t="s">
        <v>240</v>
      </c>
      <c r="BM306" t="s">
        <v>415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 t="s">
        <v>243</v>
      </c>
      <c r="CB306" t="s">
        <v>243</v>
      </c>
      <c r="CC306" t="s">
        <v>242</v>
      </c>
      <c r="CD306" t="s">
        <v>236</v>
      </c>
      <c r="CE306" t="s">
        <v>236</v>
      </c>
      <c r="EA306" t="s">
        <v>236</v>
      </c>
      <c r="EC306" t="s">
        <v>236</v>
      </c>
      <c r="EE306" t="s">
        <v>236</v>
      </c>
      <c r="EG306" t="s">
        <v>236</v>
      </c>
      <c r="EI306" t="s">
        <v>236</v>
      </c>
      <c r="EK306" t="s">
        <v>236</v>
      </c>
      <c r="EM306" t="s">
        <v>236</v>
      </c>
      <c r="EO306" t="s">
        <v>236</v>
      </c>
      <c r="EQ306" t="s">
        <v>236</v>
      </c>
      <c r="ES306" t="s">
        <v>236</v>
      </c>
      <c r="EU306" t="s">
        <v>236</v>
      </c>
      <c r="EW306" t="s">
        <v>236</v>
      </c>
      <c r="EY306" t="s">
        <v>236</v>
      </c>
      <c r="FA306" t="s">
        <v>236</v>
      </c>
      <c r="FC306" t="s">
        <v>236</v>
      </c>
      <c r="FE306" t="s">
        <v>236</v>
      </c>
      <c r="FG306" t="s">
        <v>236</v>
      </c>
      <c r="FJ306" t="s">
        <v>226</v>
      </c>
      <c r="FK306" t="s">
        <v>265</v>
      </c>
      <c r="FL306" t="s">
        <v>236</v>
      </c>
      <c r="FM306" t="s">
        <v>236</v>
      </c>
      <c r="FW306" t="s">
        <v>226</v>
      </c>
      <c r="FX306" t="s">
        <v>236</v>
      </c>
      <c r="FZ306" t="s">
        <v>236</v>
      </c>
      <c r="GC306" t="s">
        <v>236</v>
      </c>
      <c r="GF306" t="s">
        <v>226</v>
      </c>
      <c r="GG306" t="s">
        <v>236</v>
      </c>
      <c r="GI306" t="s">
        <v>236</v>
      </c>
      <c r="GL306" t="s">
        <v>226</v>
      </c>
      <c r="GM306" t="s">
        <v>236</v>
      </c>
      <c r="GO306" t="s">
        <v>226</v>
      </c>
      <c r="GP306" t="s">
        <v>236</v>
      </c>
      <c r="GR306" t="s">
        <v>226</v>
      </c>
      <c r="GS306" t="s">
        <v>236</v>
      </c>
      <c r="GU306" t="s">
        <v>226</v>
      </c>
      <c r="GV306" t="s">
        <v>236</v>
      </c>
      <c r="GX306" t="s">
        <v>236</v>
      </c>
      <c r="HB306" t="s">
        <v>1640</v>
      </c>
      <c r="HE306">
        <v>82998741</v>
      </c>
      <c r="HF306" t="s">
        <v>1641</v>
      </c>
      <c r="HG306" s="2">
        <v>45754.182789351849</v>
      </c>
      <c r="HJ306" t="s">
        <v>248</v>
      </c>
      <c r="HL306" t="s">
        <v>249</v>
      </c>
      <c r="HN306">
        <v>305</v>
      </c>
    </row>
    <row r="307" spans="1:222" x14ac:dyDescent="0.25">
      <c r="A307" s="2">
        <v>45753.974450613423</v>
      </c>
      <c r="B307" s="2">
        <v>45753.977732511572</v>
      </c>
      <c r="C307" t="s">
        <v>375</v>
      </c>
      <c r="D307">
        <v>337</v>
      </c>
      <c r="E307" s="2">
        <v>45730</v>
      </c>
      <c r="F307">
        <v>2</v>
      </c>
      <c r="G307" t="s">
        <v>403</v>
      </c>
      <c r="H307" t="s">
        <v>391</v>
      </c>
      <c r="I307">
        <v>65</v>
      </c>
      <c r="J307" t="str">
        <f t="shared" si="4"/>
        <v>de 56 a más</v>
      </c>
      <c r="K307" t="s">
        <v>251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225</v>
      </c>
      <c r="R307" t="s">
        <v>226</v>
      </c>
      <c r="T307" t="s">
        <v>227</v>
      </c>
      <c r="V307" t="s">
        <v>321</v>
      </c>
      <c r="W307" t="s">
        <v>229</v>
      </c>
      <c r="X307" t="s">
        <v>368</v>
      </c>
      <c r="Z307" t="s">
        <v>231</v>
      </c>
      <c r="AA307" t="s">
        <v>616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</v>
      </c>
      <c r="AH307" t="s">
        <v>1633</v>
      </c>
      <c r="AI307" t="s">
        <v>233</v>
      </c>
      <c r="AJ307">
        <v>0</v>
      </c>
      <c r="AK307">
        <v>1</v>
      </c>
      <c r="AL307">
        <v>0</v>
      </c>
      <c r="AM307">
        <v>0</v>
      </c>
      <c r="AN307" t="s">
        <v>234</v>
      </c>
      <c r="AO307" t="s">
        <v>275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X307" t="s">
        <v>236</v>
      </c>
      <c r="AZ307" t="s">
        <v>259</v>
      </c>
      <c r="BA307" t="s">
        <v>1634</v>
      </c>
      <c r="BB307" t="s">
        <v>1635</v>
      </c>
      <c r="BC307" t="s">
        <v>1636</v>
      </c>
      <c r="BE307" t="s">
        <v>259</v>
      </c>
      <c r="BF307" t="s">
        <v>261</v>
      </c>
      <c r="BG307" t="s">
        <v>259</v>
      </c>
      <c r="BH307" t="s">
        <v>259</v>
      </c>
      <c r="BI307" t="s">
        <v>237</v>
      </c>
      <c r="BJ307" t="s">
        <v>237</v>
      </c>
      <c r="BK307" t="s">
        <v>259</v>
      </c>
      <c r="BL307" t="s">
        <v>262</v>
      </c>
      <c r="BM307" t="s">
        <v>365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 t="s">
        <v>264</v>
      </c>
      <c r="CB307" t="s">
        <v>264</v>
      </c>
      <c r="CC307" t="s">
        <v>264</v>
      </c>
      <c r="CD307" t="s">
        <v>236</v>
      </c>
      <c r="CE307" t="s">
        <v>236</v>
      </c>
      <c r="EA307" t="s">
        <v>226</v>
      </c>
      <c r="EB307" t="s">
        <v>244</v>
      </c>
      <c r="EC307" t="s">
        <v>226</v>
      </c>
      <c r="ED307" t="s">
        <v>245</v>
      </c>
      <c r="EE307" t="s">
        <v>226</v>
      </c>
      <c r="EF307" t="s">
        <v>244</v>
      </c>
      <c r="EG307" t="s">
        <v>226</v>
      </c>
      <c r="EH307" t="s">
        <v>245</v>
      </c>
      <c r="EI307" t="s">
        <v>226</v>
      </c>
      <c r="EJ307" t="s">
        <v>265</v>
      </c>
      <c r="EK307" t="s">
        <v>226</v>
      </c>
      <c r="EL307" t="s">
        <v>245</v>
      </c>
      <c r="EM307" t="s">
        <v>226</v>
      </c>
      <c r="EN307" t="s">
        <v>265</v>
      </c>
      <c r="EO307" t="s">
        <v>236</v>
      </c>
      <c r="EQ307" t="s">
        <v>236</v>
      </c>
      <c r="ES307" t="s">
        <v>236</v>
      </c>
      <c r="EU307" t="s">
        <v>236</v>
      </c>
      <c r="EW307" t="s">
        <v>236</v>
      </c>
      <c r="EY307" t="s">
        <v>226</v>
      </c>
      <c r="EZ307" t="s">
        <v>244</v>
      </c>
      <c r="FA307" t="s">
        <v>236</v>
      </c>
      <c r="FC307" t="s">
        <v>236</v>
      </c>
      <c r="FE307" t="s">
        <v>226</v>
      </c>
      <c r="FF307" t="s">
        <v>244</v>
      </c>
      <c r="FG307" t="s">
        <v>236</v>
      </c>
      <c r="FJ307" t="s">
        <v>226</v>
      </c>
      <c r="FK307" t="s">
        <v>265</v>
      </c>
      <c r="FL307" t="s">
        <v>226</v>
      </c>
      <c r="FM307" t="s">
        <v>236</v>
      </c>
      <c r="FW307" t="s">
        <v>226</v>
      </c>
      <c r="FX307" t="s">
        <v>226</v>
      </c>
      <c r="FY307" t="s">
        <v>266</v>
      </c>
      <c r="FZ307" t="s">
        <v>236</v>
      </c>
      <c r="GC307" t="s">
        <v>236</v>
      </c>
      <c r="GF307" t="s">
        <v>226</v>
      </c>
      <c r="GG307" t="s">
        <v>236</v>
      </c>
      <c r="GI307" t="s">
        <v>236</v>
      </c>
      <c r="GL307" t="s">
        <v>226</v>
      </c>
      <c r="GM307" t="s">
        <v>226</v>
      </c>
      <c r="GN307" t="s">
        <v>266</v>
      </c>
      <c r="GO307" t="s">
        <v>226</v>
      </c>
      <c r="GP307" t="s">
        <v>226</v>
      </c>
      <c r="GQ307" t="s">
        <v>266</v>
      </c>
      <c r="GR307" t="s">
        <v>226</v>
      </c>
      <c r="GS307" t="s">
        <v>226</v>
      </c>
      <c r="GT307" t="s">
        <v>266</v>
      </c>
      <c r="GU307" t="s">
        <v>236</v>
      </c>
      <c r="GX307" t="s">
        <v>236</v>
      </c>
      <c r="HB307" t="s">
        <v>323</v>
      </c>
      <c r="HC307" t="s">
        <v>1637</v>
      </c>
      <c r="HE307">
        <v>82999009</v>
      </c>
      <c r="HF307" t="s">
        <v>1638</v>
      </c>
      <c r="HG307" s="2">
        <v>45754.186064814807</v>
      </c>
      <c r="HJ307" t="s">
        <v>248</v>
      </c>
      <c r="HL307" t="s">
        <v>249</v>
      </c>
      <c r="HN307">
        <v>306</v>
      </c>
    </row>
    <row r="308" spans="1:222" x14ac:dyDescent="0.25">
      <c r="A308" s="2">
        <v>45753.977733159722</v>
      </c>
      <c r="B308" s="2">
        <v>45753.982256157411</v>
      </c>
      <c r="C308" t="s">
        <v>375</v>
      </c>
      <c r="D308">
        <v>336</v>
      </c>
      <c r="E308" s="2">
        <v>45730</v>
      </c>
      <c r="F308">
        <v>2</v>
      </c>
      <c r="G308" t="s">
        <v>290</v>
      </c>
      <c r="H308" t="s">
        <v>391</v>
      </c>
      <c r="I308">
        <v>48</v>
      </c>
      <c r="J308" t="str">
        <f t="shared" si="4"/>
        <v>de 41 a 55 años</v>
      </c>
      <c r="K308" t="s">
        <v>251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291</v>
      </c>
      <c r="R308" t="s">
        <v>226</v>
      </c>
      <c r="T308" t="s">
        <v>227</v>
      </c>
      <c r="V308" t="s">
        <v>612</v>
      </c>
      <c r="W308" t="s">
        <v>229</v>
      </c>
      <c r="X308" t="s">
        <v>230</v>
      </c>
      <c r="Z308" t="s">
        <v>254</v>
      </c>
      <c r="AA308" t="s">
        <v>232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0</v>
      </c>
      <c r="AI308" t="s">
        <v>256</v>
      </c>
      <c r="AJ308">
        <v>0</v>
      </c>
      <c r="AK308">
        <v>0</v>
      </c>
      <c r="AL308">
        <v>1</v>
      </c>
      <c r="AM308">
        <v>0</v>
      </c>
      <c r="AN308" t="s">
        <v>234</v>
      </c>
      <c r="AO308" t="s">
        <v>275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X308" t="s">
        <v>226</v>
      </c>
      <c r="AY308" t="s">
        <v>226</v>
      </c>
      <c r="AZ308" t="s">
        <v>259</v>
      </c>
      <c r="BA308" t="s">
        <v>1630</v>
      </c>
      <c r="BE308" t="s">
        <v>261</v>
      </c>
      <c r="BF308" t="s">
        <v>237</v>
      </c>
      <c r="BG308" t="s">
        <v>259</v>
      </c>
      <c r="BH308" t="s">
        <v>239</v>
      </c>
      <c r="BI308" t="s">
        <v>237</v>
      </c>
      <c r="BJ308" t="s">
        <v>237</v>
      </c>
      <c r="BK308" t="s">
        <v>362</v>
      </c>
      <c r="BL308" t="s">
        <v>313</v>
      </c>
      <c r="BM308" t="s">
        <v>296</v>
      </c>
      <c r="BN308">
        <v>0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 t="s">
        <v>328</v>
      </c>
      <c r="CB308" t="s">
        <v>328</v>
      </c>
      <c r="CC308" t="s">
        <v>328</v>
      </c>
      <c r="CD308" t="s">
        <v>236</v>
      </c>
      <c r="CE308" t="s">
        <v>236</v>
      </c>
      <c r="EA308" t="s">
        <v>236</v>
      </c>
      <c r="EC308" t="s">
        <v>236</v>
      </c>
      <c r="EE308" t="s">
        <v>226</v>
      </c>
      <c r="EF308" t="s">
        <v>244</v>
      </c>
      <c r="EG308" t="s">
        <v>226</v>
      </c>
      <c r="EH308" t="s">
        <v>244</v>
      </c>
      <c r="EI308" t="s">
        <v>236</v>
      </c>
      <c r="EK308" t="s">
        <v>236</v>
      </c>
      <c r="EM308" t="s">
        <v>226</v>
      </c>
      <c r="EN308" t="s">
        <v>244</v>
      </c>
      <c r="EO308" t="s">
        <v>226</v>
      </c>
      <c r="EP308" t="s">
        <v>244</v>
      </c>
      <c r="EQ308" t="s">
        <v>226</v>
      </c>
      <c r="ER308" t="s">
        <v>244</v>
      </c>
      <c r="ES308" t="s">
        <v>226</v>
      </c>
      <c r="ET308" t="s">
        <v>244</v>
      </c>
      <c r="EU308" t="s">
        <v>226</v>
      </c>
      <c r="EV308" t="s">
        <v>244</v>
      </c>
      <c r="EW308" t="s">
        <v>236</v>
      </c>
      <c r="EY308" t="s">
        <v>226</v>
      </c>
      <c r="EZ308" t="s">
        <v>244</v>
      </c>
      <c r="FA308" t="s">
        <v>226</v>
      </c>
      <c r="FB308" t="s">
        <v>245</v>
      </c>
      <c r="FC308" t="s">
        <v>236</v>
      </c>
      <c r="FE308" t="s">
        <v>236</v>
      </c>
      <c r="FG308" t="s">
        <v>236</v>
      </c>
      <c r="FJ308" t="s">
        <v>226</v>
      </c>
      <c r="FK308" t="s">
        <v>265</v>
      </c>
      <c r="FL308" t="s">
        <v>236</v>
      </c>
      <c r="FM308" t="s">
        <v>236</v>
      </c>
      <c r="FW308" t="s">
        <v>236</v>
      </c>
      <c r="FZ308" t="s">
        <v>236</v>
      </c>
      <c r="GC308" t="s">
        <v>226</v>
      </c>
      <c r="GD308" t="s">
        <v>236</v>
      </c>
      <c r="GF308" t="s">
        <v>226</v>
      </c>
      <c r="GG308" t="s">
        <v>236</v>
      </c>
      <c r="GI308" t="s">
        <v>236</v>
      </c>
      <c r="GL308" t="s">
        <v>236</v>
      </c>
      <c r="GO308" t="s">
        <v>226</v>
      </c>
      <c r="GP308" t="s">
        <v>226</v>
      </c>
      <c r="GQ308" t="s">
        <v>267</v>
      </c>
      <c r="GR308" t="s">
        <v>226</v>
      </c>
      <c r="GS308" t="s">
        <v>226</v>
      </c>
      <c r="GT308" t="s">
        <v>267</v>
      </c>
      <c r="GU308" t="s">
        <v>236</v>
      </c>
      <c r="GX308" t="s">
        <v>236</v>
      </c>
      <c r="HB308" t="s">
        <v>1631</v>
      </c>
      <c r="HE308">
        <v>82999691</v>
      </c>
      <c r="HF308" t="s">
        <v>1632</v>
      </c>
      <c r="HG308" s="2">
        <v>45754.19059027778</v>
      </c>
      <c r="HJ308" t="s">
        <v>248</v>
      </c>
      <c r="HL308" t="s">
        <v>249</v>
      </c>
      <c r="HN308">
        <v>307</v>
      </c>
    </row>
    <row r="309" spans="1:222" x14ac:dyDescent="0.25">
      <c r="A309" s="2">
        <v>45753.982256724543</v>
      </c>
      <c r="B309" s="2">
        <v>45753.987130520843</v>
      </c>
      <c r="C309" t="s">
        <v>375</v>
      </c>
      <c r="D309">
        <v>335</v>
      </c>
      <c r="E309" s="2">
        <v>45730</v>
      </c>
      <c r="F309">
        <v>2</v>
      </c>
      <c r="G309" t="s">
        <v>419</v>
      </c>
      <c r="H309" t="s">
        <v>391</v>
      </c>
      <c r="I309">
        <v>25</v>
      </c>
      <c r="J309" t="str">
        <f t="shared" si="4"/>
        <v>de 18 a 25 años</v>
      </c>
      <c r="K309" t="s">
        <v>251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225</v>
      </c>
      <c r="R309" t="s">
        <v>226</v>
      </c>
      <c r="T309" t="s">
        <v>284</v>
      </c>
      <c r="V309" t="s">
        <v>228</v>
      </c>
      <c r="W309" t="s">
        <v>292</v>
      </c>
      <c r="X309" t="s">
        <v>253</v>
      </c>
      <c r="Z309" t="s">
        <v>254</v>
      </c>
      <c r="AA309" t="s">
        <v>255</v>
      </c>
      <c r="AB309">
        <v>0</v>
      </c>
      <c r="AC309">
        <v>0</v>
      </c>
      <c r="AD309">
        <v>0</v>
      </c>
      <c r="AE309">
        <v>1</v>
      </c>
      <c r="AF309">
        <v>0</v>
      </c>
      <c r="AG309">
        <v>0</v>
      </c>
      <c r="AI309" t="s">
        <v>504</v>
      </c>
      <c r="AJ309">
        <v>1</v>
      </c>
      <c r="AK309">
        <v>0</v>
      </c>
      <c r="AL309">
        <v>0</v>
      </c>
      <c r="AM309">
        <v>0</v>
      </c>
      <c r="AN309" t="s">
        <v>257</v>
      </c>
      <c r="AO309" t="s">
        <v>382</v>
      </c>
      <c r="AP309">
        <v>0</v>
      </c>
      <c r="AQ309">
        <v>0</v>
      </c>
      <c r="AR309">
        <v>1</v>
      </c>
      <c r="AS309">
        <v>0</v>
      </c>
      <c r="AT309">
        <v>0</v>
      </c>
      <c r="AU309">
        <v>0</v>
      </c>
      <c r="AV309">
        <v>0</v>
      </c>
      <c r="AX309" t="s">
        <v>236</v>
      </c>
      <c r="AZ309" t="s">
        <v>259</v>
      </c>
      <c r="BA309" t="s">
        <v>517</v>
      </c>
      <c r="BE309" t="s">
        <v>259</v>
      </c>
      <c r="BF309" t="s">
        <v>237</v>
      </c>
      <c r="BG309" t="s">
        <v>259</v>
      </c>
      <c r="BH309" t="s">
        <v>259</v>
      </c>
      <c r="BI309" t="s">
        <v>237</v>
      </c>
      <c r="BJ309" t="s">
        <v>259</v>
      </c>
      <c r="BK309" t="s">
        <v>259</v>
      </c>
      <c r="BL309" t="s">
        <v>313</v>
      </c>
      <c r="BM309" t="s">
        <v>518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 t="s">
        <v>243</v>
      </c>
      <c r="CB309" t="s">
        <v>243</v>
      </c>
      <c r="CC309" t="s">
        <v>243</v>
      </c>
      <c r="CD309" t="s">
        <v>226</v>
      </c>
      <c r="CE309" t="s">
        <v>226</v>
      </c>
      <c r="CF309" t="s">
        <v>519</v>
      </c>
      <c r="CG309">
        <v>0</v>
      </c>
      <c r="CH309">
        <v>1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1</v>
      </c>
      <c r="CQ309">
        <v>0</v>
      </c>
      <c r="CT309" t="s">
        <v>236</v>
      </c>
      <c r="DB309" t="s">
        <v>236</v>
      </c>
      <c r="DF309" t="s">
        <v>316</v>
      </c>
      <c r="DV309" t="s">
        <v>520</v>
      </c>
      <c r="EA309" t="s">
        <v>236</v>
      </c>
      <c r="EC309" t="s">
        <v>226</v>
      </c>
      <c r="ED309" t="s">
        <v>244</v>
      </c>
      <c r="EE309" t="s">
        <v>226</v>
      </c>
      <c r="EF309" t="s">
        <v>265</v>
      </c>
      <c r="EG309" t="s">
        <v>226</v>
      </c>
      <c r="EH309" t="s">
        <v>245</v>
      </c>
      <c r="EI309" t="s">
        <v>226</v>
      </c>
      <c r="EJ309" t="s">
        <v>245</v>
      </c>
      <c r="EK309" t="s">
        <v>226</v>
      </c>
      <c r="EL309" t="s">
        <v>245</v>
      </c>
      <c r="EM309" t="s">
        <v>226</v>
      </c>
      <c r="EN309" t="s">
        <v>245</v>
      </c>
      <c r="EO309" t="s">
        <v>226</v>
      </c>
      <c r="EP309" t="s">
        <v>245</v>
      </c>
      <c r="EQ309" t="s">
        <v>226</v>
      </c>
      <c r="ER309" t="s">
        <v>245</v>
      </c>
      <c r="ES309" t="s">
        <v>226</v>
      </c>
      <c r="ET309" t="s">
        <v>265</v>
      </c>
      <c r="EU309" t="s">
        <v>226</v>
      </c>
      <c r="EV309" t="s">
        <v>245</v>
      </c>
      <c r="EW309" t="s">
        <v>236</v>
      </c>
      <c r="EY309" t="s">
        <v>226</v>
      </c>
      <c r="EZ309" t="s">
        <v>244</v>
      </c>
      <c r="FA309" t="s">
        <v>226</v>
      </c>
      <c r="FB309" t="s">
        <v>245</v>
      </c>
      <c r="FC309" t="s">
        <v>236</v>
      </c>
      <c r="FE309" t="s">
        <v>226</v>
      </c>
      <c r="FF309" t="s">
        <v>245</v>
      </c>
      <c r="FG309" t="s">
        <v>236</v>
      </c>
      <c r="FJ309" t="s">
        <v>226</v>
      </c>
      <c r="FK309" t="s">
        <v>245</v>
      </c>
      <c r="FL309" t="s">
        <v>236</v>
      </c>
      <c r="FM309" t="s">
        <v>236</v>
      </c>
      <c r="FW309" t="s">
        <v>226</v>
      </c>
      <c r="FX309" t="s">
        <v>236</v>
      </c>
      <c r="FZ309" t="s">
        <v>226</v>
      </c>
      <c r="GA309" t="s">
        <v>236</v>
      </c>
      <c r="GC309" t="s">
        <v>236</v>
      </c>
      <c r="GF309" t="s">
        <v>226</v>
      </c>
      <c r="GG309" t="s">
        <v>236</v>
      </c>
      <c r="GI309" t="s">
        <v>236</v>
      </c>
      <c r="GL309" t="s">
        <v>236</v>
      </c>
      <c r="GO309" t="s">
        <v>226</v>
      </c>
      <c r="GP309" t="s">
        <v>226</v>
      </c>
      <c r="GQ309" t="s">
        <v>266</v>
      </c>
      <c r="GR309" t="s">
        <v>236</v>
      </c>
      <c r="GU309" t="s">
        <v>226</v>
      </c>
      <c r="GV309" t="s">
        <v>226</v>
      </c>
      <c r="GW309" t="s">
        <v>267</v>
      </c>
      <c r="GX309" t="s">
        <v>236</v>
      </c>
      <c r="HB309" t="s">
        <v>521</v>
      </c>
      <c r="HC309" t="s">
        <v>522</v>
      </c>
      <c r="HD309" t="s">
        <v>523</v>
      </c>
      <c r="HE309">
        <v>83000241</v>
      </c>
      <c r="HF309" t="s">
        <v>524</v>
      </c>
      <c r="HG309" s="2">
        <v>45754.195474537039</v>
      </c>
      <c r="HJ309" t="s">
        <v>248</v>
      </c>
      <c r="HL309" t="s">
        <v>249</v>
      </c>
      <c r="HN309">
        <v>308</v>
      </c>
    </row>
    <row r="310" spans="1:222" x14ac:dyDescent="0.25">
      <c r="A310" s="2">
        <v>45753.987131331021</v>
      </c>
      <c r="B310" s="2">
        <v>45753.98960184028</v>
      </c>
      <c r="C310" t="s">
        <v>375</v>
      </c>
      <c r="D310">
        <v>334</v>
      </c>
      <c r="E310" s="2">
        <v>45731</v>
      </c>
      <c r="F310">
        <v>2</v>
      </c>
      <c r="G310" t="s">
        <v>271</v>
      </c>
      <c r="H310" t="s">
        <v>391</v>
      </c>
      <c r="I310">
        <v>68</v>
      </c>
      <c r="J310" t="str">
        <f t="shared" si="4"/>
        <v>de 56 a más</v>
      </c>
      <c r="K310" t="s">
        <v>224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225</v>
      </c>
      <c r="R310" t="s">
        <v>226</v>
      </c>
      <c r="T310" t="s">
        <v>227</v>
      </c>
      <c r="V310" t="s">
        <v>612</v>
      </c>
      <c r="W310" t="s">
        <v>292</v>
      </c>
      <c r="X310" t="s">
        <v>230</v>
      </c>
      <c r="Z310" t="s">
        <v>254</v>
      </c>
      <c r="AA310" t="s">
        <v>255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I310" t="s">
        <v>504</v>
      </c>
      <c r="AJ310">
        <v>1</v>
      </c>
      <c r="AK310">
        <v>0</v>
      </c>
      <c r="AL310">
        <v>0</v>
      </c>
      <c r="AM310">
        <v>0</v>
      </c>
      <c r="AN310" t="s">
        <v>257</v>
      </c>
      <c r="AO310" t="s">
        <v>275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X310" t="s">
        <v>236</v>
      </c>
      <c r="AZ310" t="s">
        <v>237</v>
      </c>
      <c r="BA310" t="s">
        <v>276</v>
      </c>
      <c r="BB310" t="s">
        <v>411</v>
      </c>
      <c r="BE310" t="s">
        <v>259</v>
      </c>
      <c r="BF310" t="s">
        <v>259</v>
      </c>
      <c r="BG310" t="s">
        <v>259</v>
      </c>
      <c r="BH310" t="s">
        <v>259</v>
      </c>
      <c r="BI310" t="s">
        <v>259</v>
      </c>
      <c r="BJ310" t="s">
        <v>259</v>
      </c>
      <c r="BK310" t="s">
        <v>259</v>
      </c>
      <c r="BL310" t="s">
        <v>262</v>
      </c>
      <c r="BM310" t="s">
        <v>296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 t="s">
        <v>264</v>
      </c>
      <c r="CB310" t="s">
        <v>264</v>
      </c>
      <c r="CC310" t="s">
        <v>264</v>
      </c>
      <c r="CD310" t="s">
        <v>236</v>
      </c>
      <c r="CE310" t="s">
        <v>236</v>
      </c>
      <c r="EA310" t="s">
        <v>236</v>
      </c>
      <c r="EC310" t="s">
        <v>236</v>
      </c>
      <c r="EE310" t="s">
        <v>236</v>
      </c>
      <c r="EG310" t="s">
        <v>236</v>
      </c>
      <c r="EI310" t="s">
        <v>236</v>
      </c>
      <c r="EK310" t="s">
        <v>236</v>
      </c>
      <c r="EM310" t="s">
        <v>236</v>
      </c>
      <c r="EO310" t="s">
        <v>236</v>
      </c>
      <c r="EQ310" t="s">
        <v>236</v>
      </c>
      <c r="ES310" t="s">
        <v>236</v>
      </c>
      <c r="EU310" t="s">
        <v>236</v>
      </c>
      <c r="EW310" t="s">
        <v>236</v>
      </c>
      <c r="EY310" t="s">
        <v>236</v>
      </c>
      <c r="FA310" t="s">
        <v>236</v>
      </c>
      <c r="FC310" t="s">
        <v>236</v>
      </c>
      <c r="FE310" t="s">
        <v>236</v>
      </c>
      <c r="FG310" t="s">
        <v>236</v>
      </c>
      <c r="FJ310" t="s">
        <v>226</v>
      </c>
      <c r="FK310" t="s">
        <v>245</v>
      </c>
      <c r="FL310" t="s">
        <v>226</v>
      </c>
      <c r="FM310" t="s">
        <v>236</v>
      </c>
      <c r="FW310" t="s">
        <v>236</v>
      </c>
      <c r="FZ310" t="s">
        <v>236</v>
      </c>
      <c r="GC310" t="s">
        <v>236</v>
      </c>
      <c r="GF310" t="s">
        <v>236</v>
      </c>
      <c r="GI310" t="s">
        <v>226</v>
      </c>
      <c r="GJ310" t="s">
        <v>236</v>
      </c>
      <c r="GL310" t="s">
        <v>226</v>
      </c>
      <c r="GM310" t="s">
        <v>236</v>
      </c>
      <c r="GO310" t="s">
        <v>226</v>
      </c>
      <c r="GP310" t="s">
        <v>236</v>
      </c>
      <c r="GR310" t="s">
        <v>226</v>
      </c>
      <c r="GS310" t="s">
        <v>236</v>
      </c>
      <c r="GU310" t="s">
        <v>236</v>
      </c>
      <c r="GX310" t="s">
        <v>236</v>
      </c>
      <c r="HB310" t="s">
        <v>338</v>
      </c>
      <c r="HC310" t="s">
        <v>288</v>
      </c>
      <c r="HD310" t="s">
        <v>345</v>
      </c>
      <c r="HE310">
        <v>83000501</v>
      </c>
      <c r="HF310" t="s">
        <v>1629</v>
      </c>
      <c r="HG310" s="2">
        <v>45754.197939814818</v>
      </c>
      <c r="HJ310" t="s">
        <v>248</v>
      </c>
      <c r="HL310" t="s">
        <v>249</v>
      </c>
      <c r="HN310">
        <v>309</v>
      </c>
    </row>
    <row r="311" spans="1:222" x14ac:dyDescent="0.25">
      <c r="A311" s="2">
        <v>45753.989602939822</v>
      </c>
      <c r="B311" s="2">
        <v>45753.99250980324</v>
      </c>
      <c r="C311" t="s">
        <v>375</v>
      </c>
      <c r="D311">
        <v>333</v>
      </c>
      <c r="E311" s="2">
        <v>45730</v>
      </c>
      <c r="F311">
        <v>2</v>
      </c>
      <c r="G311" t="s">
        <v>403</v>
      </c>
      <c r="H311" t="s">
        <v>391</v>
      </c>
      <c r="I311">
        <v>29</v>
      </c>
      <c r="J311" t="str">
        <f t="shared" si="4"/>
        <v>de 26 a 40 años</v>
      </c>
      <c r="K311" t="s">
        <v>251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225</v>
      </c>
      <c r="R311" t="s">
        <v>226</v>
      </c>
      <c r="T311" t="s">
        <v>227</v>
      </c>
      <c r="V311" t="s">
        <v>321</v>
      </c>
      <c r="W311" t="s">
        <v>229</v>
      </c>
      <c r="X311" t="s">
        <v>350</v>
      </c>
      <c r="Z311" t="s">
        <v>398</v>
      </c>
      <c r="AA311" t="s">
        <v>255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I311" t="s">
        <v>233</v>
      </c>
      <c r="AJ311">
        <v>0</v>
      </c>
      <c r="AK311">
        <v>1</v>
      </c>
      <c r="AL311">
        <v>0</v>
      </c>
      <c r="AM311">
        <v>0</v>
      </c>
      <c r="AN311" t="s">
        <v>257</v>
      </c>
      <c r="AO311" t="s">
        <v>275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X311" t="s">
        <v>236</v>
      </c>
      <c r="AZ311" t="s">
        <v>237</v>
      </c>
      <c r="BA311" t="s">
        <v>1627</v>
      </c>
      <c r="BB311" t="s">
        <v>276</v>
      </c>
      <c r="BC311" t="s">
        <v>438</v>
      </c>
      <c r="BE311" t="s">
        <v>259</v>
      </c>
      <c r="BF311" t="s">
        <v>261</v>
      </c>
      <c r="BG311" t="s">
        <v>261</v>
      </c>
      <c r="BH311" t="s">
        <v>261</v>
      </c>
      <c r="BI311" t="s">
        <v>237</v>
      </c>
      <c r="BJ311" t="s">
        <v>237</v>
      </c>
      <c r="BK311" t="s">
        <v>259</v>
      </c>
      <c r="BL311" t="s">
        <v>262</v>
      </c>
      <c r="BM311" t="s">
        <v>296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 t="s">
        <v>264</v>
      </c>
      <c r="CB311" t="s">
        <v>243</v>
      </c>
      <c r="CC311" t="s">
        <v>242</v>
      </c>
      <c r="CD311" t="s">
        <v>236</v>
      </c>
      <c r="CE311" t="s">
        <v>236</v>
      </c>
      <c r="EA311" t="s">
        <v>226</v>
      </c>
      <c r="EB311" t="s">
        <v>245</v>
      </c>
      <c r="EC311" t="s">
        <v>226</v>
      </c>
      <c r="ED311" t="s">
        <v>245</v>
      </c>
      <c r="EE311" t="s">
        <v>226</v>
      </c>
      <c r="EF311" t="s">
        <v>245</v>
      </c>
      <c r="EG311" t="s">
        <v>226</v>
      </c>
      <c r="EH311" t="s">
        <v>245</v>
      </c>
      <c r="EI311" t="s">
        <v>236</v>
      </c>
      <c r="EK311" t="s">
        <v>226</v>
      </c>
      <c r="EL311" t="s">
        <v>245</v>
      </c>
      <c r="EM311" t="s">
        <v>226</v>
      </c>
      <c r="EN311" t="s">
        <v>265</v>
      </c>
      <c r="EO311" t="s">
        <v>226</v>
      </c>
      <c r="EP311" t="s">
        <v>245</v>
      </c>
      <c r="EQ311" t="s">
        <v>236</v>
      </c>
      <c r="ES311" t="s">
        <v>226</v>
      </c>
      <c r="ET311" t="s">
        <v>265</v>
      </c>
      <c r="EU311" t="s">
        <v>226</v>
      </c>
      <c r="EV311" t="s">
        <v>265</v>
      </c>
      <c r="EW311" t="s">
        <v>236</v>
      </c>
      <c r="EY311" t="s">
        <v>226</v>
      </c>
      <c r="EZ311" t="s">
        <v>245</v>
      </c>
      <c r="FA311" t="s">
        <v>236</v>
      </c>
      <c r="FC311" t="s">
        <v>236</v>
      </c>
      <c r="FE311" t="s">
        <v>226</v>
      </c>
      <c r="FF311" t="s">
        <v>265</v>
      </c>
      <c r="FG311" t="s">
        <v>236</v>
      </c>
      <c r="FJ311" t="s">
        <v>226</v>
      </c>
      <c r="FK311" t="s">
        <v>245</v>
      </c>
      <c r="FL311" t="s">
        <v>226</v>
      </c>
      <c r="FM311" t="s">
        <v>236</v>
      </c>
      <c r="FW311" t="s">
        <v>226</v>
      </c>
      <c r="FX311" t="s">
        <v>226</v>
      </c>
      <c r="FY311" t="s">
        <v>266</v>
      </c>
      <c r="FZ311" t="s">
        <v>236</v>
      </c>
      <c r="GC311" t="s">
        <v>236</v>
      </c>
      <c r="GF311" t="s">
        <v>236</v>
      </c>
      <c r="GI311" t="s">
        <v>236</v>
      </c>
      <c r="GL311" t="s">
        <v>226</v>
      </c>
      <c r="GM311" t="s">
        <v>226</v>
      </c>
      <c r="GN311" t="s">
        <v>266</v>
      </c>
      <c r="GO311" t="s">
        <v>226</v>
      </c>
      <c r="GP311" t="s">
        <v>226</v>
      </c>
      <c r="GQ311" t="s">
        <v>570</v>
      </c>
      <c r="GR311" t="s">
        <v>226</v>
      </c>
      <c r="GS311" t="s">
        <v>226</v>
      </c>
      <c r="GT311" t="s">
        <v>267</v>
      </c>
      <c r="GU311" t="s">
        <v>236</v>
      </c>
      <c r="GX311" t="s">
        <v>236</v>
      </c>
      <c r="HB311" t="s">
        <v>280</v>
      </c>
      <c r="HC311" t="s">
        <v>323</v>
      </c>
      <c r="HE311">
        <v>83000819</v>
      </c>
      <c r="HF311" t="s">
        <v>1628</v>
      </c>
      <c r="HG311" s="2">
        <v>45754.200844907413</v>
      </c>
      <c r="HJ311" t="s">
        <v>248</v>
      </c>
      <c r="HL311" t="s">
        <v>249</v>
      </c>
      <c r="HN311">
        <v>310</v>
      </c>
    </row>
    <row r="312" spans="1:222" x14ac:dyDescent="0.25">
      <c r="A312" s="2">
        <v>45753.992510682867</v>
      </c>
      <c r="B312" s="2">
        <v>45753.995558206021</v>
      </c>
      <c r="C312" t="s">
        <v>375</v>
      </c>
      <c r="D312">
        <v>332</v>
      </c>
      <c r="E312" s="2">
        <v>45731</v>
      </c>
      <c r="F312">
        <v>2</v>
      </c>
      <c r="G312" t="s">
        <v>271</v>
      </c>
      <c r="H312" t="s">
        <v>391</v>
      </c>
      <c r="I312">
        <v>56</v>
      </c>
      <c r="J312" t="str">
        <f t="shared" si="4"/>
        <v>de 56 a más</v>
      </c>
      <c r="K312" t="s">
        <v>341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291</v>
      </c>
      <c r="R312" t="s">
        <v>226</v>
      </c>
      <c r="T312" t="s">
        <v>227</v>
      </c>
      <c r="V312" t="s">
        <v>252</v>
      </c>
      <c r="W312" t="s">
        <v>292</v>
      </c>
      <c r="X312" t="s">
        <v>299</v>
      </c>
      <c r="Z312" t="s">
        <v>254</v>
      </c>
      <c r="AA312" t="s">
        <v>255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I312" t="s">
        <v>233</v>
      </c>
      <c r="AJ312">
        <v>0</v>
      </c>
      <c r="AK312">
        <v>1</v>
      </c>
      <c r="AL312">
        <v>0</v>
      </c>
      <c r="AM312">
        <v>0</v>
      </c>
      <c r="AN312" t="s">
        <v>257</v>
      </c>
      <c r="AO312" t="s">
        <v>275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X312" t="s">
        <v>226</v>
      </c>
      <c r="AY312" t="s">
        <v>226</v>
      </c>
      <c r="AZ312" t="s">
        <v>237</v>
      </c>
      <c r="BA312" t="s">
        <v>1411</v>
      </c>
      <c r="BB312" t="s">
        <v>277</v>
      </c>
      <c r="BE312" t="s">
        <v>259</v>
      </c>
      <c r="BF312" t="s">
        <v>259</v>
      </c>
      <c r="BG312" t="s">
        <v>259</v>
      </c>
      <c r="BH312" t="s">
        <v>259</v>
      </c>
      <c r="BI312" t="s">
        <v>259</v>
      </c>
      <c r="BJ312" t="s">
        <v>259</v>
      </c>
      <c r="BK312" t="s">
        <v>259</v>
      </c>
      <c r="BL312" t="s">
        <v>262</v>
      </c>
      <c r="BM312" t="s">
        <v>451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 t="s">
        <v>264</v>
      </c>
      <c r="CB312" t="s">
        <v>264</v>
      </c>
      <c r="CC312" t="s">
        <v>264</v>
      </c>
      <c r="CD312" t="s">
        <v>236</v>
      </c>
      <c r="CE312" t="s">
        <v>236</v>
      </c>
      <c r="EA312" t="s">
        <v>236</v>
      </c>
      <c r="EC312" t="s">
        <v>236</v>
      </c>
      <c r="EE312" t="s">
        <v>236</v>
      </c>
      <c r="EG312" t="s">
        <v>236</v>
      </c>
      <c r="EI312" t="s">
        <v>236</v>
      </c>
      <c r="EK312" t="s">
        <v>236</v>
      </c>
      <c r="EM312" t="s">
        <v>236</v>
      </c>
      <c r="EO312" t="s">
        <v>236</v>
      </c>
      <c r="EQ312" t="s">
        <v>236</v>
      </c>
      <c r="ES312" t="s">
        <v>236</v>
      </c>
      <c r="EU312" t="s">
        <v>236</v>
      </c>
      <c r="EW312" t="s">
        <v>236</v>
      </c>
      <c r="EY312" t="s">
        <v>236</v>
      </c>
      <c r="FA312" t="s">
        <v>236</v>
      </c>
      <c r="FC312" t="s">
        <v>236</v>
      </c>
      <c r="FE312" t="s">
        <v>236</v>
      </c>
      <c r="FG312" t="s">
        <v>236</v>
      </c>
      <c r="FJ312" t="s">
        <v>236</v>
      </c>
      <c r="FM312" t="s">
        <v>236</v>
      </c>
      <c r="FW312" t="s">
        <v>236</v>
      </c>
      <c r="FZ312" t="s">
        <v>236</v>
      </c>
      <c r="GC312" t="s">
        <v>236</v>
      </c>
      <c r="GF312" t="s">
        <v>236</v>
      </c>
      <c r="GI312" t="s">
        <v>226</v>
      </c>
      <c r="GJ312" t="s">
        <v>236</v>
      </c>
      <c r="GL312" t="s">
        <v>226</v>
      </c>
      <c r="GM312" t="s">
        <v>236</v>
      </c>
      <c r="GO312" t="s">
        <v>236</v>
      </c>
      <c r="GR312" t="s">
        <v>226</v>
      </c>
      <c r="GS312" t="s">
        <v>236</v>
      </c>
      <c r="GU312" t="s">
        <v>236</v>
      </c>
      <c r="GX312" t="s">
        <v>236</v>
      </c>
      <c r="HB312" t="s">
        <v>345</v>
      </c>
      <c r="HC312" t="s">
        <v>726</v>
      </c>
      <c r="HE312">
        <v>83000994</v>
      </c>
      <c r="HF312" t="s">
        <v>1626</v>
      </c>
      <c r="HG312" s="2">
        <v>45754.203900462962</v>
      </c>
      <c r="HJ312" t="s">
        <v>248</v>
      </c>
      <c r="HL312" t="s">
        <v>249</v>
      </c>
      <c r="HN312">
        <v>311</v>
      </c>
    </row>
    <row r="313" spans="1:222" x14ac:dyDescent="0.25">
      <c r="A313" s="2">
        <v>45753.995559143521</v>
      </c>
      <c r="B313" s="2">
        <v>45753.998951793983</v>
      </c>
      <c r="C313" t="s">
        <v>375</v>
      </c>
      <c r="D313">
        <v>331</v>
      </c>
      <c r="E313" s="2">
        <v>45730</v>
      </c>
      <c r="F313">
        <v>2</v>
      </c>
      <c r="G313" t="s">
        <v>419</v>
      </c>
      <c r="H313" t="s">
        <v>391</v>
      </c>
      <c r="I313">
        <v>48</v>
      </c>
      <c r="J313" t="str">
        <f t="shared" si="4"/>
        <v>de 41 a 55 años</v>
      </c>
      <c r="K313" t="s">
        <v>341</v>
      </c>
      <c r="L313">
        <v>4</v>
      </c>
      <c r="M313">
        <v>0</v>
      </c>
      <c r="N313">
        <v>0</v>
      </c>
      <c r="O313">
        <v>0</v>
      </c>
      <c r="P313">
        <v>0</v>
      </c>
      <c r="Q313" t="s">
        <v>225</v>
      </c>
      <c r="R313" t="s">
        <v>226</v>
      </c>
      <c r="T313" t="s">
        <v>227</v>
      </c>
      <c r="V313" t="s">
        <v>228</v>
      </c>
      <c r="W313" t="s">
        <v>229</v>
      </c>
      <c r="X313" t="s">
        <v>348</v>
      </c>
      <c r="Y313" t="s">
        <v>1621</v>
      </c>
      <c r="Z313" t="s">
        <v>254</v>
      </c>
      <c r="AA313" t="s">
        <v>255</v>
      </c>
      <c r="AB313">
        <v>0</v>
      </c>
      <c r="AC313">
        <v>0</v>
      </c>
      <c r="AD313">
        <v>0</v>
      </c>
      <c r="AE313">
        <v>1</v>
      </c>
      <c r="AF313">
        <v>0</v>
      </c>
      <c r="AG313">
        <v>0</v>
      </c>
      <c r="AI313" t="s">
        <v>311</v>
      </c>
      <c r="AJ313">
        <v>0</v>
      </c>
      <c r="AK313">
        <v>1</v>
      </c>
      <c r="AL313">
        <v>1</v>
      </c>
      <c r="AM313">
        <v>0</v>
      </c>
      <c r="AN313" t="s">
        <v>257</v>
      </c>
      <c r="AO313" t="s">
        <v>382</v>
      </c>
      <c r="AP313">
        <v>0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0</v>
      </c>
      <c r="AX313" t="s">
        <v>226</v>
      </c>
      <c r="AY313" t="s">
        <v>226</v>
      </c>
      <c r="AZ313" t="s">
        <v>259</v>
      </c>
      <c r="BA313" t="s">
        <v>1622</v>
      </c>
      <c r="BE313" t="s">
        <v>259</v>
      </c>
      <c r="BF313" t="s">
        <v>237</v>
      </c>
      <c r="BG313" t="s">
        <v>237</v>
      </c>
      <c r="BH313" t="s">
        <v>308</v>
      </c>
      <c r="BI313" t="s">
        <v>308</v>
      </c>
      <c r="BJ313" t="s">
        <v>259</v>
      </c>
      <c r="BK313" t="s">
        <v>239</v>
      </c>
      <c r="BL313" t="s">
        <v>240</v>
      </c>
      <c r="BM313" t="s">
        <v>278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 t="s">
        <v>264</v>
      </c>
      <c r="CB313" t="s">
        <v>328</v>
      </c>
      <c r="CC313" t="s">
        <v>328</v>
      </c>
      <c r="CD313" t="s">
        <v>226</v>
      </c>
      <c r="CE313" t="s">
        <v>236</v>
      </c>
      <c r="EA313" t="s">
        <v>226</v>
      </c>
      <c r="EB313" t="s">
        <v>245</v>
      </c>
      <c r="EC313" t="s">
        <v>226</v>
      </c>
      <c r="ED313" t="s">
        <v>265</v>
      </c>
      <c r="EE313" t="s">
        <v>236</v>
      </c>
      <c r="EG313" t="s">
        <v>236</v>
      </c>
      <c r="EI313" t="s">
        <v>236</v>
      </c>
      <c r="EK313" t="s">
        <v>236</v>
      </c>
      <c r="EM313" t="s">
        <v>226</v>
      </c>
      <c r="EN313" t="s">
        <v>245</v>
      </c>
      <c r="EO313" t="s">
        <v>226</v>
      </c>
      <c r="EP313" t="s">
        <v>245</v>
      </c>
      <c r="EQ313" t="s">
        <v>236</v>
      </c>
      <c r="ES313" t="s">
        <v>226</v>
      </c>
      <c r="ET313" t="s">
        <v>245</v>
      </c>
      <c r="EU313" t="s">
        <v>226</v>
      </c>
      <c r="EV313" t="s">
        <v>265</v>
      </c>
      <c r="EW313" t="s">
        <v>236</v>
      </c>
      <c r="EY313" t="s">
        <v>236</v>
      </c>
      <c r="FA313" t="s">
        <v>236</v>
      </c>
      <c r="FC313" t="s">
        <v>236</v>
      </c>
      <c r="FE313" t="s">
        <v>226</v>
      </c>
      <c r="FF313" t="s">
        <v>245</v>
      </c>
      <c r="FG313" t="s">
        <v>236</v>
      </c>
      <c r="FJ313" t="s">
        <v>226</v>
      </c>
      <c r="FK313" t="s">
        <v>245</v>
      </c>
      <c r="FL313" t="s">
        <v>226</v>
      </c>
      <c r="FM313" t="s">
        <v>226</v>
      </c>
      <c r="FN313" t="s">
        <v>476</v>
      </c>
      <c r="FO313">
        <v>1</v>
      </c>
      <c r="FP313">
        <v>1</v>
      </c>
      <c r="FQ313">
        <v>0</v>
      </c>
      <c r="FR313">
        <v>0</v>
      </c>
      <c r="FS313">
        <v>0</v>
      </c>
      <c r="FU313" t="s">
        <v>236</v>
      </c>
      <c r="FW313" t="s">
        <v>226</v>
      </c>
      <c r="FX313" t="s">
        <v>236</v>
      </c>
      <c r="FZ313" t="s">
        <v>226</v>
      </c>
      <c r="GA313" t="s">
        <v>236</v>
      </c>
      <c r="GC313" t="s">
        <v>236</v>
      </c>
      <c r="GF313" t="s">
        <v>226</v>
      </c>
      <c r="GG313" t="s">
        <v>236</v>
      </c>
      <c r="GI313" t="s">
        <v>236</v>
      </c>
      <c r="GL313" t="s">
        <v>226</v>
      </c>
      <c r="GM313" t="s">
        <v>226</v>
      </c>
      <c r="GN313" t="s">
        <v>266</v>
      </c>
      <c r="GO313" t="s">
        <v>226</v>
      </c>
      <c r="GP313" t="s">
        <v>226</v>
      </c>
      <c r="GQ313" t="s">
        <v>266</v>
      </c>
      <c r="GR313" t="s">
        <v>226</v>
      </c>
      <c r="GS313" t="s">
        <v>226</v>
      </c>
      <c r="GT313" t="s">
        <v>266</v>
      </c>
      <c r="GU313" t="s">
        <v>226</v>
      </c>
      <c r="GV313" t="s">
        <v>236</v>
      </c>
      <c r="GX313" t="s">
        <v>236</v>
      </c>
      <c r="HB313" t="s">
        <v>1623</v>
      </c>
      <c r="HC313" t="s">
        <v>1624</v>
      </c>
      <c r="HE313">
        <v>83001428</v>
      </c>
      <c r="HF313" t="s">
        <v>1625</v>
      </c>
      <c r="HG313" s="2">
        <v>45754.207291666673</v>
      </c>
      <c r="HJ313" t="s">
        <v>248</v>
      </c>
      <c r="HL313" t="s">
        <v>249</v>
      </c>
      <c r="HN313">
        <v>312</v>
      </c>
    </row>
    <row r="314" spans="1:222" x14ac:dyDescent="0.25">
      <c r="A314" s="2">
        <v>45753.998952361108</v>
      </c>
      <c r="B314" s="2">
        <v>45754.001975960651</v>
      </c>
      <c r="C314" t="s">
        <v>375</v>
      </c>
      <c r="D314">
        <v>330</v>
      </c>
      <c r="E314" s="2">
        <v>45730</v>
      </c>
      <c r="F314">
        <v>2</v>
      </c>
      <c r="G314" t="s">
        <v>290</v>
      </c>
      <c r="H314" t="s">
        <v>391</v>
      </c>
      <c r="I314">
        <v>40</v>
      </c>
      <c r="J314" t="str">
        <f t="shared" si="4"/>
        <v>de 26 a 40 años</v>
      </c>
      <c r="K314" t="s">
        <v>224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291</v>
      </c>
      <c r="R314" t="s">
        <v>226</v>
      </c>
      <c r="T314" t="s">
        <v>227</v>
      </c>
      <c r="V314" t="s">
        <v>252</v>
      </c>
      <c r="W314" t="s">
        <v>229</v>
      </c>
      <c r="X314" t="s">
        <v>350</v>
      </c>
      <c r="Z314" t="s">
        <v>231</v>
      </c>
      <c r="AA314" t="s">
        <v>293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I314" t="s">
        <v>233</v>
      </c>
      <c r="AJ314">
        <v>0</v>
      </c>
      <c r="AK314">
        <v>1</v>
      </c>
      <c r="AL314">
        <v>0</v>
      </c>
      <c r="AM314">
        <v>0</v>
      </c>
      <c r="AN314" t="s">
        <v>257</v>
      </c>
      <c r="AO314" t="s">
        <v>275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X314" t="s">
        <v>226</v>
      </c>
      <c r="AY314" t="s">
        <v>226</v>
      </c>
      <c r="AZ314" t="s">
        <v>259</v>
      </c>
      <c r="BA314" t="s">
        <v>1617</v>
      </c>
      <c r="BE314" t="s">
        <v>261</v>
      </c>
      <c r="BF314" t="s">
        <v>237</v>
      </c>
      <c r="BG314" t="s">
        <v>362</v>
      </c>
      <c r="BH314" t="s">
        <v>237</v>
      </c>
      <c r="BI314" t="s">
        <v>237</v>
      </c>
      <c r="BJ314" t="s">
        <v>237</v>
      </c>
      <c r="BK314" t="s">
        <v>261</v>
      </c>
      <c r="BL314" t="s">
        <v>313</v>
      </c>
      <c r="BM314" t="s">
        <v>278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 t="s">
        <v>264</v>
      </c>
      <c r="CB314" t="s">
        <v>264</v>
      </c>
      <c r="CC314" t="s">
        <v>243</v>
      </c>
      <c r="CD314" t="s">
        <v>236</v>
      </c>
      <c r="CE314" t="s">
        <v>236</v>
      </c>
      <c r="EA314" t="s">
        <v>236</v>
      </c>
      <c r="EC314" t="s">
        <v>236</v>
      </c>
      <c r="EE314" t="s">
        <v>236</v>
      </c>
      <c r="EG314" t="s">
        <v>226</v>
      </c>
      <c r="EH314" t="s">
        <v>244</v>
      </c>
      <c r="EI314" t="s">
        <v>236</v>
      </c>
      <c r="EK314" t="s">
        <v>236</v>
      </c>
      <c r="EM314" t="s">
        <v>226</v>
      </c>
      <c r="EN314" t="s">
        <v>244</v>
      </c>
      <c r="EO314" t="s">
        <v>236</v>
      </c>
      <c r="EQ314" t="s">
        <v>236</v>
      </c>
      <c r="ES314" t="s">
        <v>236</v>
      </c>
      <c r="EU314" t="s">
        <v>236</v>
      </c>
      <c r="EW314" t="s">
        <v>236</v>
      </c>
      <c r="EY314" t="s">
        <v>226</v>
      </c>
      <c r="EZ314" t="s">
        <v>244</v>
      </c>
      <c r="FA314" t="s">
        <v>236</v>
      </c>
      <c r="FC314" t="s">
        <v>236</v>
      </c>
      <c r="FE314" t="s">
        <v>236</v>
      </c>
      <c r="FG314" t="s">
        <v>236</v>
      </c>
      <c r="FJ314" t="s">
        <v>226</v>
      </c>
      <c r="FK314" t="s">
        <v>245</v>
      </c>
      <c r="FL314" t="s">
        <v>236</v>
      </c>
      <c r="FM314" t="s">
        <v>236</v>
      </c>
      <c r="FW314" t="s">
        <v>236</v>
      </c>
      <c r="FZ314" t="s">
        <v>236</v>
      </c>
      <c r="GC314" t="s">
        <v>236</v>
      </c>
      <c r="GF314" t="s">
        <v>226</v>
      </c>
      <c r="GG314" t="s">
        <v>226</v>
      </c>
      <c r="GH314" t="s">
        <v>267</v>
      </c>
      <c r="GI314" t="s">
        <v>236</v>
      </c>
      <c r="GL314" t="s">
        <v>226</v>
      </c>
      <c r="GM314" t="s">
        <v>226</v>
      </c>
      <c r="GN314" t="s">
        <v>266</v>
      </c>
      <c r="GO314" t="s">
        <v>226</v>
      </c>
      <c r="GP314" t="s">
        <v>226</v>
      </c>
      <c r="GQ314" t="s">
        <v>267</v>
      </c>
      <c r="GR314" t="s">
        <v>236</v>
      </c>
      <c r="GU314" t="s">
        <v>236</v>
      </c>
      <c r="GX314" t="s">
        <v>236</v>
      </c>
      <c r="HB314" t="s">
        <v>1618</v>
      </c>
      <c r="HC314" t="s">
        <v>1619</v>
      </c>
      <c r="HE314">
        <v>83001633</v>
      </c>
      <c r="HF314" t="s">
        <v>1620</v>
      </c>
      <c r="HG314" s="2">
        <v>45754.210312499999</v>
      </c>
      <c r="HJ314" t="s">
        <v>248</v>
      </c>
      <c r="HL314" t="s">
        <v>249</v>
      </c>
      <c r="HN314">
        <v>313</v>
      </c>
    </row>
    <row r="315" spans="1:222" x14ac:dyDescent="0.25">
      <c r="A315" s="2">
        <v>45754.001976562497</v>
      </c>
      <c r="B315" s="2">
        <v>45754.005479525462</v>
      </c>
      <c r="C315" t="s">
        <v>375</v>
      </c>
      <c r="D315">
        <v>329</v>
      </c>
      <c r="E315" s="2">
        <v>45730</v>
      </c>
      <c r="F315">
        <v>2</v>
      </c>
      <c r="G315" t="s">
        <v>403</v>
      </c>
      <c r="H315" t="s">
        <v>391</v>
      </c>
      <c r="I315">
        <v>78</v>
      </c>
      <c r="J315" t="str">
        <f t="shared" si="4"/>
        <v>de 56 a más</v>
      </c>
      <c r="K315" t="s">
        <v>224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225</v>
      </c>
      <c r="R315" t="s">
        <v>226</v>
      </c>
      <c r="T315" t="s">
        <v>227</v>
      </c>
      <c r="V315" t="s">
        <v>252</v>
      </c>
      <c r="W315" t="s">
        <v>229</v>
      </c>
      <c r="X315" t="s">
        <v>368</v>
      </c>
      <c r="Z315" t="s">
        <v>308</v>
      </c>
      <c r="AA315" t="s">
        <v>232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I315" t="s">
        <v>233</v>
      </c>
      <c r="AJ315">
        <v>0</v>
      </c>
      <c r="AK315">
        <v>1</v>
      </c>
      <c r="AL315">
        <v>0</v>
      </c>
      <c r="AM315">
        <v>0</v>
      </c>
      <c r="AN315" t="s">
        <v>257</v>
      </c>
      <c r="AO315" t="s">
        <v>369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 t="s">
        <v>404</v>
      </c>
      <c r="AX315" t="s">
        <v>236</v>
      </c>
      <c r="AZ315" t="s">
        <v>259</v>
      </c>
      <c r="BA315" t="s">
        <v>405</v>
      </c>
      <c r="BB315" t="s">
        <v>406</v>
      </c>
      <c r="BE315" t="s">
        <v>308</v>
      </c>
      <c r="BF315" t="s">
        <v>261</v>
      </c>
      <c r="BG315" t="s">
        <v>259</v>
      </c>
      <c r="BH315" t="s">
        <v>237</v>
      </c>
      <c r="BI315" t="s">
        <v>259</v>
      </c>
      <c r="BJ315" t="s">
        <v>259</v>
      </c>
      <c r="BK315" t="s">
        <v>261</v>
      </c>
      <c r="BL315" t="s">
        <v>313</v>
      </c>
      <c r="BM315" t="s">
        <v>389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 t="s">
        <v>264</v>
      </c>
      <c r="CB315" t="s">
        <v>243</v>
      </c>
      <c r="CC315" t="s">
        <v>243</v>
      </c>
      <c r="CD315" t="s">
        <v>236</v>
      </c>
      <c r="CE315" t="s">
        <v>236</v>
      </c>
      <c r="EA315" t="s">
        <v>226</v>
      </c>
      <c r="EB315" t="s">
        <v>244</v>
      </c>
      <c r="EC315" t="s">
        <v>226</v>
      </c>
      <c r="ED315" t="s">
        <v>245</v>
      </c>
      <c r="EE315" t="s">
        <v>226</v>
      </c>
      <c r="EF315" t="s">
        <v>244</v>
      </c>
      <c r="EG315" t="s">
        <v>236</v>
      </c>
      <c r="EI315" t="s">
        <v>236</v>
      </c>
      <c r="EK315" t="s">
        <v>236</v>
      </c>
      <c r="EM315" t="s">
        <v>226</v>
      </c>
      <c r="EN315" t="s">
        <v>265</v>
      </c>
      <c r="EO315" t="s">
        <v>236</v>
      </c>
      <c r="EQ315" t="s">
        <v>236</v>
      </c>
      <c r="ES315" t="s">
        <v>226</v>
      </c>
      <c r="ET315" t="s">
        <v>244</v>
      </c>
      <c r="EU315" t="s">
        <v>236</v>
      </c>
      <c r="EW315" t="s">
        <v>236</v>
      </c>
      <c r="EY315" t="s">
        <v>226</v>
      </c>
      <c r="EZ315" t="s">
        <v>244</v>
      </c>
      <c r="FA315" t="s">
        <v>236</v>
      </c>
      <c r="FC315" t="s">
        <v>236</v>
      </c>
      <c r="FE315" t="s">
        <v>236</v>
      </c>
      <c r="FG315" t="s">
        <v>236</v>
      </c>
      <c r="FJ315" t="s">
        <v>226</v>
      </c>
      <c r="FK315" t="s">
        <v>245</v>
      </c>
      <c r="FL315" t="s">
        <v>226</v>
      </c>
      <c r="FM315" t="s">
        <v>236</v>
      </c>
      <c r="FW315" t="s">
        <v>226</v>
      </c>
      <c r="FX315" t="s">
        <v>236</v>
      </c>
      <c r="FZ315" t="s">
        <v>236</v>
      </c>
      <c r="GC315" t="s">
        <v>236</v>
      </c>
      <c r="GF315" t="s">
        <v>226</v>
      </c>
      <c r="GG315" t="s">
        <v>236</v>
      </c>
      <c r="GI315" t="s">
        <v>236</v>
      </c>
      <c r="GL315" t="s">
        <v>226</v>
      </c>
      <c r="GM315" t="s">
        <v>236</v>
      </c>
      <c r="GO315" t="s">
        <v>236</v>
      </c>
      <c r="GR315" t="s">
        <v>226</v>
      </c>
      <c r="GS315" t="s">
        <v>236</v>
      </c>
      <c r="GU315" t="s">
        <v>236</v>
      </c>
      <c r="GX315" t="s">
        <v>236</v>
      </c>
      <c r="HB315" t="s">
        <v>407</v>
      </c>
      <c r="HC315" t="s">
        <v>408</v>
      </c>
      <c r="HD315" t="s">
        <v>409</v>
      </c>
      <c r="HE315">
        <v>83001966</v>
      </c>
      <c r="HF315" t="s">
        <v>410</v>
      </c>
      <c r="HG315" s="2">
        <v>45754.213819444441</v>
      </c>
      <c r="HJ315" t="s">
        <v>248</v>
      </c>
      <c r="HL315" t="s">
        <v>249</v>
      </c>
      <c r="HN315">
        <v>314</v>
      </c>
    </row>
    <row r="316" spans="1:222" x14ac:dyDescent="0.25">
      <c r="A316" s="2">
        <v>45754.005480254629</v>
      </c>
      <c r="B316" s="2">
        <v>45754.0089749537</v>
      </c>
      <c r="C316" t="s">
        <v>375</v>
      </c>
      <c r="D316">
        <v>328</v>
      </c>
      <c r="E316" s="2">
        <v>45730</v>
      </c>
      <c r="F316">
        <v>2</v>
      </c>
      <c r="G316" t="s">
        <v>403</v>
      </c>
      <c r="H316" t="s">
        <v>391</v>
      </c>
      <c r="I316">
        <v>25</v>
      </c>
      <c r="J316" t="str">
        <f t="shared" si="4"/>
        <v>de 18 a 25 años</v>
      </c>
      <c r="K316" t="s">
        <v>341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225</v>
      </c>
      <c r="R316" t="s">
        <v>226</v>
      </c>
      <c r="T316" t="s">
        <v>227</v>
      </c>
      <c r="V316" t="s">
        <v>252</v>
      </c>
      <c r="W316" t="s">
        <v>229</v>
      </c>
      <c r="X316" t="s">
        <v>230</v>
      </c>
      <c r="Z316" t="s">
        <v>231</v>
      </c>
      <c r="AA316" t="s">
        <v>232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0</v>
      </c>
      <c r="AI316" t="s">
        <v>850</v>
      </c>
      <c r="AJ316">
        <v>0</v>
      </c>
      <c r="AK316">
        <v>0</v>
      </c>
      <c r="AL316">
        <v>1</v>
      </c>
      <c r="AM316">
        <v>1</v>
      </c>
      <c r="AN316" t="s">
        <v>274</v>
      </c>
      <c r="AO316" t="s">
        <v>369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 t="s">
        <v>1615</v>
      </c>
      <c r="AX316" t="s">
        <v>226</v>
      </c>
      <c r="AY316" t="s">
        <v>226</v>
      </c>
      <c r="AZ316" t="s">
        <v>237</v>
      </c>
      <c r="BA316" t="s">
        <v>276</v>
      </c>
      <c r="BB316" t="s">
        <v>470</v>
      </c>
      <c r="BE316" t="s">
        <v>237</v>
      </c>
      <c r="BF316" t="s">
        <v>261</v>
      </c>
      <c r="BG316" t="s">
        <v>259</v>
      </c>
      <c r="BH316" t="s">
        <v>237</v>
      </c>
      <c r="BI316" t="s">
        <v>237</v>
      </c>
      <c r="BJ316" t="s">
        <v>237</v>
      </c>
      <c r="BK316" t="s">
        <v>259</v>
      </c>
      <c r="BL316" t="s">
        <v>240</v>
      </c>
      <c r="BM316" t="s">
        <v>415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 t="s">
        <v>242</v>
      </c>
      <c r="CB316" t="s">
        <v>264</v>
      </c>
      <c r="CC316" t="s">
        <v>264</v>
      </c>
      <c r="CD316" t="s">
        <v>236</v>
      </c>
      <c r="CE316" t="s">
        <v>236</v>
      </c>
      <c r="EA316" t="s">
        <v>226</v>
      </c>
      <c r="EB316" t="s">
        <v>244</v>
      </c>
      <c r="EC316" t="s">
        <v>236</v>
      </c>
      <c r="EE316" t="s">
        <v>226</v>
      </c>
      <c r="EF316" t="s">
        <v>244</v>
      </c>
      <c r="EG316" t="s">
        <v>226</v>
      </c>
      <c r="EH316" t="s">
        <v>244</v>
      </c>
      <c r="EI316" t="s">
        <v>226</v>
      </c>
      <c r="EJ316" t="s">
        <v>245</v>
      </c>
      <c r="EK316" t="s">
        <v>226</v>
      </c>
      <c r="EL316" t="s">
        <v>245</v>
      </c>
      <c r="EM316" t="s">
        <v>226</v>
      </c>
      <c r="EN316" t="s">
        <v>244</v>
      </c>
      <c r="EO316" t="s">
        <v>226</v>
      </c>
      <c r="EP316" t="s">
        <v>265</v>
      </c>
      <c r="EQ316" t="s">
        <v>236</v>
      </c>
      <c r="ES316" t="s">
        <v>236</v>
      </c>
      <c r="EU316" t="s">
        <v>236</v>
      </c>
      <c r="EW316" t="s">
        <v>226</v>
      </c>
      <c r="EX316" t="s">
        <v>265</v>
      </c>
      <c r="EY316" t="s">
        <v>236</v>
      </c>
      <c r="FA316" t="s">
        <v>236</v>
      </c>
      <c r="FC316" t="s">
        <v>236</v>
      </c>
      <c r="FE316" t="s">
        <v>226</v>
      </c>
      <c r="FF316" t="s">
        <v>245</v>
      </c>
      <c r="FG316" t="s">
        <v>236</v>
      </c>
      <c r="FJ316" t="s">
        <v>226</v>
      </c>
      <c r="FK316" t="s">
        <v>265</v>
      </c>
      <c r="FL316" t="s">
        <v>226</v>
      </c>
      <c r="FM316" t="s">
        <v>226</v>
      </c>
      <c r="FN316" t="s">
        <v>416</v>
      </c>
      <c r="FO316">
        <v>0</v>
      </c>
      <c r="FP316">
        <v>1</v>
      </c>
      <c r="FQ316">
        <v>0</v>
      </c>
      <c r="FR316">
        <v>0</v>
      </c>
      <c r="FS316">
        <v>0</v>
      </c>
      <c r="FU316" t="s">
        <v>226</v>
      </c>
      <c r="FW316" t="s">
        <v>226</v>
      </c>
      <c r="FX316" t="s">
        <v>226</v>
      </c>
      <c r="FY316" t="s">
        <v>266</v>
      </c>
      <c r="FZ316" t="s">
        <v>226</v>
      </c>
      <c r="GA316" t="s">
        <v>226</v>
      </c>
      <c r="GB316" t="s">
        <v>266</v>
      </c>
      <c r="GC316" t="s">
        <v>236</v>
      </c>
      <c r="GF316" t="s">
        <v>226</v>
      </c>
      <c r="GG316" t="s">
        <v>226</v>
      </c>
      <c r="GH316" t="s">
        <v>266</v>
      </c>
      <c r="GI316" t="s">
        <v>236</v>
      </c>
      <c r="GL316" t="s">
        <v>226</v>
      </c>
      <c r="GM316" t="s">
        <v>226</v>
      </c>
      <c r="GN316" t="s">
        <v>266</v>
      </c>
      <c r="GO316" t="s">
        <v>226</v>
      </c>
      <c r="GP316" t="s">
        <v>226</v>
      </c>
      <c r="GQ316" t="s">
        <v>266</v>
      </c>
      <c r="GR316" t="s">
        <v>226</v>
      </c>
      <c r="GS316" t="s">
        <v>226</v>
      </c>
      <c r="GT316" t="s">
        <v>266</v>
      </c>
      <c r="GU316" t="s">
        <v>226</v>
      </c>
      <c r="GV316" t="s">
        <v>226</v>
      </c>
      <c r="GW316" t="s">
        <v>266</v>
      </c>
      <c r="GX316" t="s">
        <v>226</v>
      </c>
      <c r="GY316" t="s">
        <v>226</v>
      </c>
      <c r="GZ316" t="s">
        <v>266</v>
      </c>
      <c r="HB316" t="s">
        <v>323</v>
      </c>
      <c r="HC316" t="s">
        <v>280</v>
      </c>
      <c r="HD316" t="s">
        <v>288</v>
      </c>
      <c r="HE316">
        <v>83002415</v>
      </c>
      <c r="HF316" t="s">
        <v>1616</v>
      </c>
      <c r="HG316" s="2">
        <v>45754.217314814807</v>
      </c>
      <c r="HJ316" t="s">
        <v>248</v>
      </c>
      <c r="HL316" t="s">
        <v>249</v>
      </c>
      <c r="HN316">
        <v>315</v>
      </c>
    </row>
    <row r="317" spans="1:222" x14ac:dyDescent="0.25">
      <c r="A317" s="2">
        <v>45754.008975520832</v>
      </c>
      <c r="B317" s="2">
        <v>45754.011948287043</v>
      </c>
      <c r="C317" t="s">
        <v>375</v>
      </c>
      <c r="D317">
        <v>327</v>
      </c>
      <c r="E317" s="2">
        <v>45731</v>
      </c>
      <c r="F317">
        <v>2</v>
      </c>
      <c r="G317" t="s">
        <v>271</v>
      </c>
      <c r="H317" t="s">
        <v>391</v>
      </c>
      <c r="I317">
        <v>45</v>
      </c>
      <c r="J317" t="str">
        <f t="shared" si="4"/>
        <v>de 41 a 55 años</v>
      </c>
      <c r="K317" t="s">
        <v>224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291</v>
      </c>
      <c r="R317" t="s">
        <v>226</v>
      </c>
      <c r="T317" t="s">
        <v>227</v>
      </c>
      <c r="V317" t="s">
        <v>228</v>
      </c>
      <c r="W317" t="s">
        <v>229</v>
      </c>
      <c r="X317" t="s">
        <v>230</v>
      </c>
      <c r="Z317" t="s">
        <v>398</v>
      </c>
      <c r="AA317" t="s">
        <v>376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0</v>
      </c>
      <c r="AI317" t="s">
        <v>233</v>
      </c>
      <c r="AJ317">
        <v>0</v>
      </c>
      <c r="AK317">
        <v>1</v>
      </c>
      <c r="AL317">
        <v>0</v>
      </c>
      <c r="AM317">
        <v>0</v>
      </c>
      <c r="AN317" t="s">
        <v>300</v>
      </c>
      <c r="AO317" t="s">
        <v>382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0</v>
      </c>
      <c r="AX317" t="s">
        <v>226</v>
      </c>
      <c r="AY317" t="s">
        <v>236</v>
      </c>
      <c r="AZ317" t="s">
        <v>237</v>
      </c>
      <c r="BA317" t="s">
        <v>336</v>
      </c>
      <c r="BB317" t="s">
        <v>399</v>
      </c>
      <c r="BE317" t="s">
        <v>237</v>
      </c>
      <c r="BF317" t="s">
        <v>259</v>
      </c>
      <c r="BG317" t="s">
        <v>259</v>
      </c>
      <c r="BH317" t="s">
        <v>237</v>
      </c>
      <c r="BI317" t="s">
        <v>237</v>
      </c>
      <c r="BJ317" t="s">
        <v>237</v>
      </c>
      <c r="BK317" t="s">
        <v>259</v>
      </c>
      <c r="BL317" t="s">
        <v>262</v>
      </c>
      <c r="BM317" t="s">
        <v>400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 t="s">
        <v>264</v>
      </c>
      <c r="CB317" t="s">
        <v>243</v>
      </c>
      <c r="CC317" t="s">
        <v>264</v>
      </c>
      <c r="CD317" t="s">
        <v>236</v>
      </c>
      <c r="CE317" t="s">
        <v>236</v>
      </c>
      <c r="EA317" t="s">
        <v>226</v>
      </c>
      <c r="EB317" t="s">
        <v>245</v>
      </c>
      <c r="EC317" t="s">
        <v>226</v>
      </c>
      <c r="ED317" t="s">
        <v>245</v>
      </c>
      <c r="EE317" t="s">
        <v>226</v>
      </c>
      <c r="EF317" t="s">
        <v>245</v>
      </c>
      <c r="EG317" t="s">
        <v>226</v>
      </c>
      <c r="EH317" t="s">
        <v>265</v>
      </c>
      <c r="EI317" t="s">
        <v>226</v>
      </c>
      <c r="EJ317" t="s">
        <v>265</v>
      </c>
      <c r="EK317" t="s">
        <v>226</v>
      </c>
      <c r="EL317" t="s">
        <v>244</v>
      </c>
      <c r="EM317" t="s">
        <v>226</v>
      </c>
      <c r="EN317" t="s">
        <v>244</v>
      </c>
      <c r="EO317" t="s">
        <v>226</v>
      </c>
      <c r="EP317" t="s">
        <v>244</v>
      </c>
      <c r="EQ317" t="s">
        <v>236</v>
      </c>
      <c r="ES317" t="s">
        <v>226</v>
      </c>
      <c r="ET317" t="s">
        <v>244</v>
      </c>
      <c r="EU317" t="s">
        <v>226</v>
      </c>
      <c r="EV317" t="s">
        <v>244</v>
      </c>
      <c r="EW317" t="s">
        <v>236</v>
      </c>
      <c r="EY317" t="s">
        <v>226</v>
      </c>
      <c r="EZ317" t="s">
        <v>244</v>
      </c>
      <c r="FA317" t="s">
        <v>226</v>
      </c>
      <c r="FB317" t="s">
        <v>245</v>
      </c>
      <c r="FC317" t="s">
        <v>236</v>
      </c>
      <c r="FE317" t="s">
        <v>226</v>
      </c>
      <c r="FF317" t="s">
        <v>245</v>
      </c>
      <c r="FG317" t="s">
        <v>236</v>
      </c>
      <c r="FJ317" t="s">
        <v>226</v>
      </c>
      <c r="FK317" t="s">
        <v>244</v>
      </c>
      <c r="FL317" t="s">
        <v>226</v>
      </c>
      <c r="FM317" t="s">
        <v>236</v>
      </c>
      <c r="FW317" t="s">
        <v>226</v>
      </c>
      <c r="FX317" t="s">
        <v>236</v>
      </c>
      <c r="FZ317" t="s">
        <v>236</v>
      </c>
      <c r="GC317" t="s">
        <v>236</v>
      </c>
      <c r="GF317" t="s">
        <v>226</v>
      </c>
      <c r="GG317" t="s">
        <v>236</v>
      </c>
      <c r="GI317" t="s">
        <v>226</v>
      </c>
      <c r="GJ317" t="s">
        <v>236</v>
      </c>
      <c r="GL317" t="s">
        <v>226</v>
      </c>
      <c r="GM317" t="s">
        <v>226</v>
      </c>
      <c r="GN317" t="s">
        <v>266</v>
      </c>
      <c r="GO317" t="s">
        <v>226</v>
      </c>
      <c r="GP317" t="s">
        <v>226</v>
      </c>
      <c r="GQ317" t="s">
        <v>266</v>
      </c>
      <c r="GR317" t="s">
        <v>236</v>
      </c>
      <c r="GU317" t="s">
        <v>236</v>
      </c>
      <c r="GX317" t="s">
        <v>236</v>
      </c>
      <c r="HB317" t="s">
        <v>401</v>
      </c>
      <c r="HC317" t="s">
        <v>288</v>
      </c>
      <c r="HE317">
        <v>83002828</v>
      </c>
      <c r="HF317" t="s">
        <v>402</v>
      </c>
      <c r="HG317" s="2">
        <v>45754.220289351862</v>
      </c>
      <c r="HJ317" t="s">
        <v>248</v>
      </c>
      <c r="HL317" t="s">
        <v>249</v>
      </c>
      <c r="HN317">
        <v>316</v>
      </c>
    </row>
    <row r="318" spans="1:222" x14ac:dyDescent="0.25">
      <c r="A318" s="2">
        <v>45754.011949502317</v>
      </c>
      <c r="B318" s="2">
        <v>45754.014476504628</v>
      </c>
      <c r="C318" t="s">
        <v>375</v>
      </c>
      <c r="D318">
        <v>326</v>
      </c>
      <c r="E318" s="2">
        <v>45730</v>
      </c>
      <c r="F318">
        <v>2</v>
      </c>
      <c r="G318" t="s">
        <v>290</v>
      </c>
      <c r="H318" t="s">
        <v>391</v>
      </c>
      <c r="I318">
        <v>72</v>
      </c>
      <c r="J318" t="str">
        <f t="shared" si="4"/>
        <v>de 56 a más</v>
      </c>
      <c r="K318" t="s">
        <v>251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225</v>
      </c>
      <c r="R318" t="s">
        <v>226</v>
      </c>
      <c r="T318" t="s">
        <v>227</v>
      </c>
      <c r="V318" t="s">
        <v>228</v>
      </c>
      <c r="W318" t="s">
        <v>292</v>
      </c>
      <c r="X318" t="s">
        <v>368</v>
      </c>
      <c r="Z318" t="s">
        <v>351</v>
      </c>
      <c r="AA318" t="s">
        <v>352</v>
      </c>
      <c r="AB318">
        <v>1</v>
      </c>
      <c r="AC318">
        <v>0</v>
      </c>
      <c r="AD318">
        <v>0</v>
      </c>
      <c r="AE318">
        <v>0</v>
      </c>
      <c r="AF318">
        <v>1</v>
      </c>
      <c r="AG318">
        <v>0</v>
      </c>
      <c r="AI318" t="s">
        <v>233</v>
      </c>
      <c r="AJ318">
        <v>0</v>
      </c>
      <c r="AK318">
        <v>1</v>
      </c>
      <c r="AL318">
        <v>0</v>
      </c>
      <c r="AM318">
        <v>0</v>
      </c>
      <c r="AN318" t="s">
        <v>300</v>
      </c>
      <c r="AO318" t="s">
        <v>235</v>
      </c>
      <c r="AP318">
        <v>0</v>
      </c>
      <c r="AQ318">
        <v>0</v>
      </c>
      <c r="AR318">
        <v>0</v>
      </c>
      <c r="AS318">
        <v>1</v>
      </c>
      <c r="AT318">
        <v>0</v>
      </c>
      <c r="AU318">
        <v>0</v>
      </c>
      <c r="AV318">
        <v>0</v>
      </c>
      <c r="AX318" t="s">
        <v>226</v>
      </c>
      <c r="AY318" t="s">
        <v>226</v>
      </c>
      <c r="AZ318" t="s">
        <v>362</v>
      </c>
      <c r="BA318" t="s">
        <v>1611</v>
      </c>
      <c r="BE318" t="s">
        <v>239</v>
      </c>
      <c r="BF318" t="s">
        <v>237</v>
      </c>
      <c r="BG318" t="s">
        <v>259</v>
      </c>
      <c r="BH318" t="s">
        <v>239</v>
      </c>
      <c r="BI318" t="s">
        <v>239</v>
      </c>
      <c r="BJ318" t="s">
        <v>239</v>
      </c>
      <c r="BK318" t="s">
        <v>239</v>
      </c>
      <c r="BL318" t="s">
        <v>262</v>
      </c>
      <c r="BM318" t="s">
        <v>389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 t="s">
        <v>328</v>
      </c>
      <c r="CB318" t="s">
        <v>328</v>
      </c>
      <c r="CC318" t="s">
        <v>328</v>
      </c>
      <c r="CD318" t="s">
        <v>236</v>
      </c>
      <c r="CE318" t="s">
        <v>236</v>
      </c>
      <c r="EA318" t="s">
        <v>236</v>
      </c>
      <c r="EC318" t="s">
        <v>236</v>
      </c>
      <c r="EE318" t="s">
        <v>236</v>
      </c>
      <c r="EG318" t="s">
        <v>236</v>
      </c>
      <c r="EI318" t="s">
        <v>236</v>
      </c>
      <c r="EK318" t="s">
        <v>236</v>
      </c>
      <c r="EM318" t="s">
        <v>236</v>
      </c>
      <c r="EO318" t="s">
        <v>236</v>
      </c>
      <c r="EQ318" t="s">
        <v>236</v>
      </c>
      <c r="ES318" t="s">
        <v>236</v>
      </c>
      <c r="EU318" t="s">
        <v>236</v>
      </c>
      <c r="EW318" t="s">
        <v>236</v>
      </c>
      <c r="EY318" t="s">
        <v>236</v>
      </c>
      <c r="FA318" t="s">
        <v>236</v>
      </c>
      <c r="FC318" t="s">
        <v>236</v>
      </c>
      <c r="FE318" t="s">
        <v>226</v>
      </c>
      <c r="FF318" t="s">
        <v>245</v>
      </c>
      <c r="FG318" t="s">
        <v>236</v>
      </c>
      <c r="FJ318" t="s">
        <v>226</v>
      </c>
      <c r="FK318" t="s">
        <v>245</v>
      </c>
      <c r="FL318" t="s">
        <v>236</v>
      </c>
      <c r="FM318" t="s">
        <v>236</v>
      </c>
      <c r="FW318" t="s">
        <v>236</v>
      </c>
      <c r="FZ318" t="s">
        <v>236</v>
      </c>
      <c r="GC318" t="s">
        <v>236</v>
      </c>
      <c r="GF318" t="s">
        <v>236</v>
      </c>
      <c r="GI318" t="s">
        <v>236</v>
      </c>
      <c r="GL318" t="s">
        <v>236</v>
      </c>
      <c r="GO318" t="s">
        <v>226</v>
      </c>
      <c r="GP318" t="s">
        <v>226</v>
      </c>
      <c r="GQ318" t="s">
        <v>267</v>
      </c>
      <c r="GR318" t="s">
        <v>226</v>
      </c>
      <c r="GS318" t="s">
        <v>226</v>
      </c>
      <c r="GT318" t="s">
        <v>266</v>
      </c>
      <c r="GU318" t="s">
        <v>236</v>
      </c>
      <c r="GX318" t="s">
        <v>236</v>
      </c>
      <c r="HB318" t="s">
        <v>1612</v>
      </c>
      <c r="HC318" t="s">
        <v>1613</v>
      </c>
      <c r="HE318">
        <v>83003316</v>
      </c>
      <c r="HF318" t="s">
        <v>1614</v>
      </c>
      <c r="HG318" s="2">
        <v>45754.222812499997</v>
      </c>
      <c r="HJ318" t="s">
        <v>248</v>
      </c>
      <c r="HL318" t="s">
        <v>249</v>
      </c>
      <c r="HN318">
        <v>317</v>
      </c>
    </row>
    <row r="319" spans="1:222" x14ac:dyDescent="0.25">
      <c r="A319" s="2">
        <v>45754.014477141201</v>
      </c>
      <c r="B319" s="2">
        <v>45754.01756158565</v>
      </c>
      <c r="C319" t="s">
        <v>375</v>
      </c>
      <c r="D319">
        <v>325</v>
      </c>
      <c r="E319" s="2">
        <v>45730</v>
      </c>
      <c r="F319">
        <v>2</v>
      </c>
      <c r="G319" t="s">
        <v>403</v>
      </c>
      <c r="H319" t="s">
        <v>391</v>
      </c>
      <c r="I319">
        <v>61</v>
      </c>
      <c r="J319" t="str">
        <f t="shared" si="4"/>
        <v>de 56 a más</v>
      </c>
      <c r="K319" t="s">
        <v>251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225</v>
      </c>
      <c r="R319" t="s">
        <v>226</v>
      </c>
      <c r="T319" t="s">
        <v>227</v>
      </c>
      <c r="V319" t="s">
        <v>252</v>
      </c>
      <c r="W319" t="s">
        <v>229</v>
      </c>
      <c r="X319" t="s">
        <v>348</v>
      </c>
      <c r="Y319" t="s">
        <v>761</v>
      </c>
      <c r="Z319" t="s">
        <v>351</v>
      </c>
      <c r="AA319" t="s">
        <v>232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I319" t="s">
        <v>233</v>
      </c>
      <c r="AJ319">
        <v>0</v>
      </c>
      <c r="AK319">
        <v>1</v>
      </c>
      <c r="AL319">
        <v>0</v>
      </c>
      <c r="AM319">
        <v>0</v>
      </c>
      <c r="AN319" t="s">
        <v>300</v>
      </c>
      <c r="AO319" t="s">
        <v>326</v>
      </c>
      <c r="AP319">
        <v>0</v>
      </c>
      <c r="AQ319">
        <v>0</v>
      </c>
      <c r="AR319">
        <v>1</v>
      </c>
      <c r="AS319">
        <v>1</v>
      </c>
      <c r="AT319">
        <v>0</v>
      </c>
      <c r="AU319">
        <v>0</v>
      </c>
      <c r="AV319">
        <v>0</v>
      </c>
      <c r="AX319" t="s">
        <v>226</v>
      </c>
      <c r="AY319" t="s">
        <v>226</v>
      </c>
      <c r="AZ319" t="s">
        <v>237</v>
      </c>
      <c r="BA319" t="s">
        <v>672</v>
      </c>
      <c r="BB319" t="s">
        <v>276</v>
      </c>
      <c r="BC319" t="s">
        <v>1609</v>
      </c>
      <c r="BE319" t="s">
        <v>259</v>
      </c>
      <c r="BF319" t="s">
        <v>259</v>
      </c>
      <c r="BG319" t="s">
        <v>259</v>
      </c>
      <c r="BH319" t="s">
        <v>259</v>
      </c>
      <c r="BI319" t="s">
        <v>237</v>
      </c>
      <c r="BJ319" t="s">
        <v>259</v>
      </c>
      <c r="BK319" t="s">
        <v>261</v>
      </c>
      <c r="BL319" t="s">
        <v>313</v>
      </c>
      <c r="BM319" t="s">
        <v>733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 t="s">
        <v>264</v>
      </c>
      <c r="CB319" t="s">
        <v>264</v>
      </c>
      <c r="CC319" t="s">
        <v>264</v>
      </c>
      <c r="CD319" t="s">
        <v>236</v>
      </c>
      <c r="CE319" t="s">
        <v>236</v>
      </c>
      <c r="EA319" t="s">
        <v>236</v>
      </c>
      <c r="EC319" t="s">
        <v>236</v>
      </c>
      <c r="EE319" t="s">
        <v>226</v>
      </c>
      <c r="EF319" t="s">
        <v>244</v>
      </c>
      <c r="EG319" t="s">
        <v>226</v>
      </c>
      <c r="EH319" t="s">
        <v>265</v>
      </c>
      <c r="EI319" t="s">
        <v>226</v>
      </c>
      <c r="EJ319" t="s">
        <v>245</v>
      </c>
      <c r="EK319" t="s">
        <v>236</v>
      </c>
      <c r="EM319" t="s">
        <v>226</v>
      </c>
      <c r="EN319" t="s">
        <v>265</v>
      </c>
      <c r="EO319" t="s">
        <v>226</v>
      </c>
      <c r="EP319" t="s">
        <v>265</v>
      </c>
      <c r="EQ319" t="s">
        <v>236</v>
      </c>
      <c r="ES319" t="s">
        <v>236</v>
      </c>
      <c r="EU319" t="s">
        <v>236</v>
      </c>
      <c r="EW319" t="s">
        <v>236</v>
      </c>
      <c r="EY319" t="s">
        <v>236</v>
      </c>
      <c r="FA319" t="s">
        <v>226</v>
      </c>
      <c r="FB319" t="s">
        <v>244</v>
      </c>
      <c r="FC319" t="s">
        <v>236</v>
      </c>
      <c r="FE319" t="s">
        <v>226</v>
      </c>
      <c r="FF319" t="s">
        <v>244</v>
      </c>
      <c r="FG319" t="s">
        <v>236</v>
      </c>
      <c r="FJ319" t="s">
        <v>226</v>
      </c>
      <c r="FK319" t="s">
        <v>245</v>
      </c>
      <c r="FL319" t="s">
        <v>236</v>
      </c>
      <c r="FM319" t="s">
        <v>236</v>
      </c>
      <c r="FW319" t="s">
        <v>226</v>
      </c>
      <c r="FX319" t="s">
        <v>226</v>
      </c>
      <c r="FY319" t="s">
        <v>266</v>
      </c>
      <c r="FZ319" t="s">
        <v>226</v>
      </c>
      <c r="GA319" t="s">
        <v>226</v>
      </c>
      <c r="GB319" t="s">
        <v>266</v>
      </c>
      <c r="GC319" t="s">
        <v>236</v>
      </c>
      <c r="GF319" t="s">
        <v>226</v>
      </c>
      <c r="GG319" t="s">
        <v>226</v>
      </c>
      <c r="GH319" t="s">
        <v>266</v>
      </c>
      <c r="GI319" t="s">
        <v>226</v>
      </c>
      <c r="GJ319" t="s">
        <v>236</v>
      </c>
      <c r="GL319" t="s">
        <v>226</v>
      </c>
      <c r="GM319" t="s">
        <v>236</v>
      </c>
      <c r="GO319" t="s">
        <v>226</v>
      </c>
      <c r="GP319" t="s">
        <v>236</v>
      </c>
      <c r="GR319" t="s">
        <v>226</v>
      </c>
      <c r="GS319" t="s">
        <v>236</v>
      </c>
      <c r="GU319" t="s">
        <v>236</v>
      </c>
      <c r="GX319" t="s">
        <v>226</v>
      </c>
      <c r="GY319" t="s">
        <v>236</v>
      </c>
      <c r="HB319" t="s">
        <v>280</v>
      </c>
      <c r="HC319" t="s">
        <v>279</v>
      </c>
      <c r="HE319">
        <v>83003701</v>
      </c>
      <c r="HF319" t="s">
        <v>1610</v>
      </c>
      <c r="HG319" s="2">
        <v>45754.225902777784</v>
      </c>
      <c r="HJ319" t="s">
        <v>248</v>
      </c>
      <c r="HL319" t="s">
        <v>249</v>
      </c>
      <c r="HN319">
        <v>318</v>
      </c>
    </row>
    <row r="320" spans="1:222" x14ac:dyDescent="0.25">
      <c r="A320" s="2">
        <v>45754.017562291658</v>
      </c>
      <c r="B320" s="2">
        <v>45754.021516828703</v>
      </c>
      <c r="C320" t="s">
        <v>375</v>
      </c>
      <c r="D320">
        <v>321</v>
      </c>
      <c r="E320" s="2">
        <v>45731</v>
      </c>
      <c r="F320">
        <v>2</v>
      </c>
      <c r="G320" t="s">
        <v>320</v>
      </c>
      <c r="H320" t="s">
        <v>391</v>
      </c>
      <c r="I320">
        <v>29</v>
      </c>
      <c r="J320" t="str">
        <f t="shared" si="4"/>
        <v>de 26 a 40 años</v>
      </c>
      <c r="K320" t="s">
        <v>224</v>
      </c>
      <c r="L320">
        <v>1</v>
      </c>
      <c r="M320">
        <v>0</v>
      </c>
      <c r="N320">
        <v>0</v>
      </c>
      <c r="O320">
        <v>0</v>
      </c>
      <c r="P320">
        <v>0</v>
      </c>
      <c r="Q320" t="s">
        <v>225</v>
      </c>
      <c r="R320" t="s">
        <v>226</v>
      </c>
      <c r="T320" t="s">
        <v>227</v>
      </c>
      <c r="V320" t="s">
        <v>252</v>
      </c>
      <c r="W320" t="s">
        <v>229</v>
      </c>
      <c r="X320" t="s">
        <v>253</v>
      </c>
      <c r="Z320" t="s">
        <v>231</v>
      </c>
      <c r="AA320" t="s">
        <v>255</v>
      </c>
      <c r="AB320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I320" t="s">
        <v>256</v>
      </c>
      <c r="AJ320">
        <v>0</v>
      </c>
      <c r="AK320">
        <v>0</v>
      </c>
      <c r="AL320">
        <v>1</v>
      </c>
      <c r="AM320">
        <v>0</v>
      </c>
      <c r="AN320" t="s">
        <v>257</v>
      </c>
      <c r="AO320" t="s">
        <v>294</v>
      </c>
      <c r="AP320">
        <v>1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X320" t="s">
        <v>236</v>
      </c>
      <c r="AZ320" t="s">
        <v>237</v>
      </c>
      <c r="BA320" t="s">
        <v>276</v>
      </c>
      <c r="BB320" t="s">
        <v>1594</v>
      </c>
      <c r="BE320" t="s">
        <v>259</v>
      </c>
      <c r="BF320" t="s">
        <v>237</v>
      </c>
      <c r="BG320" t="s">
        <v>259</v>
      </c>
      <c r="BH320" t="s">
        <v>259</v>
      </c>
      <c r="BI320" t="s">
        <v>259</v>
      </c>
      <c r="BJ320" t="s">
        <v>259</v>
      </c>
      <c r="BK320" t="s">
        <v>259</v>
      </c>
      <c r="BL320" t="s">
        <v>262</v>
      </c>
      <c r="BM320" t="s">
        <v>278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 t="s">
        <v>264</v>
      </c>
      <c r="CB320" t="s">
        <v>264</v>
      </c>
      <c r="CC320" t="s">
        <v>264</v>
      </c>
      <c r="CD320" t="s">
        <v>236</v>
      </c>
      <c r="CE320" t="s">
        <v>236</v>
      </c>
      <c r="EA320" t="s">
        <v>236</v>
      </c>
      <c r="EC320" t="s">
        <v>236</v>
      </c>
      <c r="EE320" t="s">
        <v>236</v>
      </c>
      <c r="EG320" t="s">
        <v>236</v>
      </c>
      <c r="EI320" t="s">
        <v>226</v>
      </c>
      <c r="EJ320" t="s">
        <v>244</v>
      </c>
      <c r="EK320" t="s">
        <v>236</v>
      </c>
      <c r="EM320" t="s">
        <v>226</v>
      </c>
      <c r="EN320" t="s">
        <v>244</v>
      </c>
      <c r="EO320" t="s">
        <v>236</v>
      </c>
      <c r="EQ320" t="s">
        <v>236</v>
      </c>
      <c r="ES320" t="s">
        <v>236</v>
      </c>
      <c r="EU320" t="s">
        <v>236</v>
      </c>
      <c r="EW320" t="s">
        <v>236</v>
      </c>
      <c r="EY320" t="s">
        <v>236</v>
      </c>
      <c r="FA320" t="s">
        <v>226</v>
      </c>
      <c r="FB320" t="s">
        <v>244</v>
      </c>
      <c r="FC320" t="s">
        <v>236</v>
      </c>
      <c r="FE320" t="s">
        <v>236</v>
      </c>
      <c r="FG320" t="s">
        <v>236</v>
      </c>
      <c r="FJ320" t="s">
        <v>226</v>
      </c>
      <c r="FK320" t="s">
        <v>245</v>
      </c>
      <c r="FL320" t="s">
        <v>236</v>
      </c>
      <c r="FM320" t="s">
        <v>236</v>
      </c>
      <c r="FW320" t="s">
        <v>226</v>
      </c>
      <c r="FX320" t="s">
        <v>236</v>
      </c>
      <c r="FZ320" t="s">
        <v>226</v>
      </c>
      <c r="GA320" t="s">
        <v>236</v>
      </c>
      <c r="GC320" t="s">
        <v>236</v>
      </c>
      <c r="GF320" t="s">
        <v>226</v>
      </c>
      <c r="GG320" t="s">
        <v>236</v>
      </c>
      <c r="GI320" t="s">
        <v>236</v>
      </c>
      <c r="GL320" t="s">
        <v>236</v>
      </c>
      <c r="GO320" t="s">
        <v>226</v>
      </c>
      <c r="GP320" t="s">
        <v>236</v>
      </c>
      <c r="GR320" t="s">
        <v>226</v>
      </c>
      <c r="GS320" t="s">
        <v>236</v>
      </c>
      <c r="GU320" t="s">
        <v>236</v>
      </c>
      <c r="GX320" t="s">
        <v>236</v>
      </c>
      <c r="HB320" t="s">
        <v>323</v>
      </c>
      <c r="HC320" t="s">
        <v>408</v>
      </c>
      <c r="HE320">
        <v>83004201</v>
      </c>
      <c r="HF320" t="s">
        <v>1595</v>
      </c>
      <c r="HG320" s="2">
        <v>45754.229861111111</v>
      </c>
      <c r="HJ320" t="s">
        <v>248</v>
      </c>
      <c r="HL320" t="s">
        <v>249</v>
      </c>
      <c r="HN320">
        <v>319</v>
      </c>
    </row>
    <row r="321" spans="1:222" x14ac:dyDescent="0.25">
      <c r="A321" s="2">
        <v>45754.338794618059</v>
      </c>
      <c r="B321" s="2">
        <v>45754.341864780094</v>
      </c>
      <c r="C321" t="s">
        <v>305</v>
      </c>
      <c r="D321">
        <v>259</v>
      </c>
      <c r="E321" s="2">
        <v>45730</v>
      </c>
      <c r="F321">
        <v>5</v>
      </c>
      <c r="G321" t="s">
        <v>1398</v>
      </c>
      <c r="H321" t="s">
        <v>223</v>
      </c>
      <c r="I321">
        <v>38</v>
      </c>
      <c r="J321" t="str">
        <f t="shared" si="4"/>
        <v>de 26 a 40 años</v>
      </c>
      <c r="K321" t="s">
        <v>341</v>
      </c>
      <c r="L321">
        <v>1</v>
      </c>
      <c r="M321">
        <v>0</v>
      </c>
      <c r="N321">
        <v>0</v>
      </c>
      <c r="O321">
        <v>0</v>
      </c>
      <c r="P321">
        <v>0</v>
      </c>
      <c r="Q321" t="s">
        <v>291</v>
      </c>
      <c r="R321" t="s">
        <v>226</v>
      </c>
      <c r="T321" t="s">
        <v>227</v>
      </c>
      <c r="V321" t="s">
        <v>228</v>
      </c>
      <c r="W321" t="s">
        <v>229</v>
      </c>
      <c r="X321" t="s">
        <v>230</v>
      </c>
      <c r="Z321" t="s">
        <v>254</v>
      </c>
      <c r="AA321" t="s">
        <v>616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 t="s">
        <v>1403</v>
      </c>
      <c r="AI321" t="s">
        <v>1323</v>
      </c>
      <c r="AJ321">
        <v>1</v>
      </c>
      <c r="AK321">
        <v>1</v>
      </c>
      <c r="AL321">
        <v>0</v>
      </c>
      <c r="AM321">
        <v>0</v>
      </c>
      <c r="AN321" t="s">
        <v>257</v>
      </c>
      <c r="AO321" t="s">
        <v>382</v>
      </c>
      <c r="AP321">
        <v>0</v>
      </c>
      <c r="AQ321">
        <v>0</v>
      </c>
      <c r="AR321">
        <v>1</v>
      </c>
      <c r="AS321">
        <v>0</v>
      </c>
      <c r="AT321">
        <v>0</v>
      </c>
      <c r="AU321">
        <v>0</v>
      </c>
      <c r="AV321">
        <v>0</v>
      </c>
      <c r="AX321" t="s">
        <v>236</v>
      </c>
      <c r="AZ321" t="s">
        <v>261</v>
      </c>
      <c r="BA321" t="s">
        <v>1404</v>
      </c>
      <c r="BE321" t="s">
        <v>261</v>
      </c>
      <c r="BF321" t="s">
        <v>259</v>
      </c>
      <c r="BG321" t="s">
        <v>259</v>
      </c>
      <c r="BH321" t="s">
        <v>362</v>
      </c>
      <c r="BI321" t="s">
        <v>259</v>
      </c>
      <c r="BJ321" t="s">
        <v>259</v>
      </c>
      <c r="BK321" t="s">
        <v>362</v>
      </c>
      <c r="BL321" t="s">
        <v>313</v>
      </c>
      <c r="BM321" t="s">
        <v>415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0</v>
      </c>
      <c r="CA321" t="s">
        <v>264</v>
      </c>
      <c r="CB321" t="s">
        <v>264</v>
      </c>
      <c r="CC321" t="s">
        <v>264</v>
      </c>
      <c r="CD321" t="s">
        <v>226</v>
      </c>
      <c r="CE321" t="s">
        <v>236</v>
      </c>
      <c r="EA321" t="s">
        <v>226</v>
      </c>
      <c r="EB321" t="s">
        <v>244</v>
      </c>
      <c r="EC321" t="s">
        <v>226</v>
      </c>
      <c r="ED321" t="s">
        <v>244</v>
      </c>
      <c r="EE321" t="s">
        <v>226</v>
      </c>
      <c r="EF321" t="s">
        <v>244</v>
      </c>
      <c r="EG321" t="s">
        <v>226</v>
      </c>
      <c r="EH321" t="s">
        <v>244</v>
      </c>
      <c r="EI321" t="s">
        <v>226</v>
      </c>
      <c r="EJ321" t="s">
        <v>245</v>
      </c>
      <c r="EK321" t="s">
        <v>226</v>
      </c>
      <c r="EL321" t="s">
        <v>245</v>
      </c>
      <c r="EM321" t="s">
        <v>226</v>
      </c>
      <c r="EN321" t="s">
        <v>245</v>
      </c>
      <c r="EO321" t="s">
        <v>226</v>
      </c>
      <c r="EP321" t="s">
        <v>244</v>
      </c>
      <c r="EQ321" t="s">
        <v>226</v>
      </c>
      <c r="ER321" t="s">
        <v>244</v>
      </c>
      <c r="ES321" t="s">
        <v>226</v>
      </c>
      <c r="ET321" t="s">
        <v>245</v>
      </c>
      <c r="EU321" t="s">
        <v>226</v>
      </c>
      <c r="EV321" t="s">
        <v>245</v>
      </c>
      <c r="EW321" t="s">
        <v>226</v>
      </c>
      <c r="EX321" t="s">
        <v>245</v>
      </c>
      <c r="EY321" t="s">
        <v>226</v>
      </c>
      <c r="EZ321" t="s">
        <v>244</v>
      </c>
      <c r="FA321" t="s">
        <v>226</v>
      </c>
      <c r="FB321" t="s">
        <v>244</v>
      </c>
      <c r="FC321" t="s">
        <v>226</v>
      </c>
      <c r="FD321" t="s">
        <v>244</v>
      </c>
      <c r="FE321" t="s">
        <v>226</v>
      </c>
      <c r="FF321" t="s">
        <v>244</v>
      </c>
      <c r="FG321" t="s">
        <v>236</v>
      </c>
      <c r="FJ321" t="s">
        <v>226</v>
      </c>
      <c r="FK321" t="s">
        <v>245</v>
      </c>
      <c r="FL321" t="s">
        <v>226</v>
      </c>
      <c r="FM321" t="s">
        <v>236</v>
      </c>
      <c r="FW321" t="s">
        <v>236</v>
      </c>
      <c r="FZ321" t="s">
        <v>236</v>
      </c>
      <c r="GC321" t="s">
        <v>236</v>
      </c>
      <c r="GF321" t="s">
        <v>226</v>
      </c>
      <c r="GG321" t="s">
        <v>236</v>
      </c>
      <c r="GI321" t="s">
        <v>236</v>
      </c>
      <c r="GL321" t="s">
        <v>236</v>
      </c>
      <c r="GO321" t="s">
        <v>226</v>
      </c>
      <c r="GP321" t="s">
        <v>236</v>
      </c>
      <c r="GR321" t="s">
        <v>226</v>
      </c>
      <c r="GS321" t="s">
        <v>236</v>
      </c>
      <c r="GU321" t="s">
        <v>236</v>
      </c>
      <c r="GX321" t="s">
        <v>236</v>
      </c>
      <c r="HB321" t="s">
        <v>1405</v>
      </c>
      <c r="HE321">
        <v>83045570</v>
      </c>
      <c r="HF321" t="s">
        <v>1406</v>
      </c>
      <c r="HG321" s="2">
        <v>45754.550104166658</v>
      </c>
      <c r="HJ321" t="s">
        <v>248</v>
      </c>
      <c r="HL321" t="s">
        <v>249</v>
      </c>
      <c r="HN321">
        <v>320</v>
      </c>
    </row>
    <row r="322" spans="1:222" x14ac:dyDescent="0.25">
      <c r="A322" s="2">
        <v>45754.341865277776</v>
      </c>
      <c r="B322" s="2">
        <v>45754.344939236107</v>
      </c>
      <c r="C322" t="s">
        <v>305</v>
      </c>
      <c r="D322">
        <v>269</v>
      </c>
      <c r="E322" s="2">
        <v>45730</v>
      </c>
      <c r="F322">
        <v>5</v>
      </c>
      <c r="G322" t="s">
        <v>380</v>
      </c>
      <c r="H322" t="s">
        <v>223</v>
      </c>
      <c r="I322">
        <v>39</v>
      </c>
      <c r="J322" t="str">
        <f t="shared" ref="J322:J385" si="5">IF(AND(I322&gt;=18,I322&lt;=25), "de 18 a 25 años",IF(AND(I322&gt;=26,I322&lt;=40),"de 26 a 40 años",IF(AND(I322&gt;=41,I322&lt;=55),"de 41 a 55 años","de 56 a más")))</f>
        <v>de 26 a 40 años</v>
      </c>
      <c r="K322" t="s">
        <v>251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291</v>
      </c>
      <c r="R322" t="s">
        <v>226</v>
      </c>
      <c r="T322" t="s">
        <v>284</v>
      </c>
      <c r="V322" t="s">
        <v>612</v>
      </c>
      <c r="W322" t="s">
        <v>292</v>
      </c>
      <c r="X322" t="s">
        <v>230</v>
      </c>
      <c r="Z322" t="s">
        <v>254</v>
      </c>
      <c r="AA322" t="s">
        <v>616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 t="s">
        <v>1430</v>
      </c>
      <c r="AI322" t="s">
        <v>233</v>
      </c>
      <c r="AJ322">
        <v>0</v>
      </c>
      <c r="AK322">
        <v>1</v>
      </c>
      <c r="AL322">
        <v>0</v>
      </c>
      <c r="AM322">
        <v>0</v>
      </c>
      <c r="AN322" t="s">
        <v>234</v>
      </c>
      <c r="AO322" t="s">
        <v>382</v>
      </c>
      <c r="AP322">
        <v>0</v>
      </c>
      <c r="AQ322">
        <v>0</v>
      </c>
      <c r="AR322">
        <v>1</v>
      </c>
      <c r="AS322">
        <v>0</v>
      </c>
      <c r="AT322">
        <v>0</v>
      </c>
      <c r="AU322">
        <v>0</v>
      </c>
      <c r="AV322">
        <v>0</v>
      </c>
      <c r="AX322" t="s">
        <v>236</v>
      </c>
      <c r="AZ322" t="s">
        <v>237</v>
      </c>
      <c r="BA322" t="s">
        <v>1431</v>
      </c>
      <c r="BE322" t="s">
        <v>308</v>
      </c>
      <c r="BF322" t="s">
        <v>237</v>
      </c>
      <c r="BG322" t="s">
        <v>259</v>
      </c>
      <c r="BH322" t="s">
        <v>237</v>
      </c>
      <c r="BI322" t="s">
        <v>237</v>
      </c>
      <c r="BJ322" t="s">
        <v>259</v>
      </c>
      <c r="BK322" t="s">
        <v>259</v>
      </c>
      <c r="BL322" t="s">
        <v>313</v>
      </c>
      <c r="BM322" t="s">
        <v>372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</v>
      </c>
      <c r="CA322" t="s">
        <v>264</v>
      </c>
      <c r="CB322" t="s">
        <v>264</v>
      </c>
      <c r="CC322" t="s">
        <v>264</v>
      </c>
      <c r="CD322" t="s">
        <v>236</v>
      </c>
      <c r="CE322" t="s">
        <v>236</v>
      </c>
      <c r="EA322" t="s">
        <v>226</v>
      </c>
      <c r="EB322" t="s">
        <v>244</v>
      </c>
      <c r="EC322" t="s">
        <v>226</v>
      </c>
      <c r="ED322" t="s">
        <v>245</v>
      </c>
      <c r="EE322" t="s">
        <v>226</v>
      </c>
      <c r="EF322" t="s">
        <v>245</v>
      </c>
      <c r="EG322" t="s">
        <v>226</v>
      </c>
      <c r="EH322" t="s">
        <v>245</v>
      </c>
      <c r="EI322" t="s">
        <v>236</v>
      </c>
      <c r="EK322" t="s">
        <v>226</v>
      </c>
      <c r="EL322" t="s">
        <v>245</v>
      </c>
      <c r="EM322" t="s">
        <v>236</v>
      </c>
      <c r="EO322" t="s">
        <v>236</v>
      </c>
      <c r="EQ322" t="s">
        <v>236</v>
      </c>
      <c r="ES322" t="s">
        <v>236</v>
      </c>
      <c r="EU322" t="s">
        <v>236</v>
      </c>
      <c r="EW322" t="s">
        <v>236</v>
      </c>
      <c r="EY322" t="s">
        <v>236</v>
      </c>
      <c r="FA322" t="s">
        <v>236</v>
      </c>
      <c r="FC322" t="s">
        <v>236</v>
      </c>
      <c r="FE322" t="s">
        <v>236</v>
      </c>
      <c r="FG322" t="s">
        <v>236</v>
      </c>
      <c r="FJ322" t="s">
        <v>226</v>
      </c>
      <c r="FK322" t="s">
        <v>245</v>
      </c>
      <c r="FL322" t="s">
        <v>236</v>
      </c>
      <c r="FM322" t="s">
        <v>236</v>
      </c>
      <c r="FW322" t="s">
        <v>226</v>
      </c>
      <c r="FX322" t="s">
        <v>236</v>
      </c>
      <c r="FZ322" t="s">
        <v>226</v>
      </c>
      <c r="GA322" t="s">
        <v>236</v>
      </c>
      <c r="GC322" t="s">
        <v>226</v>
      </c>
      <c r="GD322" t="s">
        <v>236</v>
      </c>
      <c r="GF322" t="s">
        <v>226</v>
      </c>
      <c r="GG322" t="s">
        <v>236</v>
      </c>
      <c r="GI322" t="s">
        <v>226</v>
      </c>
      <c r="GJ322" t="s">
        <v>236</v>
      </c>
      <c r="GL322" t="s">
        <v>236</v>
      </c>
      <c r="GO322" t="s">
        <v>226</v>
      </c>
      <c r="GP322" t="s">
        <v>226</v>
      </c>
      <c r="GQ322" t="s">
        <v>266</v>
      </c>
      <c r="GR322" t="s">
        <v>226</v>
      </c>
      <c r="GS322" t="s">
        <v>226</v>
      </c>
      <c r="GT322" t="s">
        <v>266</v>
      </c>
      <c r="GU322" t="s">
        <v>236</v>
      </c>
      <c r="GX322" t="s">
        <v>236</v>
      </c>
      <c r="HB322" t="s">
        <v>1432</v>
      </c>
      <c r="HE322">
        <v>83045892</v>
      </c>
      <c r="HF322" t="s">
        <v>1433</v>
      </c>
      <c r="HG322" s="2">
        <v>45754.553182870368</v>
      </c>
      <c r="HJ322" t="s">
        <v>248</v>
      </c>
      <c r="HL322" t="s">
        <v>249</v>
      </c>
      <c r="HN322">
        <v>321</v>
      </c>
    </row>
    <row r="323" spans="1:222" x14ac:dyDescent="0.25">
      <c r="A323" s="2">
        <v>45754.626168726849</v>
      </c>
      <c r="B323" s="2">
        <v>45754.632419571761</v>
      </c>
      <c r="C323" t="s">
        <v>334</v>
      </c>
      <c r="D323">
        <v>500</v>
      </c>
      <c r="E323" s="2">
        <v>45738</v>
      </c>
      <c r="F323">
        <v>2</v>
      </c>
      <c r="G323" t="s">
        <v>507</v>
      </c>
      <c r="H323" t="s">
        <v>221</v>
      </c>
      <c r="I323">
        <v>20</v>
      </c>
      <c r="J323" t="str">
        <f t="shared" si="5"/>
        <v>de 18 a 25 años</v>
      </c>
      <c r="K323" t="s">
        <v>224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225</v>
      </c>
      <c r="R323" t="s">
        <v>226</v>
      </c>
      <c r="T323" t="s">
        <v>227</v>
      </c>
      <c r="V323" t="s">
        <v>228</v>
      </c>
      <c r="W323" t="s">
        <v>292</v>
      </c>
      <c r="X323" t="s">
        <v>253</v>
      </c>
      <c r="Z323" t="s">
        <v>231</v>
      </c>
      <c r="AA323" t="s">
        <v>481</v>
      </c>
      <c r="AB323">
        <v>0</v>
      </c>
      <c r="AC323">
        <v>0</v>
      </c>
      <c r="AD323">
        <v>0</v>
      </c>
      <c r="AE323">
        <v>1</v>
      </c>
      <c r="AF323">
        <v>1</v>
      </c>
      <c r="AG323">
        <v>0</v>
      </c>
      <c r="AI323" t="s">
        <v>233</v>
      </c>
      <c r="AJ323">
        <v>0</v>
      </c>
      <c r="AK323">
        <v>1</v>
      </c>
      <c r="AL323">
        <v>0</v>
      </c>
      <c r="AM323">
        <v>0</v>
      </c>
      <c r="AN323" t="s">
        <v>234</v>
      </c>
      <c r="AO323" t="s">
        <v>633</v>
      </c>
      <c r="AP323">
        <v>0</v>
      </c>
      <c r="AQ323">
        <v>0</v>
      </c>
      <c r="AR323">
        <v>0</v>
      </c>
      <c r="AS323">
        <v>1</v>
      </c>
      <c r="AT323">
        <v>0</v>
      </c>
      <c r="AU323">
        <v>1</v>
      </c>
      <c r="AV323">
        <v>0</v>
      </c>
      <c r="AX323" t="s">
        <v>236</v>
      </c>
      <c r="AZ323" t="s">
        <v>237</v>
      </c>
      <c r="BA323" t="s">
        <v>512</v>
      </c>
      <c r="BB323" t="s">
        <v>2144</v>
      </c>
      <c r="BC323" t="s">
        <v>276</v>
      </c>
      <c r="BE323" t="s">
        <v>237</v>
      </c>
      <c r="BF323" t="s">
        <v>237</v>
      </c>
      <c r="BG323" t="s">
        <v>237</v>
      </c>
      <c r="BH323" t="s">
        <v>239</v>
      </c>
      <c r="BI323" t="s">
        <v>237</v>
      </c>
      <c r="BJ323" t="s">
        <v>237</v>
      </c>
      <c r="BK323" t="s">
        <v>239</v>
      </c>
      <c r="BL323" t="s">
        <v>240</v>
      </c>
      <c r="BM323" t="s">
        <v>415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 t="s">
        <v>264</v>
      </c>
      <c r="CB323" t="s">
        <v>328</v>
      </c>
      <c r="CC323" t="s">
        <v>264</v>
      </c>
      <c r="CD323" t="s">
        <v>236</v>
      </c>
      <c r="CE323" t="s">
        <v>236</v>
      </c>
      <c r="EA323" t="s">
        <v>236</v>
      </c>
      <c r="EC323" t="s">
        <v>226</v>
      </c>
      <c r="ED323" t="s">
        <v>244</v>
      </c>
      <c r="EE323" t="s">
        <v>226</v>
      </c>
      <c r="EF323" t="s">
        <v>245</v>
      </c>
      <c r="EG323" t="s">
        <v>226</v>
      </c>
      <c r="EH323" t="s">
        <v>244</v>
      </c>
      <c r="EI323" t="s">
        <v>236</v>
      </c>
      <c r="EK323" t="s">
        <v>236</v>
      </c>
      <c r="EM323" t="s">
        <v>236</v>
      </c>
      <c r="EO323" t="s">
        <v>236</v>
      </c>
      <c r="EQ323" t="s">
        <v>236</v>
      </c>
      <c r="ES323" t="s">
        <v>236</v>
      </c>
      <c r="EU323" t="s">
        <v>236</v>
      </c>
      <c r="EW323" t="s">
        <v>236</v>
      </c>
      <c r="EY323" t="s">
        <v>226</v>
      </c>
      <c r="EZ323" t="s">
        <v>244</v>
      </c>
      <c r="FA323" t="s">
        <v>236</v>
      </c>
      <c r="FC323" t="s">
        <v>236</v>
      </c>
      <c r="FE323" t="s">
        <v>236</v>
      </c>
      <c r="FG323" t="s">
        <v>236</v>
      </c>
      <c r="FJ323" t="s">
        <v>226</v>
      </c>
      <c r="FK323" t="s">
        <v>244</v>
      </c>
      <c r="FL323" t="s">
        <v>236</v>
      </c>
      <c r="FM323" t="s">
        <v>236</v>
      </c>
      <c r="FW323" t="s">
        <v>226</v>
      </c>
      <c r="FX323" t="s">
        <v>236</v>
      </c>
      <c r="FZ323" t="s">
        <v>236</v>
      </c>
      <c r="GC323" t="s">
        <v>236</v>
      </c>
      <c r="GF323" t="s">
        <v>226</v>
      </c>
      <c r="GG323" t="s">
        <v>226</v>
      </c>
      <c r="GH323" t="s">
        <v>267</v>
      </c>
      <c r="GI323" t="s">
        <v>236</v>
      </c>
      <c r="GL323" t="s">
        <v>236</v>
      </c>
      <c r="GO323" t="s">
        <v>226</v>
      </c>
      <c r="GP323" t="s">
        <v>226</v>
      </c>
      <c r="GQ323" t="s">
        <v>267</v>
      </c>
      <c r="GR323" t="s">
        <v>236</v>
      </c>
      <c r="GU323" t="s">
        <v>236</v>
      </c>
      <c r="GX323" t="s">
        <v>236</v>
      </c>
      <c r="HB323" t="s">
        <v>280</v>
      </c>
      <c r="HC323" t="s">
        <v>323</v>
      </c>
      <c r="HD323" t="s">
        <v>1479</v>
      </c>
      <c r="HE323">
        <v>83081626</v>
      </c>
      <c r="HF323" t="s">
        <v>2145</v>
      </c>
      <c r="HG323" s="2">
        <v>45754.840671296297</v>
      </c>
      <c r="HJ323" t="s">
        <v>248</v>
      </c>
      <c r="HL323" t="s">
        <v>249</v>
      </c>
      <c r="HN323">
        <v>322</v>
      </c>
    </row>
    <row r="324" spans="1:222" x14ac:dyDescent="0.25">
      <c r="A324" s="2">
        <v>45754.632420092603</v>
      </c>
      <c r="B324" s="2">
        <v>45754.637096377322</v>
      </c>
      <c r="C324" t="s">
        <v>334</v>
      </c>
      <c r="D324">
        <v>499</v>
      </c>
      <c r="E324" s="2">
        <v>45738</v>
      </c>
      <c r="F324">
        <v>2</v>
      </c>
      <c r="G324" t="s">
        <v>507</v>
      </c>
      <c r="H324" t="s">
        <v>221</v>
      </c>
      <c r="I324">
        <v>60</v>
      </c>
      <c r="J324" t="str">
        <f t="shared" si="5"/>
        <v>de 56 a más</v>
      </c>
      <c r="K324" t="s">
        <v>224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225</v>
      </c>
      <c r="R324" t="s">
        <v>226</v>
      </c>
      <c r="T324" t="s">
        <v>227</v>
      </c>
      <c r="V324" t="s">
        <v>272</v>
      </c>
      <c r="W324" t="s">
        <v>229</v>
      </c>
      <c r="X324" t="s">
        <v>230</v>
      </c>
      <c r="Z324" t="s">
        <v>351</v>
      </c>
      <c r="AA324" t="s">
        <v>232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0</v>
      </c>
      <c r="AI324" t="s">
        <v>233</v>
      </c>
      <c r="AJ324">
        <v>0</v>
      </c>
      <c r="AK324">
        <v>1</v>
      </c>
      <c r="AL324">
        <v>0</v>
      </c>
      <c r="AM324">
        <v>0</v>
      </c>
      <c r="AN324" t="s">
        <v>234</v>
      </c>
      <c r="AO324" t="s">
        <v>235</v>
      </c>
      <c r="AP324">
        <v>0</v>
      </c>
      <c r="AQ324">
        <v>0</v>
      </c>
      <c r="AR324">
        <v>0</v>
      </c>
      <c r="AS324">
        <v>1</v>
      </c>
      <c r="AT324">
        <v>0</v>
      </c>
      <c r="AU324">
        <v>0</v>
      </c>
      <c r="AV324">
        <v>0</v>
      </c>
      <c r="AX324" t="s">
        <v>236</v>
      </c>
      <c r="AZ324" t="s">
        <v>237</v>
      </c>
      <c r="BA324" t="s">
        <v>512</v>
      </c>
      <c r="BB324" t="s">
        <v>2140</v>
      </c>
      <c r="BC324" t="s">
        <v>438</v>
      </c>
      <c r="BE324" t="s">
        <v>239</v>
      </c>
      <c r="BF324" t="s">
        <v>237</v>
      </c>
      <c r="BG324" t="s">
        <v>259</v>
      </c>
      <c r="BH324" t="s">
        <v>239</v>
      </c>
      <c r="BI324" t="s">
        <v>239</v>
      </c>
      <c r="BJ324" t="s">
        <v>259</v>
      </c>
      <c r="BK324" t="s">
        <v>239</v>
      </c>
      <c r="BL324" t="s">
        <v>262</v>
      </c>
      <c r="BM324" t="s">
        <v>415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 t="s">
        <v>264</v>
      </c>
      <c r="CB324" t="s">
        <v>328</v>
      </c>
      <c r="CC324" t="s">
        <v>328</v>
      </c>
      <c r="CD324" t="s">
        <v>236</v>
      </c>
      <c r="CE324" t="s">
        <v>236</v>
      </c>
      <c r="EA324" t="s">
        <v>226</v>
      </c>
      <c r="EB324" t="s">
        <v>245</v>
      </c>
      <c r="EC324" t="s">
        <v>236</v>
      </c>
      <c r="EE324" t="s">
        <v>226</v>
      </c>
      <c r="EF324" t="s">
        <v>244</v>
      </c>
      <c r="EG324" t="s">
        <v>226</v>
      </c>
      <c r="EH324" t="s">
        <v>244</v>
      </c>
      <c r="EI324" t="s">
        <v>236</v>
      </c>
      <c r="EK324" t="s">
        <v>226</v>
      </c>
      <c r="EL324" t="s">
        <v>244</v>
      </c>
      <c r="EM324" t="s">
        <v>236</v>
      </c>
      <c r="EO324" t="s">
        <v>226</v>
      </c>
      <c r="EP324" t="s">
        <v>244</v>
      </c>
      <c r="EQ324" t="s">
        <v>236</v>
      </c>
      <c r="ES324" t="s">
        <v>226</v>
      </c>
      <c r="ET324" t="s">
        <v>245</v>
      </c>
      <c r="EU324" t="s">
        <v>226</v>
      </c>
      <c r="EV324" t="s">
        <v>244</v>
      </c>
      <c r="EW324" t="s">
        <v>236</v>
      </c>
      <c r="EY324" t="s">
        <v>226</v>
      </c>
      <c r="EZ324" t="s">
        <v>244</v>
      </c>
      <c r="FA324" t="s">
        <v>226</v>
      </c>
      <c r="FB324" t="s">
        <v>245</v>
      </c>
      <c r="FC324" t="s">
        <v>236</v>
      </c>
      <c r="FE324" t="s">
        <v>236</v>
      </c>
      <c r="FG324" t="s">
        <v>236</v>
      </c>
      <c r="FJ324" t="s">
        <v>226</v>
      </c>
      <c r="FK324" t="s">
        <v>245</v>
      </c>
      <c r="FL324" t="s">
        <v>226</v>
      </c>
      <c r="FM324" t="s">
        <v>236</v>
      </c>
      <c r="FW324" t="s">
        <v>236</v>
      </c>
      <c r="FZ324" t="s">
        <v>236</v>
      </c>
      <c r="GC324" t="s">
        <v>236</v>
      </c>
      <c r="GF324" t="s">
        <v>226</v>
      </c>
      <c r="GG324" t="s">
        <v>226</v>
      </c>
      <c r="GH324" t="s">
        <v>266</v>
      </c>
      <c r="GI324" t="s">
        <v>236</v>
      </c>
      <c r="GL324" t="s">
        <v>236</v>
      </c>
      <c r="GO324" t="s">
        <v>226</v>
      </c>
      <c r="GP324" t="s">
        <v>236</v>
      </c>
      <c r="GR324" t="s">
        <v>226</v>
      </c>
      <c r="GS324" t="s">
        <v>236</v>
      </c>
      <c r="GU324" t="s">
        <v>236</v>
      </c>
      <c r="GX324" t="s">
        <v>236</v>
      </c>
      <c r="HB324" t="s">
        <v>323</v>
      </c>
      <c r="HC324" t="s">
        <v>2141</v>
      </c>
      <c r="HD324" t="s">
        <v>2142</v>
      </c>
      <c r="HE324">
        <v>83082125</v>
      </c>
      <c r="HF324" t="s">
        <v>2143</v>
      </c>
      <c r="HG324" s="2">
        <v>45754.845347222217</v>
      </c>
      <c r="HJ324" t="s">
        <v>248</v>
      </c>
      <c r="HL324" t="s">
        <v>249</v>
      </c>
      <c r="HN324">
        <v>323</v>
      </c>
    </row>
    <row r="325" spans="1:222" x14ac:dyDescent="0.25">
      <c r="A325" s="2">
        <v>45754.637096851853</v>
      </c>
      <c r="B325" s="2">
        <v>45754.643830960653</v>
      </c>
      <c r="C325" t="s">
        <v>334</v>
      </c>
      <c r="D325">
        <v>498</v>
      </c>
      <c r="E325" s="2">
        <v>45738</v>
      </c>
      <c r="F325">
        <v>2</v>
      </c>
      <c r="G325" t="s">
        <v>1268</v>
      </c>
      <c r="H325" t="s">
        <v>221</v>
      </c>
      <c r="I325">
        <v>47</v>
      </c>
      <c r="J325" t="str">
        <f t="shared" si="5"/>
        <v>de 41 a 55 años</v>
      </c>
      <c r="K325" t="s">
        <v>224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291</v>
      </c>
      <c r="R325" t="s">
        <v>226</v>
      </c>
      <c r="T325" t="s">
        <v>227</v>
      </c>
      <c r="V325" t="s">
        <v>228</v>
      </c>
      <c r="W325" t="s">
        <v>229</v>
      </c>
      <c r="X325" t="s">
        <v>230</v>
      </c>
      <c r="Z325" t="s">
        <v>231</v>
      </c>
      <c r="AA325" t="s">
        <v>232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I325" t="s">
        <v>233</v>
      </c>
      <c r="AJ325">
        <v>0</v>
      </c>
      <c r="AK325">
        <v>1</v>
      </c>
      <c r="AL325">
        <v>0</v>
      </c>
      <c r="AM325">
        <v>0</v>
      </c>
      <c r="AN325" t="s">
        <v>300</v>
      </c>
      <c r="AO325" t="s">
        <v>275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X325" t="s">
        <v>226</v>
      </c>
      <c r="AY325" t="s">
        <v>236</v>
      </c>
      <c r="AZ325" t="s">
        <v>237</v>
      </c>
      <c r="BA325" t="s">
        <v>2137</v>
      </c>
      <c r="BB325" t="s">
        <v>2068</v>
      </c>
      <c r="BE325" t="s">
        <v>237</v>
      </c>
      <c r="BF325" t="s">
        <v>237</v>
      </c>
      <c r="BG325" t="s">
        <v>259</v>
      </c>
      <c r="BH325" t="s">
        <v>259</v>
      </c>
      <c r="BI325" t="s">
        <v>237</v>
      </c>
      <c r="BJ325" t="s">
        <v>237</v>
      </c>
      <c r="BK325" t="s">
        <v>237</v>
      </c>
      <c r="BL325" t="s">
        <v>262</v>
      </c>
      <c r="BM325" t="s">
        <v>365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 t="s">
        <v>264</v>
      </c>
      <c r="CB325" t="s">
        <v>264</v>
      </c>
      <c r="CC325" t="s">
        <v>243</v>
      </c>
      <c r="CD325" t="s">
        <v>236</v>
      </c>
      <c r="CE325" t="s">
        <v>236</v>
      </c>
      <c r="EA325" t="s">
        <v>236</v>
      </c>
      <c r="EC325" t="s">
        <v>236</v>
      </c>
      <c r="EE325" t="s">
        <v>236</v>
      </c>
      <c r="EG325" t="s">
        <v>226</v>
      </c>
      <c r="EH325" t="s">
        <v>244</v>
      </c>
      <c r="EI325" t="s">
        <v>236</v>
      </c>
      <c r="EK325" t="s">
        <v>236</v>
      </c>
      <c r="EM325" t="s">
        <v>236</v>
      </c>
      <c r="EO325" t="s">
        <v>236</v>
      </c>
      <c r="EQ325" t="s">
        <v>236</v>
      </c>
      <c r="ES325" t="s">
        <v>236</v>
      </c>
      <c r="EU325" t="s">
        <v>236</v>
      </c>
      <c r="EW325" t="s">
        <v>236</v>
      </c>
      <c r="EY325" t="s">
        <v>236</v>
      </c>
      <c r="FA325" t="s">
        <v>226</v>
      </c>
      <c r="FB325" t="s">
        <v>245</v>
      </c>
      <c r="FC325" t="s">
        <v>236</v>
      </c>
      <c r="FE325" t="s">
        <v>236</v>
      </c>
      <c r="FG325" t="s">
        <v>236</v>
      </c>
      <c r="FJ325" t="s">
        <v>226</v>
      </c>
      <c r="FK325" t="s">
        <v>245</v>
      </c>
      <c r="FL325" t="s">
        <v>226</v>
      </c>
      <c r="FM325" t="s">
        <v>236</v>
      </c>
      <c r="FW325" t="s">
        <v>236</v>
      </c>
      <c r="FZ325" t="s">
        <v>236</v>
      </c>
      <c r="GC325" t="s">
        <v>236</v>
      </c>
      <c r="GF325" t="s">
        <v>236</v>
      </c>
      <c r="GI325" t="s">
        <v>236</v>
      </c>
      <c r="GL325" t="s">
        <v>236</v>
      </c>
      <c r="GO325" t="s">
        <v>236</v>
      </c>
      <c r="GR325" t="s">
        <v>226</v>
      </c>
      <c r="GS325" t="s">
        <v>236</v>
      </c>
      <c r="GU325" t="s">
        <v>236</v>
      </c>
      <c r="GX325" t="s">
        <v>236</v>
      </c>
      <c r="HB325" t="s">
        <v>280</v>
      </c>
      <c r="HC325" t="s">
        <v>2138</v>
      </c>
      <c r="HE325">
        <v>83082524</v>
      </c>
      <c r="HF325" t="s">
        <v>2139</v>
      </c>
      <c r="HG325" s="2">
        <v>45754.852071759262</v>
      </c>
      <c r="HJ325" t="s">
        <v>248</v>
      </c>
      <c r="HL325" t="s">
        <v>249</v>
      </c>
      <c r="HN325">
        <v>324</v>
      </c>
    </row>
    <row r="326" spans="1:222" x14ac:dyDescent="0.25">
      <c r="A326" s="2">
        <v>45754.643831562498</v>
      </c>
      <c r="B326" s="2">
        <v>45754.6516475463</v>
      </c>
      <c r="C326" t="s">
        <v>334</v>
      </c>
      <c r="D326">
        <v>497</v>
      </c>
      <c r="E326" s="2">
        <v>45738</v>
      </c>
      <c r="F326">
        <v>2</v>
      </c>
      <c r="G326" t="s">
        <v>507</v>
      </c>
      <c r="H326" t="s">
        <v>221</v>
      </c>
      <c r="I326">
        <v>62</v>
      </c>
      <c r="J326" t="str">
        <f t="shared" si="5"/>
        <v>de 56 a más</v>
      </c>
      <c r="K326" t="s">
        <v>341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291</v>
      </c>
      <c r="R326" t="s">
        <v>226</v>
      </c>
      <c r="T326" t="s">
        <v>227</v>
      </c>
      <c r="V326" t="s">
        <v>272</v>
      </c>
      <c r="W326" t="s">
        <v>229</v>
      </c>
      <c r="X326" t="s">
        <v>368</v>
      </c>
      <c r="Z326" t="s">
        <v>231</v>
      </c>
      <c r="AA326" t="s">
        <v>232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I326" t="s">
        <v>233</v>
      </c>
      <c r="AJ326">
        <v>0</v>
      </c>
      <c r="AK326">
        <v>1</v>
      </c>
      <c r="AL326">
        <v>0</v>
      </c>
      <c r="AM326">
        <v>0</v>
      </c>
      <c r="AN326" t="s">
        <v>300</v>
      </c>
      <c r="AO326" t="s">
        <v>859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1</v>
      </c>
      <c r="AV326">
        <v>0</v>
      </c>
      <c r="AX326" t="s">
        <v>236</v>
      </c>
      <c r="AZ326" t="s">
        <v>259</v>
      </c>
      <c r="BA326" t="s">
        <v>2135</v>
      </c>
      <c r="BB326" t="s">
        <v>926</v>
      </c>
      <c r="BE326" t="s">
        <v>239</v>
      </c>
      <c r="BF326" t="s">
        <v>237</v>
      </c>
      <c r="BG326" t="s">
        <v>237</v>
      </c>
      <c r="BH326" t="s">
        <v>239</v>
      </c>
      <c r="BI326" t="s">
        <v>237</v>
      </c>
      <c r="BJ326" t="s">
        <v>237</v>
      </c>
      <c r="BK326" t="s">
        <v>239</v>
      </c>
      <c r="BL326" t="s">
        <v>262</v>
      </c>
      <c r="BM326" t="s">
        <v>451</v>
      </c>
      <c r="BN326">
        <v>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 t="s">
        <v>264</v>
      </c>
      <c r="CB326" t="s">
        <v>328</v>
      </c>
      <c r="CC326" t="s">
        <v>328</v>
      </c>
      <c r="CD326" t="s">
        <v>236</v>
      </c>
      <c r="CE326" t="s">
        <v>236</v>
      </c>
      <c r="EA326" t="s">
        <v>236</v>
      </c>
      <c r="EC326" t="s">
        <v>236</v>
      </c>
      <c r="EE326" t="s">
        <v>236</v>
      </c>
      <c r="EG326" t="s">
        <v>226</v>
      </c>
      <c r="EH326" t="s">
        <v>244</v>
      </c>
      <c r="EI326" t="s">
        <v>236</v>
      </c>
      <c r="EK326" t="s">
        <v>236</v>
      </c>
      <c r="EM326" t="s">
        <v>236</v>
      </c>
      <c r="EO326" t="s">
        <v>236</v>
      </c>
      <c r="EQ326" t="s">
        <v>236</v>
      </c>
      <c r="ES326" t="s">
        <v>236</v>
      </c>
      <c r="EU326" t="s">
        <v>236</v>
      </c>
      <c r="EW326" t="s">
        <v>236</v>
      </c>
      <c r="EY326" t="s">
        <v>226</v>
      </c>
      <c r="EZ326" t="s">
        <v>244</v>
      </c>
      <c r="FA326" t="s">
        <v>226</v>
      </c>
      <c r="FB326" t="s">
        <v>265</v>
      </c>
      <c r="FC326" t="s">
        <v>236</v>
      </c>
      <c r="FE326" t="s">
        <v>236</v>
      </c>
      <c r="FG326" t="s">
        <v>236</v>
      </c>
      <c r="FJ326" t="s">
        <v>226</v>
      </c>
      <c r="FK326" t="s">
        <v>244</v>
      </c>
      <c r="FL326" t="s">
        <v>236</v>
      </c>
      <c r="FM326" t="s">
        <v>236</v>
      </c>
      <c r="FW326" t="s">
        <v>236</v>
      </c>
      <c r="FZ326" t="s">
        <v>236</v>
      </c>
      <c r="GC326" t="s">
        <v>236</v>
      </c>
      <c r="GF326" t="s">
        <v>226</v>
      </c>
      <c r="GG326" t="s">
        <v>236</v>
      </c>
      <c r="GI326" t="s">
        <v>236</v>
      </c>
      <c r="GL326" t="s">
        <v>226</v>
      </c>
      <c r="GM326" t="s">
        <v>236</v>
      </c>
      <c r="GO326" t="s">
        <v>226</v>
      </c>
      <c r="GP326" t="s">
        <v>236</v>
      </c>
      <c r="GR326" t="s">
        <v>226</v>
      </c>
      <c r="GS326" t="s">
        <v>236</v>
      </c>
      <c r="GU326" t="s">
        <v>236</v>
      </c>
      <c r="GX326" t="s">
        <v>236</v>
      </c>
      <c r="HB326" t="s">
        <v>537</v>
      </c>
      <c r="HC326" t="s">
        <v>513</v>
      </c>
      <c r="HE326">
        <v>83082994</v>
      </c>
      <c r="HF326" t="s">
        <v>2136</v>
      </c>
      <c r="HG326" s="2">
        <v>45754.859895833331</v>
      </c>
      <c r="HJ326" t="s">
        <v>248</v>
      </c>
      <c r="HL326" t="s">
        <v>249</v>
      </c>
      <c r="HN326">
        <v>325</v>
      </c>
    </row>
    <row r="327" spans="1:222" x14ac:dyDescent="0.25">
      <c r="A327" s="2">
        <v>45754.646621041669</v>
      </c>
      <c r="B327" s="2">
        <v>45754.659303310182</v>
      </c>
      <c r="C327" t="s">
        <v>270</v>
      </c>
      <c r="D327">
        <v>495</v>
      </c>
      <c r="E327" s="2">
        <v>45738</v>
      </c>
      <c r="F327">
        <v>2</v>
      </c>
      <c r="G327" t="s">
        <v>507</v>
      </c>
      <c r="H327" t="s">
        <v>221</v>
      </c>
      <c r="I327">
        <v>79</v>
      </c>
      <c r="J327" t="str">
        <f t="shared" si="5"/>
        <v>de 56 a más</v>
      </c>
      <c r="K327" t="s">
        <v>341</v>
      </c>
      <c r="L327">
        <v>1</v>
      </c>
      <c r="M327">
        <v>0</v>
      </c>
      <c r="N327">
        <v>0</v>
      </c>
      <c r="O327">
        <v>0</v>
      </c>
      <c r="P327">
        <v>0</v>
      </c>
      <c r="Q327" t="s">
        <v>291</v>
      </c>
      <c r="R327" t="s">
        <v>226</v>
      </c>
      <c r="T327" t="s">
        <v>227</v>
      </c>
      <c r="V327" t="s">
        <v>228</v>
      </c>
      <c r="W327" t="s">
        <v>229</v>
      </c>
      <c r="X327" t="s">
        <v>368</v>
      </c>
      <c r="Z327" t="s">
        <v>231</v>
      </c>
      <c r="AA327" t="s">
        <v>255</v>
      </c>
      <c r="AB327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I327" t="s">
        <v>233</v>
      </c>
      <c r="AJ327">
        <v>0</v>
      </c>
      <c r="AK327">
        <v>1</v>
      </c>
      <c r="AL327">
        <v>0</v>
      </c>
      <c r="AM327">
        <v>0</v>
      </c>
      <c r="AN327" t="s">
        <v>257</v>
      </c>
      <c r="AO327" t="s">
        <v>929</v>
      </c>
      <c r="AP327">
        <v>0</v>
      </c>
      <c r="AQ327">
        <v>0</v>
      </c>
      <c r="AR327">
        <v>1</v>
      </c>
      <c r="AS327">
        <v>0</v>
      </c>
      <c r="AT327">
        <v>1</v>
      </c>
      <c r="AU327">
        <v>1</v>
      </c>
      <c r="AV327">
        <v>0</v>
      </c>
      <c r="AX327" t="s">
        <v>236</v>
      </c>
      <c r="AZ327" t="s">
        <v>237</v>
      </c>
      <c r="BA327" t="s">
        <v>2129</v>
      </c>
      <c r="BB327" t="s">
        <v>1461</v>
      </c>
      <c r="BE327" t="s">
        <v>259</v>
      </c>
      <c r="BF327" t="s">
        <v>259</v>
      </c>
      <c r="BG327" t="s">
        <v>237</v>
      </c>
      <c r="BH327" t="s">
        <v>259</v>
      </c>
      <c r="BI327" t="s">
        <v>237</v>
      </c>
      <c r="BJ327" t="s">
        <v>237</v>
      </c>
      <c r="BK327" t="s">
        <v>239</v>
      </c>
      <c r="BL327" t="s">
        <v>262</v>
      </c>
      <c r="BM327" t="s">
        <v>415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 t="s">
        <v>264</v>
      </c>
      <c r="CB327" t="s">
        <v>264</v>
      </c>
      <c r="CC327" t="s">
        <v>243</v>
      </c>
      <c r="CD327" t="s">
        <v>236</v>
      </c>
      <c r="CE327" t="s">
        <v>236</v>
      </c>
      <c r="EA327" t="s">
        <v>236</v>
      </c>
      <c r="EC327" t="s">
        <v>236</v>
      </c>
      <c r="EE327" t="s">
        <v>226</v>
      </c>
      <c r="EF327" t="s">
        <v>244</v>
      </c>
      <c r="EG327" t="s">
        <v>226</v>
      </c>
      <c r="EH327" t="s">
        <v>245</v>
      </c>
      <c r="EI327" t="s">
        <v>236</v>
      </c>
      <c r="EK327" t="s">
        <v>236</v>
      </c>
      <c r="EM327" t="s">
        <v>236</v>
      </c>
      <c r="EO327" t="s">
        <v>236</v>
      </c>
      <c r="EQ327" t="s">
        <v>236</v>
      </c>
      <c r="ES327" t="s">
        <v>226</v>
      </c>
      <c r="ET327" t="s">
        <v>244</v>
      </c>
      <c r="EU327" t="s">
        <v>236</v>
      </c>
      <c r="EW327" t="s">
        <v>236</v>
      </c>
      <c r="EY327" t="s">
        <v>236</v>
      </c>
      <c r="FA327" t="s">
        <v>226</v>
      </c>
      <c r="FB327" t="s">
        <v>244</v>
      </c>
      <c r="FC327" t="s">
        <v>236</v>
      </c>
      <c r="FE327" t="s">
        <v>236</v>
      </c>
      <c r="FG327" t="s">
        <v>236</v>
      </c>
      <c r="FJ327" t="s">
        <v>226</v>
      </c>
      <c r="FK327" t="s">
        <v>244</v>
      </c>
      <c r="FL327" t="s">
        <v>236</v>
      </c>
      <c r="FM327" t="s">
        <v>236</v>
      </c>
      <c r="FW327" t="s">
        <v>236</v>
      </c>
      <c r="FZ327" t="s">
        <v>236</v>
      </c>
      <c r="GC327" t="s">
        <v>236</v>
      </c>
      <c r="GF327" t="s">
        <v>226</v>
      </c>
      <c r="GG327" t="s">
        <v>236</v>
      </c>
      <c r="GI327" t="s">
        <v>236</v>
      </c>
      <c r="GL327" t="s">
        <v>236</v>
      </c>
      <c r="GO327" t="s">
        <v>226</v>
      </c>
      <c r="GP327" t="s">
        <v>226</v>
      </c>
      <c r="GQ327" t="s">
        <v>267</v>
      </c>
      <c r="GR327" t="s">
        <v>236</v>
      </c>
      <c r="GU327" t="s">
        <v>236</v>
      </c>
      <c r="GX327" t="s">
        <v>236</v>
      </c>
      <c r="HB327" t="s">
        <v>537</v>
      </c>
      <c r="HC327" t="s">
        <v>789</v>
      </c>
      <c r="HD327" t="s">
        <v>2130</v>
      </c>
      <c r="HE327">
        <v>83083626</v>
      </c>
      <c r="HF327" t="s">
        <v>2131</v>
      </c>
      <c r="HG327" s="2">
        <v>45754.86755787037</v>
      </c>
      <c r="HJ327" t="s">
        <v>248</v>
      </c>
      <c r="HL327" t="s">
        <v>249</v>
      </c>
      <c r="HN327">
        <v>327</v>
      </c>
    </row>
    <row r="328" spans="1:222" x14ac:dyDescent="0.25">
      <c r="A328" s="2">
        <v>45754.651648090279</v>
      </c>
      <c r="B328" s="2">
        <v>45754.658417951388</v>
      </c>
      <c r="C328" t="s">
        <v>334</v>
      </c>
      <c r="D328">
        <v>496</v>
      </c>
      <c r="E328" s="2">
        <v>45738</v>
      </c>
      <c r="F328">
        <v>2</v>
      </c>
      <c r="G328" t="s">
        <v>1268</v>
      </c>
      <c r="H328" t="s">
        <v>221</v>
      </c>
      <c r="I328">
        <v>70</v>
      </c>
      <c r="J328" t="str">
        <f t="shared" si="5"/>
        <v>de 56 a más</v>
      </c>
      <c r="K328" t="s">
        <v>341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291</v>
      </c>
      <c r="R328" t="s">
        <v>226</v>
      </c>
      <c r="T328" t="s">
        <v>227</v>
      </c>
      <c r="V328" t="s">
        <v>228</v>
      </c>
      <c r="W328" t="s">
        <v>229</v>
      </c>
      <c r="X328" t="s">
        <v>368</v>
      </c>
      <c r="Z328" t="s">
        <v>231</v>
      </c>
      <c r="AA328" t="s">
        <v>293</v>
      </c>
      <c r="AB328">
        <v>0</v>
      </c>
      <c r="AC328">
        <v>0</v>
      </c>
      <c r="AD328">
        <v>0</v>
      </c>
      <c r="AE328">
        <v>0</v>
      </c>
      <c r="AF328">
        <v>1</v>
      </c>
      <c r="AG328">
        <v>0</v>
      </c>
      <c r="AI328" t="s">
        <v>233</v>
      </c>
      <c r="AJ328">
        <v>0</v>
      </c>
      <c r="AK328">
        <v>1</v>
      </c>
      <c r="AL328">
        <v>0</v>
      </c>
      <c r="AM328">
        <v>0</v>
      </c>
      <c r="AN328" t="s">
        <v>234</v>
      </c>
      <c r="AO328" t="s">
        <v>382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X328" t="s">
        <v>226</v>
      </c>
      <c r="AY328" t="s">
        <v>236</v>
      </c>
      <c r="AZ328" t="s">
        <v>237</v>
      </c>
      <c r="BA328" t="s">
        <v>634</v>
      </c>
      <c r="BB328" t="s">
        <v>2132</v>
      </c>
      <c r="BE328" t="s">
        <v>237</v>
      </c>
      <c r="BF328" t="s">
        <v>237</v>
      </c>
      <c r="BG328" t="s">
        <v>308</v>
      </c>
      <c r="BH328" t="s">
        <v>259</v>
      </c>
      <c r="BI328" t="s">
        <v>259</v>
      </c>
      <c r="BJ328" t="s">
        <v>237</v>
      </c>
      <c r="BK328" t="s">
        <v>237</v>
      </c>
      <c r="BL328" t="s">
        <v>262</v>
      </c>
      <c r="BM328" t="s">
        <v>930</v>
      </c>
      <c r="BN328">
        <v>1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 t="s">
        <v>243</v>
      </c>
      <c r="CB328" t="s">
        <v>264</v>
      </c>
      <c r="CC328" t="s">
        <v>264</v>
      </c>
      <c r="CD328" t="s">
        <v>236</v>
      </c>
      <c r="CE328" t="s">
        <v>236</v>
      </c>
      <c r="EA328" t="s">
        <v>226</v>
      </c>
      <c r="EB328" t="s">
        <v>265</v>
      </c>
      <c r="EC328" t="s">
        <v>236</v>
      </c>
      <c r="EE328" t="s">
        <v>236</v>
      </c>
      <c r="EG328" t="s">
        <v>226</v>
      </c>
      <c r="EH328" t="s">
        <v>245</v>
      </c>
      <c r="EI328" t="s">
        <v>236</v>
      </c>
      <c r="EK328" t="s">
        <v>236</v>
      </c>
      <c r="EM328" t="s">
        <v>236</v>
      </c>
      <c r="EO328" t="s">
        <v>236</v>
      </c>
      <c r="EQ328" t="s">
        <v>236</v>
      </c>
      <c r="ES328" t="s">
        <v>236</v>
      </c>
      <c r="EU328" t="s">
        <v>236</v>
      </c>
      <c r="EW328" t="s">
        <v>236</v>
      </c>
      <c r="EY328" t="s">
        <v>236</v>
      </c>
      <c r="FA328" t="s">
        <v>226</v>
      </c>
      <c r="FB328" t="s">
        <v>265</v>
      </c>
      <c r="FC328" t="s">
        <v>236</v>
      </c>
      <c r="FE328" t="s">
        <v>236</v>
      </c>
      <c r="FG328" t="s">
        <v>236</v>
      </c>
      <c r="FJ328" t="s">
        <v>226</v>
      </c>
      <c r="FK328" t="s">
        <v>245</v>
      </c>
      <c r="FL328" t="s">
        <v>236</v>
      </c>
      <c r="FM328" t="s">
        <v>236</v>
      </c>
      <c r="FW328" t="s">
        <v>226</v>
      </c>
      <c r="FX328" t="s">
        <v>236</v>
      </c>
      <c r="FZ328" t="s">
        <v>236</v>
      </c>
      <c r="GC328" t="s">
        <v>236</v>
      </c>
      <c r="GF328" t="s">
        <v>226</v>
      </c>
      <c r="GG328" t="s">
        <v>236</v>
      </c>
      <c r="GI328" t="s">
        <v>236</v>
      </c>
      <c r="GL328" t="s">
        <v>236</v>
      </c>
      <c r="GO328" t="s">
        <v>236</v>
      </c>
      <c r="GR328" t="s">
        <v>226</v>
      </c>
      <c r="GS328" t="s">
        <v>236</v>
      </c>
      <c r="GU328" t="s">
        <v>236</v>
      </c>
      <c r="GX328" t="s">
        <v>236</v>
      </c>
      <c r="HB328" t="s">
        <v>338</v>
      </c>
      <c r="HC328" t="s">
        <v>2133</v>
      </c>
      <c r="HE328">
        <v>83083571</v>
      </c>
      <c r="HF328" t="s">
        <v>2134</v>
      </c>
      <c r="HG328" s="2">
        <v>45754.866666666669</v>
      </c>
      <c r="HJ328" t="s">
        <v>248</v>
      </c>
      <c r="HL328" t="s">
        <v>249</v>
      </c>
      <c r="HN328">
        <v>326</v>
      </c>
    </row>
    <row r="329" spans="1:222" x14ac:dyDescent="0.25">
      <c r="A329" s="2">
        <v>45754.659303842593</v>
      </c>
      <c r="B329" s="2">
        <v>45754.664204548608</v>
      </c>
      <c r="C329" t="s">
        <v>270</v>
      </c>
      <c r="D329">
        <v>494</v>
      </c>
      <c r="E329" s="2">
        <v>45738</v>
      </c>
      <c r="F329">
        <v>2</v>
      </c>
      <c r="G329" t="s">
        <v>1268</v>
      </c>
      <c r="H329" t="s">
        <v>221</v>
      </c>
      <c r="I329">
        <v>57</v>
      </c>
      <c r="J329" t="str">
        <f t="shared" si="5"/>
        <v>de 56 a más</v>
      </c>
      <c r="K329" t="s">
        <v>224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225</v>
      </c>
      <c r="R329" t="s">
        <v>226</v>
      </c>
      <c r="T329" t="s">
        <v>227</v>
      </c>
      <c r="V329" t="s">
        <v>272</v>
      </c>
      <c r="W329" t="s">
        <v>229</v>
      </c>
      <c r="X329" t="s">
        <v>230</v>
      </c>
      <c r="Z329" t="s">
        <v>231</v>
      </c>
      <c r="AA329" t="s">
        <v>232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I329" t="s">
        <v>233</v>
      </c>
      <c r="AJ329">
        <v>0</v>
      </c>
      <c r="AK329">
        <v>1</v>
      </c>
      <c r="AL329">
        <v>0</v>
      </c>
      <c r="AM329">
        <v>0</v>
      </c>
      <c r="AN329" t="s">
        <v>300</v>
      </c>
      <c r="AO329" t="s">
        <v>353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X329" t="s">
        <v>236</v>
      </c>
      <c r="AZ329" t="s">
        <v>237</v>
      </c>
      <c r="BA329" t="s">
        <v>2126</v>
      </c>
      <c r="BB329" t="s">
        <v>2127</v>
      </c>
      <c r="BE329" t="s">
        <v>259</v>
      </c>
      <c r="BF329" t="s">
        <v>237</v>
      </c>
      <c r="BG329" t="s">
        <v>259</v>
      </c>
      <c r="BH329" t="s">
        <v>259</v>
      </c>
      <c r="BI329" t="s">
        <v>259</v>
      </c>
      <c r="BJ329" t="s">
        <v>237</v>
      </c>
      <c r="BK329" t="s">
        <v>259</v>
      </c>
      <c r="BL329" t="s">
        <v>262</v>
      </c>
      <c r="BM329" t="s">
        <v>296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 t="s">
        <v>264</v>
      </c>
      <c r="CB329" t="s">
        <v>264</v>
      </c>
      <c r="CC329" t="s">
        <v>264</v>
      </c>
      <c r="CD329" t="s">
        <v>236</v>
      </c>
      <c r="CE329" t="s">
        <v>236</v>
      </c>
      <c r="EA329" t="s">
        <v>226</v>
      </c>
      <c r="EB329" t="s">
        <v>244</v>
      </c>
      <c r="EC329" t="s">
        <v>236</v>
      </c>
      <c r="EE329" t="s">
        <v>226</v>
      </c>
      <c r="EF329" t="s">
        <v>244</v>
      </c>
      <c r="EG329" t="s">
        <v>236</v>
      </c>
      <c r="EI329" t="s">
        <v>236</v>
      </c>
      <c r="EK329" t="s">
        <v>236</v>
      </c>
      <c r="EM329" t="s">
        <v>236</v>
      </c>
      <c r="EO329" t="s">
        <v>226</v>
      </c>
      <c r="EP329" t="s">
        <v>245</v>
      </c>
      <c r="EQ329" t="s">
        <v>236</v>
      </c>
      <c r="ES329" t="s">
        <v>236</v>
      </c>
      <c r="EU329" t="s">
        <v>236</v>
      </c>
      <c r="EW329" t="s">
        <v>236</v>
      </c>
      <c r="EY329" t="s">
        <v>236</v>
      </c>
      <c r="FA329" t="s">
        <v>226</v>
      </c>
      <c r="FB329" t="s">
        <v>245</v>
      </c>
      <c r="FC329" t="s">
        <v>236</v>
      </c>
      <c r="FE329" t="s">
        <v>236</v>
      </c>
      <c r="FG329" t="s">
        <v>236</v>
      </c>
      <c r="FJ329" t="s">
        <v>226</v>
      </c>
      <c r="FK329" t="s">
        <v>265</v>
      </c>
      <c r="FL329" t="s">
        <v>236</v>
      </c>
      <c r="FM329" t="s">
        <v>236</v>
      </c>
      <c r="FW329" t="s">
        <v>226</v>
      </c>
      <c r="FX329" t="s">
        <v>236</v>
      </c>
      <c r="FZ329" t="s">
        <v>236</v>
      </c>
      <c r="GC329" t="s">
        <v>236</v>
      </c>
      <c r="GF329" t="s">
        <v>236</v>
      </c>
      <c r="GI329" t="s">
        <v>226</v>
      </c>
      <c r="GJ329" t="s">
        <v>236</v>
      </c>
      <c r="GL329" t="s">
        <v>236</v>
      </c>
      <c r="GO329" t="s">
        <v>236</v>
      </c>
      <c r="GR329" t="s">
        <v>226</v>
      </c>
      <c r="GS329" t="s">
        <v>236</v>
      </c>
      <c r="GU329" t="s">
        <v>236</v>
      </c>
      <c r="GX329" t="s">
        <v>236</v>
      </c>
      <c r="HB329" t="s">
        <v>338</v>
      </c>
      <c r="HC329" t="s">
        <v>288</v>
      </c>
      <c r="HE329">
        <v>83083896</v>
      </c>
      <c r="HF329" t="s">
        <v>2128</v>
      </c>
      <c r="HG329" s="2">
        <v>45754.872453703712</v>
      </c>
      <c r="HJ329" t="s">
        <v>248</v>
      </c>
      <c r="HL329" t="s">
        <v>249</v>
      </c>
      <c r="HN329">
        <v>328</v>
      </c>
    </row>
    <row r="330" spans="1:222" x14ac:dyDescent="0.25">
      <c r="A330" s="2">
        <v>45754.664205023153</v>
      </c>
      <c r="B330" s="2">
        <v>45754.669173032409</v>
      </c>
      <c r="C330" t="s">
        <v>270</v>
      </c>
      <c r="D330">
        <v>493</v>
      </c>
      <c r="E330" s="2">
        <v>45732</v>
      </c>
      <c r="F330">
        <v>4</v>
      </c>
      <c r="G330" t="s">
        <v>1268</v>
      </c>
      <c r="H330" t="s">
        <v>270</v>
      </c>
      <c r="I330">
        <v>45</v>
      </c>
      <c r="J330" t="str">
        <f t="shared" si="5"/>
        <v>de 41 a 55 años</v>
      </c>
      <c r="K330" t="s">
        <v>224</v>
      </c>
      <c r="L330">
        <v>1</v>
      </c>
      <c r="M330">
        <v>0</v>
      </c>
      <c r="N330">
        <v>0</v>
      </c>
      <c r="O330">
        <v>0</v>
      </c>
      <c r="P330">
        <v>0</v>
      </c>
      <c r="Q330" t="s">
        <v>291</v>
      </c>
      <c r="R330" t="s">
        <v>226</v>
      </c>
      <c r="T330" t="s">
        <v>227</v>
      </c>
      <c r="V330" t="s">
        <v>252</v>
      </c>
      <c r="W330" t="s">
        <v>229</v>
      </c>
      <c r="X330" t="s">
        <v>230</v>
      </c>
      <c r="Z330" t="s">
        <v>231</v>
      </c>
      <c r="AA330" t="s">
        <v>293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0</v>
      </c>
      <c r="AI330" t="s">
        <v>233</v>
      </c>
      <c r="AJ330">
        <v>0</v>
      </c>
      <c r="AK330">
        <v>1</v>
      </c>
      <c r="AL330">
        <v>0</v>
      </c>
      <c r="AM330">
        <v>0</v>
      </c>
      <c r="AN330" t="s">
        <v>300</v>
      </c>
      <c r="AO330" t="s">
        <v>1562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X330" t="s">
        <v>236</v>
      </c>
      <c r="AZ330" t="s">
        <v>261</v>
      </c>
      <c r="BA330" t="s">
        <v>377</v>
      </c>
      <c r="BE330" t="s">
        <v>237</v>
      </c>
      <c r="BF330" t="s">
        <v>237</v>
      </c>
      <c r="BG330" t="s">
        <v>237</v>
      </c>
      <c r="BH330" t="s">
        <v>259</v>
      </c>
      <c r="BI330" t="s">
        <v>259</v>
      </c>
      <c r="BJ330" t="s">
        <v>237</v>
      </c>
      <c r="BK330" t="s">
        <v>259</v>
      </c>
      <c r="BL330" t="s">
        <v>262</v>
      </c>
      <c r="BM330" t="s">
        <v>415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 t="s">
        <v>264</v>
      </c>
      <c r="CB330" t="s">
        <v>243</v>
      </c>
      <c r="CC330" t="s">
        <v>264</v>
      </c>
      <c r="CD330" t="s">
        <v>236</v>
      </c>
      <c r="CE330" t="s">
        <v>236</v>
      </c>
      <c r="EA330" t="s">
        <v>236</v>
      </c>
      <c r="EC330" t="s">
        <v>236</v>
      </c>
      <c r="EE330" t="s">
        <v>236</v>
      </c>
      <c r="EG330" t="s">
        <v>226</v>
      </c>
      <c r="EH330" t="s">
        <v>245</v>
      </c>
      <c r="EI330" t="s">
        <v>236</v>
      </c>
      <c r="EK330" t="s">
        <v>236</v>
      </c>
      <c r="EM330" t="s">
        <v>236</v>
      </c>
      <c r="EO330" t="s">
        <v>226</v>
      </c>
      <c r="EP330" t="s">
        <v>245</v>
      </c>
      <c r="EQ330" t="s">
        <v>236</v>
      </c>
      <c r="ES330" t="s">
        <v>236</v>
      </c>
      <c r="EU330" t="s">
        <v>236</v>
      </c>
      <c r="EW330" t="s">
        <v>236</v>
      </c>
      <c r="EY330" t="s">
        <v>236</v>
      </c>
      <c r="FA330" t="s">
        <v>226</v>
      </c>
      <c r="FB330" t="s">
        <v>265</v>
      </c>
      <c r="FC330" t="s">
        <v>236</v>
      </c>
      <c r="FE330" t="s">
        <v>226</v>
      </c>
      <c r="FF330" t="s">
        <v>265</v>
      </c>
      <c r="FG330" t="s">
        <v>236</v>
      </c>
      <c r="FJ330" t="s">
        <v>226</v>
      </c>
      <c r="FK330" t="s">
        <v>265</v>
      </c>
      <c r="FL330" t="s">
        <v>236</v>
      </c>
      <c r="FM330" t="s">
        <v>236</v>
      </c>
      <c r="FW330" t="s">
        <v>236</v>
      </c>
      <c r="FZ330" t="s">
        <v>236</v>
      </c>
      <c r="GC330" t="s">
        <v>236</v>
      </c>
      <c r="GF330" t="s">
        <v>226</v>
      </c>
      <c r="GG330" t="s">
        <v>236</v>
      </c>
      <c r="GI330" t="s">
        <v>236</v>
      </c>
      <c r="GL330" t="s">
        <v>236</v>
      </c>
      <c r="GO330" t="s">
        <v>236</v>
      </c>
      <c r="GR330" t="s">
        <v>226</v>
      </c>
      <c r="GS330" t="s">
        <v>236</v>
      </c>
      <c r="GU330" t="s">
        <v>236</v>
      </c>
      <c r="GX330" t="s">
        <v>236</v>
      </c>
      <c r="HB330" t="s">
        <v>2123</v>
      </c>
      <c r="HC330" t="s">
        <v>2124</v>
      </c>
      <c r="HE330">
        <v>83084058</v>
      </c>
      <c r="HF330" t="s">
        <v>2125</v>
      </c>
      <c r="HG330" s="2">
        <v>45754.877418981479</v>
      </c>
      <c r="HJ330" t="s">
        <v>248</v>
      </c>
      <c r="HL330" t="s">
        <v>249</v>
      </c>
      <c r="HN330">
        <v>329</v>
      </c>
    </row>
    <row r="331" spans="1:222" x14ac:dyDescent="0.25">
      <c r="A331" s="2">
        <v>45754.669173518523</v>
      </c>
      <c r="B331" s="2">
        <v>45754.674413263892</v>
      </c>
      <c r="C331" t="s">
        <v>270</v>
      </c>
      <c r="D331">
        <v>492</v>
      </c>
      <c r="E331" s="2">
        <v>45732</v>
      </c>
      <c r="F331">
        <v>4</v>
      </c>
      <c r="G331" t="s">
        <v>361</v>
      </c>
      <c r="H331" t="s">
        <v>270</v>
      </c>
      <c r="I331">
        <v>52</v>
      </c>
      <c r="J331" t="str">
        <f t="shared" si="5"/>
        <v>de 41 a 55 años</v>
      </c>
      <c r="K331" t="s">
        <v>224</v>
      </c>
      <c r="L331">
        <v>0</v>
      </c>
      <c r="M331">
        <v>1</v>
      </c>
      <c r="N331">
        <v>0</v>
      </c>
      <c r="O331">
        <v>0</v>
      </c>
      <c r="P331">
        <v>0</v>
      </c>
      <c r="Q331" t="s">
        <v>225</v>
      </c>
      <c r="R331" t="s">
        <v>226</v>
      </c>
      <c r="T331" t="s">
        <v>227</v>
      </c>
      <c r="V331" t="s">
        <v>228</v>
      </c>
      <c r="W331" t="s">
        <v>229</v>
      </c>
      <c r="X331" t="s">
        <v>230</v>
      </c>
      <c r="Z331" t="s">
        <v>231</v>
      </c>
      <c r="AA331" t="s">
        <v>293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0</v>
      </c>
      <c r="AI331" t="s">
        <v>256</v>
      </c>
      <c r="AJ331">
        <v>0</v>
      </c>
      <c r="AK331">
        <v>0</v>
      </c>
      <c r="AL331">
        <v>1</v>
      </c>
      <c r="AM331">
        <v>0</v>
      </c>
      <c r="AN331" t="s">
        <v>234</v>
      </c>
      <c r="AO331" t="s">
        <v>454</v>
      </c>
      <c r="AP331">
        <v>0</v>
      </c>
      <c r="AQ331">
        <v>0</v>
      </c>
      <c r="AR331">
        <v>1</v>
      </c>
      <c r="AS331">
        <v>0</v>
      </c>
      <c r="AT331">
        <v>0</v>
      </c>
      <c r="AU331">
        <v>1</v>
      </c>
      <c r="AV331">
        <v>0</v>
      </c>
      <c r="AX331" t="s">
        <v>226</v>
      </c>
      <c r="AY331" t="s">
        <v>226</v>
      </c>
      <c r="AZ331" t="s">
        <v>237</v>
      </c>
      <c r="BA331" t="s">
        <v>455</v>
      </c>
      <c r="BE331" t="s">
        <v>259</v>
      </c>
      <c r="BF331" t="s">
        <v>237</v>
      </c>
      <c r="BG331" t="s">
        <v>259</v>
      </c>
      <c r="BH331" t="s">
        <v>259</v>
      </c>
      <c r="BI331" t="s">
        <v>237</v>
      </c>
      <c r="BJ331" t="s">
        <v>259</v>
      </c>
      <c r="BK331" t="s">
        <v>259</v>
      </c>
      <c r="BL331" t="s">
        <v>240</v>
      </c>
      <c r="BM331" t="s">
        <v>296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 t="s">
        <v>264</v>
      </c>
      <c r="CB331" t="s">
        <v>328</v>
      </c>
      <c r="CC331" t="s">
        <v>264</v>
      </c>
      <c r="CD331" t="s">
        <v>236</v>
      </c>
      <c r="CE331" t="s">
        <v>236</v>
      </c>
      <c r="EA331" t="s">
        <v>226</v>
      </c>
      <c r="EB331" t="s">
        <v>245</v>
      </c>
      <c r="EC331" t="s">
        <v>236</v>
      </c>
      <c r="EE331" t="s">
        <v>226</v>
      </c>
      <c r="EF331" t="s">
        <v>245</v>
      </c>
      <c r="EG331" t="s">
        <v>226</v>
      </c>
      <c r="EH331" t="s">
        <v>265</v>
      </c>
      <c r="EI331" t="s">
        <v>236</v>
      </c>
      <c r="EK331" t="s">
        <v>226</v>
      </c>
      <c r="EL331" t="s">
        <v>245</v>
      </c>
      <c r="EM331" t="s">
        <v>236</v>
      </c>
      <c r="EO331" t="s">
        <v>226</v>
      </c>
      <c r="EP331" t="s">
        <v>245</v>
      </c>
      <c r="EQ331" t="s">
        <v>236</v>
      </c>
      <c r="ES331" t="s">
        <v>226</v>
      </c>
      <c r="ET331" t="s">
        <v>265</v>
      </c>
      <c r="EU331" t="s">
        <v>236</v>
      </c>
      <c r="EW331" t="s">
        <v>236</v>
      </c>
      <c r="EY331" t="s">
        <v>226</v>
      </c>
      <c r="EZ331" t="s">
        <v>244</v>
      </c>
      <c r="FA331" t="s">
        <v>236</v>
      </c>
      <c r="FC331" t="s">
        <v>236</v>
      </c>
      <c r="FE331" t="s">
        <v>226</v>
      </c>
      <c r="FF331" t="s">
        <v>245</v>
      </c>
      <c r="FG331" t="s">
        <v>236</v>
      </c>
      <c r="FJ331" t="s">
        <v>226</v>
      </c>
      <c r="FK331" t="s">
        <v>265</v>
      </c>
      <c r="FL331" t="s">
        <v>236</v>
      </c>
      <c r="FM331" t="s">
        <v>236</v>
      </c>
      <c r="FW331" t="s">
        <v>226</v>
      </c>
      <c r="FX331" t="s">
        <v>236</v>
      </c>
      <c r="FZ331" t="s">
        <v>226</v>
      </c>
      <c r="GA331" t="s">
        <v>236</v>
      </c>
      <c r="GC331" t="s">
        <v>236</v>
      </c>
      <c r="GF331" t="s">
        <v>226</v>
      </c>
      <c r="GG331" t="s">
        <v>236</v>
      </c>
      <c r="GI331" t="s">
        <v>236</v>
      </c>
      <c r="GL331" t="s">
        <v>236</v>
      </c>
      <c r="GO331" t="s">
        <v>226</v>
      </c>
      <c r="GP331" t="s">
        <v>236</v>
      </c>
      <c r="GR331" t="s">
        <v>226</v>
      </c>
      <c r="GS331" t="s">
        <v>236</v>
      </c>
      <c r="GU331" t="s">
        <v>236</v>
      </c>
      <c r="GX331" t="s">
        <v>236</v>
      </c>
      <c r="HB331" t="s">
        <v>456</v>
      </c>
      <c r="HC331" t="s">
        <v>457</v>
      </c>
      <c r="HE331">
        <v>83084465</v>
      </c>
      <c r="HF331" t="s">
        <v>458</v>
      </c>
      <c r="HG331" s="2">
        <v>45754.882650462961</v>
      </c>
      <c r="HJ331" t="s">
        <v>248</v>
      </c>
      <c r="HL331" t="s">
        <v>249</v>
      </c>
      <c r="HN331">
        <v>330</v>
      </c>
    </row>
    <row r="332" spans="1:222" x14ac:dyDescent="0.25">
      <c r="A332" s="2">
        <v>45754.674413807872</v>
      </c>
      <c r="B332" s="2">
        <v>45754.678701041666</v>
      </c>
      <c r="C332" t="s">
        <v>270</v>
      </c>
      <c r="D332">
        <v>491</v>
      </c>
      <c r="E332" s="2">
        <v>45732</v>
      </c>
      <c r="F332">
        <v>4</v>
      </c>
      <c r="G332" t="s">
        <v>436</v>
      </c>
      <c r="H332" t="s">
        <v>270</v>
      </c>
      <c r="I332">
        <v>51</v>
      </c>
      <c r="J332" t="str">
        <f t="shared" si="5"/>
        <v>de 41 a 55 años</v>
      </c>
      <c r="K332" t="s">
        <v>251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225</v>
      </c>
      <c r="R332" t="s">
        <v>226</v>
      </c>
      <c r="T332" t="s">
        <v>227</v>
      </c>
      <c r="V332" t="s">
        <v>252</v>
      </c>
      <c r="W332" t="s">
        <v>229</v>
      </c>
      <c r="X332" t="s">
        <v>230</v>
      </c>
      <c r="Z332" t="s">
        <v>308</v>
      </c>
      <c r="AA332" t="s">
        <v>232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I332" t="s">
        <v>256</v>
      </c>
      <c r="AJ332">
        <v>0</v>
      </c>
      <c r="AK332">
        <v>0</v>
      </c>
      <c r="AL332">
        <v>1</v>
      </c>
      <c r="AM332">
        <v>0</v>
      </c>
      <c r="AN332" t="s">
        <v>300</v>
      </c>
      <c r="AO332" t="s">
        <v>539</v>
      </c>
      <c r="AP332">
        <v>1</v>
      </c>
      <c r="AQ332">
        <v>0</v>
      </c>
      <c r="AR332">
        <v>0</v>
      </c>
      <c r="AS332">
        <v>1</v>
      </c>
      <c r="AT332">
        <v>0</v>
      </c>
      <c r="AU332">
        <v>0</v>
      </c>
      <c r="AV332">
        <v>0</v>
      </c>
      <c r="AX332" t="s">
        <v>226</v>
      </c>
      <c r="AY332" t="s">
        <v>226</v>
      </c>
      <c r="AZ332" t="s">
        <v>237</v>
      </c>
      <c r="BA332" t="s">
        <v>2118</v>
      </c>
      <c r="BB332" t="s">
        <v>2119</v>
      </c>
      <c r="BE332" t="s">
        <v>239</v>
      </c>
      <c r="BF332" t="s">
        <v>237</v>
      </c>
      <c r="BG332" t="s">
        <v>259</v>
      </c>
      <c r="BH332" t="s">
        <v>239</v>
      </c>
      <c r="BI332" t="s">
        <v>239</v>
      </c>
      <c r="BJ332" t="s">
        <v>362</v>
      </c>
      <c r="BK332" t="s">
        <v>239</v>
      </c>
      <c r="BL332" t="s">
        <v>262</v>
      </c>
      <c r="BM332" t="s">
        <v>1752</v>
      </c>
      <c r="BN332">
        <v>0</v>
      </c>
      <c r="BO332">
        <v>1</v>
      </c>
      <c r="BP332">
        <v>0</v>
      </c>
      <c r="BQ332">
        <v>0</v>
      </c>
      <c r="BR332">
        <v>0</v>
      </c>
      <c r="BS332">
        <v>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 t="s">
        <v>264</v>
      </c>
      <c r="CB332" t="s">
        <v>328</v>
      </c>
      <c r="CC332" t="s">
        <v>328</v>
      </c>
      <c r="CD332" t="s">
        <v>236</v>
      </c>
      <c r="CE332" t="s">
        <v>236</v>
      </c>
      <c r="EA332" t="s">
        <v>236</v>
      </c>
      <c r="EC332" t="s">
        <v>236</v>
      </c>
      <c r="EE332" t="s">
        <v>236</v>
      </c>
      <c r="EG332" t="s">
        <v>226</v>
      </c>
      <c r="EH332" t="s">
        <v>244</v>
      </c>
      <c r="EI332" t="s">
        <v>308</v>
      </c>
      <c r="EK332" t="s">
        <v>236</v>
      </c>
      <c r="EM332" t="s">
        <v>236</v>
      </c>
      <c r="EO332" t="s">
        <v>236</v>
      </c>
      <c r="EQ332" t="s">
        <v>236</v>
      </c>
      <c r="ES332" t="s">
        <v>236</v>
      </c>
      <c r="EU332" t="s">
        <v>236</v>
      </c>
      <c r="EW332" t="s">
        <v>236</v>
      </c>
      <c r="EY332" t="s">
        <v>236</v>
      </c>
      <c r="FA332" t="s">
        <v>236</v>
      </c>
      <c r="FC332" t="s">
        <v>236</v>
      </c>
      <c r="FE332" t="s">
        <v>236</v>
      </c>
      <c r="FG332" t="s">
        <v>236</v>
      </c>
      <c r="FJ332" t="s">
        <v>226</v>
      </c>
      <c r="FK332" t="s">
        <v>245</v>
      </c>
      <c r="FL332" t="s">
        <v>236</v>
      </c>
      <c r="FM332" t="s">
        <v>236</v>
      </c>
      <c r="FW332" t="s">
        <v>226</v>
      </c>
      <c r="FX332" t="s">
        <v>226</v>
      </c>
      <c r="FY332" t="s">
        <v>266</v>
      </c>
      <c r="FZ332" t="s">
        <v>236</v>
      </c>
      <c r="GC332" t="s">
        <v>236</v>
      </c>
      <c r="GF332" t="s">
        <v>226</v>
      </c>
      <c r="GG332" t="s">
        <v>226</v>
      </c>
      <c r="GH332" t="s">
        <v>267</v>
      </c>
      <c r="GI332" t="s">
        <v>236</v>
      </c>
      <c r="GL332" t="s">
        <v>236</v>
      </c>
      <c r="GO332" t="s">
        <v>226</v>
      </c>
      <c r="GP332" t="s">
        <v>226</v>
      </c>
      <c r="GQ332" t="s">
        <v>267</v>
      </c>
      <c r="GR332" t="s">
        <v>236</v>
      </c>
      <c r="GU332" t="s">
        <v>236</v>
      </c>
      <c r="GX332" t="s">
        <v>236</v>
      </c>
      <c r="HB332" t="s">
        <v>2120</v>
      </c>
      <c r="HC332" t="s">
        <v>2121</v>
      </c>
      <c r="HE332">
        <v>83084736</v>
      </c>
      <c r="HF332" t="s">
        <v>2122</v>
      </c>
      <c r="HG332" s="2">
        <v>45754.886944444443</v>
      </c>
      <c r="HJ332" t="s">
        <v>248</v>
      </c>
      <c r="HL332" t="s">
        <v>249</v>
      </c>
      <c r="HN332">
        <v>331</v>
      </c>
    </row>
    <row r="333" spans="1:222" x14ac:dyDescent="0.25">
      <c r="A333" s="2">
        <v>45754.678701516197</v>
      </c>
      <c r="B333" s="2">
        <v>45754.682152743058</v>
      </c>
      <c r="C333" t="s">
        <v>270</v>
      </c>
      <c r="D333">
        <v>490</v>
      </c>
      <c r="E333" s="2">
        <v>45732</v>
      </c>
      <c r="F333">
        <v>4</v>
      </c>
      <c r="G333" t="s">
        <v>1268</v>
      </c>
      <c r="H333" t="s">
        <v>270</v>
      </c>
      <c r="I333">
        <v>54</v>
      </c>
      <c r="J333" t="str">
        <f t="shared" si="5"/>
        <v>de 41 a 55 años</v>
      </c>
      <c r="K333" t="s">
        <v>341</v>
      </c>
      <c r="L333">
        <v>1</v>
      </c>
      <c r="M333">
        <v>0</v>
      </c>
      <c r="N333">
        <v>0</v>
      </c>
      <c r="O333">
        <v>0</v>
      </c>
      <c r="P333">
        <v>0</v>
      </c>
      <c r="Q333" t="s">
        <v>225</v>
      </c>
      <c r="R333" t="s">
        <v>226</v>
      </c>
      <c r="T333" t="s">
        <v>227</v>
      </c>
      <c r="V333" t="s">
        <v>252</v>
      </c>
      <c r="W333" t="s">
        <v>229</v>
      </c>
      <c r="X333" t="s">
        <v>230</v>
      </c>
      <c r="Z333" t="s">
        <v>351</v>
      </c>
      <c r="AA333" t="s">
        <v>232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0</v>
      </c>
      <c r="AI333" t="s">
        <v>233</v>
      </c>
      <c r="AJ333">
        <v>0</v>
      </c>
      <c r="AK333">
        <v>1</v>
      </c>
      <c r="AL333">
        <v>0</v>
      </c>
      <c r="AM333">
        <v>0</v>
      </c>
      <c r="AN333" t="s">
        <v>300</v>
      </c>
      <c r="AO333" t="s">
        <v>294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X333" t="s">
        <v>236</v>
      </c>
      <c r="AZ333" t="s">
        <v>237</v>
      </c>
      <c r="BA333" t="s">
        <v>339</v>
      </c>
      <c r="BB333" t="s">
        <v>909</v>
      </c>
      <c r="BE333" t="s">
        <v>237</v>
      </c>
      <c r="BF333" t="s">
        <v>237</v>
      </c>
      <c r="BG333" t="s">
        <v>259</v>
      </c>
      <c r="BH333" t="s">
        <v>237</v>
      </c>
      <c r="BI333" t="s">
        <v>259</v>
      </c>
      <c r="BJ333" t="s">
        <v>237</v>
      </c>
      <c r="BK333" t="s">
        <v>259</v>
      </c>
      <c r="BL333" t="s">
        <v>240</v>
      </c>
      <c r="BM333" t="s">
        <v>614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0</v>
      </c>
      <c r="BY333">
        <v>0</v>
      </c>
      <c r="BZ333">
        <v>0</v>
      </c>
      <c r="CA333" t="s">
        <v>243</v>
      </c>
      <c r="CB333" t="s">
        <v>243</v>
      </c>
      <c r="CC333" t="s">
        <v>264</v>
      </c>
      <c r="CD333" t="s">
        <v>236</v>
      </c>
      <c r="CE333" t="s">
        <v>236</v>
      </c>
      <c r="EA333" t="s">
        <v>236</v>
      </c>
      <c r="EC333" t="s">
        <v>236</v>
      </c>
      <c r="EE333" t="s">
        <v>226</v>
      </c>
      <c r="EF333" t="s">
        <v>244</v>
      </c>
      <c r="EG333" t="s">
        <v>236</v>
      </c>
      <c r="EI333" t="s">
        <v>236</v>
      </c>
      <c r="EK333" t="s">
        <v>236</v>
      </c>
      <c r="EM333" t="s">
        <v>236</v>
      </c>
      <c r="EO333" t="s">
        <v>236</v>
      </c>
      <c r="EQ333" t="s">
        <v>236</v>
      </c>
      <c r="ES333" t="s">
        <v>236</v>
      </c>
      <c r="EU333" t="s">
        <v>236</v>
      </c>
      <c r="EW333" t="s">
        <v>236</v>
      </c>
      <c r="EY333" t="s">
        <v>236</v>
      </c>
      <c r="FA333" t="s">
        <v>236</v>
      </c>
      <c r="FC333" t="s">
        <v>236</v>
      </c>
      <c r="FE333" t="s">
        <v>226</v>
      </c>
      <c r="FF333" t="s">
        <v>245</v>
      </c>
      <c r="FG333" t="s">
        <v>236</v>
      </c>
      <c r="FJ333" t="s">
        <v>226</v>
      </c>
      <c r="FK333" t="s">
        <v>265</v>
      </c>
      <c r="FL333" t="s">
        <v>236</v>
      </c>
      <c r="FM333" t="s">
        <v>236</v>
      </c>
      <c r="FW333" t="s">
        <v>226</v>
      </c>
      <c r="FX333" t="s">
        <v>236</v>
      </c>
      <c r="FZ333" t="s">
        <v>236</v>
      </c>
      <c r="GC333" t="s">
        <v>236</v>
      </c>
      <c r="GF333" t="s">
        <v>226</v>
      </c>
      <c r="GG333" t="s">
        <v>236</v>
      </c>
      <c r="GI333" t="s">
        <v>236</v>
      </c>
      <c r="GL333" t="s">
        <v>236</v>
      </c>
      <c r="GO333" t="s">
        <v>226</v>
      </c>
      <c r="GP333" t="s">
        <v>236</v>
      </c>
      <c r="GR333" t="s">
        <v>226</v>
      </c>
      <c r="GS333" t="s">
        <v>236</v>
      </c>
      <c r="GU333" t="s">
        <v>236</v>
      </c>
      <c r="GX333" t="s">
        <v>236</v>
      </c>
      <c r="HB333" t="s">
        <v>1511</v>
      </c>
      <c r="HC333" t="s">
        <v>2116</v>
      </c>
      <c r="HE333">
        <v>83084959</v>
      </c>
      <c r="HF333" t="s">
        <v>2117</v>
      </c>
      <c r="HG333" s="2">
        <v>45754.890405092592</v>
      </c>
      <c r="HJ333" t="s">
        <v>248</v>
      </c>
      <c r="HL333" t="s">
        <v>249</v>
      </c>
      <c r="HN333">
        <v>332</v>
      </c>
    </row>
    <row r="334" spans="1:222" x14ac:dyDescent="0.25">
      <c r="A334" s="2">
        <v>45755.356054293981</v>
      </c>
      <c r="B334" s="2">
        <v>45755.35931417824</v>
      </c>
      <c r="C334" t="s">
        <v>334</v>
      </c>
      <c r="D334">
        <v>478</v>
      </c>
      <c r="E334" s="2">
        <v>45732</v>
      </c>
      <c r="F334">
        <v>4</v>
      </c>
      <c r="G334" t="s">
        <v>436</v>
      </c>
      <c r="H334" t="s">
        <v>270</v>
      </c>
      <c r="I334">
        <v>58</v>
      </c>
      <c r="J334" t="str">
        <f t="shared" si="5"/>
        <v>de 56 a más</v>
      </c>
      <c r="K334" t="s">
        <v>224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291</v>
      </c>
      <c r="R334" t="s">
        <v>236</v>
      </c>
      <c r="S334" t="s">
        <v>935</v>
      </c>
      <c r="T334" t="s">
        <v>392</v>
      </c>
      <c r="V334" t="s">
        <v>321</v>
      </c>
      <c r="W334" t="s">
        <v>229</v>
      </c>
      <c r="X334" t="s">
        <v>230</v>
      </c>
      <c r="Z334" t="s">
        <v>308</v>
      </c>
      <c r="AA334" t="s">
        <v>293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I334" t="s">
        <v>233</v>
      </c>
      <c r="AJ334">
        <v>0</v>
      </c>
      <c r="AK334">
        <v>1</v>
      </c>
      <c r="AL334">
        <v>0</v>
      </c>
      <c r="AM334">
        <v>0</v>
      </c>
      <c r="AN334" t="s">
        <v>300</v>
      </c>
      <c r="AO334" t="s">
        <v>275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X334" t="s">
        <v>226</v>
      </c>
      <c r="AY334" t="s">
        <v>226</v>
      </c>
      <c r="AZ334" t="s">
        <v>237</v>
      </c>
      <c r="BA334" t="s">
        <v>940</v>
      </c>
      <c r="BB334" t="s">
        <v>438</v>
      </c>
      <c r="BE334" t="s">
        <v>239</v>
      </c>
      <c r="BF334" t="s">
        <v>237</v>
      </c>
      <c r="BG334" t="s">
        <v>259</v>
      </c>
      <c r="BH334" t="s">
        <v>237</v>
      </c>
      <c r="BI334" t="s">
        <v>237</v>
      </c>
      <c r="BJ334" t="s">
        <v>237</v>
      </c>
      <c r="BK334" t="s">
        <v>239</v>
      </c>
      <c r="BL334" t="s">
        <v>262</v>
      </c>
      <c r="BM334" t="s">
        <v>535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1</v>
      </c>
      <c r="BW334">
        <v>0</v>
      </c>
      <c r="BX334">
        <v>0</v>
      </c>
      <c r="BY334">
        <v>1</v>
      </c>
      <c r="BZ334">
        <v>0</v>
      </c>
      <c r="CA334" t="s">
        <v>242</v>
      </c>
      <c r="CB334" t="s">
        <v>264</v>
      </c>
      <c r="CC334" t="s">
        <v>264</v>
      </c>
      <c r="CD334" t="s">
        <v>236</v>
      </c>
      <c r="CE334" t="s">
        <v>236</v>
      </c>
      <c r="EA334" t="s">
        <v>236</v>
      </c>
      <c r="EC334" t="s">
        <v>236</v>
      </c>
      <c r="EE334" t="s">
        <v>236</v>
      </c>
      <c r="EG334" t="s">
        <v>226</v>
      </c>
      <c r="EH334" t="s">
        <v>244</v>
      </c>
      <c r="EI334" t="s">
        <v>308</v>
      </c>
      <c r="EK334" t="s">
        <v>236</v>
      </c>
      <c r="EM334" t="s">
        <v>236</v>
      </c>
      <c r="EO334" t="s">
        <v>236</v>
      </c>
      <c r="EQ334" t="s">
        <v>236</v>
      </c>
      <c r="ES334" t="s">
        <v>236</v>
      </c>
      <c r="EU334" t="s">
        <v>236</v>
      </c>
      <c r="EW334" t="s">
        <v>236</v>
      </c>
      <c r="EY334" t="s">
        <v>236</v>
      </c>
      <c r="FA334" t="s">
        <v>236</v>
      </c>
      <c r="FC334" t="s">
        <v>236</v>
      </c>
      <c r="FE334" t="s">
        <v>226</v>
      </c>
      <c r="FF334" t="s">
        <v>244</v>
      </c>
      <c r="FG334" t="s">
        <v>236</v>
      </c>
      <c r="FJ334" t="s">
        <v>226</v>
      </c>
      <c r="FK334" t="s">
        <v>245</v>
      </c>
      <c r="FL334" t="s">
        <v>236</v>
      </c>
      <c r="FM334" t="s">
        <v>236</v>
      </c>
      <c r="FW334" t="s">
        <v>236</v>
      </c>
      <c r="FZ334" t="s">
        <v>236</v>
      </c>
      <c r="GC334" t="s">
        <v>226</v>
      </c>
      <c r="GD334" t="s">
        <v>226</v>
      </c>
      <c r="GE334" t="s">
        <v>266</v>
      </c>
      <c r="GF334" t="s">
        <v>226</v>
      </c>
      <c r="GG334" t="s">
        <v>226</v>
      </c>
      <c r="GH334" t="s">
        <v>570</v>
      </c>
      <c r="GI334" t="s">
        <v>226</v>
      </c>
      <c r="GJ334" t="s">
        <v>226</v>
      </c>
      <c r="GK334" t="s">
        <v>266</v>
      </c>
      <c r="GL334" t="s">
        <v>236</v>
      </c>
      <c r="GO334" t="s">
        <v>226</v>
      </c>
      <c r="GP334" t="s">
        <v>226</v>
      </c>
      <c r="GQ334" t="s">
        <v>267</v>
      </c>
      <c r="GR334" t="s">
        <v>226</v>
      </c>
      <c r="GS334" t="s">
        <v>226</v>
      </c>
      <c r="GT334" t="s">
        <v>266</v>
      </c>
      <c r="GU334" t="s">
        <v>226</v>
      </c>
      <c r="GV334" t="s">
        <v>226</v>
      </c>
      <c r="GW334" t="s">
        <v>266</v>
      </c>
      <c r="GX334" t="s">
        <v>236</v>
      </c>
      <c r="HB334" t="s">
        <v>1114</v>
      </c>
      <c r="HC334" t="s">
        <v>537</v>
      </c>
      <c r="HE334">
        <v>83151314</v>
      </c>
      <c r="HF334" t="s">
        <v>2084</v>
      </c>
      <c r="HG334" s="2">
        <v>45755.567557870367</v>
      </c>
      <c r="HJ334" t="s">
        <v>248</v>
      </c>
      <c r="HL334" t="s">
        <v>249</v>
      </c>
      <c r="HN334">
        <v>333</v>
      </c>
    </row>
    <row r="335" spans="1:222" x14ac:dyDescent="0.25">
      <c r="A335" s="2">
        <v>45755.359314768517</v>
      </c>
      <c r="B335" s="2">
        <v>45755.365445057869</v>
      </c>
      <c r="C335" t="s">
        <v>334</v>
      </c>
      <c r="D335">
        <v>477</v>
      </c>
      <c r="E335" s="2">
        <v>45732</v>
      </c>
      <c r="F335">
        <v>4</v>
      </c>
      <c r="G335" t="s">
        <v>450</v>
      </c>
      <c r="H335" t="s">
        <v>270</v>
      </c>
      <c r="I335">
        <v>47</v>
      </c>
      <c r="J335" t="str">
        <f t="shared" si="5"/>
        <v>de 41 a 55 años</v>
      </c>
      <c r="K335" t="s">
        <v>224</v>
      </c>
      <c r="L335">
        <v>1</v>
      </c>
      <c r="M335">
        <v>0</v>
      </c>
      <c r="N335">
        <v>0</v>
      </c>
      <c r="O335">
        <v>0</v>
      </c>
      <c r="P335">
        <v>0</v>
      </c>
      <c r="Q335" t="s">
        <v>225</v>
      </c>
      <c r="R335" t="s">
        <v>226</v>
      </c>
      <c r="T335" t="s">
        <v>227</v>
      </c>
      <c r="V335" t="s">
        <v>228</v>
      </c>
      <c r="W335" t="s">
        <v>229</v>
      </c>
      <c r="X335" t="s">
        <v>230</v>
      </c>
      <c r="Z335" t="s">
        <v>398</v>
      </c>
      <c r="AA335" t="s">
        <v>481</v>
      </c>
      <c r="AB335">
        <v>0</v>
      </c>
      <c r="AC335">
        <v>0</v>
      </c>
      <c r="AD335">
        <v>0</v>
      </c>
      <c r="AE335">
        <v>1</v>
      </c>
      <c r="AF335">
        <v>1</v>
      </c>
      <c r="AG335">
        <v>0</v>
      </c>
      <c r="AI335" t="s">
        <v>233</v>
      </c>
      <c r="AJ335">
        <v>0</v>
      </c>
      <c r="AK335">
        <v>1</v>
      </c>
      <c r="AL335">
        <v>0</v>
      </c>
      <c r="AM335">
        <v>0</v>
      </c>
      <c r="AN335" t="s">
        <v>274</v>
      </c>
      <c r="AO335" t="s">
        <v>275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X335" t="s">
        <v>226</v>
      </c>
      <c r="AY335" t="s">
        <v>226</v>
      </c>
      <c r="AZ335" t="s">
        <v>237</v>
      </c>
      <c r="BA335" t="s">
        <v>336</v>
      </c>
      <c r="BB335" t="s">
        <v>438</v>
      </c>
      <c r="BC335" t="s">
        <v>276</v>
      </c>
      <c r="BE335" t="s">
        <v>237</v>
      </c>
      <c r="BF335" t="s">
        <v>237</v>
      </c>
      <c r="BG335" t="s">
        <v>237</v>
      </c>
      <c r="BH335" t="s">
        <v>237</v>
      </c>
      <c r="BI335" t="s">
        <v>237</v>
      </c>
      <c r="BJ335" t="s">
        <v>237</v>
      </c>
      <c r="BK335" t="s">
        <v>259</v>
      </c>
      <c r="BL335" t="s">
        <v>240</v>
      </c>
      <c r="BM335" t="s">
        <v>357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1</v>
      </c>
      <c r="BV335">
        <v>0</v>
      </c>
      <c r="BW335">
        <v>0</v>
      </c>
      <c r="BX335">
        <v>0</v>
      </c>
      <c r="BY335">
        <v>0</v>
      </c>
      <c r="BZ335">
        <v>0</v>
      </c>
      <c r="CA335" t="s">
        <v>264</v>
      </c>
      <c r="CB335" t="s">
        <v>264</v>
      </c>
      <c r="CC335" t="s">
        <v>264</v>
      </c>
      <c r="CD335" t="s">
        <v>236</v>
      </c>
      <c r="CE335" t="s">
        <v>236</v>
      </c>
      <c r="EA335" t="s">
        <v>226</v>
      </c>
      <c r="EB335" t="s">
        <v>245</v>
      </c>
      <c r="EC335" t="s">
        <v>236</v>
      </c>
      <c r="EE335" t="s">
        <v>236</v>
      </c>
      <c r="EG335" t="s">
        <v>236</v>
      </c>
      <c r="EI335" t="s">
        <v>236</v>
      </c>
      <c r="EK335" t="s">
        <v>236</v>
      </c>
      <c r="EM335" t="s">
        <v>236</v>
      </c>
      <c r="EO335" t="s">
        <v>236</v>
      </c>
      <c r="EQ335" t="s">
        <v>236</v>
      </c>
      <c r="ES335" t="s">
        <v>236</v>
      </c>
      <c r="EU335" t="s">
        <v>236</v>
      </c>
      <c r="EW335" t="s">
        <v>236</v>
      </c>
      <c r="EY335" t="s">
        <v>236</v>
      </c>
      <c r="FA335" t="s">
        <v>236</v>
      </c>
      <c r="FC335" t="s">
        <v>236</v>
      </c>
      <c r="FE335" t="s">
        <v>226</v>
      </c>
      <c r="FF335" t="s">
        <v>244</v>
      </c>
      <c r="FG335" t="s">
        <v>236</v>
      </c>
      <c r="FJ335" t="s">
        <v>226</v>
      </c>
      <c r="FK335" t="s">
        <v>245</v>
      </c>
      <c r="FL335" t="s">
        <v>236</v>
      </c>
      <c r="FM335" t="s">
        <v>236</v>
      </c>
      <c r="FW335" t="s">
        <v>226</v>
      </c>
      <c r="FX335" t="s">
        <v>226</v>
      </c>
      <c r="FY335" t="s">
        <v>267</v>
      </c>
      <c r="FZ335" t="s">
        <v>226</v>
      </c>
      <c r="GA335" t="s">
        <v>226</v>
      </c>
      <c r="GB335" t="s">
        <v>266</v>
      </c>
      <c r="GC335" t="s">
        <v>236</v>
      </c>
      <c r="GF335" t="s">
        <v>226</v>
      </c>
      <c r="GG335" t="s">
        <v>236</v>
      </c>
      <c r="GI335" t="s">
        <v>236</v>
      </c>
      <c r="GL335" t="s">
        <v>236</v>
      </c>
      <c r="GO335" t="s">
        <v>236</v>
      </c>
      <c r="GR335" t="s">
        <v>226</v>
      </c>
      <c r="GS335" t="s">
        <v>226</v>
      </c>
      <c r="GT335" t="s">
        <v>267</v>
      </c>
      <c r="GU335" t="s">
        <v>236</v>
      </c>
      <c r="GX335" t="s">
        <v>236</v>
      </c>
      <c r="HB335" t="s">
        <v>323</v>
      </c>
      <c r="HC335" t="s">
        <v>280</v>
      </c>
      <c r="HE335">
        <v>83151945</v>
      </c>
      <c r="HF335" t="s">
        <v>2083</v>
      </c>
      <c r="HG335" s="2">
        <v>45755.573692129627</v>
      </c>
      <c r="HJ335" t="s">
        <v>248</v>
      </c>
      <c r="HL335" t="s">
        <v>249</v>
      </c>
      <c r="HN335">
        <v>334</v>
      </c>
    </row>
    <row r="336" spans="1:222" x14ac:dyDescent="0.25">
      <c r="A336" s="2">
        <v>45755.367982233787</v>
      </c>
      <c r="B336" s="2">
        <v>45755.372585254627</v>
      </c>
      <c r="C336" t="s">
        <v>270</v>
      </c>
      <c r="D336">
        <v>489</v>
      </c>
      <c r="E336" s="2">
        <v>45732</v>
      </c>
      <c r="F336">
        <v>4</v>
      </c>
      <c r="G336" t="s">
        <v>436</v>
      </c>
      <c r="H336" t="s">
        <v>270</v>
      </c>
      <c r="I336">
        <v>54</v>
      </c>
      <c r="J336" t="str">
        <f t="shared" si="5"/>
        <v>de 41 a 55 años</v>
      </c>
      <c r="K336" t="s">
        <v>224</v>
      </c>
      <c r="L336">
        <v>3</v>
      </c>
      <c r="M336">
        <v>0</v>
      </c>
      <c r="N336">
        <v>0</v>
      </c>
      <c r="O336">
        <v>0</v>
      </c>
      <c r="P336">
        <v>0</v>
      </c>
      <c r="Q336" t="s">
        <v>225</v>
      </c>
      <c r="R336" t="s">
        <v>226</v>
      </c>
      <c r="T336" t="s">
        <v>227</v>
      </c>
      <c r="V336" t="s">
        <v>321</v>
      </c>
      <c r="W336" t="s">
        <v>229</v>
      </c>
      <c r="X336" t="s">
        <v>230</v>
      </c>
      <c r="Z336" t="s">
        <v>308</v>
      </c>
      <c r="AA336" t="s">
        <v>232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0</v>
      </c>
      <c r="AI336" t="s">
        <v>233</v>
      </c>
      <c r="AJ336">
        <v>0</v>
      </c>
      <c r="AK336">
        <v>1</v>
      </c>
      <c r="AL336">
        <v>0</v>
      </c>
      <c r="AM336">
        <v>0</v>
      </c>
      <c r="AN336" t="s">
        <v>300</v>
      </c>
      <c r="AO336" t="s">
        <v>235</v>
      </c>
      <c r="AP336">
        <v>0</v>
      </c>
      <c r="AQ336">
        <v>0</v>
      </c>
      <c r="AR336">
        <v>0</v>
      </c>
      <c r="AS336">
        <v>1</v>
      </c>
      <c r="AT336">
        <v>0</v>
      </c>
      <c r="AU336">
        <v>0</v>
      </c>
      <c r="AV336">
        <v>0</v>
      </c>
      <c r="AX336" t="s">
        <v>226</v>
      </c>
      <c r="AY336" t="s">
        <v>226</v>
      </c>
      <c r="AZ336" t="s">
        <v>237</v>
      </c>
      <c r="BA336" t="s">
        <v>2113</v>
      </c>
      <c r="BB336" t="s">
        <v>672</v>
      </c>
      <c r="BE336" t="s">
        <v>237</v>
      </c>
      <c r="BF336" t="s">
        <v>259</v>
      </c>
      <c r="BG336" t="s">
        <v>237</v>
      </c>
      <c r="BH336" t="s">
        <v>239</v>
      </c>
      <c r="BI336" t="s">
        <v>237</v>
      </c>
      <c r="BJ336" t="s">
        <v>237</v>
      </c>
      <c r="BK336" t="s">
        <v>239</v>
      </c>
      <c r="BL336" t="s">
        <v>262</v>
      </c>
      <c r="BM336" t="s">
        <v>415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 t="s">
        <v>242</v>
      </c>
      <c r="CB336" t="s">
        <v>328</v>
      </c>
      <c r="CC336" t="s">
        <v>328</v>
      </c>
      <c r="CD336" t="s">
        <v>236</v>
      </c>
      <c r="CE336" t="s">
        <v>236</v>
      </c>
      <c r="EA336" t="s">
        <v>236</v>
      </c>
      <c r="EC336" t="s">
        <v>236</v>
      </c>
      <c r="EE336" t="s">
        <v>236</v>
      </c>
      <c r="EG336" t="s">
        <v>226</v>
      </c>
      <c r="EH336" t="s">
        <v>245</v>
      </c>
      <c r="EI336" t="s">
        <v>308</v>
      </c>
      <c r="EK336" t="s">
        <v>236</v>
      </c>
      <c r="EM336" t="s">
        <v>236</v>
      </c>
      <c r="EO336" t="s">
        <v>236</v>
      </c>
      <c r="EQ336" t="s">
        <v>236</v>
      </c>
      <c r="ES336" t="s">
        <v>236</v>
      </c>
      <c r="EU336" t="s">
        <v>236</v>
      </c>
      <c r="EW336" t="s">
        <v>226</v>
      </c>
      <c r="EX336" t="s">
        <v>245</v>
      </c>
      <c r="EY336" t="s">
        <v>236</v>
      </c>
      <c r="FA336" t="s">
        <v>236</v>
      </c>
      <c r="FC336" t="s">
        <v>236</v>
      </c>
      <c r="FE336" t="s">
        <v>236</v>
      </c>
      <c r="FG336" t="s">
        <v>236</v>
      </c>
      <c r="FJ336" t="s">
        <v>226</v>
      </c>
      <c r="FK336" t="s">
        <v>265</v>
      </c>
      <c r="FL336" t="s">
        <v>226</v>
      </c>
      <c r="FM336" t="s">
        <v>236</v>
      </c>
      <c r="FW336" t="s">
        <v>236</v>
      </c>
      <c r="FZ336" t="s">
        <v>236</v>
      </c>
      <c r="GC336" t="s">
        <v>236</v>
      </c>
      <c r="GF336" t="s">
        <v>226</v>
      </c>
      <c r="GG336" t="s">
        <v>226</v>
      </c>
      <c r="GH336" t="s">
        <v>266</v>
      </c>
      <c r="GI336" t="s">
        <v>236</v>
      </c>
      <c r="GL336" t="s">
        <v>236</v>
      </c>
      <c r="GO336" t="s">
        <v>226</v>
      </c>
      <c r="GP336" t="s">
        <v>226</v>
      </c>
      <c r="GQ336" t="s">
        <v>266</v>
      </c>
      <c r="GR336" t="s">
        <v>226</v>
      </c>
      <c r="GS336" t="s">
        <v>226</v>
      </c>
      <c r="GT336" t="s">
        <v>266</v>
      </c>
      <c r="GU336" t="s">
        <v>236</v>
      </c>
      <c r="GX336" t="s">
        <v>236</v>
      </c>
      <c r="HB336" t="s">
        <v>484</v>
      </c>
      <c r="HC336" t="s">
        <v>2114</v>
      </c>
      <c r="HE336">
        <v>83152592</v>
      </c>
      <c r="HF336" t="s">
        <v>2115</v>
      </c>
      <c r="HG336" s="2">
        <v>45755.580833333333</v>
      </c>
      <c r="HJ336" t="s">
        <v>248</v>
      </c>
      <c r="HL336" t="s">
        <v>249</v>
      </c>
      <c r="HN336">
        <v>335</v>
      </c>
    </row>
    <row r="337" spans="1:222" x14ac:dyDescent="0.25">
      <c r="A337" s="2">
        <v>45755.372585752317</v>
      </c>
      <c r="B337" s="2">
        <v>45755.378093749998</v>
      </c>
      <c r="C337" t="s">
        <v>270</v>
      </c>
      <c r="D337">
        <v>488</v>
      </c>
      <c r="E337" s="2">
        <v>45732</v>
      </c>
      <c r="F337">
        <v>4</v>
      </c>
      <c r="G337" t="s">
        <v>361</v>
      </c>
      <c r="H337" t="s">
        <v>270</v>
      </c>
      <c r="I337">
        <v>42</v>
      </c>
      <c r="J337" t="str">
        <f t="shared" si="5"/>
        <v>de 41 a 55 años</v>
      </c>
      <c r="K337" t="s">
        <v>224</v>
      </c>
      <c r="L337">
        <v>2</v>
      </c>
      <c r="M337">
        <v>1</v>
      </c>
      <c r="N337">
        <v>0</v>
      </c>
      <c r="O337">
        <v>0</v>
      </c>
      <c r="P337">
        <v>0</v>
      </c>
      <c r="Q337" t="s">
        <v>225</v>
      </c>
      <c r="R337" t="s">
        <v>226</v>
      </c>
      <c r="T337" t="s">
        <v>227</v>
      </c>
      <c r="V337" t="s">
        <v>252</v>
      </c>
      <c r="W337" t="s">
        <v>229</v>
      </c>
      <c r="X337" t="s">
        <v>230</v>
      </c>
      <c r="Z337" t="s">
        <v>254</v>
      </c>
      <c r="AA337" t="s">
        <v>293</v>
      </c>
      <c r="AB337">
        <v>0</v>
      </c>
      <c r="AC337">
        <v>0</v>
      </c>
      <c r="AD337">
        <v>0</v>
      </c>
      <c r="AE337">
        <v>0</v>
      </c>
      <c r="AF337">
        <v>1</v>
      </c>
      <c r="AG337">
        <v>0</v>
      </c>
      <c r="AI337" t="s">
        <v>256</v>
      </c>
      <c r="AJ337">
        <v>0</v>
      </c>
      <c r="AK337">
        <v>0</v>
      </c>
      <c r="AL337">
        <v>1</v>
      </c>
      <c r="AM337">
        <v>0</v>
      </c>
      <c r="AN337" t="s">
        <v>234</v>
      </c>
      <c r="AO337" t="s">
        <v>369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 t="s">
        <v>2110</v>
      </c>
      <c r="AX337" t="s">
        <v>226</v>
      </c>
      <c r="AY337" t="s">
        <v>226</v>
      </c>
      <c r="AZ337" t="s">
        <v>237</v>
      </c>
      <c r="BA337" t="s">
        <v>825</v>
      </c>
      <c r="BE337" t="s">
        <v>237</v>
      </c>
      <c r="BF337" t="s">
        <v>237</v>
      </c>
      <c r="BG337" t="s">
        <v>259</v>
      </c>
      <c r="BH337" t="s">
        <v>237</v>
      </c>
      <c r="BI337" t="s">
        <v>237</v>
      </c>
      <c r="BJ337" t="s">
        <v>237</v>
      </c>
      <c r="BK337" t="s">
        <v>259</v>
      </c>
      <c r="BL337" t="s">
        <v>262</v>
      </c>
      <c r="BM337" t="s">
        <v>451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 t="s">
        <v>328</v>
      </c>
      <c r="CB337" t="s">
        <v>328</v>
      </c>
      <c r="CC337" t="s">
        <v>264</v>
      </c>
      <c r="CD337" t="s">
        <v>236</v>
      </c>
      <c r="CE337" t="s">
        <v>236</v>
      </c>
      <c r="EA337" t="s">
        <v>226</v>
      </c>
      <c r="EB337" t="s">
        <v>244</v>
      </c>
      <c r="EC337" t="s">
        <v>236</v>
      </c>
      <c r="EE337" t="s">
        <v>226</v>
      </c>
      <c r="EF337" t="s">
        <v>244</v>
      </c>
      <c r="EG337" t="s">
        <v>226</v>
      </c>
      <c r="EH337" t="s">
        <v>244</v>
      </c>
      <c r="EI337" t="s">
        <v>308</v>
      </c>
      <c r="EK337" t="s">
        <v>236</v>
      </c>
      <c r="EM337" t="s">
        <v>226</v>
      </c>
      <c r="EN337" t="s">
        <v>244</v>
      </c>
      <c r="EO337" t="s">
        <v>236</v>
      </c>
      <c r="EQ337" t="s">
        <v>226</v>
      </c>
      <c r="ER337" t="s">
        <v>244</v>
      </c>
      <c r="ES337" t="s">
        <v>236</v>
      </c>
      <c r="EU337" t="s">
        <v>236</v>
      </c>
      <c r="EW337" t="s">
        <v>236</v>
      </c>
      <c r="EY337" t="s">
        <v>226</v>
      </c>
      <c r="EZ337" t="s">
        <v>244</v>
      </c>
      <c r="FA337" t="s">
        <v>236</v>
      </c>
      <c r="FC337" t="s">
        <v>236</v>
      </c>
      <c r="FE337" t="s">
        <v>226</v>
      </c>
      <c r="FF337" t="s">
        <v>244</v>
      </c>
      <c r="FG337" t="s">
        <v>236</v>
      </c>
      <c r="FJ337" t="s">
        <v>236</v>
      </c>
      <c r="FM337" t="s">
        <v>236</v>
      </c>
      <c r="FW337" t="s">
        <v>236</v>
      </c>
      <c r="FZ337" t="s">
        <v>226</v>
      </c>
      <c r="GA337" t="s">
        <v>236</v>
      </c>
      <c r="GC337" t="s">
        <v>236</v>
      </c>
      <c r="GF337" t="s">
        <v>226</v>
      </c>
      <c r="GG337" t="s">
        <v>236</v>
      </c>
      <c r="GI337" t="s">
        <v>226</v>
      </c>
      <c r="GJ337" t="s">
        <v>226</v>
      </c>
      <c r="GK337" t="s">
        <v>308</v>
      </c>
      <c r="GL337" t="s">
        <v>236</v>
      </c>
      <c r="GO337" t="s">
        <v>226</v>
      </c>
      <c r="GP337" t="s">
        <v>226</v>
      </c>
      <c r="GQ337" t="s">
        <v>266</v>
      </c>
      <c r="GR337" t="s">
        <v>226</v>
      </c>
      <c r="GS337" t="s">
        <v>226</v>
      </c>
      <c r="GT337" t="s">
        <v>266</v>
      </c>
      <c r="GU337" t="s">
        <v>236</v>
      </c>
      <c r="GX337" t="s">
        <v>236</v>
      </c>
      <c r="HB337" t="s">
        <v>2111</v>
      </c>
      <c r="HC337" t="s">
        <v>323</v>
      </c>
      <c r="HE337">
        <v>83153041</v>
      </c>
      <c r="HF337" t="s">
        <v>2112</v>
      </c>
      <c r="HG337" s="2">
        <v>45755.586354166669</v>
      </c>
      <c r="HJ337" t="s">
        <v>248</v>
      </c>
      <c r="HL337" t="s">
        <v>249</v>
      </c>
      <c r="HN337">
        <v>336</v>
      </c>
    </row>
    <row r="338" spans="1:222" x14ac:dyDescent="0.25">
      <c r="A338" s="2">
        <v>45755.378094236112</v>
      </c>
      <c r="B338" s="2">
        <v>45755.387110798612</v>
      </c>
      <c r="C338" t="s">
        <v>270</v>
      </c>
      <c r="D338">
        <v>487</v>
      </c>
      <c r="E338" s="2">
        <v>45732</v>
      </c>
      <c r="F338">
        <v>4</v>
      </c>
      <c r="G338" t="s">
        <v>436</v>
      </c>
      <c r="H338" t="s">
        <v>270</v>
      </c>
      <c r="I338">
        <v>79</v>
      </c>
      <c r="J338" t="str">
        <f t="shared" si="5"/>
        <v>de 56 a más</v>
      </c>
      <c r="K338" t="s">
        <v>224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225</v>
      </c>
      <c r="R338" t="s">
        <v>226</v>
      </c>
      <c r="T338" t="s">
        <v>227</v>
      </c>
      <c r="V338" t="s">
        <v>228</v>
      </c>
      <c r="W338" t="s">
        <v>229</v>
      </c>
      <c r="X338" t="s">
        <v>368</v>
      </c>
      <c r="Z338" t="s">
        <v>308</v>
      </c>
      <c r="AA338" t="s">
        <v>232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I338" t="s">
        <v>233</v>
      </c>
      <c r="AJ338">
        <v>0</v>
      </c>
      <c r="AK338">
        <v>1</v>
      </c>
      <c r="AL338">
        <v>0</v>
      </c>
      <c r="AM338">
        <v>0</v>
      </c>
      <c r="AN338" t="s">
        <v>257</v>
      </c>
      <c r="AO338" t="s">
        <v>369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 t="s">
        <v>551</v>
      </c>
      <c r="AX338" t="s">
        <v>236</v>
      </c>
      <c r="AZ338" t="s">
        <v>237</v>
      </c>
      <c r="BA338" t="s">
        <v>277</v>
      </c>
      <c r="BB338" t="s">
        <v>2108</v>
      </c>
      <c r="BE338" t="s">
        <v>239</v>
      </c>
      <c r="BF338" t="s">
        <v>237</v>
      </c>
      <c r="BG338" t="s">
        <v>237</v>
      </c>
      <c r="BH338" t="s">
        <v>239</v>
      </c>
      <c r="BI338" t="s">
        <v>239</v>
      </c>
      <c r="BJ338" t="s">
        <v>237</v>
      </c>
      <c r="BK338" t="s">
        <v>239</v>
      </c>
      <c r="BL338" t="s">
        <v>262</v>
      </c>
      <c r="BM338" t="s">
        <v>1478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1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 t="s">
        <v>264</v>
      </c>
      <c r="CB338" t="s">
        <v>328</v>
      </c>
      <c r="CC338" t="s">
        <v>328</v>
      </c>
      <c r="CD338" t="s">
        <v>236</v>
      </c>
      <c r="CE338" t="s">
        <v>236</v>
      </c>
      <c r="EA338" t="s">
        <v>236</v>
      </c>
      <c r="EC338" t="s">
        <v>236</v>
      </c>
      <c r="EE338" t="s">
        <v>236</v>
      </c>
      <c r="EG338" t="s">
        <v>226</v>
      </c>
      <c r="EH338" t="s">
        <v>245</v>
      </c>
      <c r="EI338" t="s">
        <v>308</v>
      </c>
      <c r="EK338" t="s">
        <v>236</v>
      </c>
      <c r="EM338" t="s">
        <v>226</v>
      </c>
      <c r="EN338" t="s">
        <v>244</v>
      </c>
      <c r="EO338" t="s">
        <v>236</v>
      </c>
      <c r="EQ338" t="s">
        <v>236</v>
      </c>
      <c r="ES338" t="s">
        <v>226</v>
      </c>
      <c r="ET338" t="s">
        <v>245</v>
      </c>
      <c r="EU338" t="s">
        <v>236</v>
      </c>
      <c r="EW338" t="s">
        <v>236</v>
      </c>
      <c r="EY338" t="s">
        <v>236</v>
      </c>
      <c r="FA338" t="s">
        <v>226</v>
      </c>
      <c r="FB338" t="s">
        <v>244</v>
      </c>
      <c r="FC338" t="s">
        <v>236</v>
      </c>
      <c r="FE338" t="s">
        <v>236</v>
      </c>
      <c r="FG338" t="s">
        <v>236</v>
      </c>
      <c r="FJ338" t="s">
        <v>226</v>
      </c>
      <c r="FK338" t="s">
        <v>245</v>
      </c>
      <c r="FL338" t="s">
        <v>236</v>
      </c>
      <c r="FM338" t="s">
        <v>236</v>
      </c>
      <c r="FW338" t="s">
        <v>236</v>
      </c>
      <c r="FZ338" t="s">
        <v>236</v>
      </c>
      <c r="GC338" t="s">
        <v>236</v>
      </c>
      <c r="GF338" t="s">
        <v>226</v>
      </c>
      <c r="GG338" t="s">
        <v>226</v>
      </c>
      <c r="GH338" t="s">
        <v>266</v>
      </c>
      <c r="GI338" t="s">
        <v>236</v>
      </c>
      <c r="GL338" t="s">
        <v>236</v>
      </c>
      <c r="GO338" t="s">
        <v>226</v>
      </c>
      <c r="GP338" t="s">
        <v>226</v>
      </c>
      <c r="GQ338" t="s">
        <v>266</v>
      </c>
      <c r="GR338" t="s">
        <v>226</v>
      </c>
      <c r="GS338" t="s">
        <v>226</v>
      </c>
      <c r="GT338" t="s">
        <v>266</v>
      </c>
      <c r="GU338" t="s">
        <v>236</v>
      </c>
      <c r="GX338" t="s">
        <v>236</v>
      </c>
      <c r="HB338" t="s">
        <v>323</v>
      </c>
      <c r="HC338" t="s">
        <v>408</v>
      </c>
      <c r="HE338">
        <v>83153683</v>
      </c>
      <c r="HF338" t="s">
        <v>2109</v>
      </c>
      <c r="HG338" s="2">
        <v>45755.595358796287</v>
      </c>
      <c r="HJ338" t="s">
        <v>248</v>
      </c>
      <c r="HL338" t="s">
        <v>249</v>
      </c>
      <c r="HN338">
        <v>337</v>
      </c>
    </row>
    <row r="339" spans="1:222" x14ac:dyDescent="0.25">
      <c r="A339" s="2">
        <v>45755.384267592592</v>
      </c>
      <c r="B339" s="2">
        <v>45755.586726122689</v>
      </c>
      <c r="C339" t="s">
        <v>334</v>
      </c>
      <c r="D339">
        <v>475</v>
      </c>
      <c r="E339" s="2">
        <v>45732</v>
      </c>
      <c r="F339">
        <v>4</v>
      </c>
      <c r="G339" t="s">
        <v>1268</v>
      </c>
      <c r="H339" t="s">
        <v>270</v>
      </c>
      <c r="I339">
        <v>52</v>
      </c>
      <c r="J339" t="str">
        <f t="shared" si="5"/>
        <v>de 41 a 55 años</v>
      </c>
      <c r="K339" t="s">
        <v>341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225</v>
      </c>
      <c r="R339" t="s">
        <v>226</v>
      </c>
      <c r="T339" t="s">
        <v>227</v>
      </c>
      <c r="V339" t="s">
        <v>228</v>
      </c>
      <c r="W339" t="s">
        <v>229</v>
      </c>
      <c r="X339" t="s">
        <v>230</v>
      </c>
      <c r="Z339" t="s">
        <v>398</v>
      </c>
      <c r="AA339" t="s">
        <v>232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0</v>
      </c>
      <c r="AI339" t="s">
        <v>233</v>
      </c>
      <c r="AJ339">
        <v>0</v>
      </c>
      <c r="AK339">
        <v>1</v>
      </c>
      <c r="AL339">
        <v>0</v>
      </c>
      <c r="AM339">
        <v>0</v>
      </c>
      <c r="AN339" t="s">
        <v>300</v>
      </c>
      <c r="AO339" t="s">
        <v>275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X339" t="s">
        <v>236</v>
      </c>
      <c r="AZ339" t="s">
        <v>259</v>
      </c>
      <c r="BA339" t="s">
        <v>2075</v>
      </c>
      <c r="BB339" t="s">
        <v>2076</v>
      </c>
      <c r="BE339" t="s">
        <v>259</v>
      </c>
      <c r="BF339" t="s">
        <v>237</v>
      </c>
      <c r="BG339" t="s">
        <v>259</v>
      </c>
      <c r="BH339" t="s">
        <v>259</v>
      </c>
      <c r="BI339" t="s">
        <v>259</v>
      </c>
      <c r="BJ339" t="s">
        <v>259</v>
      </c>
      <c r="BK339" t="s">
        <v>259</v>
      </c>
      <c r="BL339" t="s">
        <v>313</v>
      </c>
      <c r="BM339" t="s">
        <v>1082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 t="s">
        <v>243</v>
      </c>
      <c r="CB339" t="s">
        <v>243</v>
      </c>
      <c r="CC339" t="s">
        <v>264</v>
      </c>
      <c r="CD339" t="s">
        <v>226</v>
      </c>
      <c r="CE339" t="s">
        <v>236</v>
      </c>
      <c r="EA339" t="s">
        <v>226</v>
      </c>
      <c r="EB339" t="s">
        <v>244</v>
      </c>
      <c r="EC339" t="s">
        <v>236</v>
      </c>
      <c r="EE339" t="s">
        <v>226</v>
      </c>
      <c r="EF339" t="s">
        <v>244</v>
      </c>
      <c r="EG339" t="s">
        <v>226</v>
      </c>
      <c r="EH339" t="s">
        <v>245</v>
      </c>
      <c r="EI339" t="s">
        <v>236</v>
      </c>
      <c r="EK339" t="s">
        <v>236</v>
      </c>
      <c r="EM339" t="s">
        <v>236</v>
      </c>
      <c r="EO339" t="s">
        <v>236</v>
      </c>
      <c r="EQ339" t="s">
        <v>236</v>
      </c>
      <c r="ES339" t="s">
        <v>226</v>
      </c>
      <c r="ET339" t="s">
        <v>265</v>
      </c>
      <c r="EU339" t="s">
        <v>236</v>
      </c>
      <c r="EW339" t="s">
        <v>236</v>
      </c>
      <c r="EY339" t="s">
        <v>236</v>
      </c>
      <c r="FA339" t="s">
        <v>226</v>
      </c>
      <c r="FB339" t="s">
        <v>244</v>
      </c>
      <c r="FC339" t="s">
        <v>236</v>
      </c>
      <c r="FE339" t="s">
        <v>236</v>
      </c>
      <c r="FG339" t="s">
        <v>236</v>
      </c>
      <c r="FJ339" t="s">
        <v>226</v>
      </c>
      <c r="FK339" t="s">
        <v>245</v>
      </c>
      <c r="FL339" t="s">
        <v>236</v>
      </c>
      <c r="FM339" t="s">
        <v>236</v>
      </c>
      <c r="FW339" t="s">
        <v>226</v>
      </c>
      <c r="FX339" t="s">
        <v>236</v>
      </c>
      <c r="FZ339" t="s">
        <v>236</v>
      </c>
      <c r="GC339" t="s">
        <v>236</v>
      </c>
      <c r="GF339" t="s">
        <v>226</v>
      </c>
      <c r="GG339" t="s">
        <v>236</v>
      </c>
      <c r="GI339" t="s">
        <v>236</v>
      </c>
      <c r="GL339" t="s">
        <v>236</v>
      </c>
      <c r="GO339" t="s">
        <v>236</v>
      </c>
      <c r="GR339" t="s">
        <v>226</v>
      </c>
      <c r="GS339" t="s">
        <v>236</v>
      </c>
      <c r="GU339" t="s">
        <v>236</v>
      </c>
      <c r="GX339" t="s">
        <v>236</v>
      </c>
      <c r="HB339" t="s">
        <v>2077</v>
      </c>
      <c r="HC339" t="s">
        <v>288</v>
      </c>
      <c r="HE339">
        <v>83182403</v>
      </c>
      <c r="HF339" t="s">
        <v>2078</v>
      </c>
      <c r="HG339" s="2">
        <v>45755.794976851852</v>
      </c>
      <c r="HJ339" t="s">
        <v>248</v>
      </c>
      <c r="HL339" t="s">
        <v>249</v>
      </c>
      <c r="HN339">
        <v>344</v>
      </c>
    </row>
    <row r="340" spans="1:222" x14ac:dyDescent="0.25">
      <c r="A340" s="2">
        <v>45755.387111249998</v>
      </c>
      <c r="B340" s="2">
        <v>45755.39250159722</v>
      </c>
      <c r="C340" t="s">
        <v>270</v>
      </c>
      <c r="D340">
        <v>486</v>
      </c>
      <c r="E340" s="2">
        <v>45732</v>
      </c>
      <c r="F340">
        <v>4</v>
      </c>
      <c r="G340" t="s">
        <v>436</v>
      </c>
      <c r="H340" t="s">
        <v>270</v>
      </c>
      <c r="I340">
        <v>48</v>
      </c>
      <c r="J340" t="str">
        <f t="shared" si="5"/>
        <v>de 41 a 55 años</v>
      </c>
      <c r="K340" t="s">
        <v>251</v>
      </c>
      <c r="L340">
        <v>1</v>
      </c>
      <c r="M340">
        <v>0</v>
      </c>
      <c r="N340">
        <v>0</v>
      </c>
      <c r="O340">
        <v>0</v>
      </c>
      <c r="P340">
        <v>0</v>
      </c>
      <c r="Q340" t="s">
        <v>225</v>
      </c>
      <c r="R340" t="s">
        <v>226</v>
      </c>
      <c r="T340" t="s">
        <v>227</v>
      </c>
      <c r="V340" t="s">
        <v>252</v>
      </c>
      <c r="W340" t="s">
        <v>229</v>
      </c>
      <c r="X340" t="s">
        <v>230</v>
      </c>
      <c r="Z340" t="s">
        <v>308</v>
      </c>
      <c r="AA340" t="s">
        <v>293</v>
      </c>
      <c r="AB340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I340" t="s">
        <v>233</v>
      </c>
      <c r="AJ340">
        <v>0</v>
      </c>
      <c r="AK340">
        <v>1</v>
      </c>
      <c r="AL340">
        <v>0</v>
      </c>
      <c r="AM340">
        <v>0</v>
      </c>
      <c r="AN340" t="s">
        <v>234</v>
      </c>
      <c r="AO340" t="s">
        <v>275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X340" t="s">
        <v>226</v>
      </c>
      <c r="AY340" t="s">
        <v>226</v>
      </c>
      <c r="AZ340" t="s">
        <v>237</v>
      </c>
      <c r="BA340" t="s">
        <v>2104</v>
      </c>
      <c r="BB340" t="s">
        <v>2105</v>
      </c>
      <c r="BE340" t="s">
        <v>259</v>
      </c>
      <c r="BF340" t="s">
        <v>259</v>
      </c>
      <c r="BG340" t="s">
        <v>259</v>
      </c>
      <c r="BH340" t="s">
        <v>259</v>
      </c>
      <c r="BI340" t="s">
        <v>237</v>
      </c>
      <c r="BJ340" t="s">
        <v>237</v>
      </c>
      <c r="BK340" t="s">
        <v>239</v>
      </c>
      <c r="BL340" t="s">
        <v>262</v>
      </c>
      <c r="BM340" t="s">
        <v>2106</v>
      </c>
      <c r="BN340">
        <v>0</v>
      </c>
      <c r="BO340">
        <v>1</v>
      </c>
      <c r="BP340">
        <v>1</v>
      </c>
      <c r="BQ340">
        <v>1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0</v>
      </c>
      <c r="CA340" t="s">
        <v>264</v>
      </c>
      <c r="CB340" t="s">
        <v>242</v>
      </c>
      <c r="CC340" t="s">
        <v>242</v>
      </c>
      <c r="CD340" t="s">
        <v>236</v>
      </c>
      <c r="CE340" t="s">
        <v>236</v>
      </c>
      <c r="EA340" t="s">
        <v>236</v>
      </c>
      <c r="EC340" t="s">
        <v>236</v>
      </c>
      <c r="EE340" t="s">
        <v>226</v>
      </c>
      <c r="EF340" t="s">
        <v>245</v>
      </c>
      <c r="EG340" t="s">
        <v>226</v>
      </c>
      <c r="EH340" t="s">
        <v>245</v>
      </c>
      <c r="EI340" t="s">
        <v>308</v>
      </c>
      <c r="EK340" t="s">
        <v>236</v>
      </c>
      <c r="EM340" t="s">
        <v>226</v>
      </c>
      <c r="EN340" t="s">
        <v>265</v>
      </c>
      <c r="EO340" t="s">
        <v>236</v>
      </c>
      <c r="EQ340" t="s">
        <v>236</v>
      </c>
      <c r="ES340" t="s">
        <v>226</v>
      </c>
      <c r="ET340" t="s">
        <v>265</v>
      </c>
      <c r="EU340" t="s">
        <v>236</v>
      </c>
      <c r="EW340" t="s">
        <v>236</v>
      </c>
      <c r="EY340" t="s">
        <v>226</v>
      </c>
      <c r="EZ340" t="s">
        <v>245</v>
      </c>
      <c r="FA340" t="s">
        <v>226</v>
      </c>
      <c r="FB340" t="s">
        <v>245</v>
      </c>
      <c r="FC340" t="s">
        <v>236</v>
      </c>
      <c r="FE340" t="s">
        <v>236</v>
      </c>
      <c r="FG340" t="s">
        <v>236</v>
      </c>
      <c r="FJ340" t="s">
        <v>226</v>
      </c>
      <c r="FK340" t="s">
        <v>265</v>
      </c>
      <c r="FL340" t="s">
        <v>236</v>
      </c>
      <c r="FM340" t="s">
        <v>236</v>
      </c>
      <c r="FW340" t="s">
        <v>226</v>
      </c>
      <c r="FX340" t="s">
        <v>226</v>
      </c>
      <c r="FY340" t="s">
        <v>266</v>
      </c>
      <c r="FZ340" t="s">
        <v>236</v>
      </c>
      <c r="GC340" t="s">
        <v>236</v>
      </c>
      <c r="GF340" t="s">
        <v>226</v>
      </c>
      <c r="GG340" t="s">
        <v>226</v>
      </c>
      <c r="GH340" t="s">
        <v>266</v>
      </c>
      <c r="GI340" t="s">
        <v>236</v>
      </c>
      <c r="GL340" t="s">
        <v>226</v>
      </c>
      <c r="GM340" t="s">
        <v>226</v>
      </c>
      <c r="GN340" t="s">
        <v>266</v>
      </c>
      <c r="GO340" t="s">
        <v>226</v>
      </c>
      <c r="GP340" t="s">
        <v>226</v>
      </c>
      <c r="GQ340" t="s">
        <v>266</v>
      </c>
      <c r="GR340" t="s">
        <v>236</v>
      </c>
      <c r="GU340" t="s">
        <v>236</v>
      </c>
      <c r="GX340" t="s">
        <v>236</v>
      </c>
      <c r="HB340" t="s">
        <v>318</v>
      </c>
      <c r="HC340" t="s">
        <v>548</v>
      </c>
      <c r="HD340" t="s">
        <v>345</v>
      </c>
      <c r="HE340">
        <v>83154122</v>
      </c>
      <c r="HF340" t="s">
        <v>2107</v>
      </c>
      <c r="HG340" s="2">
        <v>45755.600752314807</v>
      </c>
      <c r="HJ340" t="s">
        <v>248</v>
      </c>
      <c r="HL340" t="s">
        <v>249</v>
      </c>
      <c r="HN340">
        <v>338</v>
      </c>
    </row>
    <row r="341" spans="1:222" x14ac:dyDescent="0.25">
      <c r="A341" s="2">
        <v>45755.392502175928</v>
      </c>
      <c r="B341" s="2">
        <v>45755.396138113429</v>
      </c>
      <c r="C341" t="s">
        <v>270</v>
      </c>
      <c r="D341">
        <v>485</v>
      </c>
      <c r="E341" s="2">
        <v>45732</v>
      </c>
      <c r="F341">
        <v>4</v>
      </c>
      <c r="G341" t="s">
        <v>1268</v>
      </c>
      <c r="H341" t="s">
        <v>270</v>
      </c>
      <c r="I341">
        <v>61</v>
      </c>
      <c r="J341" t="str">
        <f t="shared" si="5"/>
        <v>de 56 a más</v>
      </c>
      <c r="K341" t="s">
        <v>341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225</v>
      </c>
      <c r="R341" t="s">
        <v>226</v>
      </c>
      <c r="T341" t="s">
        <v>227</v>
      </c>
      <c r="V341" t="s">
        <v>228</v>
      </c>
      <c r="W341" t="s">
        <v>229</v>
      </c>
      <c r="X341" t="s">
        <v>230</v>
      </c>
      <c r="Z341" t="s">
        <v>231</v>
      </c>
      <c r="AA341" t="s">
        <v>293</v>
      </c>
      <c r="AB341">
        <v>0</v>
      </c>
      <c r="AC341">
        <v>0</v>
      </c>
      <c r="AD341">
        <v>0</v>
      </c>
      <c r="AE341">
        <v>0</v>
      </c>
      <c r="AF341">
        <v>1</v>
      </c>
      <c r="AG341">
        <v>0</v>
      </c>
      <c r="AI341" t="s">
        <v>233</v>
      </c>
      <c r="AJ341">
        <v>0</v>
      </c>
      <c r="AK341">
        <v>1</v>
      </c>
      <c r="AL341">
        <v>0</v>
      </c>
      <c r="AM341">
        <v>0</v>
      </c>
      <c r="AN341" t="s">
        <v>300</v>
      </c>
      <c r="AO341" t="s">
        <v>294</v>
      </c>
      <c r="AP341">
        <v>1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X341" t="s">
        <v>236</v>
      </c>
      <c r="AZ341" t="s">
        <v>259</v>
      </c>
      <c r="BA341" t="s">
        <v>377</v>
      </c>
      <c r="BE341" t="s">
        <v>259</v>
      </c>
      <c r="BF341" t="s">
        <v>259</v>
      </c>
      <c r="BG341" t="s">
        <v>259</v>
      </c>
      <c r="BH341" t="s">
        <v>237</v>
      </c>
      <c r="BI341" t="s">
        <v>237</v>
      </c>
      <c r="BJ341" t="s">
        <v>237</v>
      </c>
      <c r="BK341" t="s">
        <v>237</v>
      </c>
      <c r="BL341" t="s">
        <v>313</v>
      </c>
      <c r="BM341" t="s">
        <v>451</v>
      </c>
      <c r="BN341">
        <v>1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 t="s">
        <v>264</v>
      </c>
      <c r="CB341" t="s">
        <v>264</v>
      </c>
      <c r="CC341" t="s">
        <v>242</v>
      </c>
      <c r="CD341" t="s">
        <v>236</v>
      </c>
      <c r="CE341" t="s">
        <v>236</v>
      </c>
      <c r="EA341" t="s">
        <v>236</v>
      </c>
      <c r="EC341" t="s">
        <v>236</v>
      </c>
      <c r="EE341" t="s">
        <v>236</v>
      </c>
      <c r="EG341" t="s">
        <v>236</v>
      </c>
      <c r="EI341" t="s">
        <v>236</v>
      </c>
      <c r="EK341" t="s">
        <v>236</v>
      </c>
      <c r="EM341" t="s">
        <v>236</v>
      </c>
      <c r="EO341" t="s">
        <v>236</v>
      </c>
      <c r="EQ341" t="s">
        <v>236</v>
      </c>
      <c r="ES341" t="s">
        <v>236</v>
      </c>
      <c r="EU341" t="s">
        <v>236</v>
      </c>
      <c r="EW341" t="s">
        <v>236</v>
      </c>
      <c r="EY341" t="s">
        <v>236</v>
      </c>
      <c r="FA341" t="s">
        <v>236</v>
      </c>
      <c r="FC341" t="s">
        <v>236</v>
      </c>
      <c r="FE341" t="s">
        <v>236</v>
      </c>
      <c r="FG341" t="s">
        <v>236</v>
      </c>
      <c r="FJ341" t="s">
        <v>226</v>
      </c>
      <c r="FK341" t="s">
        <v>265</v>
      </c>
      <c r="FL341" t="s">
        <v>236</v>
      </c>
      <c r="FM341" t="s">
        <v>236</v>
      </c>
      <c r="FW341" t="s">
        <v>236</v>
      </c>
      <c r="FZ341" t="s">
        <v>236</v>
      </c>
      <c r="GC341" t="s">
        <v>236</v>
      </c>
      <c r="GF341" t="s">
        <v>236</v>
      </c>
      <c r="GI341" t="s">
        <v>236</v>
      </c>
      <c r="GL341" t="s">
        <v>236</v>
      </c>
      <c r="GO341" t="s">
        <v>236</v>
      </c>
      <c r="GR341" t="s">
        <v>236</v>
      </c>
      <c r="GU341" t="s">
        <v>236</v>
      </c>
      <c r="GX341" t="s">
        <v>236</v>
      </c>
      <c r="HB341" t="s">
        <v>559</v>
      </c>
      <c r="HC341" t="s">
        <v>510</v>
      </c>
      <c r="HE341">
        <v>83154587</v>
      </c>
      <c r="HF341" t="s">
        <v>2103</v>
      </c>
      <c r="HG341" s="2">
        <v>45755.604375000003</v>
      </c>
      <c r="HJ341" t="s">
        <v>248</v>
      </c>
      <c r="HL341" t="s">
        <v>249</v>
      </c>
      <c r="HN341">
        <v>339</v>
      </c>
    </row>
    <row r="342" spans="1:222" x14ac:dyDescent="0.25">
      <c r="A342" s="2">
        <v>45755.396138668977</v>
      </c>
      <c r="B342" s="2">
        <v>45755.40047158565</v>
      </c>
      <c r="C342" t="s">
        <v>270</v>
      </c>
      <c r="D342">
        <v>484</v>
      </c>
      <c r="E342" s="2">
        <v>45732</v>
      </c>
      <c r="F342">
        <v>4</v>
      </c>
      <c r="G342" t="s">
        <v>361</v>
      </c>
      <c r="H342" t="s">
        <v>270</v>
      </c>
      <c r="I342">
        <v>41</v>
      </c>
      <c r="J342" t="str">
        <f t="shared" si="5"/>
        <v>de 41 a 55 años</v>
      </c>
      <c r="K342" t="s">
        <v>251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225</v>
      </c>
      <c r="R342" t="s">
        <v>236</v>
      </c>
      <c r="S342" t="s">
        <v>771</v>
      </c>
      <c r="T342" t="s">
        <v>284</v>
      </c>
      <c r="V342" t="s">
        <v>252</v>
      </c>
      <c r="W342" t="s">
        <v>229</v>
      </c>
      <c r="X342" t="s">
        <v>230</v>
      </c>
      <c r="Z342" t="s">
        <v>231</v>
      </c>
      <c r="AA342" t="s">
        <v>293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I342" t="s">
        <v>233</v>
      </c>
      <c r="AJ342">
        <v>0</v>
      </c>
      <c r="AK342">
        <v>1</v>
      </c>
      <c r="AL342">
        <v>0</v>
      </c>
      <c r="AM342">
        <v>0</v>
      </c>
      <c r="AN342" t="s">
        <v>234</v>
      </c>
      <c r="AO342" t="s">
        <v>369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 t="s">
        <v>543</v>
      </c>
      <c r="AX342" t="s">
        <v>226</v>
      </c>
      <c r="AY342" t="s">
        <v>226</v>
      </c>
      <c r="AZ342" t="s">
        <v>237</v>
      </c>
      <c r="BA342" t="s">
        <v>2101</v>
      </c>
      <c r="BE342" t="s">
        <v>237</v>
      </c>
      <c r="BF342" t="s">
        <v>237</v>
      </c>
      <c r="BG342" t="s">
        <v>239</v>
      </c>
      <c r="BH342" t="s">
        <v>237</v>
      </c>
      <c r="BI342" t="s">
        <v>237</v>
      </c>
      <c r="BJ342" t="s">
        <v>237</v>
      </c>
      <c r="BK342" t="s">
        <v>362</v>
      </c>
      <c r="BL342" t="s">
        <v>262</v>
      </c>
      <c r="BM342" t="s">
        <v>451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 t="s">
        <v>264</v>
      </c>
      <c r="CB342" t="s">
        <v>328</v>
      </c>
      <c r="CC342" t="s">
        <v>328</v>
      </c>
      <c r="CD342" t="s">
        <v>236</v>
      </c>
      <c r="CE342" t="s">
        <v>236</v>
      </c>
      <c r="EA342" t="s">
        <v>236</v>
      </c>
      <c r="EC342" t="s">
        <v>226</v>
      </c>
      <c r="ED342" t="s">
        <v>265</v>
      </c>
      <c r="EE342" t="s">
        <v>226</v>
      </c>
      <c r="EF342" t="s">
        <v>244</v>
      </c>
      <c r="EG342" t="s">
        <v>226</v>
      </c>
      <c r="EH342" t="s">
        <v>265</v>
      </c>
      <c r="EI342" t="s">
        <v>226</v>
      </c>
      <c r="EJ342" t="s">
        <v>244</v>
      </c>
      <c r="EK342" t="s">
        <v>236</v>
      </c>
      <c r="EM342" t="s">
        <v>226</v>
      </c>
      <c r="EN342" t="s">
        <v>244</v>
      </c>
      <c r="EO342" t="s">
        <v>226</v>
      </c>
      <c r="EP342" t="s">
        <v>244</v>
      </c>
      <c r="EQ342" t="s">
        <v>236</v>
      </c>
      <c r="ES342" t="s">
        <v>226</v>
      </c>
      <c r="ET342" t="s">
        <v>265</v>
      </c>
      <c r="EU342" t="s">
        <v>236</v>
      </c>
      <c r="EW342" t="s">
        <v>236</v>
      </c>
      <c r="EY342" t="s">
        <v>236</v>
      </c>
      <c r="FA342" t="s">
        <v>226</v>
      </c>
      <c r="FB342" t="s">
        <v>265</v>
      </c>
      <c r="FC342" t="s">
        <v>236</v>
      </c>
      <c r="FE342" t="s">
        <v>226</v>
      </c>
      <c r="FF342" t="s">
        <v>245</v>
      </c>
      <c r="FG342" t="s">
        <v>236</v>
      </c>
      <c r="FJ342" t="s">
        <v>236</v>
      </c>
      <c r="FM342" t="s">
        <v>236</v>
      </c>
      <c r="FW342" t="s">
        <v>236</v>
      </c>
      <c r="FZ342" t="s">
        <v>226</v>
      </c>
      <c r="GA342" t="s">
        <v>236</v>
      </c>
      <c r="GC342" t="s">
        <v>236</v>
      </c>
      <c r="GF342" t="s">
        <v>226</v>
      </c>
      <c r="GG342" t="s">
        <v>236</v>
      </c>
      <c r="GI342" t="s">
        <v>236</v>
      </c>
      <c r="GL342" t="s">
        <v>226</v>
      </c>
      <c r="GM342" t="s">
        <v>236</v>
      </c>
      <c r="GO342" t="s">
        <v>226</v>
      </c>
      <c r="GP342" t="s">
        <v>226</v>
      </c>
      <c r="GQ342" t="s">
        <v>266</v>
      </c>
      <c r="GR342" t="s">
        <v>226</v>
      </c>
      <c r="GS342" t="s">
        <v>236</v>
      </c>
      <c r="GU342" t="s">
        <v>236</v>
      </c>
      <c r="GX342" t="s">
        <v>236</v>
      </c>
      <c r="HB342" t="s">
        <v>1822</v>
      </c>
      <c r="HE342">
        <v>83154937</v>
      </c>
      <c r="HF342" t="s">
        <v>2102</v>
      </c>
      <c r="HG342" s="2">
        <v>45755.608726851853</v>
      </c>
      <c r="HJ342" t="s">
        <v>248</v>
      </c>
      <c r="HL342" t="s">
        <v>249</v>
      </c>
      <c r="HN342">
        <v>340</v>
      </c>
    </row>
    <row r="343" spans="1:222" x14ac:dyDescent="0.25">
      <c r="A343" s="2">
        <v>45755.400472164351</v>
      </c>
      <c r="B343" s="2">
        <v>45755.403734050917</v>
      </c>
      <c r="C343" t="s">
        <v>270</v>
      </c>
      <c r="D343">
        <v>483</v>
      </c>
      <c r="E343" s="2">
        <v>45732</v>
      </c>
      <c r="F343">
        <v>4</v>
      </c>
      <c r="G343" t="s">
        <v>436</v>
      </c>
      <c r="H343" t="s">
        <v>270</v>
      </c>
      <c r="I343">
        <v>56</v>
      </c>
      <c r="J343" t="str">
        <f t="shared" si="5"/>
        <v>de 56 a más</v>
      </c>
      <c r="K343" t="s">
        <v>224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225</v>
      </c>
      <c r="R343" t="s">
        <v>226</v>
      </c>
      <c r="T343" t="s">
        <v>227</v>
      </c>
      <c r="V343" t="s">
        <v>252</v>
      </c>
      <c r="W343" t="s">
        <v>229</v>
      </c>
      <c r="X343" t="s">
        <v>230</v>
      </c>
      <c r="Z343" t="s">
        <v>308</v>
      </c>
      <c r="AA343" t="s">
        <v>293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I343" t="s">
        <v>233</v>
      </c>
      <c r="AJ343">
        <v>0</v>
      </c>
      <c r="AK343">
        <v>1</v>
      </c>
      <c r="AL343">
        <v>0</v>
      </c>
      <c r="AM343">
        <v>0</v>
      </c>
      <c r="AN343" t="s">
        <v>300</v>
      </c>
      <c r="AO343" t="s">
        <v>275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X343" t="s">
        <v>226</v>
      </c>
      <c r="AY343" t="s">
        <v>226</v>
      </c>
      <c r="AZ343" t="s">
        <v>237</v>
      </c>
      <c r="BA343" t="s">
        <v>672</v>
      </c>
      <c r="BB343" t="s">
        <v>438</v>
      </c>
      <c r="BE343" t="s">
        <v>239</v>
      </c>
      <c r="BF343" t="s">
        <v>237</v>
      </c>
      <c r="BG343" t="s">
        <v>259</v>
      </c>
      <c r="BH343" t="s">
        <v>237</v>
      </c>
      <c r="BI343" t="s">
        <v>237</v>
      </c>
      <c r="BJ343" t="s">
        <v>237</v>
      </c>
      <c r="BK343" t="s">
        <v>239</v>
      </c>
      <c r="BL343" t="s">
        <v>262</v>
      </c>
      <c r="BM343" t="s">
        <v>2098</v>
      </c>
      <c r="BN343">
        <v>0</v>
      </c>
      <c r="BO343">
        <v>1</v>
      </c>
      <c r="BP343">
        <v>0</v>
      </c>
      <c r="BQ343">
        <v>0</v>
      </c>
      <c r="BR343">
        <v>0</v>
      </c>
      <c r="BS343">
        <v>1</v>
      </c>
      <c r="BT343">
        <v>0</v>
      </c>
      <c r="BU343">
        <v>0</v>
      </c>
      <c r="BV343">
        <v>1</v>
      </c>
      <c r="BW343">
        <v>1</v>
      </c>
      <c r="BX343">
        <v>0</v>
      </c>
      <c r="BY343">
        <v>0</v>
      </c>
      <c r="BZ343">
        <v>0</v>
      </c>
      <c r="CA343" t="s">
        <v>243</v>
      </c>
      <c r="CB343" t="s">
        <v>328</v>
      </c>
      <c r="CC343" t="s">
        <v>328</v>
      </c>
      <c r="CD343" t="s">
        <v>236</v>
      </c>
      <c r="CE343" t="s">
        <v>236</v>
      </c>
      <c r="EA343" t="s">
        <v>236</v>
      </c>
      <c r="EC343" t="s">
        <v>236</v>
      </c>
      <c r="EE343" t="s">
        <v>236</v>
      </c>
      <c r="EG343" t="s">
        <v>236</v>
      </c>
      <c r="EI343" t="s">
        <v>236</v>
      </c>
      <c r="EK343" t="s">
        <v>236</v>
      </c>
      <c r="EM343" t="s">
        <v>236</v>
      </c>
      <c r="EO343" t="s">
        <v>236</v>
      </c>
      <c r="EQ343" t="s">
        <v>236</v>
      </c>
      <c r="ES343" t="s">
        <v>236</v>
      </c>
      <c r="EU343" t="s">
        <v>236</v>
      </c>
      <c r="EW343" t="s">
        <v>236</v>
      </c>
      <c r="EY343" t="s">
        <v>236</v>
      </c>
      <c r="FA343" t="s">
        <v>236</v>
      </c>
      <c r="FC343" t="s">
        <v>236</v>
      </c>
      <c r="FE343" t="s">
        <v>236</v>
      </c>
      <c r="FG343" t="s">
        <v>236</v>
      </c>
      <c r="FJ343" t="s">
        <v>226</v>
      </c>
      <c r="FK343" t="s">
        <v>245</v>
      </c>
      <c r="FL343" t="s">
        <v>236</v>
      </c>
      <c r="FM343" t="s">
        <v>236</v>
      </c>
      <c r="FW343" t="s">
        <v>236</v>
      </c>
      <c r="FZ343" t="s">
        <v>236</v>
      </c>
      <c r="GC343" t="s">
        <v>236</v>
      </c>
      <c r="GF343" t="s">
        <v>226</v>
      </c>
      <c r="GG343" t="s">
        <v>226</v>
      </c>
      <c r="GH343" t="s">
        <v>266</v>
      </c>
      <c r="GI343" t="s">
        <v>236</v>
      </c>
      <c r="GL343" t="s">
        <v>236</v>
      </c>
      <c r="GO343" t="s">
        <v>226</v>
      </c>
      <c r="GP343" t="s">
        <v>226</v>
      </c>
      <c r="GQ343" t="s">
        <v>267</v>
      </c>
      <c r="GR343" t="s">
        <v>226</v>
      </c>
      <c r="GS343" t="s">
        <v>226</v>
      </c>
      <c r="GT343" t="s">
        <v>266</v>
      </c>
      <c r="GU343" t="s">
        <v>236</v>
      </c>
      <c r="GX343" t="s">
        <v>236</v>
      </c>
      <c r="HB343" t="s">
        <v>452</v>
      </c>
      <c r="HC343" t="s">
        <v>2099</v>
      </c>
      <c r="HE343">
        <v>83155270</v>
      </c>
      <c r="HF343" t="s">
        <v>2100</v>
      </c>
      <c r="HG343" s="2">
        <v>45755.611979166657</v>
      </c>
      <c r="HJ343" t="s">
        <v>248</v>
      </c>
      <c r="HL343" t="s">
        <v>249</v>
      </c>
      <c r="HN343">
        <v>341</v>
      </c>
    </row>
    <row r="344" spans="1:222" x14ac:dyDescent="0.25">
      <c r="A344" s="2">
        <v>45755.406086689807</v>
      </c>
      <c r="B344" s="2">
        <v>45755.410097673608</v>
      </c>
      <c r="C344" t="s">
        <v>270</v>
      </c>
      <c r="D344">
        <v>482</v>
      </c>
      <c r="E344" s="2">
        <v>45732</v>
      </c>
      <c r="F344">
        <v>4</v>
      </c>
      <c r="G344" t="s">
        <v>361</v>
      </c>
      <c r="H344" t="s">
        <v>270</v>
      </c>
      <c r="I344">
        <v>43</v>
      </c>
      <c r="J344" t="str">
        <f t="shared" si="5"/>
        <v>de 41 a 55 años</v>
      </c>
      <c r="K344" t="s">
        <v>224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291</v>
      </c>
      <c r="R344" t="s">
        <v>226</v>
      </c>
      <c r="T344" t="s">
        <v>227</v>
      </c>
      <c r="V344" t="s">
        <v>252</v>
      </c>
      <c r="W344" t="s">
        <v>229</v>
      </c>
      <c r="X344" t="s">
        <v>230</v>
      </c>
      <c r="Z344" t="s">
        <v>231</v>
      </c>
      <c r="AA344" t="s">
        <v>232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I344" t="s">
        <v>504</v>
      </c>
      <c r="AJ344">
        <v>1</v>
      </c>
      <c r="AK344">
        <v>0</v>
      </c>
      <c r="AL344">
        <v>0</v>
      </c>
      <c r="AM344">
        <v>0</v>
      </c>
      <c r="AN344" t="s">
        <v>300</v>
      </c>
      <c r="AO344" t="s">
        <v>275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X344" t="s">
        <v>226</v>
      </c>
      <c r="AY344" t="s">
        <v>226</v>
      </c>
      <c r="AZ344" t="s">
        <v>259</v>
      </c>
      <c r="BA344" t="s">
        <v>2095</v>
      </c>
      <c r="BE344" t="s">
        <v>259</v>
      </c>
      <c r="BF344" t="s">
        <v>259</v>
      </c>
      <c r="BG344" t="s">
        <v>259</v>
      </c>
      <c r="BH344" t="s">
        <v>259</v>
      </c>
      <c r="BI344" t="s">
        <v>259</v>
      </c>
      <c r="BJ344" t="s">
        <v>259</v>
      </c>
      <c r="BK344" t="s">
        <v>261</v>
      </c>
      <c r="BL344" t="s">
        <v>313</v>
      </c>
      <c r="BM344" t="s">
        <v>1133</v>
      </c>
      <c r="BN344">
        <v>0</v>
      </c>
      <c r="BO344">
        <v>0</v>
      </c>
      <c r="BP344">
        <v>1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 t="s">
        <v>243</v>
      </c>
      <c r="CB344" t="s">
        <v>243</v>
      </c>
      <c r="CC344" t="s">
        <v>243</v>
      </c>
      <c r="CD344" t="s">
        <v>226</v>
      </c>
      <c r="CE344" t="s">
        <v>236</v>
      </c>
      <c r="EA344" t="s">
        <v>236</v>
      </c>
      <c r="EC344" t="s">
        <v>236</v>
      </c>
      <c r="EE344" t="s">
        <v>226</v>
      </c>
      <c r="EF344" t="s">
        <v>245</v>
      </c>
      <c r="EG344" t="s">
        <v>226</v>
      </c>
      <c r="EH344" t="s">
        <v>244</v>
      </c>
      <c r="EI344" t="s">
        <v>226</v>
      </c>
      <c r="EJ344" t="s">
        <v>265</v>
      </c>
      <c r="EK344" t="s">
        <v>236</v>
      </c>
      <c r="EM344" t="s">
        <v>226</v>
      </c>
      <c r="EN344" t="s">
        <v>265</v>
      </c>
      <c r="EO344" t="s">
        <v>236</v>
      </c>
      <c r="EQ344" t="s">
        <v>236</v>
      </c>
      <c r="ES344" t="s">
        <v>226</v>
      </c>
      <c r="ET344" t="s">
        <v>244</v>
      </c>
      <c r="EU344" t="s">
        <v>236</v>
      </c>
      <c r="EW344" t="s">
        <v>226</v>
      </c>
      <c r="EX344" t="s">
        <v>244</v>
      </c>
      <c r="EY344" t="s">
        <v>226</v>
      </c>
      <c r="EZ344" t="s">
        <v>245</v>
      </c>
      <c r="FA344" t="s">
        <v>226</v>
      </c>
      <c r="FB344" t="s">
        <v>245</v>
      </c>
      <c r="FC344" t="s">
        <v>236</v>
      </c>
      <c r="FE344" t="s">
        <v>226</v>
      </c>
      <c r="FF344" t="s">
        <v>245</v>
      </c>
      <c r="FG344" t="s">
        <v>236</v>
      </c>
      <c r="FJ344" t="s">
        <v>226</v>
      </c>
      <c r="FK344" t="s">
        <v>245</v>
      </c>
      <c r="FL344" t="s">
        <v>226</v>
      </c>
      <c r="FM344" t="s">
        <v>236</v>
      </c>
      <c r="FW344" t="s">
        <v>236</v>
      </c>
      <c r="FZ344" t="s">
        <v>236</v>
      </c>
      <c r="GC344" t="s">
        <v>236</v>
      </c>
      <c r="GF344" t="s">
        <v>236</v>
      </c>
      <c r="GI344" t="s">
        <v>236</v>
      </c>
      <c r="GL344" t="s">
        <v>236</v>
      </c>
      <c r="GO344" t="s">
        <v>226</v>
      </c>
      <c r="GP344" t="s">
        <v>236</v>
      </c>
      <c r="GR344" t="s">
        <v>236</v>
      </c>
      <c r="GU344" t="s">
        <v>236</v>
      </c>
      <c r="GX344" t="s">
        <v>236</v>
      </c>
      <c r="HB344" t="s">
        <v>2096</v>
      </c>
      <c r="HE344">
        <v>83155785</v>
      </c>
      <c r="HF344" t="s">
        <v>2097</v>
      </c>
      <c r="HG344" s="2">
        <v>45755.618356481478</v>
      </c>
      <c r="HJ344" t="s">
        <v>248</v>
      </c>
      <c r="HL344" t="s">
        <v>249</v>
      </c>
      <c r="HN344">
        <v>342</v>
      </c>
    </row>
    <row r="345" spans="1:222" x14ac:dyDescent="0.25">
      <c r="A345" s="2">
        <v>45755.410098229157</v>
      </c>
      <c r="B345" s="2">
        <v>45755.414105011572</v>
      </c>
      <c r="C345" t="s">
        <v>270</v>
      </c>
      <c r="D345">
        <v>481</v>
      </c>
      <c r="E345" s="2">
        <v>45732</v>
      </c>
      <c r="F345">
        <v>4</v>
      </c>
      <c r="G345" t="s">
        <v>436</v>
      </c>
      <c r="H345" t="s">
        <v>270</v>
      </c>
      <c r="I345">
        <v>65</v>
      </c>
      <c r="J345" t="str">
        <f t="shared" si="5"/>
        <v>de 56 a más</v>
      </c>
      <c r="K345" t="s">
        <v>251</v>
      </c>
      <c r="L345">
        <v>4</v>
      </c>
      <c r="M345">
        <v>0</v>
      </c>
      <c r="N345">
        <v>0</v>
      </c>
      <c r="O345">
        <v>0</v>
      </c>
      <c r="P345">
        <v>0</v>
      </c>
      <c r="Q345" t="s">
        <v>225</v>
      </c>
      <c r="R345" t="s">
        <v>226</v>
      </c>
      <c r="T345" t="s">
        <v>227</v>
      </c>
      <c r="V345" t="s">
        <v>228</v>
      </c>
      <c r="W345" t="s">
        <v>229</v>
      </c>
      <c r="X345" t="s">
        <v>368</v>
      </c>
      <c r="Z345" t="s">
        <v>308</v>
      </c>
      <c r="AA345" t="s">
        <v>293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I345" t="s">
        <v>233</v>
      </c>
      <c r="AJ345">
        <v>0</v>
      </c>
      <c r="AK345">
        <v>1</v>
      </c>
      <c r="AL345">
        <v>0</v>
      </c>
      <c r="AM345">
        <v>0</v>
      </c>
      <c r="AN345" t="s">
        <v>234</v>
      </c>
      <c r="AO345" t="s">
        <v>369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1</v>
      </c>
      <c r="AW345" t="s">
        <v>551</v>
      </c>
      <c r="AX345" t="s">
        <v>226</v>
      </c>
      <c r="AY345" t="s">
        <v>226</v>
      </c>
      <c r="AZ345" t="s">
        <v>237</v>
      </c>
      <c r="BA345" t="s">
        <v>339</v>
      </c>
      <c r="BB345" t="s">
        <v>438</v>
      </c>
      <c r="BE345" t="s">
        <v>239</v>
      </c>
      <c r="BF345" t="s">
        <v>259</v>
      </c>
      <c r="BG345" t="s">
        <v>259</v>
      </c>
      <c r="BH345" t="s">
        <v>237</v>
      </c>
      <c r="BI345" t="s">
        <v>239</v>
      </c>
      <c r="BJ345" t="s">
        <v>237</v>
      </c>
      <c r="BK345" t="s">
        <v>239</v>
      </c>
      <c r="BL345" t="s">
        <v>262</v>
      </c>
      <c r="BM345" t="s">
        <v>2091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1</v>
      </c>
      <c r="BZ345">
        <v>0</v>
      </c>
      <c r="CA345" t="s">
        <v>242</v>
      </c>
      <c r="CB345" t="s">
        <v>242</v>
      </c>
      <c r="CC345" t="s">
        <v>328</v>
      </c>
      <c r="CD345" t="s">
        <v>236</v>
      </c>
      <c r="CE345" t="s">
        <v>236</v>
      </c>
      <c r="EA345" t="s">
        <v>236</v>
      </c>
      <c r="EC345" t="s">
        <v>236</v>
      </c>
      <c r="EE345" t="s">
        <v>236</v>
      </c>
      <c r="EG345" t="s">
        <v>226</v>
      </c>
      <c r="EH345" t="s">
        <v>245</v>
      </c>
      <c r="EI345" t="s">
        <v>308</v>
      </c>
      <c r="EK345" t="s">
        <v>236</v>
      </c>
      <c r="EM345" t="s">
        <v>236</v>
      </c>
      <c r="EO345" t="s">
        <v>236</v>
      </c>
      <c r="EQ345" t="s">
        <v>236</v>
      </c>
      <c r="ES345" t="s">
        <v>236</v>
      </c>
      <c r="EU345" t="s">
        <v>236</v>
      </c>
      <c r="EW345" t="s">
        <v>236</v>
      </c>
      <c r="EY345" t="s">
        <v>236</v>
      </c>
      <c r="FA345" t="s">
        <v>236</v>
      </c>
      <c r="FC345" t="s">
        <v>236</v>
      </c>
      <c r="FE345" t="s">
        <v>236</v>
      </c>
      <c r="FG345" t="s">
        <v>236</v>
      </c>
      <c r="FJ345" t="s">
        <v>226</v>
      </c>
      <c r="FK345" t="s">
        <v>245</v>
      </c>
      <c r="FL345" t="s">
        <v>236</v>
      </c>
      <c r="FM345" t="s">
        <v>236</v>
      </c>
      <c r="FW345" t="s">
        <v>236</v>
      </c>
      <c r="FZ345" t="s">
        <v>236</v>
      </c>
      <c r="GC345" t="s">
        <v>236</v>
      </c>
      <c r="GF345" t="s">
        <v>226</v>
      </c>
      <c r="GG345" t="s">
        <v>226</v>
      </c>
      <c r="GH345" t="s">
        <v>266</v>
      </c>
      <c r="GI345" t="s">
        <v>236</v>
      </c>
      <c r="GL345" t="s">
        <v>236</v>
      </c>
      <c r="GO345" t="s">
        <v>236</v>
      </c>
      <c r="GR345" t="s">
        <v>226</v>
      </c>
      <c r="GS345" t="s">
        <v>226</v>
      </c>
      <c r="GT345" t="s">
        <v>266</v>
      </c>
      <c r="GU345" t="s">
        <v>236</v>
      </c>
      <c r="GX345" t="s">
        <v>236</v>
      </c>
      <c r="HB345" t="s">
        <v>2092</v>
      </c>
      <c r="HC345" t="s">
        <v>2093</v>
      </c>
      <c r="HD345" t="s">
        <v>548</v>
      </c>
      <c r="HE345">
        <v>83156153</v>
      </c>
      <c r="HF345" t="s">
        <v>2094</v>
      </c>
      <c r="HG345" s="2">
        <v>45755.622361111113</v>
      </c>
      <c r="HJ345" t="s">
        <v>248</v>
      </c>
      <c r="HL345" t="s">
        <v>249</v>
      </c>
      <c r="HN345">
        <v>343</v>
      </c>
    </row>
    <row r="346" spans="1:222" x14ac:dyDescent="0.25">
      <c r="A346" s="2">
        <v>45755.586726793983</v>
      </c>
      <c r="B346" s="2">
        <v>45755.590526018517</v>
      </c>
      <c r="C346" t="s">
        <v>334</v>
      </c>
      <c r="D346">
        <v>474</v>
      </c>
      <c r="E346" s="2">
        <v>45732</v>
      </c>
      <c r="F346">
        <v>4</v>
      </c>
      <c r="G346" t="s">
        <v>436</v>
      </c>
      <c r="H346" t="s">
        <v>270</v>
      </c>
      <c r="I346">
        <v>50</v>
      </c>
      <c r="J346" t="str">
        <f t="shared" si="5"/>
        <v>de 41 a 55 años</v>
      </c>
      <c r="K346" t="s">
        <v>224</v>
      </c>
      <c r="L346">
        <v>3</v>
      </c>
      <c r="M346">
        <v>0</v>
      </c>
      <c r="N346">
        <v>0</v>
      </c>
      <c r="O346">
        <v>0</v>
      </c>
      <c r="P346">
        <v>0</v>
      </c>
      <c r="Q346" t="s">
        <v>291</v>
      </c>
      <c r="R346" t="s">
        <v>226</v>
      </c>
      <c r="T346" t="s">
        <v>227</v>
      </c>
      <c r="V346" t="s">
        <v>252</v>
      </c>
      <c r="W346" t="s">
        <v>229</v>
      </c>
      <c r="X346" t="s">
        <v>299</v>
      </c>
      <c r="Z346" t="s">
        <v>308</v>
      </c>
      <c r="AA346" t="s">
        <v>293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I346" t="s">
        <v>233</v>
      </c>
      <c r="AJ346">
        <v>0</v>
      </c>
      <c r="AK346">
        <v>1</v>
      </c>
      <c r="AL346">
        <v>0</v>
      </c>
      <c r="AM346">
        <v>0</v>
      </c>
      <c r="AN346" t="s">
        <v>300</v>
      </c>
      <c r="AO346" t="s">
        <v>275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0</v>
      </c>
      <c r="AX346" t="s">
        <v>226</v>
      </c>
      <c r="AY346" t="s">
        <v>226</v>
      </c>
      <c r="AZ346" t="s">
        <v>259</v>
      </c>
      <c r="BA346" t="s">
        <v>1015</v>
      </c>
      <c r="BB346" t="s">
        <v>1780</v>
      </c>
      <c r="BE346" t="s">
        <v>239</v>
      </c>
      <c r="BF346" t="s">
        <v>259</v>
      </c>
      <c r="BG346" t="s">
        <v>259</v>
      </c>
      <c r="BH346" t="s">
        <v>239</v>
      </c>
      <c r="BI346" t="s">
        <v>237</v>
      </c>
      <c r="BJ346" t="s">
        <v>259</v>
      </c>
      <c r="BK346" t="s">
        <v>239</v>
      </c>
      <c r="BL346" t="s">
        <v>262</v>
      </c>
      <c r="BM346" t="s">
        <v>2073</v>
      </c>
      <c r="BN346">
        <v>1</v>
      </c>
      <c r="BO346">
        <v>0</v>
      </c>
      <c r="BP346">
        <v>1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1</v>
      </c>
      <c r="BZ346">
        <v>0</v>
      </c>
      <c r="CA346" t="s">
        <v>264</v>
      </c>
      <c r="CB346" t="s">
        <v>328</v>
      </c>
      <c r="CC346" t="s">
        <v>328</v>
      </c>
      <c r="CD346" t="s">
        <v>236</v>
      </c>
      <c r="CE346" t="s">
        <v>236</v>
      </c>
      <c r="EA346" t="s">
        <v>236</v>
      </c>
      <c r="EC346" t="s">
        <v>236</v>
      </c>
      <c r="EE346" t="s">
        <v>236</v>
      </c>
      <c r="EG346" t="s">
        <v>236</v>
      </c>
      <c r="EI346" t="s">
        <v>236</v>
      </c>
      <c r="EK346" t="s">
        <v>236</v>
      </c>
      <c r="EM346" t="s">
        <v>236</v>
      </c>
      <c r="EO346" t="s">
        <v>236</v>
      </c>
      <c r="EQ346" t="s">
        <v>236</v>
      </c>
      <c r="ES346" t="s">
        <v>236</v>
      </c>
      <c r="EU346" t="s">
        <v>236</v>
      </c>
      <c r="EW346" t="s">
        <v>236</v>
      </c>
      <c r="EY346" t="s">
        <v>236</v>
      </c>
      <c r="FA346" t="s">
        <v>236</v>
      </c>
      <c r="FC346" t="s">
        <v>236</v>
      </c>
      <c r="FE346" t="s">
        <v>236</v>
      </c>
      <c r="FG346" t="s">
        <v>236</v>
      </c>
      <c r="FJ346" t="s">
        <v>226</v>
      </c>
      <c r="FK346" t="s">
        <v>245</v>
      </c>
      <c r="FL346" t="s">
        <v>236</v>
      </c>
      <c r="FM346" t="s">
        <v>236</v>
      </c>
      <c r="FW346" t="s">
        <v>236</v>
      </c>
      <c r="FZ346" t="s">
        <v>236</v>
      </c>
      <c r="GC346" t="s">
        <v>236</v>
      </c>
      <c r="GF346" t="s">
        <v>226</v>
      </c>
      <c r="GG346" t="s">
        <v>226</v>
      </c>
      <c r="GH346" t="s">
        <v>266</v>
      </c>
      <c r="GI346" t="s">
        <v>236</v>
      </c>
      <c r="GL346" t="s">
        <v>236</v>
      </c>
      <c r="GO346" t="s">
        <v>226</v>
      </c>
      <c r="GP346" t="s">
        <v>226</v>
      </c>
      <c r="GQ346" t="s">
        <v>266</v>
      </c>
      <c r="GR346" t="s">
        <v>226</v>
      </c>
      <c r="GS346" t="s">
        <v>226</v>
      </c>
      <c r="GT346" t="s">
        <v>266</v>
      </c>
      <c r="GU346" t="s">
        <v>226</v>
      </c>
      <c r="GV346" t="s">
        <v>226</v>
      </c>
      <c r="GW346" t="s">
        <v>266</v>
      </c>
      <c r="GX346" t="s">
        <v>236</v>
      </c>
      <c r="HB346" t="s">
        <v>323</v>
      </c>
      <c r="HE346">
        <v>83183042</v>
      </c>
      <c r="HF346" t="s">
        <v>2074</v>
      </c>
      <c r="HG346" s="2">
        <v>45755.798773148148</v>
      </c>
      <c r="HJ346" t="s">
        <v>248</v>
      </c>
      <c r="HL346" t="s">
        <v>249</v>
      </c>
      <c r="HN346">
        <v>345</v>
      </c>
    </row>
    <row r="347" spans="1:222" x14ac:dyDescent="0.25">
      <c r="A347" s="2">
        <v>45755.590526504631</v>
      </c>
      <c r="B347" s="2">
        <v>45755.597530358798</v>
      </c>
      <c r="C347" t="s">
        <v>334</v>
      </c>
      <c r="D347">
        <v>473</v>
      </c>
      <c r="E347" s="2">
        <v>45732</v>
      </c>
      <c r="F347">
        <v>4</v>
      </c>
      <c r="G347" t="s">
        <v>450</v>
      </c>
      <c r="H347" t="s">
        <v>270</v>
      </c>
      <c r="I347">
        <v>30</v>
      </c>
      <c r="J347" t="str">
        <f t="shared" si="5"/>
        <v>de 26 a 40 años</v>
      </c>
      <c r="K347" t="s">
        <v>224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225</v>
      </c>
      <c r="R347" t="s">
        <v>226</v>
      </c>
      <c r="T347" t="s">
        <v>227</v>
      </c>
      <c r="V347" t="s">
        <v>252</v>
      </c>
      <c r="W347" t="s">
        <v>229</v>
      </c>
      <c r="X347" t="s">
        <v>230</v>
      </c>
      <c r="Z347" t="s">
        <v>254</v>
      </c>
      <c r="AA347" t="s">
        <v>293</v>
      </c>
      <c r="AB347">
        <v>0</v>
      </c>
      <c r="AC347">
        <v>0</v>
      </c>
      <c r="AD347">
        <v>0</v>
      </c>
      <c r="AE347">
        <v>0</v>
      </c>
      <c r="AF347">
        <v>1</v>
      </c>
      <c r="AG347">
        <v>0</v>
      </c>
      <c r="AI347" t="s">
        <v>233</v>
      </c>
      <c r="AJ347">
        <v>0</v>
      </c>
      <c r="AK347">
        <v>1</v>
      </c>
      <c r="AL347">
        <v>0</v>
      </c>
      <c r="AM347">
        <v>0</v>
      </c>
      <c r="AN347" t="s">
        <v>274</v>
      </c>
      <c r="AO347" t="s">
        <v>275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X347" t="s">
        <v>226</v>
      </c>
      <c r="AY347" t="s">
        <v>226</v>
      </c>
      <c r="AZ347" t="s">
        <v>237</v>
      </c>
      <c r="BA347" t="s">
        <v>322</v>
      </c>
      <c r="BB347" t="s">
        <v>438</v>
      </c>
      <c r="BE347" t="s">
        <v>259</v>
      </c>
      <c r="BF347" t="s">
        <v>259</v>
      </c>
      <c r="BG347" t="s">
        <v>259</v>
      </c>
      <c r="BH347" t="s">
        <v>237</v>
      </c>
      <c r="BI347" t="s">
        <v>237</v>
      </c>
      <c r="BJ347" t="s">
        <v>259</v>
      </c>
      <c r="BK347" t="s">
        <v>261</v>
      </c>
      <c r="BL347" t="s">
        <v>313</v>
      </c>
      <c r="BM347" t="s">
        <v>451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 t="s">
        <v>242</v>
      </c>
      <c r="CB347" t="s">
        <v>242</v>
      </c>
      <c r="CC347" t="s">
        <v>243</v>
      </c>
      <c r="CD347" t="s">
        <v>236</v>
      </c>
      <c r="CE347" t="s">
        <v>226</v>
      </c>
      <c r="CF347" t="s">
        <v>315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S347" t="s">
        <v>236</v>
      </c>
      <c r="DD347" t="s">
        <v>316</v>
      </c>
      <c r="EA347" t="s">
        <v>236</v>
      </c>
      <c r="EC347" t="s">
        <v>236</v>
      </c>
      <c r="EE347" t="s">
        <v>226</v>
      </c>
      <c r="EF347" t="s">
        <v>245</v>
      </c>
      <c r="EG347" t="s">
        <v>226</v>
      </c>
      <c r="EH347" t="s">
        <v>245</v>
      </c>
      <c r="EI347" t="s">
        <v>226</v>
      </c>
      <c r="EJ347" t="s">
        <v>245</v>
      </c>
      <c r="EK347" t="s">
        <v>236</v>
      </c>
      <c r="EM347" t="s">
        <v>226</v>
      </c>
      <c r="EN347" t="s">
        <v>245</v>
      </c>
      <c r="EO347" t="s">
        <v>226</v>
      </c>
      <c r="EP347" t="s">
        <v>245</v>
      </c>
      <c r="EQ347" t="s">
        <v>226</v>
      </c>
      <c r="ER347" t="s">
        <v>244</v>
      </c>
      <c r="ES347" t="s">
        <v>226</v>
      </c>
      <c r="ET347" t="s">
        <v>265</v>
      </c>
      <c r="EU347" t="s">
        <v>226</v>
      </c>
      <c r="EV347" t="s">
        <v>265</v>
      </c>
      <c r="EW347" t="s">
        <v>236</v>
      </c>
      <c r="EY347" t="s">
        <v>226</v>
      </c>
      <c r="EZ347" t="s">
        <v>244</v>
      </c>
      <c r="FA347" t="s">
        <v>226</v>
      </c>
      <c r="FB347" t="s">
        <v>244</v>
      </c>
      <c r="FC347" t="s">
        <v>236</v>
      </c>
      <c r="FE347" t="s">
        <v>226</v>
      </c>
      <c r="FF347" t="s">
        <v>245</v>
      </c>
      <c r="FG347" t="s">
        <v>236</v>
      </c>
      <c r="FJ347" t="s">
        <v>226</v>
      </c>
      <c r="FK347" t="s">
        <v>245</v>
      </c>
      <c r="FL347" t="s">
        <v>236</v>
      </c>
      <c r="FM347" t="s">
        <v>236</v>
      </c>
      <c r="FW347" t="s">
        <v>226</v>
      </c>
      <c r="FX347" t="s">
        <v>236</v>
      </c>
      <c r="FZ347" t="s">
        <v>226</v>
      </c>
      <c r="GA347" t="s">
        <v>236</v>
      </c>
      <c r="GC347" t="s">
        <v>236</v>
      </c>
      <c r="GF347" t="s">
        <v>226</v>
      </c>
      <c r="GG347" t="s">
        <v>236</v>
      </c>
      <c r="GI347" t="s">
        <v>236</v>
      </c>
      <c r="GL347" t="s">
        <v>226</v>
      </c>
      <c r="GM347" t="s">
        <v>236</v>
      </c>
      <c r="GO347" t="s">
        <v>226</v>
      </c>
      <c r="GP347" t="s">
        <v>226</v>
      </c>
      <c r="GQ347" t="s">
        <v>266</v>
      </c>
      <c r="GR347" t="s">
        <v>226</v>
      </c>
      <c r="GS347" t="s">
        <v>226</v>
      </c>
      <c r="GT347" t="s">
        <v>266</v>
      </c>
      <c r="GU347" t="s">
        <v>226</v>
      </c>
      <c r="GV347" t="s">
        <v>236</v>
      </c>
      <c r="GX347" t="s">
        <v>236</v>
      </c>
      <c r="HB347" t="s">
        <v>279</v>
      </c>
      <c r="HC347" t="s">
        <v>452</v>
      </c>
      <c r="HE347">
        <v>83184017</v>
      </c>
      <c r="HF347" t="s">
        <v>453</v>
      </c>
      <c r="HG347" s="2">
        <v>45755.805775462963</v>
      </c>
      <c r="HJ347" t="s">
        <v>248</v>
      </c>
      <c r="HL347" t="s">
        <v>249</v>
      </c>
      <c r="HN347">
        <v>346</v>
      </c>
    </row>
    <row r="348" spans="1:222" x14ac:dyDescent="0.25">
      <c r="A348" s="2">
        <v>45755.597530868057</v>
      </c>
      <c r="B348" s="2">
        <v>45755.601407048613</v>
      </c>
      <c r="C348" t="s">
        <v>334</v>
      </c>
      <c r="D348">
        <v>472</v>
      </c>
      <c r="E348" s="2">
        <v>45732</v>
      </c>
      <c r="F348">
        <v>4</v>
      </c>
      <c r="G348" t="s">
        <v>436</v>
      </c>
      <c r="H348" t="s">
        <v>270</v>
      </c>
      <c r="I348">
        <v>39</v>
      </c>
      <c r="J348" t="str">
        <f t="shared" si="5"/>
        <v>de 26 a 40 años</v>
      </c>
      <c r="K348" t="s">
        <v>224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225</v>
      </c>
      <c r="R348" t="s">
        <v>226</v>
      </c>
      <c r="T348" t="s">
        <v>227</v>
      </c>
      <c r="V348" t="s">
        <v>252</v>
      </c>
      <c r="W348" t="s">
        <v>229</v>
      </c>
      <c r="X348" t="s">
        <v>230</v>
      </c>
      <c r="Z348" t="s">
        <v>308</v>
      </c>
      <c r="AA348" t="s">
        <v>232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I348" t="s">
        <v>233</v>
      </c>
      <c r="AJ348">
        <v>0</v>
      </c>
      <c r="AK348">
        <v>1</v>
      </c>
      <c r="AL348">
        <v>0</v>
      </c>
      <c r="AM348">
        <v>0</v>
      </c>
      <c r="AN348" t="s">
        <v>300</v>
      </c>
      <c r="AO348" t="s">
        <v>294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X348" t="s">
        <v>226</v>
      </c>
      <c r="AY348" t="s">
        <v>226</v>
      </c>
      <c r="AZ348" t="s">
        <v>237</v>
      </c>
      <c r="BA348" t="s">
        <v>2068</v>
      </c>
      <c r="BB348" t="s">
        <v>868</v>
      </c>
      <c r="BE348" t="s">
        <v>239</v>
      </c>
      <c r="BF348" t="s">
        <v>259</v>
      </c>
      <c r="BG348" t="s">
        <v>239</v>
      </c>
      <c r="BH348" t="s">
        <v>239</v>
      </c>
      <c r="BI348" t="s">
        <v>237</v>
      </c>
      <c r="BJ348" t="s">
        <v>237</v>
      </c>
      <c r="BK348" t="s">
        <v>239</v>
      </c>
      <c r="BL348" t="s">
        <v>262</v>
      </c>
      <c r="BM348" t="s">
        <v>2069</v>
      </c>
      <c r="BN348">
        <v>0</v>
      </c>
      <c r="BO348">
        <v>1</v>
      </c>
      <c r="BP348">
        <v>0</v>
      </c>
      <c r="BQ348">
        <v>0</v>
      </c>
      <c r="BR348">
        <v>0</v>
      </c>
      <c r="BS348">
        <v>1</v>
      </c>
      <c r="BT348">
        <v>0</v>
      </c>
      <c r="BU348">
        <v>0</v>
      </c>
      <c r="BV348">
        <v>1</v>
      </c>
      <c r="BW348">
        <v>0</v>
      </c>
      <c r="BX348">
        <v>0</v>
      </c>
      <c r="BY348">
        <v>0</v>
      </c>
      <c r="BZ348">
        <v>0</v>
      </c>
      <c r="CA348" t="s">
        <v>242</v>
      </c>
      <c r="CB348" t="s">
        <v>328</v>
      </c>
      <c r="CC348" t="s">
        <v>328</v>
      </c>
      <c r="CD348" t="s">
        <v>226</v>
      </c>
      <c r="CE348" t="s">
        <v>236</v>
      </c>
      <c r="EA348" t="s">
        <v>236</v>
      </c>
      <c r="EC348" t="s">
        <v>236</v>
      </c>
      <c r="EE348" t="s">
        <v>236</v>
      </c>
      <c r="EG348" t="s">
        <v>236</v>
      </c>
      <c r="EI348" t="s">
        <v>308</v>
      </c>
      <c r="EK348" t="s">
        <v>236</v>
      </c>
      <c r="EM348" t="s">
        <v>236</v>
      </c>
      <c r="EO348" t="s">
        <v>236</v>
      </c>
      <c r="EQ348" t="s">
        <v>236</v>
      </c>
      <c r="ES348" t="s">
        <v>236</v>
      </c>
      <c r="EU348" t="s">
        <v>236</v>
      </c>
      <c r="EW348" t="s">
        <v>236</v>
      </c>
      <c r="EY348" t="s">
        <v>236</v>
      </c>
      <c r="FA348" t="s">
        <v>236</v>
      </c>
      <c r="FC348" t="s">
        <v>236</v>
      </c>
      <c r="FE348" t="s">
        <v>236</v>
      </c>
      <c r="FG348" t="s">
        <v>236</v>
      </c>
      <c r="FJ348" t="s">
        <v>226</v>
      </c>
      <c r="FK348" t="s">
        <v>244</v>
      </c>
      <c r="FL348" t="s">
        <v>236</v>
      </c>
      <c r="FM348" t="s">
        <v>236</v>
      </c>
      <c r="FW348" t="s">
        <v>226</v>
      </c>
      <c r="FX348" t="s">
        <v>226</v>
      </c>
      <c r="FY348" t="s">
        <v>266</v>
      </c>
      <c r="FZ348" t="s">
        <v>236</v>
      </c>
      <c r="GC348" t="s">
        <v>236</v>
      </c>
      <c r="GF348" t="s">
        <v>226</v>
      </c>
      <c r="GG348" t="s">
        <v>226</v>
      </c>
      <c r="GH348" t="s">
        <v>266</v>
      </c>
      <c r="GI348" t="s">
        <v>236</v>
      </c>
      <c r="GL348" t="s">
        <v>226</v>
      </c>
      <c r="GM348" t="s">
        <v>226</v>
      </c>
      <c r="GN348" t="s">
        <v>266</v>
      </c>
      <c r="GO348" t="s">
        <v>226</v>
      </c>
      <c r="GP348" t="s">
        <v>226</v>
      </c>
      <c r="GQ348" t="s">
        <v>266</v>
      </c>
      <c r="GR348" t="s">
        <v>226</v>
      </c>
      <c r="GS348" t="s">
        <v>226</v>
      </c>
      <c r="GT348" t="s">
        <v>267</v>
      </c>
      <c r="GU348" t="s">
        <v>226</v>
      </c>
      <c r="GV348" t="s">
        <v>226</v>
      </c>
      <c r="GW348" t="s">
        <v>267</v>
      </c>
      <c r="GX348" t="s">
        <v>236</v>
      </c>
      <c r="HB348" t="s">
        <v>2070</v>
      </c>
      <c r="HC348" t="s">
        <v>2071</v>
      </c>
      <c r="HE348">
        <v>83184604</v>
      </c>
      <c r="HF348" t="s">
        <v>2072</v>
      </c>
      <c r="HG348" s="2">
        <v>45755.809652777767</v>
      </c>
      <c r="HJ348" t="s">
        <v>248</v>
      </c>
      <c r="HL348" t="s">
        <v>249</v>
      </c>
      <c r="HN348">
        <v>348</v>
      </c>
    </row>
    <row r="349" spans="1:222" x14ac:dyDescent="0.25">
      <c r="A349" s="2">
        <v>45755.597567291668</v>
      </c>
      <c r="B349" s="2">
        <v>45755.600906712963</v>
      </c>
      <c r="C349" t="s">
        <v>270</v>
      </c>
      <c r="D349">
        <v>200</v>
      </c>
      <c r="E349" s="2">
        <v>45730</v>
      </c>
      <c r="F349">
        <v>4</v>
      </c>
      <c r="G349" t="s">
        <v>413</v>
      </c>
      <c r="H349" t="s">
        <v>270</v>
      </c>
      <c r="I349">
        <v>40</v>
      </c>
      <c r="J349" t="str">
        <f t="shared" si="5"/>
        <v>de 26 a 40 años</v>
      </c>
      <c r="K349" t="s">
        <v>341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225</v>
      </c>
      <c r="R349" t="s">
        <v>226</v>
      </c>
      <c r="T349" t="s">
        <v>284</v>
      </c>
      <c r="V349" t="s">
        <v>252</v>
      </c>
      <c r="W349" t="s">
        <v>229</v>
      </c>
      <c r="X349" t="s">
        <v>230</v>
      </c>
      <c r="Z349" t="s">
        <v>254</v>
      </c>
      <c r="AA349" t="s">
        <v>255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I349" t="s">
        <v>233</v>
      </c>
      <c r="AJ349">
        <v>0</v>
      </c>
      <c r="AK349">
        <v>1</v>
      </c>
      <c r="AL349">
        <v>0</v>
      </c>
      <c r="AM349">
        <v>0</v>
      </c>
      <c r="AN349" t="s">
        <v>300</v>
      </c>
      <c r="AO349" t="s">
        <v>275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X349" t="s">
        <v>236</v>
      </c>
      <c r="AZ349" t="s">
        <v>237</v>
      </c>
      <c r="BA349" t="s">
        <v>495</v>
      </c>
      <c r="BB349" t="s">
        <v>496</v>
      </c>
      <c r="BE349" t="s">
        <v>237</v>
      </c>
      <c r="BF349" t="s">
        <v>259</v>
      </c>
      <c r="BG349" t="s">
        <v>237</v>
      </c>
      <c r="BH349" t="s">
        <v>237</v>
      </c>
      <c r="BI349" t="s">
        <v>237</v>
      </c>
      <c r="BJ349" t="s">
        <v>237</v>
      </c>
      <c r="BK349" t="s">
        <v>237</v>
      </c>
      <c r="BL349" t="s">
        <v>262</v>
      </c>
      <c r="BM349" t="s">
        <v>497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1</v>
      </c>
      <c r="BT349">
        <v>0</v>
      </c>
      <c r="BU349">
        <v>0</v>
      </c>
      <c r="BV349">
        <v>1</v>
      </c>
      <c r="BW349">
        <v>0</v>
      </c>
      <c r="BX349">
        <v>0</v>
      </c>
      <c r="BY349">
        <v>0</v>
      </c>
      <c r="BZ349">
        <v>0</v>
      </c>
      <c r="CA349" t="s">
        <v>264</v>
      </c>
      <c r="CB349" t="s">
        <v>328</v>
      </c>
      <c r="CC349" t="s">
        <v>328</v>
      </c>
      <c r="CD349" t="s">
        <v>236</v>
      </c>
      <c r="CE349" t="s">
        <v>236</v>
      </c>
      <c r="EA349" t="s">
        <v>236</v>
      </c>
      <c r="EC349" t="s">
        <v>226</v>
      </c>
      <c r="ED349" t="s">
        <v>244</v>
      </c>
      <c r="EE349" t="s">
        <v>226</v>
      </c>
      <c r="EF349" t="s">
        <v>245</v>
      </c>
      <c r="EG349" t="s">
        <v>226</v>
      </c>
      <c r="EH349" t="s">
        <v>244</v>
      </c>
      <c r="EI349" t="s">
        <v>236</v>
      </c>
      <c r="EK349" t="s">
        <v>236</v>
      </c>
      <c r="EM349" t="s">
        <v>236</v>
      </c>
      <c r="EO349" t="s">
        <v>236</v>
      </c>
      <c r="EQ349" t="s">
        <v>236</v>
      </c>
      <c r="ES349" t="s">
        <v>236</v>
      </c>
      <c r="EU349" t="s">
        <v>236</v>
      </c>
      <c r="EW349" t="s">
        <v>236</v>
      </c>
      <c r="EY349" t="s">
        <v>226</v>
      </c>
      <c r="EZ349" t="s">
        <v>245</v>
      </c>
      <c r="FA349" t="s">
        <v>226</v>
      </c>
      <c r="FB349" t="s">
        <v>245</v>
      </c>
      <c r="FC349" t="s">
        <v>236</v>
      </c>
      <c r="FE349" t="s">
        <v>226</v>
      </c>
      <c r="FF349" t="s">
        <v>244</v>
      </c>
      <c r="FG349" t="s">
        <v>236</v>
      </c>
      <c r="FJ349" t="s">
        <v>226</v>
      </c>
      <c r="FK349" t="s">
        <v>245</v>
      </c>
      <c r="FL349" t="s">
        <v>226</v>
      </c>
      <c r="FM349" t="s">
        <v>236</v>
      </c>
      <c r="FW349" t="s">
        <v>226</v>
      </c>
      <c r="FX349" t="s">
        <v>236</v>
      </c>
      <c r="FZ349" t="s">
        <v>236</v>
      </c>
      <c r="GC349" t="s">
        <v>236</v>
      </c>
      <c r="GF349" t="s">
        <v>226</v>
      </c>
      <c r="GG349" t="s">
        <v>236</v>
      </c>
      <c r="GI349" t="s">
        <v>226</v>
      </c>
      <c r="GJ349" t="s">
        <v>236</v>
      </c>
      <c r="GL349" t="s">
        <v>236</v>
      </c>
      <c r="GO349" t="s">
        <v>226</v>
      </c>
      <c r="GP349" t="s">
        <v>226</v>
      </c>
      <c r="GQ349" t="s">
        <v>266</v>
      </c>
      <c r="GR349" t="s">
        <v>226</v>
      </c>
      <c r="GS349" t="s">
        <v>226</v>
      </c>
      <c r="GT349" t="s">
        <v>266</v>
      </c>
      <c r="GU349" t="s">
        <v>236</v>
      </c>
      <c r="GX349" t="s">
        <v>236</v>
      </c>
      <c r="HB349" t="s">
        <v>498</v>
      </c>
      <c r="HC349" t="s">
        <v>499</v>
      </c>
      <c r="HE349">
        <v>83184491</v>
      </c>
      <c r="HF349" t="s">
        <v>500</v>
      </c>
      <c r="HG349" s="2">
        <v>45755.809155092589</v>
      </c>
      <c r="HJ349" t="s">
        <v>248</v>
      </c>
      <c r="HL349" t="s">
        <v>249</v>
      </c>
      <c r="HN349">
        <v>347</v>
      </c>
    </row>
    <row r="350" spans="1:222" x14ac:dyDescent="0.25">
      <c r="A350" s="2">
        <v>45755.600907233798</v>
      </c>
      <c r="B350" s="2">
        <v>45755.64528287037</v>
      </c>
      <c r="C350" t="s">
        <v>270</v>
      </c>
      <c r="D350">
        <v>197</v>
      </c>
      <c r="E350" s="2">
        <v>45730</v>
      </c>
      <c r="F350">
        <v>4</v>
      </c>
      <c r="G350" t="s">
        <v>413</v>
      </c>
      <c r="H350" t="s">
        <v>270</v>
      </c>
      <c r="I350">
        <v>39</v>
      </c>
      <c r="J350" t="str">
        <f t="shared" si="5"/>
        <v>de 26 a 40 años</v>
      </c>
      <c r="K350" t="s">
        <v>341</v>
      </c>
      <c r="L350">
        <v>1</v>
      </c>
      <c r="M350">
        <v>0</v>
      </c>
      <c r="N350">
        <v>0</v>
      </c>
      <c r="O350">
        <v>0</v>
      </c>
      <c r="P350">
        <v>0</v>
      </c>
      <c r="Q350" t="s">
        <v>291</v>
      </c>
      <c r="R350" t="s">
        <v>226</v>
      </c>
      <c r="T350" t="s">
        <v>227</v>
      </c>
      <c r="V350" t="s">
        <v>252</v>
      </c>
      <c r="W350" t="s">
        <v>229</v>
      </c>
      <c r="X350" t="s">
        <v>230</v>
      </c>
      <c r="Z350" t="s">
        <v>231</v>
      </c>
      <c r="AA350" t="s">
        <v>232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I350" t="s">
        <v>311</v>
      </c>
      <c r="AJ350">
        <v>0</v>
      </c>
      <c r="AK350">
        <v>1</v>
      </c>
      <c r="AL350">
        <v>1</v>
      </c>
      <c r="AM350">
        <v>0</v>
      </c>
      <c r="AN350" t="s">
        <v>257</v>
      </c>
      <c r="AO350" t="s">
        <v>275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X350" t="s">
        <v>226</v>
      </c>
      <c r="AY350" t="s">
        <v>226</v>
      </c>
      <c r="AZ350" t="s">
        <v>237</v>
      </c>
      <c r="BA350" t="s">
        <v>1223</v>
      </c>
      <c r="BB350" t="s">
        <v>1224</v>
      </c>
      <c r="BE350" t="s">
        <v>237</v>
      </c>
      <c r="BF350" t="s">
        <v>237</v>
      </c>
      <c r="BG350" t="s">
        <v>237</v>
      </c>
      <c r="BH350" t="s">
        <v>237</v>
      </c>
      <c r="BI350" t="s">
        <v>237</v>
      </c>
      <c r="BJ350" t="s">
        <v>237</v>
      </c>
      <c r="BK350" t="s">
        <v>237</v>
      </c>
      <c r="BL350" t="s">
        <v>240</v>
      </c>
      <c r="BM350" t="s">
        <v>451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 t="s">
        <v>264</v>
      </c>
      <c r="CB350" t="s">
        <v>264</v>
      </c>
      <c r="CC350" t="s">
        <v>264</v>
      </c>
      <c r="CD350" t="s">
        <v>226</v>
      </c>
      <c r="CE350" t="s">
        <v>236</v>
      </c>
      <c r="EA350" t="s">
        <v>236</v>
      </c>
      <c r="EC350" t="s">
        <v>236</v>
      </c>
      <c r="EE350" t="s">
        <v>226</v>
      </c>
      <c r="EF350" t="s">
        <v>244</v>
      </c>
      <c r="EG350" t="s">
        <v>236</v>
      </c>
      <c r="EI350" t="s">
        <v>236</v>
      </c>
      <c r="EK350" t="s">
        <v>236</v>
      </c>
      <c r="EM350" t="s">
        <v>226</v>
      </c>
      <c r="EN350" t="s">
        <v>245</v>
      </c>
      <c r="EO350" t="s">
        <v>236</v>
      </c>
      <c r="EQ350" t="s">
        <v>236</v>
      </c>
      <c r="ES350" t="s">
        <v>226</v>
      </c>
      <c r="ET350" t="s">
        <v>244</v>
      </c>
      <c r="EU350" t="s">
        <v>236</v>
      </c>
      <c r="EW350" t="s">
        <v>236</v>
      </c>
      <c r="EY350" t="s">
        <v>236</v>
      </c>
      <c r="FA350" t="s">
        <v>236</v>
      </c>
      <c r="FC350" t="s">
        <v>236</v>
      </c>
      <c r="FE350" t="s">
        <v>236</v>
      </c>
      <c r="FG350" t="s">
        <v>236</v>
      </c>
      <c r="FJ350" t="s">
        <v>236</v>
      </c>
      <c r="FM350" t="s">
        <v>236</v>
      </c>
      <c r="FW350" t="s">
        <v>226</v>
      </c>
      <c r="FX350" t="s">
        <v>236</v>
      </c>
      <c r="FZ350" t="s">
        <v>226</v>
      </c>
      <c r="GA350" t="s">
        <v>236</v>
      </c>
      <c r="GC350" t="s">
        <v>236</v>
      </c>
      <c r="GF350" t="s">
        <v>226</v>
      </c>
      <c r="GG350" t="s">
        <v>236</v>
      </c>
      <c r="GI350" t="s">
        <v>236</v>
      </c>
      <c r="GL350" t="s">
        <v>236</v>
      </c>
      <c r="GO350" t="s">
        <v>226</v>
      </c>
      <c r="GP350" t="s">
        <v>226</v>
      </c>
      <c r="GQ350" t="s">
        <v>266</v>
      </c>
      <c r="GR350" t="s">
        <v>226</v>
      </c>
      <c r="GS350" t="s">
        <v>236</v>
      </c>
      <c r="GU350" t="s">
        <v>236</v>
      </c>
      <c r="GX350" t="s">
        <v>236</v>
      </c>
      <c r="HB350" t="s">
        <v>1225</v>
      </c>
      <c r="HC350" t="s">
        <v>1226</v>
      </c>
      <c r="HE350">
        <v>83188590</v>
      </c>
      <c r="HF350" t="s">
        <v>1227</v>
      </c>
      <c r="HG350" s="2">
        <v>45755.853541666656</v>
      </c>
      <c r="HJ350" t="s">
        <v>248</v>
      </c>
      <c r="HL350" t="s">
        <v>249</v>
      </c>
      <c r="HN350">
        <v>354</v>
      </c>
    </row>
    <row r="351" spans="1:222" x14ac:dyDescent="0.25">
      <c r="A351" s="2">
        <v>45755.601407638889</v>
      </c>
      <c r="B351" s="2">
        <v>45755.604885659719</v>
      </c>
      <c r="C351" t="s">
        <v>334</v>
      </c>
      <c r="D351">
        <v>471</v>
      </c>
      <c r="E351" s="2">
        <v>45732</v>
      </c>
      <c r="F351">
        <v>4</v>
      </c>
      <c r="G351" t="s">
        <v>1268</v>
      </c>
      <c r="H351" t="s">
        <v>270</v>
      </c>
      <c r="I351">
        <v>37</v>
      </c>
      <c r="J351" t="str">
        <f t="shared" si="5"/>
        <v>de 26 a 40 años</v>
      </c>
      <c r="K351" t="s">
        <v>341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291</v>
      </c>
      <c r="R351" t="s">
        <v>226</v>
      </c>
      <c r="T351" t="s">
        <v>227</v>
      </c>
      <c r="V351" t="s">
        <v>272</v>
      </c>
      <c r="W351" t="s">
        <v>229</v>
      </c>
      <c r="X351" t="s">
        <v>230</v>
      </c>
      <c r="Z351" t="s">
        <v>351</v>
      </c>
      <c r="AA351" t="s">
        <v>232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0</v>
      </c>
      <c r="AI351" t="s">
        <v>256</v>
      </c>
      <c r="AJ351">
        <v>0</v>
      </c>
      <c r="AK351">
        <v>0</v>
      </c>
      <c r="AL351">
        <v>1</v>
      </c>
      <c r="AM351">
        <v>0</v>
      </c>
      <c r="AN351" t="s">
        <v>234</v>
      </c>
      <c r="AO351" t="s">
        <v>294</v>
      </c>
      <c r="AP351">
        <v>1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X351" t="s">
        <v>226</v>
      </c>
      <c r="AY351" t="s">
        <v>236</v>
      </c>
      <c r="AZ351" t="s">
        <v>237</v>
      </c>
      <c r="BA351" t="s">
        <v>2063</v>
      </c>
      <c r="BB351" t="s">
        <v>2064</v>
      </c>
      <c r="BE351" t="s">
        <v>259</v>
      </c>
      <c r="BF351" t="s">
        <v>259</v>
      </c>
      <c r="BG351" t="s">
        <v>259</v>
      </c>
      <c r="BH351" t="s">
        <v>237</v>
      </c>
      <c r="BI351" t="s">
        <v>237</v>
      </c>
      <c r="BJ351" t="s">
        <v>259</v>
      </c>
      <c r="BK351" t="s">
        <v>259</v>
      </c>
      <c r="BL351" t="s">
        <v>262</v>
      </c>
      <c r="BM351" t="s">
        <v>314</v>
      </c>
      <c r="BN351">
        <v>0</v>
      </c>
      <c r="BO351">
        <v>0</v>
      </c>
      <c r="BP351">
        <v>0</v>
      </c>
      <c r="BQ351">
        <v>1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 t="s">
        <v>264</v>
      </c>
      <c r="CB351" t="s">
        <v>264</v>
      </c>
      <c r="CC351" t="s">
        <v>264</v>
      </c>
      <c r="CD351" t="s">
        <v>236</v>
      </c>
      <c r="CE351" t="s">
        <v>236</v>
      </c>
      <c r="EA351" t="s">
        <v>226</v>
      </c>
      <c r="EB351" t="s">
        <v>244</v>
      </c>
      <c r="EC351" t="s">
        <v>236</v>
      </c>
      <c r="EE351" t="s">
        <v>226</v>
      </c>
      <c r="EF351" t="s">
        <v>265</v>
      </c>
      <c r="EG351" t="s">
        <v>226</v>
      </c>
      <c r="EH351" t="s">
        <v>265</v>
      </c>
      <c r="EI351" t="s">
        <v>236</v>
      </c>
      <c r="EK351" t="s">
        <v>236</v>
      </c>
      <c r="EM351" t="s">
        <v>236</v>
      </c>
      <c r="EO351" t="s">
        <v>236</v>
      </c>
      <c r="EQ351" t="s">
        <v>236</v>
      </c>
      <c r="ES351" t="s">
        <v>236</v>
      </c>
      <c r="EU351" t="s">
        <v>236</v>
      </c>
      <c r="EW351" t="s">
        <v>226</v>
      </c>
      <c r="EX351" t="s">
        <v>245</v>
      </c>
      <c r="EY351" t="s">
        <v>226</v>
      </c>
      <c r="EZ351" t="s">
        <v>265</v>
      </c>
      <c r="FA351" t="s">
        <v>236</v>
      </c>
      <c r="FC351" t="s">
        <v>236</v>
      </c>
      <c r="FE351" t="s">
        <v>236</v>
      </c>
      <c r="FG351" t="s">
        <v>236</v>
      </c>
      <c r="FJ351" t="s">
        <v>226</v>
      </c>
      <c r="FK351" t="s">
        <v>245</v>
      </c>
      <c r="FL351" t="s">
        <v>236</v>
      </c>
      <c r="FM351" t="s">
        <v>236</v>
      </c>
      <c r="FW351" t="s">
        <v>226</v>
      </c>
      <c r="FX351" t="s">
        <v>236</v>
      </c>
      <c r="FZ351" t="s">
        <v>236</v>
      </c>
      <c r="GC351" t="s">
        <v>236</v>
      </c>
      <c r="GF351" t="s">
        <v>226</v>
      </c>
      <c r="GG351" t="s">
        <v>236</v>
      </c>
      <c r="GI351" t="s">
        <v>236</v>
      </c>
      <c r="GL351" t="s">
        <v>236</v>
      </c>
      <c r="GO351" t="s">
        <v>226</v>
      </c>
      <c r="GP351" t="s">
        <v>236</v>
      </c>
      <c r="GR351" t="s">
        <v>226</v>
      </c>
      <c r="GS351" t="s">
        <v>236</v>
      </c>
      <c r="GU351" t="s">
        <v>236</v>
      </c>
      <c r="GX351" t="s">
        <v>236</v>
      </c>
      <c r="HB351" t="s">
        <v>2065</v>
      </c>
      <c r="HC351" t="s">
        <v>2066</v>
      </c>
      <c r="HE351">
        <v>83184930</v>
      </c>
      <c r="HF351" t="s">
        <v>2067</v>
      </c>
      <c r="HG351" s="2">
        <v>45755.813136574077</v>
      </c>
      <c r="HJ351" t="s">
        <v>248</v>
      </c>
      <c r="HL351" t="s">
        <v>249</v>
      </c>
      <c r="HN351">
        <v>349</v>
      </c>
    </row>
    <row r="352" spans="1:222" x14ac:dyDescent="0.25">
      <c r="A352" s="2">
        <v>45755.604886168992</v>
      </c>
      <c r="B352" s="2">
        <v>45755.608042546293</v>
      </c>
      <c r="C352" t="s">
        <v>334</v>
      </c>
      <c r="D352">
        <v>470</v>
      </c>
      <c r="E352" s="2">
        <v>45732</v>
      </c>
      <c r="F352">
        <v>4</v>
      </c>
      <c r="G352" t="s">
        <v>1268</v>
      </c>
      <c r="H352" t="s">
        <v>270</v>
      </c>
      <c r="I352">
        <v>26</v>
      </c>
      <c r="J352" t="str">
        <f t="shared" si="5"/>
        <v>de 26 a 40 años</v>
      </c>
      <c r="K352" t="s">
        <v>341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225</v>
      </c>
      <c r="R352" t="s">
        <v>226</v>
      </c>
      <c r="T352" t="s">
        <v>227</v>
      </c>
      <c r="V352" t="s">
        <v>228</v>
      </c>
      <c r="W352" t="s">
        <v>229</v>
      </c>
      <c r="X352" t="s">
        <v>230</v>
      </c>
      <c r="Z352" t="s">
        <v>231</v>
      </c>
      <c r="AA352" t="s">
        <v>293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I352" t="s">
        <v>233</v>
      </c>
      <c r="AJ352">
        <v>0</v>
      </c>
      <c r="AK352">
        <v>1</v>
      </c>
      <c r="AL352">
        <v>0</v>
      </c>
      <c r="AM352">
        <v>0</v>
      </c>
      <c r="AN352" t="s">
        <v>300</v>
      </c>
      <c r="AO352" t="s">
        <v>382</v>
      </c>
      <c r="AP352">
        <v>0</v>
      </c>
      <c r="AQ352">
        <v>0</v>
      </c>
      <c r="AR352">
        <v>1</v>
      </c>
      <c r="AS352">
        <v>0</v>
      </c>
      <c r="AT352">
        <v>0</v>
      </c>
      <c r="AU352">
        <v>0</v>
      </c>
      <c r="AV352">
        <v>0</v>
      </c>
      <c r="AX352" t="s">
        <v>226</v>
      </c>
      <c r="AY352" t="s">
        <v>236</v>
      </c>
      <c r="AZ352" t="s">
        <v>237</v>
      </c>
      <c r="BA352" t="s">
        <v>1308</v>
      </c>
      <c r="BB352" t="s">
        <v>2059</v>
      </c>
      <c r="BE352" t="s">
        <v>237</v>
      </c>
      <c r="BF352" t="s">
        <v>237</v>
      </c>
      <c r="BG352" t="s">
        <v>237</v>
      </c>
      <c r="BH352" t="s">
        <v>259</v>
      </c>
      <c r="BI352" t="s">
        <v>259</v>
      </c>
      <c r="BJ352" t="s">
        <v>237</v>
      </c>
      <c r="BK352" t="s">
        <v>259</v>
      </c>
      <c r="BL352" t="s">
        <v>262</v>
      </c>
      <c r="BM352" t="s">
        <v>2060</v>
      </c>
      <c r="BN352">
        <v>0</v>
      </c>
      <c r="BO352">
        <v>1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 t="s">
        <v>264</v>
      </c>
      <c r="CB352" t="s">
        <v>264</v>
      </c>
      <c r="CC352" t="s">
        <v>264</v>
      </c>
      <c r="CD352" t="s">
        <v>236</v>
      </c>
      <c r="CE352" t="s">
        <v>236</v>
      </c>
      <c r="EA352" t="s">
        <v>226</v>
      </c>
      <c r="EB352" t="s">
        <v>244</v>
      </c>
      <c r="EC352" t="s">
        <v>236</v>
      </c>
      <c r="EE352" t="s">
        <v>226</v>
      </c>
      <c r="EF352" t="s">
        <v>245</v>
      </c>
      <c r="EG352" t="s">
        <v>236</v>
      </c>
      <c r="EI352" t="s">
        <v>226</v>
      </c>
      <c r="EJ352" t="s">
        <v>244</v>
      </c>
      <c r="EK352" t="s">
        <v>236</v>
      </c>
      <c r="EM352" t="s">
        <v>236</v>
      </c>
      <c r="EO352" t="s">
        <v>236</v>
      </c>
      <c r="EQ352" t="s">
        <v>236</v>
      </c>
      <c r="ES352" t="s">
        <v>226</v>
      </c>
      <c r="ET352" t="s">
        <v>245</v>
      </c>
      <c r="EU352" t="s">
        <v>236</v>
      </c>
      <c r="EW352" t="s">
        <v>236</v>
      </c>
      <c r="EY352" t="s">
        <v>236</v>
      </c>
      <c r="FA352" t="s">
        <v>226</v>
      </c>
      <c r="FB352" t="s">
        <v>245</v>
      </c>
      <c r="FC352" t="s">
        <v>236</v>
      </c>
      <c r="FE352" t="s">
        <v>236</v>
      </c>
      <c r="FG352" t="s">
        <v>236</v>
      </c>
      <c r="FJ352" t="s">
        <v>226</v>
      </c>
      <c r="FK352" t="s">
        <v>245</v>
      </c>
      <c r="FL352" t="s">
        <v>236</v>
      </c>
      <c r="FM352" t="s">
        <v>236</v>
      </c>
      <c r="FW352" t="s">
        <v>226</v>
      </c>
      <c r="FX352" t="s">
        <v>236</v>
      </c>
      <c r="FZ352" t="s">
        <v>236</v>
      </c>
      <c r="GC352" t="s">
        <v>236</v>
      </c>
      <c r="GF352" t="s">
        <v>226</v>
      </c>
      <c r="GG352" t="s">
        <v>236</v>
      </c>
      <c r="GI352" t="s">
        <v>236</v>
      </c>
      <c r="GL352" t="s">
        <v>236</v>
      </c>
      <c r="GO352" t="s">
        <v>236</v>
      </c>
      <c r="GR352" t="s">
        <v>226</v>
      </c>
      <c r="GS352" t="s">
        <v>236</v>
      </c>
      <c r="GU352" t="s">
        <v>236</v>
      </c>
      <c r="GX352" t="s">
        <v>226</v>
      </c>
      <c r="GY352" t="s">
        <v>236</v>
      </c>
      <c r="HB352" t="s">
        <v>338</v>
      </c>
      <c r="HC352" t="s">
        <v>2061</v>
      </c>
      <c r="HE352">
        <v>83185172</v>
      </c>
      <c r="HF352" t="s">
        <v>2062</v>
      </c>
      <c r="HG352" s="2">
        <v>45755.816284722219</v>
      </c>
      <c r="HJ352" t="s">
        <v>248</v>
      </c>
      <c r="HL352" t="s">
        <v>249</v>
      </c>
      <c r="HN352">
        <v>350</v>
      </c>
    </row>
    <row r="353" spans="1:222" x14ac:dyDescent="0.25">
      <c r="A353" s="2">
        <v>45755.623111006942</v>
      </c>
      <c r="B353" s="2">
        <v>45755.627607974537</v>
      </c>
      <c r="C353" t="s">
        <v>334</v>
      </c>
      <c r="D353">
        <v>467</v>
      </c>
      <c r="E353" s="2">
        <v>45732</v>
      </c>
      <c r="F353">
        <v>4</v>
      </c>
      <c r="G353" t="s">
        <v>450</v>
      </c>
      <c r="H353" t="s">
        <v>270</v>
      </c>
      <c r="I353">
        <v>47</v>
      </c>
      <c r="J353" t="str">
        <f t="shared" si="5"/>
        <v>de 41 a 55 años</v>
      </c>
      <c r="K353" t="s">
        <v>341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225</v>
      </c>
      <c r="R353" t="s">
        <v>226</v>
      </c>
      <c r="T353" t="s">
        <v>227</v>
      </c>
      <c r="V353" t="s">
        <v>228</v>
      </c>
      <c r="W353" t="s">
        <v>229</v>
      </c>
      <c r="X353" t="s">
        <v>230</v>
      </c>
      <c r="Z353" t="s">
        <v>231</v>
      </c>
      <c r="AA353" t="s">
        <v>293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0</v>
      </c>
      <c r="AI353" t="s">
        <v>233</v>
      </c>
      <c r="AJ353">
        <v>0</v>
      </c>
      <c r="AK353">
        <v>1</v>
      </c>
      <c r="AL353">
        <v>0</v>
      </c>
      <c r="AM353">
        <v>0</v>
      </c>
      <c r="AN353" t="s">
        <v>300</v>
      </c>
      <c r="AO353" t="s">
        <v>353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0</v>
      </c>
      <c r="AV353">
        <v>0</v>
      </c>
      <c r="AX353" t="s">
        <v>226</v>
      </c>
      <c r="AY353" t="s">
        <v>226</v>
      </c>
      <c r="AZ353" t="s">
        <v>259</v>
      </c>
      <c r="BA353" t="s">
        <v>2053</v>
      </c>
      <c r="BB353" t="s">
        <v>2054</v>
      </c>
      <c r="BE353" t="s">
        <v>259</v>
      </c>
      <c r="BF353" t="s">
        <v>259</v>
      </c>
      <c r="BG353" t="s">
        <v>259</v>
      </c>
      <c r="BH353" t="s">
        <v>237</v>
      </c>
      <c r="BI353" t="s">
        <v>237</v>
      </c>
      <c r="BJ353" t="s">
        <v>259</v>
      </c>
      <c r="BK353" t="s">
        <v>261</v>
      </c>
      <c r="BL353" t="s">
        <v>262</v>
      </c>
      <c r="BM353" t="s">
        <v>976</v>
      </c>
      <c r="BN353">
        <v>1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 t="s">
        <v>243</v>
      </c>
      <c r="CB353" t="s">
        <v>243</v>
      </c>
      <c r="CC353" t="s">
        <v>264</v>
      </c>
      <c r="CD353" t="s">
        <v>226</v>
      </c>
      <c r="CE353" t="s">
        <v>236</v>
      </c>
      <c r="EA353" t="s">
        <v>226</v>
      </c>
      <c r="EB353" t="s">
        <v>244</v>
      </c>
      <c r="EC353" t="s">
        <v>236</v>
      </c>
      <c r="EE353" t="s">
        <v>226</v>
      </c>
      <c r="EF353" t="s">
        <v>245</v>
      </c>
      <c r="EG353" t="s">
        <v>226</v>
      </c>
      <c r="EH353" t="s">
        <v>265</v>
      </c>
      <c r="EI353" t="s">
        <v>236</v>
      </c>
      <c r="EK353" t="s">
        <v>236</v>
      </c>
      <c r="EM353" t="s">
        <v>236</v>
      </c>
      <c r="EO353" t="s">
        <v>236</v>
      </c>
      <c r="EQ353" t="s">
        <v>236</v>
      </c>
      <c r="ES353" t="s">
        <v>236</v>
      </c>
      <c r="EU353" t="s">
        <v>226</v>
      </c>
      <c r="EV353" t="s">
        <v>245</v>
      </c>
      <c r="EW353" t="s">
        <v>236</v>
      </c>
      <c r="EY353" t="s">
        <v>236</v>
      </c>
      <c r="FA353" t="s">
        <v>226</v>
      </c>
      <c r="FB353" t="s">
        <v>245</v>
      </c>
      <c r="FC353" t="s">
        <v>236</v>
      </c>
      <c r="FE353" t="s">
        <v>236</v>
      </c>
      <c r="FG353" t="s">
        <v>236</v>
      </c>
      <c r="FJ353" t="s">
        <v>226</v>
      </c>
      <c r="FK353" t="s">
        <v>245</v>
      </c>
      <c r="FL353" t="s">
        <v>226</v>
      </c>
      <c r="FM353" t="s">
        <v>226</v>
      </c>
      <c r="FN353" t="s">
        <v>2055</v>
      </c>
      <c r="FO353">
        <v>0</v>
      </c>
      <c r="FP353">
        <v>0</v>
      </c>
      <c r="FQ353">
        <v>1</v>
      </c>
      <c r="FR353">
        <v>0</v>
      </c>
      <c r="FS353">
        <v>0</v>
      </c>
      <c r="FU353" t="s">
        <v>236</v>
      </c>
      <c r="FW353" t="s">
        <v>236</v>
      </c>
      <c r="FZ353" t="s">
        <v>236</v>
      </c>
      <c r="GC353" t="s">
        <v>236</v>
      </c>
      <c r="GF353" t="s">
        <v>236</v>
      </c>
      <c r="GI353" t="s">
        <v>236</v>
      </c>
      <c r="GL353" t="s">
        <v>236</v>
      </c>
      <c r="GO353" t="s">
        <v>236</v>
      </c>
      <c r="GR353" t="s">
        <v>226</v>
      </c>
      <c r="GS353" t="s">
        <v>236</v>
      </c>
      <c r="GU353" t="s">
        <v>236</v>
      </c>
      <c r="GX353" t="s">
        <v>236</v>
      </c>
      <c r="HB353" t="s">
        <v>2056</v>
      </c>
      <c r="HC353" t="s">
        <v>2057</v>
      </c>
      <c r="HE353">
        <v>83187274</v>
      </c>
      <c r="HF353" t="s">
        <v>2058</v>
      </c>
      <c r="HG353" s="2">
        <v>45755.835856481477</v>
      </c>
      <c r="HJ353" t="s">
        <v>248</v>
      </c>
      <c r="HL353" t="s">
        <v>249</v>
      </c>
      <c r="HN353">
        <v>351</v>
      </c>
    </row>
    <row r="354" spans="1:222" x14ac:dyDescent="0.25">
      <c r="A354" s="2">
        <v>45755.627608541668</v>
      </c>
      <c r="B354" s="2">
        <v>45755.631956597223</v>
      </c>
      <c r="C354" t="s">
        <v>334</v>
      </c>
      <c r="D354">
        <v>466</v>
      </c>
      <c r="E354" s="2">
        <v>45732</v>
      </c>
      <c r="F354">
        <v>4</v>
      </c>
      <c r="G354" t="s">
        <v>1268</v>
      </c>
      <c r="H354" t="s">
        <v>270</v>
      </c>
      <c r="I354">
        <v>61</v>
      </c>
      <c r="J354" t="str">
        <f t="shared" si="5"/>
        <v>de 56 a más</v>
      </c>
      <c r="K354" t="s">
        <v>341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291</v>
      </c>
      <c r="R354" t="s">
        <v>226</v>
      </c>
      <c r="T354" t="s">
        <v>227</v>
      </c>
      <c r="V354" t="s">
        <v>252</v>
      </c>
      <c r="W354" t="s">
        <v>229</v>
      </c>
      <c r="X354" t="s">
        <v>350</v>
      </c>
      <c r="Z354" t="s">
        <v>231</v>
      </c>
      <c r="AA354" t="s">
        <v>376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I354" t="s">
        <v>233</v>
      </c>
      <c r="AJ354">
        <v>0</v>
      </c>
      <c r="AK354">
        <v>1</v>
      </c>
      <c r="AL354">
        <v>0</v>
      </c>
      <c r="AM354">
        <v>0</v>
      </c>
      <c r="AN354" t="s">
        <v>300</v>
      </c>
      <c r="AO354" t="s">
        <v>382</v>
      </c>
      <c r="AP354">
        <v>0</v>
      </c>
      <c r="AQ354">
        <v>0</v>
      </c>
      <c r="AR354">
        <v>1</v>
      </c>
      <c r="AS354">
        <v>0</v>
      </c>
      <c r="AT354">
        <v>0</v>
      </c>
      <c r="AU354">
        <v>0</v>
      </c>
      <c r="AV354">
        <v>0</v>
      </c>
      <c r="AX354" t="s">
        <v>236</v>
      </c>
      <c r="AZ354" t="s">
        <v>237</v>
      </c>
      <c r="BA354" t="s">
        <v>2051</v>
      </c>
      <c r="BB354" t="s">
        <v>825</v>
      </c>
      <c r="BE354" t="s">
        <v>259</v>
      </c>
      <c r="BF354" t="s">
        <v>237</v>
      </c>
      <c r="BG354" t="s">
        <v>237</v>
      </c>
      <c r="BH354" t="s">
        <v>259</v>
      </c>
      <c r="BI354" t="s">
        <v>237</v>
      </c>
      <c r="BJ354" t="s">
        <v>237</v>
      </c>
      <c r="BK354" t="s">
        <v>259</v>
      </c>
      <c r="BL354" t="s">
        <v>262</v>
      </c>
      <c r="BM354" t="s">
        <v>415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 t="s">
        <v>264</v>
      </c>
      <c r="CB354" t="s">
        <v>264</v>
      </c>
      <c r="CC354" t="s">
        <v>242</v>
      </c>
      <c r="CD354" t="s">
        <v>236</v>
      </c>
      <c r="CE354" t="s">
        <v>236</v>
      </c>
      <c r="EA354" t="s">
        <v>226</v>
      </c>
      <c r="EB354" t="s">
        <v>244</v>
      </c>
      <c r="EC354" t="s">
        <v>236</v>
      </c>
      <c r="EE354" t="s">
        <v>226</v>
      </c>
      <c r="EF354" t="s">
        <v>244</v>
      </c>
      <c r="EG354" t="s">
        <v>236</v>
      </c>
      <c r="EI354" t="s">
        <v>236</v>
      </c>
      <c r="EK354" t="s">
        <v>236</v>
      </c>
      <c r="EM354" t="s">
        <v>236</v>
      </c>
      <c r="EO354" t="s">
        <v>236</v>
      </c>
      <c r="EQ354" t="s">
        <v>236</v>
      </c>
      <c r="ES354" t="s">
        <v>236</v>
      </c>
      <c r="EU354" t="s">
        <v>236</v>
      </c>
      <c r="EW354" t="s">
        <v>236</v>
      </c>
      <c r="EY354" t="s">
        <v>236</v>
      </c>
      <c r="FA354" t="s">
        <v>236</v>
      </c>
      <c r="FC354" t="s">
        <v>236</v>
      </c>
      <c r="FE354" t="s">
        <v>236</v>
      </c>
      <c r="FG354" t="s">
        <v>236</v>
      </c>
      <c r="FJ354" t="s">
        <v>226</v>
      </c>
      <c r="FK354" t="s">
        <v>245</v>
      </c>
      <c r="FL354" t="s">
        <v>236</v>
      </c>
      <c r="FM354" t="s">
        <v>236</v>
      </c>
      <c r="FW354" t="s">
        <v>226</v>
      </c>
      <c r="FX354" t="s">
        <v>236</v>
      </c>
      <c r="FZ354" t="s">
        <v>236</v>
      </c>
      <c r="GC354" t="s">
        <v>236</v>
      </c>
      <c r="GF354" t="s">
        <v>226</v>
      </c>
      <c r="GG354" t="s">
        <v>236</v>
      </c>
      <c r="GI354" t="s">
        <v>236</v>
      </c>
      <c r="GL354" t="s">
        <v>236</v>
      </c>
      <c r="GO354" t="s">
        <v>226</v>
      </c>
      <c r="GP354" t="s">
        <v>236</v>
      </c>
      <c r="GR354" t="s">
        <v>226</v>
      </c>
      <c r="GS354" t="s">
        <v>236</v>
      </c>
      <c r="GU354" t="s">
        <v>236</v>
      </c>
      <c r="GX354" t="s">
        <v>236</v>
      </c>
      <c r="HB354" t="s">
        <v>338</v>
      </c>
      <c r="HC354" t="s">
        <v>288</v>
      </c>
      <c r="HE354">
        <v>83187756</v>
      </c>
      <c r="HF354" t="s">
        <v>2052</v>
      </c>
      <c r="HG354" s="2">
        <v>45755.840208333328</v>
      </c>
      <c r="HJ354" t="s">
        <v>248</v>
      </c>
      <c r="HL354" t="s">
        <v>249</v>
      </c>
      <c r="HN354">
        <v>352</v>
      </c>
    </row>
    <row r="355" spans="1:222" x14ac:dyDescent="0.25">
      <c r="A355" s="2">
        <v>45755.631957118057</v>
      </c>
      <c r="B355" s="2">
        <v>45755.635462245373</v>
      </c>
      <c r="C355" t="s">
        <v>334</v>
      </c>
      <c r="D355">
        <v>465</v>
      </c>
      <c r="E355" s="2">
        <v>45732</v>
      </c>
      <c r="F355">
        <v>4</v>
      </c>
      <c r="G355" t="s">
        <v>1268</v>
      </c>
      <c r="H355" t="s">
        <v>270</v>
      </c>
      <c r="I355">
        <v>57</v>
      </c>
      <c r="J355" t="str">
        <f t="shared" si="5"/>
        <v>de 56 a más</v>
      </c>
      <c r="K355" t="s">
        <v>341</v>
      </c>
      <c r="L355">
        <v>2</v>
      </c>
      <c r="M355">
        <v>0</v>
      </c>
      <c r="N355">
        <v>0</v>
      </c>
      <c r="O355">
        <v>0</v>
      </c>
      <c r="P355">
        <v>0</v>
      </c>
      <c r="Q355" t="s">
        <v>291</v>
      </c>
      <c r="R355" t="s">
        <v>236</v>
      </c>
      <c r="S355" t="s">
        <v>771</v>
      </c>
      <c r="T355" t="s">
        <v>227</v>
      </c>
      <c r="V355" t="s">
        <v>228</v>
      </c>
      <c r="W355" t="s">
        <v>229</v>
      </c>
      <c r="X355" t="s">
        <v>230</v>
      </c>
      <c r="Z355" t="s">
        <v>231</v>
      </c>
      <c r="AA355" t="s">
        <v>293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I355" t="s">
        <v>233</v>
      </c>
      <c r="AJ355">
        <v>0</v>
      </c>
      <c r="AK355">
        <v>1</v>
      </c>
      <c r="AL355">
        <v>0</v>
      </c>
      <c r="AM355">
        <v>0</v>
      </c>
      <c r="AN355" t="s">
        <v>300</v>
      </c>
      <c r="AO355" t="s">
        <v>353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X355" t="s">
        <v>236</v>
      </c>
      <c r="AZ355" t="s">
        <v>259</v>
      </c>
      <c r="BA355" t="s">
        <v>2046</v>
      </c>
      <c r="BB355" t="s">
        <v>2047</v>
      </c>
      <c r="BE355" t="s">
        <v>261</v>
      </c>
      <c r="BF355" t="s">
        <v>261</v>
      </c>
      <c r="BG355" t="s">
        <v>259</v>
      </c>
      <c r="BH355" t="s">
        <v>259</v>
      </c>
      <c r="BI355" t="s">
        <v>259</v>
      </c>
      <c r="BJ355" t="s">
        <v>259</v>
      </c>
      <c r="BK355" t="s">
        <v>259</v>
      </c>
      <c r="BL355" t="s">
        <v>313</v>
      </c>
      <c r="BM355" t="s">
        <v>415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 t="s">
        <v>242</v>
      </c>
      <c r="CB355" t="s">
        <v>242</v>
      </c>
      <c r="CC355" t="s">
        <v>264</v>
      </c>
      <c r="CD355" t="s">
        <v>236</v>
      </c>
      <c r="CE355" t="s">
        <v>236</v>
      </c>
      <c r="EA355" t="s">
        <v>236</v>
      </c>
      <c r="EC355" t="s">
        <v>236</v>
      </c>
      <c r="EE355" t="s">
        <v>236</v>
      </c>
      <c r="EG355" t="s">
        <v>236</v>
      </c>
      <c r="EI355" t="s">
        <v>236</v>
      </c>
      <c r="EK355" t="s">
        <v>236</v>
      </c>
      <c r="EM355" t="s">
        <v>236</v>
      </c>
      <c r="EO355" t="s">
        <v>236</v>
      </c>
      <c r="EQ355" t="s">
        <v>236</v>
      </c>
      <c r="ES355" t="s">
        <v>236</v>
      </c>
      <c r="EU355" t="s">
        <v>236</v>
      </c>
      <c r="EW355" t="s">
        <v>236</v>
      </c>
      <c r="EY355" t="s">
        <v>236</v>
      </c>
      <c r="FA355" t="s">
        <v>226</v>
      </c>
      <c r="FB355" t="s">
        <v>244</v>
      </c>
      <c r="FC355" t="s">
        <v>236</v>
      </c>
      <c r="FE355" t="s">
        <v>236</v>
      </c>
      <c r="FG355" t="s">
        <v>236</v>
      </c>
      <c r="FJ355" t="s">
        <v>226</v>
      </c>
      <c r="FK355" t="s">
        <v>265</v>
      </c>
      <c r="FL355" t="s">
        <v>226</v>
      </c>
      <c r="FM355" t="s">
        <v>236</v>
      </c>
      <c r="FW355" t="s">
        <v>236</v>
      </c>
      <c r="FZ355" t="s">
        <v>236</v>
      </c>
      <c r="GC355" t="s">
        <v>236</v>
      </c>
      <c r="GF355" t="s">
        <v>226</v>
      </c>
      <c r="GG355" t="s">
        <v>236</v>
      </c>
      <c r="GI355" t="s">
        <v>226</v>
      </c>
      <c r="GJ355" t="s">
        <v>236</v>
      </c>
      <c r="GL355" t="s">
        <v>236</v>
      </c>
      <c r="GO355" t="s">
        <v>236</v>
      </c>
      <c r="GR355" t="s">
        <v>226</v>
      </c>
      <c r="GS355" t="s">
        <v>236</v>
      </c>
      <c r="GU355" t="s">
        <v>236</v>
      </c>
      <c r="GX355" t="s">
        <v>236</v>
      </c>
      <c r="HB355" t="s">
        <v>2048</v>
      </c>
      <c r="HC355" t="s">
        <v>2049</v>
      </c>
      <c r="HE355">
        <v>83188003</v>
      </c>
      <c r="HF355" t="s">
        <v>2050</v>
      </c>
      <c r="HG355" s="2">
        <v>45755.843715277777</v>
      </c>
      <c r="HJ355" t="s">
        <v>248</v>
      </c>
      <c r="HL355" t="s">
        <v>249</v>
      </c>
      <c r="HN355">
        <v>353</v>
      </c>
    </row>
    <row r="356" spans="1:222" x14ac:dyDescent="0.25">
      <c r="A356" s="2">
        <v>45755.645283379628</v>
      </c>
      <c r="B356" s="2">
        <v>45755.668741157409</v>
      </c>
      <c r="C356" t="s">
        <v>270</v>
      </c>
      <c r="D356">
        <v>195</v>
      </c>
      <c r="E356" s="2">
        <v>45730</v>
      </c>
      <c r="F356">
        <v>4</v>
      </c>
      <c r="G356" t="s">
        <v>436</v>
      </c>
      <c r="H356" t="s">
        <v>270</v>
      </c>
      <c r="I356">
        <v>27</v>
      </c>
      <c r="J356" t="str">
        <f t="shared" si="5"/>
        <v>de 26 a 40 años</v>
      </c>
      <c r="K356" t="s">
        <v>341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291</v>
      </c>
      <c r="R356" t="s">
        <v>226</v>
      </c>
      <c r="T356" t="s">
        <v>227</v>
      </c>
      <c r="V356" t="s">
        <v>252</v>
      </c>
      <c r="W356" t="s">
        <v>229</v>
      </c>
      <c r="X356" t="s">
        <v>230</v>
      </c>
      <c r="Z356" t="s">
        <v>308</v>
      </c>
      <c r="AA356" t="s">
        <v>232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I356" t="s">
        <v>256</v>
      </c>
      <c r="AJ356">
        <v>0</v>
      </c>
      <c r="AK356">
        <v>0</v>
      </c>
      <c r="AL356">
        <v>1</v>
      </c>
      <c r="AM356">
        <v>0</v>
      </c>
      <c r="AN356" t="s">
        <v>257</v>
      </c>
      <c r="AO356" t="s">
        <v>369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 t="s">
        <v>551</v>
      </c>
      <c r="AX356" t="s">
        <v>226</v>
      </c>
      <c r="AY356" t="s">
        <v>226</v>
      </c>
      <c r="AZ356" t="s">
        <v>237</v>
      </c>
      <c r="BA356" t="s">
        <v>1217</v>
      </c>
      <c r="BB356" t="s">
        <v>1218</v>
      </c>
      <c r="BE356" t="s">
        <v>259</v>
      </c>
      <c r="BF356" t="s">
        <v>237</v>
      </c>
      <c r="BG356" t="s">
        <v>259</v>
      </c>
      <c r="BH356" t="s">
        <v>239</v>
      </c>
      <c r="BI356" t="s">
        <v>237</v>
      </c>
      <c r="BJ356" t="s">
        <v>237</v>
      </c>
      <c r="BK356" t="s">
        <v>239</v>
      </c>
      <c r="BL356" t="s">
        <v>313</v>
      </c>
      <c r="BM356" t="s">
        <v>278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 t="s">
        <v>264</v>
      </c>
      <c r="CB356" t="s">
        <v>328</v>
      </c>
      <c r="CC356" t="s">
        <v>328</v>
      </c>
      <c r="CD356" t="s">
        <v>236</v>
      </c>
      <c r="CE356" t="s">
        <v>236</v>
      </c>
      <c r="EA356" t="s">
        <v>236</v>
      </c>
      <c r="EC356" t="s">
        <v>236</v>
      </c>
      <c r="EE356" t="s">
        <v>226</v>
      </c>
      <c r="EF356" t="s">
        <v>245</v>
      </c>
      <c r="EG356" t="s">
        <v>236</v>
      </c>
      <c r="EI356" t="s">
        <v>236</v>
      </c>
      <c r="EK356" t="s">
        <v>236</v>
      </c>
      <c r="EM356" t="s">
        <v>226</v>
      </c>
      <c r="EN356" t="s">
        <v>245</v>
      </c>
      <c r="EO356" t="s">
        <v>236</v>
      </c>
      <c r="EQ356" t="s">
        <v>236</v>
      </c>
      <c r="ES356" t="s">
        <v>226</v>
      </c>
      <c r="ET356" t="s">
        <v>245</v>
      </c>
      <c r="EU356" t="s">
        <v>236</v>
      </c>
      <c r="EW356" t="s">
        <v>236</v>
      </c>
      <c r="EY356" t="s">
        <v>236</v>
      </c>
      <c r="FA356" t="s">
        <v>226</v>
      </c>
      <c r="FB356" t="s">
        <v>244</v>
      </c>
      <c r="FC356" t="s">
        <v>236</v>
      </c>
      <c r="FE356" t="s">
        <v>236</v>
      </c>
      <c r="FG356" t="s">
        <v>236</v>
      </c>
      <c r="FJ356" t="s">
        <v>226</v>
      </c>
      <c r="FK356" t="s">
        <v>244</v>
      </c>
      <c r="FL356" t="s">
        <v>236</v>
      </c>
      <c r="FM356" t="s">
        <v>236</v>
      </c>
      <c r="FW356" t="s">
        <v>236</v>
      </c>
      <c r="FZ356" t="s">
        <v>236</v>
      </c>
      <c r="GC356" t="s">
        <v>236</v>
      </c>
      <c r="GF356" t="s">
        <v>226</v>
      </c>
      <c r="GG356" t="s">
        <v>226</v>
      </c>
      <c r="GH356" t="s">
        <v>266</v>
      </c>
      <c r="GI356" t="s">
        <v>236</v>
      </c>
      <c r="GL356" t="s">
        <v>236</v>
      </c>
      <c r="GO356" t="s">
        <v>226</v>
      </c>
      <c r="GP356" t="s">
        <v>226</v>
      </c>
      <c r="GQ356" t="s">
        <v>267</v>
      </c>
      <c r="GR356" t="s">
        <v>226</v>
      </c>
      <c r="GS356" t="s">
        <v>226</v>
      </c>
      <c r="GT356" t="s">
        <v>266</v>
      </c>
      <c r="GU356" t="s">
        <v>236</v>
      </c>
      <c r="GX356" t="s">
        <v>236</v>
      </c>
      <c r="HB356" t="s">
        <v>338</v>
      </c>
      <c r="HC356" t="s">
        <v>1107</v>
      </c>
      <c r="HE356">
        <v>83190681</v>
      </c>
      <c r="HF356" t="s">
        <v>1219</v>
      </c>
      <c r="HG356" s="2">
        <v>45755.87699074074</v>
      </c>
      <c r="HJ356" t="s">
        <v>248</v>
      </c>
      <c r="HL356" t="s">
        <v>249</v>
      </c>
      <c r="HN356">
        <v>355</v>
      </c>
    </row>
    <row r="357" spans="1:222" x14ac:dyDescent="0.25">
      <c r="A357" s="2">
        <v>45755.668741666668</v>
      </c>
      <c r="B357" s="2">
        <v>45755.671772870373</v>
      </c>
      <c r="C357" t="s">
        <v>270</v>
      </c>
      <c r="D357">
        <v>194</v>
      </c>
      <c r="E357" s="2">
        <v>45730</v>
      </c>
      <c r="F357">
        <v>4</v>
      </c>
      <c r="G357" t="s">
        <v>413</v>
      </c>
      <c r="H357" t="s">
        <v>270</v>
      </c>
      <c r="I357">
        <v>34</v>
      </c>
      <c r="J357" t="str">
        <f t="shared" si="5"/>
        <v>de 26 a 40 años</v>
      </c>
      <c r="K357" t="s">
        <v>341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225</v>
      </c>
      <c r="R357" t="s">
        <v>226</v>
      </c>
      <c r="T357" t="s">
        <v>659</v>
      </c>
      <c r="V357" t="s">
        <v>252</v>
      </c>
      <c r="W357" t="s">
        <v>229</v>
      </c>
      <c r="X357" t="s">
        <v>230</v>
      </c>
      <c r="Z357" t="s">
        <v>231</v>
      </c>
      <c r="AA357" t="s">
        <v>232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I357" t="s">
        <v>233</v>
      </c>
      <c r="AJ357">
        <v>0</v>
      </c>
      <c r="AK357">
        <v>1</v>
      </c>
      <c r="AL357">
        <v>0</v>
      </c>
      <c r="AM357">
        <v>0</v>
      </c>
      <c r="AN357" t="s">
        <v>234</v>
      </c>
      <c r="AO357" t="s">
        <v>275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1</v>
      </c>
      <c r="AV357">
        <v>0</v>
      </c>
      <c r="AX357" t="s">
        <v>226</v>
      </c>
      <c r="AY357" t="s">
        <v>226</v>
      </c>
      <c r="AZ357" t="s">
        <v>237</v>
      </c>
      <c r="BA357" t="s">
        <v>1213</v>
      </c>
      <c r="BB357" t="s">
        <v>1214</v>
      </c>
      <c r="BE357" t="s">
        <v>237</v>
      </c>
      <c r="BF357" t="s">
        <v>237</v>
      </c>
      <c r="BG357" t="s">
        <v>237</v>
      </c>
      <c r="BH357" t="s">
        <v>237</v>
      </c>
      <c r="BI357" t="s">
        <v>237</v>
      </c>
      <c r="BJ357" t="s">
        <v>237</v>
      </c>
      <c r="BK357" t="s">
        <v>237</v>
      </c>
      <c r="BL357" t="s">
        <v>240</v>
      </c>
      <c r="BM357" t="s">
        <v>296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 t="s">
        <v>264</v>
      </c>
      <c r="CB357" t="s">
        <v>264</v>
      </c>
      <c r="CC357" t="s">
        <v>264</v>
      </c>
      <c r="CD357" t="s">
        <v>236</v>
      </c>
      <c r="CE357" t="s">
        <v>236</v>
      </c>
      <c r="EA357" t="s">
        <v>236</v>
      </c>
      <c r="EC357" t="s">
        <v>226</v>
      </c>
      <c r="ED357" t="s">
        <v>244</v>
      </c>
      <c r="EE357" t="s">
        <v>236</v>
      </c>
      <c r="EG357" t="s">
        <v>236</v>
      </c>
      <c r="EI357" t="s">
        <v>236</v>
      </c>
      <c r="EK357" t="s">
        <v>236</v>
      </c>
      <c r="EM357" t="s">
        <v>236</v>
      </c>
      <c r="EO357" t="s">
        <v>236</v>
      </c>
      <c r="EQ357" t="s">
        <v>236</v>
      </c>
      <c r="ES357" t="s">
        <v>236</v>
      </c>
      <c r="EU357" t="s">
        <v>236</v>
      </c>
      <c r="EW357" t="s">
        <v>236</v>
      </c>
      <c r="EY357" t="s">
        <v>236</v>
      </c>
      <c r="FA357" t="s">
        <v>236</v>
      </c>
      <c r="FC357" t="s">
        <v>236</v>
      </c>
      <c r="FE357" t="s">
        <v>236</v>
      </c>
      <c r="FG357" t="s">
        <v>236</v>
      </c>
      <c r="FJ357" t="s">
        <v>236</v>
      </c>
      <c r="FM357" t="s">
        <v>236</v>
      </c>
      <c r="FW357" t="s">
        <v>236</v>
      </c>
      <c r="FZ357" t="s">
        <v>236</v>
      </c>
      <c r="GC357" t="s">
        <v>236</v>
      </c>
      <c r="GF357" t="s">
        <v>236</v>
      </c>
      <c r="GI357" t="s">
        <v>236</v>
      </c>
      <c r="GL357" t="s">
        <v>236</v>
      </c>
      <c r="GO357" t="s">
        <v>226</v>
      </c>
      <c r="GP357" t="s">
        <v>226</v>
      </c>
      <c r="GQ357" t="s">
        <v>267</v>
      </c>
      <c r="GR357" t="s">
        <v>226</v>
      </c>
      <c r="GS357" t="s">
        <v>226</v>
      </c>
      <c r="GT357" t="s">
        <v>267</v>
      </c>
      <c r="GU357" t="s">
        <v>236</v>
      </c>
      <c r="GX357" t="s">
        <v>236</v>
      </c>
      <c r="HB357" t="s">
        <v>1215</v>
      </c>
      <c r="HE357">
        <v>83190920</v>
      </c>
      <c r="HF357" t="s">
        <v>1216</v>
      </c>
      <c r="HG357" s="2">
        <v>45755.880011574067</v>
      </c>
      <c r="HJ357" t="s">
        <v>248</v>
      </c>
      <c r="HL357" t="s">
        <v>249</v>
      </c>
      <c r="HN357">
        <v>356</v>
      </c>
    </row>
    <row r="358" spans="1:222" x14ac:dyDescent="0.25">
      <c r="A358" s="2">
        <v>45755.671773321759</v>
      </c>
      <c r="B358" s="2">
        <v>45755.674895150463</v>
      </c>
      <c r="C358" t="s">
        <v>270</v>
      </c>
      <c r="D358">
        <v>193</v>
      </c>
      <c r="E358" s="2">
        <v>45730</v>
      </c>
      <c r="F358">
        <v>4</v>
      </c>
      <c r="G358" t="s">
        <v>436</v>
      </c>
      <c r="H358" t="s">
        <v>270</v>
      </c>
      <c r="I358">
        <v>28</v>
      </c>
      <c r="J358" t="str">
        <f t="shared" si="5"/>
        <v>de 26 a 40 años</v>
      </c>
      <c r="K358" t="s">
        <v>224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291</v>
      </c>
      <c r="R358" t="s">
        <v>226</v>
      </c>
      <c r="T358" t="s">
        <v>227</v>
      </c>
      <c r="V358" t="s">
        <v>321</v>
      </c>
      <c r="W358" t="s">
        <v>229</v>
      </c>
      <c r="X358" t="s">
        <v>230</v>
      </c>
      <c r="Z358" t="s">
        <v>231</v>
      </c>
      <c r="AA358" t="s">
        <v>232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I358" t="s">
        <v>1209</v>
      </c>
      <c r="AJ358">
        <v>0</v>
      </c>
      <c r="AK358">
        <v>0</v>
      </c>
      <c r="AL358">
        <v>0</v>
      </c>
      <c r="AM358">
        <v>1</v>
      </c>
      <c r="AN358" t="s">
        <v>257</v>
      </c>
      <c r="AO358" t="s">
        <v>235</v>
      </c>
      <c r="AP358">
        <v>0</v>
      </c>
      <c r="AQ358">
        <v>0</v>
      </c>
      <c r="AR358">
        <v>0</v>
      </c>
      <c r="AS358">
        <v>1</v>
      </c>
      <c r="AT358">
        <v>0</v>
      </c>
      <c r="AU358">
        <v>0</v>
      </c>
      <c r="AV358">
        <v>0</v>
      </c>
      <c r="AX358" t="s">
        <v>226</v>
      </c>
      <c r="AY358" t="s">
        <v>226</v>
      </c>
      <c r="AZ358" t="s">
        <v>259</v>
      </c>
      <c r="BA358" t="s">
        <v>552</v>
      </c>
      <c r="BB358" t="s">
        <v>1210</v>
      </c>
      <c r="BE358" t="s">
        <v>259</v>
      </c>
      <c r="BF358" t="s">
        <v>237</v>
      </c>
      <c r="BG358" t="s">
        <v>259</v>
      </c>
      <c r="BH358" t="s">
        <v>237</v>
      </c>
      <c r="BI358" t="s">
        <v>237</v>
      </c>
      <c r="BJ358" t="s">
        <v>237</v>
      </c>
      <c r="BK358" t="s">
        <v>259</v>
      </c>
      <c r="BL358" t="s">
        <v>262</v>
      </c>
      <c r="BM358" t="s">
        <v>591</v>
      </c>
      <c r="BN358">
        <v>0</v>
      </c>
      <c r="BO358">
        <v>1</v>
      </c>
      <c r="BP358">
        <v>0</v>
      </c>
      <c r="BQ358">
        <v>0</v>
      </c>
      <c r="BR358">
        <v>1</v>
      </c>
      <c r="BS358">
        <v>1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 t="s">
        <v>264</v>
      </c>
      <c r="CB358" t="s">
        <v>264</v>
      </c>
      <c r="CC358" t="s">
        <v>264</v>
      </c>
      <c r="CD358" t="s">
        <v>226</v>
      </c>
      <c r="CE358" t="s">
        <v>236</v>
      </c>
      <c r="EA358" t="s">
        <v>236</v>
      </c>
      <c r="EC358" t="s">
        <v>236</v>
      </c>
      <c r="EE358" t="s">
        <v>236</v>
      </c>
      <c r="EG358" t="s">
        <v>226</v>
      </c>
      <c r="EH358" t="s">
        <v>245</v>
      </c>
      <c r="EI358" t="s">
        <v>226</v>
      </c>
      <c r="EJ358" t="s">
        <v>265</v>
      </c>
      <c r="EK358" t="s">
        <v>236</v>
      </c>
      <c r="EM358" t="s">
        <v>236</v>
      </c>
      <c r="EO358" t="s">
        <v>236</v>
      </c>
      <c r="EQ358" t="s">
        <v>236</v>
      </c>
      <c r="ES358" t="s">
        <v>236</v>
      </c>
      <c r="EU358" t="s">
        <v>236</v>
      </c>
      <c r="EW358" t="s">
        <v>236</v>
      </c>
      <c r="EY358" t="s">
        <v>236</v>
      </c>
      <c r="FA358" t="s">
        <v>226</v>
      </c>
      <c r="FB358" t="s">
        <v>244</v>
      </c>
      <c r="FC358" t="s">
        <v>236</v>
      </c>
      <c r="FE358" t="s">
        <v>226</v>
      </c>
      <c r="FF358" t="s">
        <v>244</v>
      </c>
      <c r="FG358" t="s">
        <v>236</v>
      </c>
      <c r="FJ358" t="s">
        <v>226</v>
      </c>
      <c r="FK358" t="s">
        <v>245</v>
      </c>
      <c r="FL358" t="s">
        <v>226</v>
      </c>
      <c r="FM358" t="s">
        <v>236</v>
      </c>
      <c r="FW358" t="s">
        <v>226</v>
      </c>
      <c r="FX358" t="s">
        <v>226</v>
      </c>
      <c r="FY358" t="s">
        <v>308</v>
      </c>
      <c r="FZ358" t="s">
        <v>236</v>
      </c>
      <c r="GC358" t="s">
        <v>236</v>
      </c>
      <c r="GF358" t="s">
        <v>226</v>
      </c>
      <c r="GG358" t="s">
        <v>226</v>
      </c>
      <c r="GH358" t="s">
        <v>570</v>
      </c>
      <c r="GI358" t="s">
        <v>236</v>
      </c>
      <c r="GL358" t="s">
        <v>236</v>
      </c>
      <c r="GO358" t="s">
        <v>226</v>
      </c>
      <c r="GP358" t="s">
        <v>226</v>
      </c>
      <c r="GQ358" t="s">
        <v>266</v>
      </c>
      <c r="GR358" t="s">
        <v>226</v>
      </c>
      <c r="GS358" t="s">
        <v>226</v>
      </c>
      <c r="GT358" t="s">
        <v>266</v>
      </c>
      <c r="GU358" t="s">
        <v>236</v>
      </c>
      <c r="GX358" t="s">
        <v>236</v>
      </c>
      <c r="HB358" t="s">
        <v>1211</v>
      </c>
      <c r="HC358" t="s">
        <v>734</v>
      </c>
      <c r="HE358">
        <v>83191235</v>
      </c>
      <c r="HF358" t="s">
        <v>1212</v>
      </c>
      <c r="HG358" s="2">
        <v>45755.883148148147</v>
      </c>
      <c r="HJ358" t="s">
        <v>248</v>
      </c>
      <c r="HL358" t="s">
        <v>249</v>
      </c>
      <c r="HN358">
        <v>357</v>
      </c>
    </row>
    <row r="359" spans="1:222" x14ac:dyDescent="0.25">
      <c r="A359" s="2">
        <v>45755.674895752323</v>
      </c>
      <c r="B359" s="2">
        <v>45755.678226006938</v>
      </c>
      <c r="C359" t="s">
        <v>270</v>
      </c>
      <c r="D359">
        <v>192</v>
      </c>
      <c r="E359" s="2">
        <v>45730</v>
      </c>
      <c r="F359">
        <v>4</v>
      </c>
      <c r="G359" t="s">
        <v>367</v>
      </c>
      <c r="H359" t="s">
        <v>270</v>
      </c>
      <c r="I359">
        <v>26</v>
      </c>
      <c r="J359" t="str">
        <f t="shared" si="5"/>
        <v>de 26 a 40 años</v>
      </c>
      <c r="K359" t="s">
        <v>341</v>
      </c>
      <c r="L359">
        <v>3</v>
      </c>
      <c r="M359">
        <v>0</v>
      </c>
      <c r="N359">
        <v>0</v>
      </c>
      <c r="O359">
        <v>0</v>
      </c>
      <c r="P359">
        <v>0</v>
      </c>
      <c r="Q359" t="s">
        <v>225</v>
      </c>
      <c r="R359" t="s">
        <v>226</v>
      </c>
      <c r="T359" t="s">
        <v>227</v>
      </c>
      <c r="V359" t="s">
        <v>252</v>
      </c>
      <c r="W359" t="s">
        <v>229</v>
      </c>
      <c r="X359" t="s">
        <v>230</v>
      </c>
      <c r="Z359" t="s">
        <v>231</v>
      </c>
      <c r="AA359" t="s">
        <v>232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I359" t="s">
        <v>233</v>
      </c>
      <c r="AJ359">
        <v>0</v>
      </c>
      <c r="AK359">
        <v>1</v>
      </c>
      <c r="AL359">
        <v>0</v>
      </c>
      <c r="AM359">
        <v>0</v>
      </c>
      <c r="AN359" t="s">
        <v>234</v>
      </c>
      <c r="AO359" t="s">
        <v>258</v>
      </c>
      <c r="AP359">
        <v>1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0</v>
      </c>
      <c r="AX359" t="s">
        <v>226</v>
      </c>
      <c r="AY359" t="s">
        <v>226</v>
      </c>
      <c r="AZ359" t="s">
        <v>259</v>
      </c>
      <c r="BA359" t="s">
        <v>1206</v>
      </c>
      <c r="BE359" t="s">
        <v>237</v>
      </c>
      <c r="BF359" t="s">
        <v>237</v>
      </c>
      <c r="BG359" t="s">
        <v>237</v>
      </c>
      <c r="BH359" t="s">
        <v>237</v>
      </c>
      <c r="BI359" t="s">
        <v>237</v>
      </c>
      <c r="BJ359" t="s">
        <v>237</v>
      </c>
      <c r="BK359" t="s">
        <v>259</v>
      </c>
      <c r="BL359" t="s">
        <v>262</v>
      </c>
      <c r="BM359" t="s">
        <v>614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1</v>
      </c>
      <c r="BX359">
        <v>0</v>
      </c>
      <c r="BY359">
        <v>0</v>
      </c>
      <c r="BZ359">
        <v>0</v>
      </c>
      <c r="CA359" t="s">
        <v>264</v>
      </c>
      <c r="CB359" t="s">
        <v>264</v>
      </c>
      <c r="CC359" t="s">
        <v>264</v>
      </c>
      <c r="CD359" t="s">
        <v>236</v>
      </c>
      <c r="CE359" t="s">
        <v>236</v>
      </c>
      <c r="EA359" t="s">
        <v>236</v>
      </c>
      <c r="EC359" t="s">
        <v>236</v>
      </c>
      <c r="EE359" t="s">
        <v>226</v>
      </c>
      <c r="EF359" t="s">
        <v>245</v>
      </c>
      <c r="EG359" t="s">
        <v>226</v>
      </c>
      <c r="EH359" t="s">
        <v>245</v>
      </c>
      <c r="EI359" t="s">
        <v>236</v>
      </c>
      <c r="EK359" t="s">
        <v>236</v>
      </c>
      <c r="EM359" t="s">
        <v>226</v>
      </c>
      <c r="EN359" t="s">
        <v>265</v>
      </c>
      <c r="EO359" t="s">
        <v>226</v>
      </c>
      <c r="EP359" t="s">
        <v>265</v>
      </c>
      <c r="EQ359" t="s">
        <v>226</v>
      </c>
      <c r="ER359" t="s">
        <v>245</v>
      </c>
      <c r="ES359" t="s">
        <v>226</v>
      </c>
      <c r="ET359" t="s">
        <v>265</v>
      </c>
      <c r="EU359" t="s">
        <v>226</v>
      </c>
      <c r="EV359" t="s">
        <v>265</v>
      </c>
      <c r="EW359" t="s">
        <v>236</v>
      </c>
      <c r="EY359" t="s">
        <v>236</v>
      </c>
      <c r="FA359" t="s">
        <v>226</v>
      </c>
      <c r="FB359" t="s">
        <v>245</v>
      </c>
      <c r="FC359" t="s">
        <v>236</v>
      </c>
      <c r="FE359" t="s">
        <v>236</v>
      </c>
      <c r="FG359" t="s">
        <v>236</v>
      </c>
      <c r="FJ359" t="s">
        <v>226</v>
      </c>
      <c r="FK359" t="s">
        <v>245</v>
      </c>
      <c r="FL359" t="s">
        <v>236</v>
      </c>
      <c r="FM359" t="s">
        <v>236</v>
      </c>
      <c r="FW359" t="s">
        <v>226</v>
      </c>
      <c r="FX359" t="s">
        <v>226</v>
      </c>
      <c r="FY359" t="s">
        <v>266</v>
      </c>
      <c r="FZ359" t="s">
        <v>226</v>
      </c>
      <c r="GA359" t="s">
        <v>226</v>
      </c>
      <c r="GB359" t="s">
        <v>266</v>
      </c>
      <c r="GC359" t="s">
        <v>236</v>
      </c>
      <c r="GF359" t="s">
        <v>226</v>
      </c>
      <c r="GG359" t="s">
        <v>226</v>
      </c>
      <c r="GH359" t="s">
        <v>266</v>
      </c>
      <c r="GI359" t="s">
        <v>236</v>
      </c>
      <c r="GL359" t="s">
        <v>226</v>
      </c>
      <c r="GM359" t="s">
        <v>226</v>
      </c>
      <c r="GN359" t="s">
        <v>266</v>
      </c>
      <c r="GO359" t="s">
        <v>226</v>
      </c>
      <c r="GP359" t="s">
        <v>226</v>
      </c>
      <c r="GQ359" t="s">
        <v>267</v>
      </c>
      <c r="GR359" t="s">
        <v>226</v>
      </c>
      <c r="GS359" t="s">
        <v>226</v>
      </c>
      <c r="GT359" t="s">
        <v>267</v>
      </c>
      <c r="GU359" t="s">
        <v>226</v>
      </c>
      <c r="GV359" t="s">
        <v>226</v>
      </c>
      <c r="GW359" t="s">
        <v>267</v>
      </c>
      <c r="GX359" t="s">
        <v>236</v>
      </c>
      <c r="HB359" t="s">
        <v>1207</v>
      </c>
      <c r="HE359">
        <v>83191649</v>
      </c>
      <c r="HF359" t="s">
        <v>1208</v>
      </c>
      <c r="HG359" s="2">
        <v>45755.886469907397</v>
      </c>
      <c r="HJ359" t="s">
        <v>248</v>
      </c>
      <c r="HL359" t="s">
        <v>249</v>
      </c>
      <c r="HN359">
        <v>358</v>
      </c>
    </row>
    <row r="360" spans="1:222" x14ac:dyDescent="0.25">
      <c r="A360" s="2">
        <v>45755.678226562501</v>
      </c>
      <c r="B360" s="2">
        <v>45755.681000798613</v>
      </c>
      <c r="C360" t="s">
        <v>270</v>
      </c>
      <c r="D360">
        <v>191</v>
      </c>
      <c r="E360" s="2">
        <v>45730</v>
      </c>
      <c r="F360">
        <v>4</v>
      </c>
      <c r="G360" t="s">
        <v>413</v>
      </c>
      <c r="H360" t="s">
        <v>270</v>
      </c>
      <c r="I360">
        <v>69</v>
      </c>
      <c r="J360" t="str">
        <f t="shared" si="5"/>
        <v>de 56 a más</v>
      </c>
      <c r="K360" t="s">
        <v>341</v>
      </c>
      <c r="L360">
        <v>1</v>
      </c>
      <c r="M360">
        <v>0</v>
      </c>
      <c r="N360">
        <v>0</v>
      </c>
      <c r="O360">
        <v>0</v>
      </c>
      <c r="P360">
        <v>0</v>
      </c>
      <c r="Q360" t="s">
        <v>225</v>
      </c>
      <c r="R360" t="s">
        <v>226</v>
      </c>
      <c r="T360" t="s">
        <v>227</v>
      </c>
      <c r="V360" t="s">
        <v>272</v>
      </c>
      <c r="W360" t="s">
        <v>229</v>
      </c>
      <c r="X360" t="s">
        <v>230</v>
      </c>
      <c r="Z360" t="s">
        <v>273</v>
      </c>
      <c r="AA360" t="s">
        <v>232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I360" t="s">
        <v>311</v>
      </c>
      <c r="AJ360">
        <v>0</v>
      </c>
      <c r="AK360">
        <v>1</v>
      </c>
      <c r="AL360">
        <v>1</v>
      </c>
      <c r="AM360">
        <v>0</v>
      </c>
      <c r="AN360" t="s">
        <v>300</v>
      </c>
      <c r="AO360" t="s">
        <v>275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1</v>
      </c>
      <c r="AV360">
        <v>0</v>
      </c>
      <c r="AX360" t="s">
        <v>236</v>
      </c>
      <c r="AZ360" t="s">
        <v>362</v>
      </c>
      <c r="BA360" t="s">
        <v>1201</v>
      </c>
      <c r="BB360" t="s">
        <v>1202</v>
      </c>
      <c r="BE360" t="s">
        <v>259</v>
      </c>
      <c r="BF360" t="s">
        <v>259</v>
      </c>
      <c r="BG360" t="s">
        <v>259</v>
      </c>
      <c r="BH360" t="s">
        <v>308</v>
      </c>
      <c r="BI360" t="s">
        <v>308</v>
      </c>
      <c r="BJ360" t="s">
        <v>237</v>
      </c>
      <c r="BK360" t="s">
        <v>237</v>
      </c>
      <c r="BL360" t="s">
        <v>240</v>
      </c>
      <c r="BM360" t="s">
        <v>930</v>
      </c>
      <c r="BN360">
        <v>1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 t="s">
        <v>264</v>
      </c>
      <c r="CB360" t="s">
        <v>264</v>
      </c>
      <c r="CC360" t="s">
        <v>264</v>
      </c>
      <c r="CD360" t="s">
        <v>236</v>
      </c>
      <c r="CE360" t="s">
        <v>236</v>
      </c>
      <c r="EA360" t="s">
        <v>226</v>
      </c>
      <c r="EB360" t="s">
        <v>245</v>
      </c>
      <c r="EC360" t="s">
        <v>226</v>
      </c>
      <c r="ED360" t="s">
        <v>245</v>
      </c>
      <c r="EE360" t="s">
        <v>226</v>
      </c>
      <c r="EF360" t="s">
        <v>244</v>
      </c>
      <c r="EG360" t="s">
        <v>236</v>
      </c>
      <c r="EI360" t="s">
        <v>236</v>
      </c>
      <c r="EK360" t="s">
        <v>236</v>
      </c>
      <c r="EM360" t="s">
        <v>236</v>
      </c>
      <c r="EO360" t="s">
        <v>236</v>
      </c>
      <c r="EQ360" t="s">
        <v>236</v>
      </c>
      <c r="ES360" t="s">
        <v>236</v>
      </c>
      <c r="EU360" t="s">
        <v>236</v>
      </c>
      <c r="EW360" t="s">
        <v>236</v>
      </c>
      <c r="EY360" t="s">
        <v>236</v>
      </c>
      <c r="FA360" t="s">
        <v>226</v>
      </c>
      <c r="FB360" t="s">
        <v>244</v>
      </c>
      <c r="FC360" t="s">
        <v>236</v>
      </c>
      <c r="FE360" t="s">
        <v>236</v>
      </c>
      <c r="FG360" t="s">
        <v>236</v>
      </c>
      <c r="FJ360" t="s">
        <v>236</v>
      </c>
      <c r="FM360" t="s">
        <v>236</v>
      </c>
      <c r="FW360" t="s">
        <v>226</v>
      </c>
      <c r="FX360" t="s">
        <v>236</v>
      </c>
      <c r="FZ360" t="s">
        <v>236</v>
      </c>
      <c r="GC360" t="s">
        <v>236</v>
      </c>
      <c r="GF360" t="s">
        <v>236</v>
      </c>
      <c r="GI360" t="s">
        <v>236</v>
      </c>
      <c r="GL360" t="s">
        <v>236</v>
      </c>
      <c r="GO360" t="s">
        <v>226</v>
      </c>
      <c r="GP360" t="s">
        <v>226</v>
      </c>
      <c r="GQ360" t="s">
        <v>266</v>
      </c>
      <c r="GR360" t="s">
        <v>226</v>
      </c>
      <c r="GS360" t="s">
        <v>226</v>
      </c>
      <c r="GT360" t="s">
        <v>266</v>
      </c>
      <c r="GU360" t="s">
        <v>236</v>
      </c>
      <c r="GX360" t="s">
        <v>236</v>
      </c>
      <c r="HB360" t="s">
        <v>1203</v>
      </c>
      <c r="HC360" t="s">
        <v>1204</v>
      </c>
      <c r="HE360">
        <v>83192073</v>
      </c>
      <c r="HF360" t="s">
        <v>1205</v>
      </c>
      <c r="HG360" s="2">
        <v>45755.889247685183</v>
      </c>
      <c r="HJ360" t="s">
        <v>248</v>
      </c>
      <c r="HL360" t="s">
        <v>249</v>
      </c>
      <c r="HN360">
        <v>359</v>
      </c>
    </row>
    <row r="361" spans="1:222" x14ac:dyDescent="0.25">
      <c r="A361" s="2">
        <v>45756.342265868057</v>
      </c>
      <c r="B361" s="2">
        <v>45756.369830995369</v>
      </c>
      <c r="C361" t="s">
        <v>334</v>
      </c>
      <c r="D361">
        <v>464</v>
      </c>
      <c r="E361" s="2">
        <v>45732</v>
      </c>
      <c r="F361">
        <v>4</v>
      </c>
      <c r="G361" t="s">
        <v>436</v>
      </c>
      <c r="H361" t="s">
        <v>270</v>
      </c>
      <c r="I361">
        <v>29</v>
      </c>
      <c r="J361" t="str">
        <f t="shared" si="5"/>
        <v>de 26 a 40 años</v>
      </c>
      <c r="K361" t="s">
        <v>224</v>
      </c>
      <c r="L361">
        <v>1</v>
      </c>
      <c r="M361">
        <v>0</v>
      </c>
      <c r="N361">
        <v>0</v>
      </c>
      <c r="O361">
        <v>0</v>
      </c>
      <c r="P361">
        <v>0</v>
      </c>
      <c r="Q361" t="s">
        <v>291</v>
      </c>
      <c r="R361" t="s">
        <v>226</v>
      </c>
      <c r="T361" t="s">
        <v>227</v>
      </c>
      <c r="V361" t="s">
        <v>228</v>
      </c>
      <c r="W361" t="s">
        <v>229</v>
      </c>
      <c r="X361" t="s">
        <v>230</v>
      </c>
      <c r="Z361" t="s">
        <v>231</v>
      </c>
      <c r="AA361" t="s">
        <v>232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0</v>
      </c>
      <c r="AI361" t="s">
        <v>256</v>
      </c>
      <c r="AJ361">
        <v>0</v>
      </c>
      <c r="AK361">
        <v>0</v>
      </c>
      <c r="AL361">
        <v>1</v>
      </c>
      <c r="AM361">
        <v>0</v>
      </c>
      <c r="AN361" t="s">
        <v>300</v>
      </c>
      <c r="AO361" t="s">
        <v>444</v>
      </c>
      <c r="AP361">
        <v>1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 t="s">
        <v>445</v>
      </c>
      <c r="AX361" t="s">
        <v>226</v>
      </c>
      <c r="AY361" t="s">
        <v>226</v>
      </c>
      <c r="AZ361" t="s">
        <v>362</v>
      </c>
      <c r="BA361" t="s">
        <v>446</v>
      </c>
      <c r="BE361" t="s">
        <v>239</v>
      </c>
      <c r="BF361" t="s">
        <v>237</v>
      </c>
      <c r="BG361" t="s">
        <v>259</v>
      </c>
      <c r="BH361" t="s">
        <v>239</v>
      </c>
      <c r="BI361" t="s">
        <v>237</v>
      </c>
      <c r="BJ361" t="s">
        <v>237</v>
      </c>
      <c r="BK361" t="s">
        <v>239</v>
      </c>
      <c r="BL361" t="s">
        <v>262</v>
      </c>
      <c r="BM361" t="s">
        <v>447</v>
      </c>
      <c r="BN361">
        <v>1</v>
      </c>
      <c r="BO361">
        <v>1</v>
      </c>
      <c r="BP361">
        <v>1</v>
      </c>
      <c r="BQ361">
        <v>0</v>
      </c>
      <c r="BR361">
        <v>1</v>
      </c>
      <c r="BS361">
        <v>1</v>
      </c>
      <c r="BT361">
        <v>1</v>
      </c>
      <c r="BU361">
        <v>0</v>
      </c>
      <c r="BV361">
        <v>0</v>
      </c>
      <c r="BW361">
        <v>0</v>
      </c>
      <c r="BX361">
        <v>1</v>
      </c>
      <c r="BY361">
        <v>1</v>
      </c>
      <c r="BZ361">
        <v>0</v>
      </c>
      <c r="CA361" t="s">
        <v>242</v>
      </c>
      <c r="CB361" t="s">
        <v>328</v>
      </c>
      <c r="CC361" t="s">
        <v>328</v>
      </c>
      <c r="CD361" t="s">
        <v>236</v>
      </c>
      <c r="CE361" t="s">
        <v>236</v>
      </c>
      <c r="EA361" t="s">
        <v>236</v>
      </c>
      <c r="EC361" t="s">
        <v>236</v>
      </c>
      <c r="EE361" t="s">
        <v>226</v>
      </c>
      <c r="EF361" t="s">
        <v>244</v>
      </c>
      <c r="EG361" t="s">
        <v>226</v>
      </c>
      <c r="EH361" t="s">
        <v>244</v>
      </c>
      <c r="EI361" t="s">
        <v>308</v>
      </c>
      <c r="EK361" t="s">
        <v>226</v>
      </c>
      <c r="EL361" t="s">
        <v>244</v>
      </c>
      <c r="EM361" t="s">
        <v>226</v>
      </c>
      <c r="EN361" t="s">
        <v>244</v>
      </c>
      <c r="EO361" t="s">
        <v>226</v>
      </c>
      <c r="EP361" t="s">
        <v>244</v>
      </c>
      <c r="EQ361" t="s">
        <v>236</v>
      </c>
      <c r="ES361" t="s">
        <v>236</v>
      </c>
      <c r="EU361" t="s">
        <v>236</v>
      </c>
      <c r="EW361" t="s">
        <v>236</v>
      </c>
      <c r="EY361" t="s">
        <v>236</v>
      </c>
      <c r="FA361" t="s">
        <v>226</v>
      </c>
      <c r="FB361" t="s">
        <v>244</v>
      </c>
      <c r="FC361" t="s">
        <v>236</v>
      </c>
      <c r="FE361" t="s">
        <v>236</v>
      </c>
      <c r="FG361" t="s">
        <v>236</v>
      </c>
      <c r="FJ361" t="s">
        <v>226</v>
      </c>
      <c r="FK361" t="s">
        <v>245</v>
      </c>
      <c r="FL361" t="s">
        <v>226</v>
      </c>
      <c r="FM361" t="s">
        <v>236</v>
      </c>
      <c r="FW361" t="s">
        <v>226</v>
      </c>
      <c r="FX361" t="s">
        <v>226</v>
      </c>
      <c r="FY361" t="s">
        <v>266</v>
      </c>
      <c r="FZ361" t="s">
        <v>226</v>
      </c>
      <c r="GA361" t="s">
        <v>226</v>
      </c>
      <c r="GB361" t="s">
        <v>266</v>
      </c>
      <c r="GC361" t="s">
        <v>226</v>
      </c>
      <c r="GD361" t="s">
        <v>226</v>
      </c>
      <c r="GE361" t="s">
        <v>266</v>
      </c>
      <c r="GF361" t="s">
        <v>226</v>
      </c>
      <c r="GG361" t="s">
        <v>226</v>
      </c>
      <c r="GH361" t="s">
        <v>266</v>
      </c>
      <c r="GI361" t="s">
        <v>236</v>
      </c>
      <c r="GL361" t="s">
        <v>236</v>
      </c>
      <c r="GO361" t="s">
        <v>226</v>
      </c>
      <c r="GP361" t="s">
        <v>226</v>
      </c>
      <c r="GQ361" t="s">
        <v>267</v>
      </c>
      <c r="GR361" t="s">
        <v>226</v>
      </c>
      <c r="GS361" t="s">
        <v>226</v>
      </c>
      <c r="GT361" t="s">
        <v>266</v>
      </c>
      <c r="GU361" t="s">
        <v>236</v>
      </c>
      <c r="GX361" t="s">
        <v>236</v>
      </c>
      <c r="HB361" t="s">
        <v>448</v>
      </c>
      <c r="HE361">
        <v>83275370</v>
      </c>
      <c r="HF361" t="s">
        <v>449</v>
      </c>
      <c r="HG361" s="2">
        <v>45756.5780787037</v>
      </c>
      <c r="HJ361" t="s">
        <v>248</v>
      </c>
      <c r="HL361" t="s">
        <v>249</v>
      </c>
      <c r="HN361">
        <v>360</v>
      </c>
    </row>
    <row r="362" spans="1:222" x14ac:dyDescent="0.25">
      <c r="A362" s="2">
        <v>45756.362487407408</v>
      </c>
      <c r="B362" s="2">
        <v>45756.373026875001</v>
      </c>
      <c r="C362" t="s">
        <v>270</v>
      </c>
      <c r="D362">
        <v>185</v>
      </c>
      <c r="E362" s="2">
        <v>45730</v>
      </c>
      <c r="F362">
        <v>4</v>
      </c>
      <c r="G362" t="s">
        <v>436</v>
      </c>
      <c r="H362" t="s">
        <v>270</v>
      </c>
      <c r="I362">
        <v>62</v>
      </c>
      <c r="J362" t="str">
        <f t="shared" si="5"/>
        <v>de 56 a más</v>
      </c>
      <c r="K362" t="s">
        <v>341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291</v>
      </c>
      <c r="R362" t="s">
        <v>226</v>
      </c>
      <c r="T362" t="s">
        <v>227</v>
      </c>
      <c r="V362" t="s">
        <v>252</v>
      </c>
      <c r="W362" t="s">
        <v>229</v>
      </c>
      <c r="X362" t="s">
        <v>368</v>
      </c>
      <c r="Z362" t="s">
        <v>308</v>
      </c>
      <c r="AA362" t="s">
        <v>232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0</v>
      </c>
      <c r="AI362" t="s">
        <v>233</v>
      </c>
      <c r="AJ362">
        <v>0</v>
      </c>
      <c r="AK362">
        <v>1</v>
      </c>
      <c r="AL362">
        <v>0</v>
      </c>
      <c r="AM362">
        <v>0</v>
      </c>
      <c r="AN362" t="s">
        <v>300</v>
      </c>
      <c r="AO362" t="s">
        <v>369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 t="s">
        <v>551</v>
      </c>
      <c r="AX362" t="s">
        <v>236</v>
      </c>
      <c r="AZ362" t="s">
        <v>259</v>
      </c>
      <c r="BA362" t="s">
        <v>1179</v>
      </c>
      <c r="BB362" t="s">
        <v>276</v>
      </c>
      <c r="BE362" t="s">
        <v>259</v>
      </c>
      <c r="BF362" t="s">
        <v>259</v>
      </c>
      <c r="BG362" t="s">
        <v>259</v>
      </c>
      <c r="BH362" t="s">
        <v>239</v>
      </c>
      <c r="BI362" t="s">
        <v>239</v>
      </c>
      <c r="BJ362" t="s">
        <v>259</v>
      </c>
      <c r="BK362" t="s">
        <v>239</v>
      </c>
      <c r="BL362" t="s">
        <v>313</v>
      </c>
      <c r="BM362" t="s">
        <v>365</v>
      </c>
      <c r="BN362">
        <v>0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 t="s">
        <v>243</v>
      </c>
      <c r="CB362" t="s">
        <v>328</v>
      </c>
      <c r="CC362" t="s">
        <v>328</v>
      </c>
      <c r="CD362" t="s">
        <v>236</v>
      </c>
      <c r="CE362" t="s">
        <v>236</v>
      </c>
      <c r="EA362" t="s">
        <v>226</v>
      </c>
      <c r="EB362" t="s">
        <v>245</v>
      </c>
      <c r="EC362" t="s">
        <v>226</v>
      </c>
      <c r="ED362" t="s">
        <v>245</v>
      </c>
      <c r="EE362" t="s">
        <v>226</v>
      </c>
      <c r="EF362" t="s">
        <v>244</v>
      </c>
      <c r="EG362" t="s">
        <v>226</v>
      </c>
      <c r="EH362" t="s">
        <v>244</v>
      </c>
      <c r="EI362" t="s">
        <v>236</v>
      </c>
      <c r="EK362" t="s">
        <v>236</v>
      </c>
      <c r="EM362" t="s">
        <v>226</v>
      </c>
      <c r="EN362" t="s">
        <v>245</v>
      </c>
      <c r="EO362" t="s">
        <v>226</v>
      </c>
      <c r="EP362" t="s">
        <v>244</v>
      </c>
      <c r="EQ362" t="s">
        <v>236</v>
      </c>
      <c r="ES362" t="s">
        <v>236</v>
      </c>
      <c r="EU362" t="s">
        <v>236</v>
      </c>
      <c r="EW362" t="s">
        <v>226</v>
      </c>
      <c r="EX362" t="s">
        <v>244</v>
      </c>
      <c r="EY362" t="s">
        <v>236</v>
      </c>
      <c r="FA362" t="s">
        <v>226</v>
      </c>
      <c r="FB362" t="s">
        <v>245</v>
      </c>
      <c r="FC362" t="s">
        <v>236</v>
      </c>
      <c r="FE362" t="s">
        <v>226</v>
      </c>
      <c r="FF362" t="s">
        <v>245</v>
      </c>
      <c r="FG362" t="s">
        <v>226</v>
      </c>
      <c r="FH362" t="s">
        <v>1180</v>
      </c>
      <c r="FI362" t="s">
        <v>265</v>
      </c>
      <c r="FJ362" t="s">
        <v>226</v>
      </c>
      <c r="FK362" t="s">
        <v>245</v>
      </c>
      <c r="FL362" t="s">
        <v>226</v>
      </c>
      <c r="FM362" t="s">
        <v>236</v>
      </c>
      <c r="FW362" t="s">
        <v>236</v>
      </c>
      <c r="FZ362" t="s">
        <v>236</v>
      </c>
      <c r="GC362" t="s">
        <v>236</v>
      </c>
      <c r="GF362" t="s">
        <v>226</v>
      </c>
      <c r="GG362" t="s">
        <v>226</v>
      </c>
      <c r="GH362" t="s">
        <v>266</v>
      </c>
      <c r="GI362" t="s">
        <v>236</v>
      </c>
      <c r="GL362" t="s">
        <v>236</v>
      </c>
      <c r="GO362" t="s">
        <v>226</v>
      </c>
      <c r="GP362" t="s">
        <v>226</v>
      </c>
      <c r="GQ362" t="s">
        <v>266</v>
      </c>
      <c r="GR362" t="s">
        <v>226</v>
      </c>
      <c r="GS362" t="s">
        <v>226</v>
      </c>
      <c r="GT362" t="s">
        <v>570</v>
      </c>
      <c r="GU362" t="s">
        <v>236</v>
      </c>
      <c r="GX362" t="s">
        <v>236</v>
      </c>
      <c r="HB362" t="s">
        <v>734</v>
      </c>
      <c r="HC362" t="s">
        <v>1181</v>
      </c>
      <c r="HE362">
        <v>83275714</v>
      </c>
      <c r="HF362" t="s">
        <v>1182</v>
      </c>
      <c r="HG362" s="2">
        <v>45756.581284722219</v>
      </c>
      <c r="HJ362" t="s">
        <v>248</v>
      </c>
      <c r="HL362" t="s">
        <v>249</v>
      </c>
      <c r="HN362">
        <v>361</v>
      </c>
    </row>
    <row r="363" spans="1:222" x14ac:dyDescent="0.25">
      <c r="A363" s="2">
        <v>45756.369831504628</v>
      </c>
      <c r="B363" s="2">
        <v>45756.375972812501</v>
      </c>
      <c r="C363" t="s">
        <v>334</v>
      </c>
      <c r="D363">
        <v>463</v>
      </c>
      <c r="E363" s="2">
        <v>45732</v>
      </c>
      <c r="F363">
        <v>4</v>
      </c>
      <c r="G363" t="s">
        <v>436</v>
      </c>
      <c r="H363" t="s">
        <v>270</v>
      </c>
      <c r="I363">
        <v>45</v>
      </c>
      <c r="J363" t="str">
        <f t="shared" si="5"/>
        <v>de 41 a 55 años</v>
      </c>
      <c r="K363" t="s">
        <v>224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225</v>
      </c>
      <c r="R363" t="s">
        <v>226</v>
      </c>
      <c r="T363" t="s">
        <v>227</v>
      </c>
      <c r="V363" t="s">
        <v>252</v>
      </c>
      <c r="W363" t="s">
        <v>229</v>
      </c>
      <c r="X363" t="s">
        <v>230</v>
      </c>
      <c r="Z363" t="s">
        <v>308</v>
      </c>
      <c r="AA363" t="s">
        <v>232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I363" t="s">
        <v>233</v>
      </c>
      <c r="AJ363">
        <v>0</v>
      </c>
      <c r="AK363">
        <v>1</v>
      </c>
      <c r="AL363">
        <v>0</v>
      </c>
      <c r="AM363">
        <v>0</v>
      </c>
      <c r="AN363" t="s">
        <v>300</v>
      </c>
      <c r="AO363" t="s">
        <v>275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X363" t="s">
        <v>226</v>
      </c>
      <c r="AY363" t="s">
        <v>226</v>
      </c>
      <c r="AZ363" t="s">
        <v>237</v>
      </c>
      <c r="BA363" t="s">
        <v>904</v>
      </c>
      <c r="BB363" t="s">
        <v>1220</v>
      </c>
      <c r="BE363" t="s">
        <v>239</v>
      </c>
      <c r="BF363" t="s">
        <v>259</v>
      </c>
      <c r="BG363" t="s">
        <v>259</v>
      </c>
      <c r="BH363" t="s">
        <v>237</v>
      </c>
      <c r="BI363" t="s">
        <v>237</v>
      </c>
      <c r="BJ363" t="s">
        <v>239</v>
      </c>
      <c r="BK363" t="s">
        <v>239</v>
      </c>
      <c r="BL363" t="s">
        <v>262</v>
      </c>
      <c r="BM363" t="s">
        <v>2041</v>
      </c>
      <c r="BN363">
        <v>1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1</v>
      </c>
      <c r="BU363">
        <v>0</v>
      </c>
      <c r="BV363">
        <v>1</v>
      </c>
      <c r="BW363">
        <v>1</v>
      </c>
      <c r="BX363">
        <v>0</v>
      </c>
      <c r="BY363">
        <v>0</v>
      </c>
      <c r="BZ363">
        <v>0</v>
      </c>
      <c r="CA363" t="s">
        <v>264</v>
      </c>
      <c r="CB363" t="s">
        <v>328</v>
      </c>
      <c r="CC363" t="s">
        <v>328</v>
      </c>
      <c r="CD363" t="s">
        <v>236</v>
      </c>
      <c r="CE363" t="s">
        <v>236</v>
      </c>
      <c r="EA363" t="s">
        <v>236</v>
      </c>
      <c r="EC363" t="s">
        <v>236</v>
      </c>
      <c r="EE363" t="s">
        <v>226</v>
      </c>
      <c r="EF363" t="s">
        <v>244</v>
      </c>
      <c r="EG363" t="s">
        <v>236</v>
      </c>
      <c r="EI363" t="s">
        <v>308</v>
      </c>
      <c r="EK363" t="s">
        <v>236</v>
      </c>
      <c r="EM363" t="s">
        <v>236</v>
      </c>
      <c r="EO363" t="s">
        <v>236</v>
      </c>
      <c r="EQ363" t="s">
        <v>236</v>
      </c>
      <c r="ES363" t="s">
        <v>236</v>
      </c>
      <c r="EU363" t="s">
        <v>236</v>
      </c>
      <c r="EW363" t="s">
        <v>236</v>
      </c>
      <c r="EY363" t="s">
        <v>236</v>
      </c>
      <c r="FA363" t="s">
        <v>236</v>
      </c>
      <c r="FC363" t="s">
        <v>236</v>
      </c>
      <c r="FE363" t="s">
        <v>236</v>
      </c>
      <c r="FG363" t="s">
        <v>236</v>
      </c>
      <c r="FJ363" t="s">
        <v>226</v>
      </c>
      <c r="FK363" t="s">
        <v>245</v>
      </c>
      <c r="FL363" t="s">
        <v>226</v>
      </c>
      <c r="FM363" t="s">
        <v>236</v>
      </c>
      <c r="FW363" t="s">
        <v>226</v>
      </c>
      <c r="FX363" t="s">
        <v>226</v>
      </c>
      <c r="FY363" t="s">
        <v>267</v>
      </c>
      <c r="FZ363" t="s">
        <v>226</v>
      </c>
      <c r="GA363" t="s">
        <v>226</v>
      </c>
      <c r="GB363" t="s">
        <v>267</v>
      </c>
      <c r="GC363" t="s">
        <v>236</v>
      </c>
      <c r="GF363" t="s">
        <v>226</v>
      </c>
      <c r="GG363" t="s">
        <v>226</v>
      </c>
      <c r="GH363" t="s">
        <v>267</v>
      </c>
      <c r="GI363" t="s">
        <v>236</v>
      </c>
      <c r="GL363" t="s">
        <v>226</v>
      </c>
      <c r="GM363" t="s">
        <v>226</v>
      </c>
      <c r="GN363" t="s">
        <v>267</v>
      </c>
      <c r="GO363" t="s">
        <v>226</v>
      </c>
      <c r="GP363" t="s">
        <v>226</v>
      </c>
      <c r="GQ363" t="s">
        <v>267</v>
      </c>
      <c r="GR363" t="s">
        <v>226</v>
      </c>
      <c r="GS363" t="s">
        <v>226</v>
      </c>
      <c r="GT363" t="s">
        <v>267</v>
      </c>
      <c r="GU363" t="s">
        <v>236</v>
      </c>
      <c r="GX363" t="s">
        <v>236</v>
      </c>
      <c r="HB363" t="s">
        <v>2042</v>
      </c>
      <c r="HC363" t="s">
        <v>2043</v>
      </c>
      <c r="HD363" t="s">
        <v>2044</v>
      </c>
      <c r="HE363">
        <v>83276132</v>
      </c>
      <c r="HF363" t="s">
        <v>2045</v>
      </c>
      <c r="HG363" s="2">
        <v>45756.584224537037</v>
      </c>
      <c r="HJ363" t="s">
        <v>248</v>
      </c>
      <c r="HL363" t="s">
        <v>249</v>
      </c>
      <c r="HN363">
        <v>362</v>
      </c>
    </row>
    <row r="364" spans="1:222" x14ac:dyDescent="0.25">
      <c r="A364" s="2">
        <v>45756.373027361107</v>
      </c>
      <c r="B364" s="2">
        <v>45756.383378587961</v>
      </c>
      <c r="C364" t="s">
        <v>270</v>
      </c>
      <c r="D364">
        <v>183</v>
      </c>
      <c r="E364" s="2">
        <v>45730</v>
      </c>
      <c r="F364">
        <v>4</v>
      </c>
      <c r="G364" t="s">
        <v>361</v>
      </c>
      <c r="H364" t="s">
        <v>270</v>
      </c>
      <c r="I364">
        <v>22</v>
      </c>
      <c r="J364" t="str">
        <f t="shared" si="5"/>
        <v>de 18 a 25 años</v>
      </c>
      <c r="K364" t="s">
        <v>251</v>
      </c>
      <c r="L364">
        <v>2</v>
      </c>
      <c r="M364">
        <v>0</v>
      </c>
      <c r="N364">
        <v>0</v>
      </c>
      <c r="O364">
        <v>0</v>
      </c>
      <c r="P364">
        <v>0</v>
      </c>
      <c r="Q364" t="s">
        <v>225</v>
      </c>
      <c r="R364" t="s">
        <v>226</v>
      </c>
      <c r="T364" t="s">
        <v>227</v>
      </c>
      <c r="V364" t="s">
        <v>1174</v>
      </c>
      <c r="W364" t="s">
        <v>229</v>
      </c>
      <c r="X364" t="s">
        <v>230</v>
      </c>
      <c r="Z364" t="s">
        <v>254</v>
      </c>
      <c r="AA364" t="s">
        <v>255</v>
      </c>
      <c r="AB364">
        <v>0</v>
      </c>
      <c r="AC364">
        <v>0</v>
      </c>
      <c r="AD364">
        <v>0</v>
      </c>
      <c r="AE364">
        <v>1</v>
      </c>
      <c r="AF364">
        <v>0</v>
      </c>
      <c r="AG364">
        <v>0</v>
      </c>
      <c r="AI364" t="s">
        <v>233</v>
      </c>
      <c r="AJ364">
        <v>0</v>
      </c>
      <c r="AK364">
        <v>1</v>
      </c>
      <c r="AL364">
        <v>0</v>
      </c>
      <c r="AM364">
        <v>0</v>
      </c>
      <c r="AN364" t="s">
        <v>234</v>
      </c>
      <c r="AO364" t="s">
        <v>382</v>
      </c>
      <c r="AP364">
        <v>0</v>
      </c>
      <c r="AQ364">
        <v>0</v>
      </c>
      <c r="AR364">
        <v>1</v>
      </c>
      <c r="AS364">
        <v>0</v>
      </c>
      <c r="AT364">
        <v>0</v>
      </c>
      <c r="AU364">
        <v>0</v>
      </c>
      <c r="AV364">
        <v>0</v>
      </c>
      <c r="AX364" t="s">
        <v>226</v>
      </c>
      <c r="AY364" t="s">
        <v>226</v>
      </c>
      <c r="AZ364" t="s">
        <v>259</v>
      </c>
      <c r="BA364" t="s">
        <v>431</v>
      </c>
      <c r="BE364" t="s">
        <v>259</v>
      </c>
      <c r="BF364" t="s">
        <v>259</v>
      </c>
      <c r="BG364" t="s">
        <v>261</v>
      </c>
      <c r="BH364" t="s">
        <v>259</v>
      </c>
      <c r="BI364" t="s">
        <v>237</v>
      </c>
      <c r="BJ364" t="s">
        <v>239</v>
      </c>
      <c r="BK364" t="s">
        <v>239</v>
      </c>
      <c r="BL364" t="s">
        <v>262</v>
      </c>
      <c r="BM364" t="s">
        <v>314</v>
      </c>
      <c r="BN364">
        <v>0</v>
      </c>
      <c r="BO364">
        <v>0</v>
      </c>
      <c r="BP364">
        <v>0</v>
      </c>
      <c r="BQ364">
        <v>1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 t="s">
        <v>328</v>
      </c>
      <c r="CB364" t="s">
        <v>328</v>
      </c>
      <c r="CC364" t="s">
        <v>264</v>
      </c>
      <c r="CD364" t="s">
        <v>226</v>
      </c>
      <c r="CE364" t="s">
        <v>236</v>
      </c>
      <c r="EA364" t="s">
        <v>236</v>
      </c>
      <c r="EC364" t="s">
        <v>236</v>
      </c>
      <c r="EE364" t="s">
        <v>226</v>
      </c>
      <c r="EF364" t="s">
        <v>265</v>
      </c>
      <c r="EG364" t="s">
        <v>226</v>
      </c>
      <c r="EH364" t="s">
        <v>265</v>
      </c>
      <c r="EI364" t="s">
        <v>236</v>
      </c>
      <c r="EK364" t="s">
        <v>226</v>
      </c>
      <c r="EL364" t="s">
        <v>244</v>
      </c>
      <c r="EM364" t="s">
        <v>236</v>
      </c>
      <c r="EO364" t="s">
        <v>226</v>
      </c>
      <c r="EP364" t="s">
        <v>265</v>
      </c>
      <c r="EQ364" t="s">
        <v>236</v>
      </c>
      <c r="ES364" t="s">
        <v>236</v>
      </c>
      <c r="EU364" t="s">
        <v>236</v>
      </c>
      <c r="EW364" t="s">
        <v>236</v>
      </c>
      <c r="EY364" t="s">
        <v>236</v>
      </c>
      <c r="FA364" t="s">
        <v>226</v>
      </c>
      <c r="FB364" t="s">
        <v>244</v>
      </c>
      <c r="FC364" t="s">
        <v>236</v>
      </c>
      <c r="FE364" t="s">
        <v>226</v>
      </c>
      <c r="FF364" t="s">
        <v>245</v>
      </c>
      <c r="FG364" t="s">
        <v>236</v>
      </c>
      <c r="FJ364" t="s">
        <v>226</v>
      </c>
      <c r="FK364" t="s">
        <v>265</v>
      </c>
      <c r="FL364" t="s">
        <v>236</v>
      </c>
      <c r="FM364" t="s">
        <v>236</v>
      </c>
      <c r="FW364" t="s">
        <v>236</v>
      </c>
      <c r="FZ364" t="s">
        <v>236</v>
      </c>
      <c r="GC364" t="s">
        <v>236</v>
      </c>
      <c r="GF364" t="s">
        <v>236</v>
      </c>
      <c r="GI364" t="s">
        <v>236</v>
      </c>
      <c r="GL364" t="s">
        <v>236</v>
      </c>
      <c r="GO364" t="s">
        <v>226</v>
      </c>
      <c r="GP364" t="s">
        <v>236</v>
      </c>
      <c r="GR364" t="s">
        <v>226</v>
      </c>
      <c r="GS364" t="s">
        <v>236</v>
      </c>
      <c r="GU364" t="s">
        <v>236</v>
      </c>
      <c r="GX364" t="s">
        <v>236</v>
      </c>
      <c r="HB364" t="s">
        <v>338</v>
      </c>
      <c r="HE364">
        <v>83276748</v>
      </c>
      <c r="HF364" t="s">
        <v>1175</v>
      </c>
      <c r="HG364" s="2">
        <v>45756.591631944437</v>
      </c>
      <c r="HJ364" t="s">
        <v>248</v>
      </c>
      <c r="HL364" t="s">
        <v>249</v>
      </c>
      <c r="HN364">
        <v>364</v>
      </c>
    </row>
    <row r="365" spans="1:222" x14ac:dyDescent="0.25">
      <c r="A365" s="2">
        <v>45756.375973298607</v>
      </c>
      <c r="B365" s="2">
        <v>45756.381219189818</v>
      </c>
      <c r="C365" t="s">
        <v>334</v>
      </c>
      <c r="D365">
        <v>462</v>
      </c>
      <c r="E365" s="2">
        <v>45732</v>
      </c>
      <c r="F365">
        <v>4</v>
      </c>
      <c r="G365" t="s">
        <v>450</v>
      </c>
      <c r="H365" t="s">
        <v>270</v>
      </c>
      <c r="I365">
        <v>43</v>
      </c>
      <c r="J365" t="str">
        <f t="shared" si="5"/>
        <v>de 41 a 55 años</v>
      </c>
      <c r="K365" t="s">
        <v>341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291</v>
      </c>
      <c r="R365" t="s">
        <v>226</v>
      </c>
      <c r="T365" t="s">
        <v>227</v>
      </c>
      <c r="V365" t="s">
        <v>228</v>
      </c>
      <c r="W365" t="s">
        <v>229</v>
      </c>
      <c r="X365" t="s">
        <v>230</v>
      </c>
      <c r="Z365" t="s">
        <v>273</v>
      </c>
      <c r="AA365" t="s">
        <v>293</v>
      </c>
      <c r="AB365">
        <v>0</v>
      </c>
      <c r="AC365">
        <v>0</v>
      </c>
      <c r="AD365">
        <v>0</v>
      </c>
      <c r="AE365">
        <v>0</v>
      </c>
      <c r="AF365">
        <v>1</v>
      </c>
      <c r="AG365">
        <v>0</v>
      </c>
      <c r="AI365" t="s">
        <v>2038</v>
      </c>
      <c r="AJ365">
        <v>1</v>
      </c>
      <c r="AK365">
        <v>1</v>
      </c>
      <c r="AL365">
        <v>1</v>
      </c>
      <c r="AM365">
        <v>0</v>
      </c>
      <c r="AN365" t="s">
        <v>234</v>
      </c>
      <c r="AO365" t="s">
        <v>606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1</v>
      </c>
      <c r="AV365">
        <v>0</v>
      </c>
      <c r="AX365" t="s">
        <v>226</v>
      </c>
      <c r="AY365" t="s">
        <v>226</v>
      </c>
      <c r="AZ365" t="s">
        <v>237</v>
      </c>
      <c r="BA365" t="s">
        <v>276</v>
      </c>
      <c r="BB365" t="s">
        <v>687</v>
      </c>
      <c r="BC365" t="s">
        <v>806</v>
      </c>
      <c r="BE365" t="s">
        <v>259</v>
      </c>
      <c r="BF365" t="s">
        <v>237</v>
      </c>
      <c r="BG365" t="s">
        <v>259</v>
      </c>
      <c r="BH365" t="s">
        <v>237</v>
      </c>
      <c r="BI365" t="s">
        <v>237</v>
      </c>
      <c r="BJ365" t="s">
        <v>237</v>
      </c>
      <c r="BK365" t="s">
        <v>259</v>
      </c>
      <c r="BL365" t="s">
        <v>313</v>
      </c>
      <c r="BM365" t="s">
        <v>296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 t="s">
        <v>264</v>
      </c>
      <c r="CB365" t="s">
        <v>243</v>
      </c>
      <c r="CC365" t="s">
        <v>264</v>
      </c>
      <c r="CD365" t="s">
        <v>236</v>
      </c>
      <c r="CE365" t="s">
        <v>236</v>
      </c>
      <c r="EA365" t="s">
        <v>236</v>
      </c>
      <c r="EC365" t="s">
        <v>226</v>
      </c>
      <c r="ED365" t="s">
        <v>244</v>
      </c>
      <c r="EE365" t="s">
        <v>226</v>
      </c>
      <c r="EF365" t="s">
        <v>265</v>
      </c>
      <c r="EG365" t="s">
        <v>226</v>
      </c>
      <c r="EH365" t="s">
        <v>265</v>
      </c>
      <c r="EI365" t="s">
        <v>226</v>
      </c>
      <c r="EJ365" t="s">
        <v>244</v>
      </c>
      <c r="EK365" t="s">
        <v>236</v>
      </c>
      <c r="EM365" t="s">
        <v>226</v>
      </c>
      <c r="EN365" t="s">
        <v>265</v>
      </c>
      <c r="EO365" t="s">
        <v>236</v>
      </c>
      <c r="EQ365" t="s">
        <v>236</v>
      </c>
      <c r="ES365" t="s">
        <v>226</v>
      </c>
      <c r="ET365" t="s">
        <v>265</v>
      </c>
      <c r="EU365" t="s">
        <v>236</v>
      </c>
      <c r="EW365" t="s">
        <v>226</v>
      </c>
      <c r="EX365" t="s">
        <v>244</v>
      </c>
      <c r="EY365" t="s">
        <v>226</v>
      </c>
      <c r="EZ365" t="s">
        <v>265</v>
      </c>
      <c r="FA365" t="s">
        <v>226</v>
      </c>
      <c r="FB365" t="s">
        <v>265</v>
      </c>
      <c r="FC365" t="s">
        <v>236</v>
      </c>
      <c r="FE365" t="s">
        <v>226</v>
      </c>
      <c r="FF365" t="s">
        <v>265</v>
      </c>
      <c r="FG365" t="s">
        <v>236</v>
      </c>
      <c r="FJ365" t="s">
        <v>226</v>
      </c>
      <c r="FK365" t="s">
        <v>265</v>
      </c>
      <c r="FL365" t="s">
        <v>236</v>
      </c>
      <c r="FM365" t="s">
        <v>236</v>
      </c>
      <c r="FW365" t="s">
        <v>226</v>
      </c>
      <c r="FX365" t="s">
        <v>236</v>
      </c>
      <c r="FZ365" t="s">
        <v>236</v>
      </c>
      <c r="GC365" t="s">
        <v>236</v>
      </c>
      <c r="GF365" t="s">
        <v>236</v>
      </c>
      <c r="GI365" t="s">
        <v>236</v>
      </c>
      <c r="GL365" t="s">
        <v>236</v>
      </c>
      <c r="GO365" t="s">
        <v>236</v>
      </c>
      <c r="GR365" t="s">
        <v>226</v>
      </c>
      <c r="GS365" t="s">
        <v>226</v>
      </c>
      <c r="GT365" t="s">
        <v>267</v>
      </c>
      <c r="GU365" t="s">
        <v>236</v>
      </c>
      <c r="GX365" t="s">
        <v>236</v>
      </c>
      <c r="HB365" t="s">
        <v>323</v>
      </c>
      <c r="HC365" t="s">
        <v>2039</v>
      </c>
      <c r="HE365">
        <v>83276609</v>
      </c>
      <c r="HF365" t="s">
        <v>2040</v>
      </c>
      <c r="HG365" s="2">
        <v>45756.589467592603</v>
      </c>
      <c r="HJ365" t="s">
        <v>248</v>
      </c>
      <c r="HL365" t="s">
        <v>249</v>
      </c>
      <c r="HN365">
        <v>363</v>
      </c>
    </row>
    <row r="366" spans="1:222" x14ac:dyDescent="0.25">
      <c r="A366" s="2">
        <v>45756.381219803239</v>
      </c>
      <c r="B366" s="2">
        <v>45756.386546759262</v>
      </c>
      <c r="C366" t="s">
        <v>334</v>
      </c>
      <c r="D366">
        <v>461</v>
      </c>
      <c r="E366" s="2">
        <v>45732</v>
      </c>
      <c r="F366">
        <v>4</v>
      </c>
      <c r="G366" t="s">
        <v>436</v>
      </c>
      <c r="H366" t="s">
        <v>270</v>
      </c>
      <c r="I366">
        <v>29</v>
      </c>
      <c r="J366" t="str">
        <f t="shared" si="5"/>
        <v>de 26 a 40 años</v>
      </c>
      <c r="K366" t="s">
        <v>224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225</v>
      </c>
      <c r="R366" t="s">
        <v>226</v>
      </c>
      <c r="T366" t="s">
        <v>227</v>
      </c>
      <c r="V366" t="s">
        <v>228</v>
      </c>
      <c r="W366" t="s">
        <v>229</v>
      </c>
      <c r="X366" t="s">
        <v>253</v>
      </c>
      <c r="Z366" t="s">
        <v>308</v>
      </c>
      <c r="AA366" t="s">
        <v>232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I366" t="s">
        <v>233</v>
      </c>
      <c r="AJ366">
        <v>0</v>
      </c>
      <c r="AK366">
        <v>1</v>
      </c>
      <c r="AL366">
        <v>0</v>
      </c>
      <c r="AM366">
        <v>0</v>
      </c>
      <c r="AN366" t="s">
        <v>257</v>
      </c>
      <c r="AO366" t="s">
        <v>369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 t="s">
        <v>551</v>
      </c>
      <c r="AX366" t="s">
        <v>226</v>
      </c>
      <c r="AY366" t="s">
        <v>226</v>
      </c>
      <c r="AZ366" t="s">
        <v>237</v>
      </c>
      <c r="BA366" t="s">
        <v>2033</v>
      </c>
      <c r="BB366" t="s">
        <v>2034</v>
      </c>
      <c r="BE366" t="s">
        <v>239</v>
      </c>
      <c r="BF366" t="s">
        <v>259</v>
      </c>
      <c r="BG366" t="s">
        <v>239</v>
      </c>
      <c r="BH366" t="s">
        <v>239</v>
      </c>
      <c r="BI366" t="s">
        <v>237</v>
      </c>
      <c r="BJ366" t="s">
        <v>237</v>
      </c>
      <c r="BK366" t="s">
        <v>239</v>
      </c>
      <c r="BL366" t="s">
        <v>262</v>
      </c>
      <c r="BM366" t="s">
        <v>2035</v>
      </c>
      <c r="BN366">
        <v>0</v>
      </c>
      <c r="BO366">
        <v>1</v>
      </c>
      <c r="BP366">
        <v>0</v>
      </c>
      <c r="BQ366">
        <v>0</v>
      </c>
      <c r="BR366">
        <v>1</v>
      </c>
      <c r="BS366">
        <v>1</v>
      </c>
      <c r="BT366">
        <v>0</v>
      </c>
      <c r="BU366">
        <v>0</v>
      </c>
      <c r="BV366">
        <v>1</v>
      </c>
      <c r="BW366">
        <v>0</v>
      </c>
      <c r="BX366">
        <v>1</v>
      </c>
      <c r="BY366">
        <v>1</v>
      </c>
      <c r="BZ366">
        <v>0</v>
      </c>
      <c r="CA366" t="s">
        <v>264</v>
      </c>
      <c r="CB366" t="s">
        <v>328</v>
      </c>
      <c r="CC366" t="s">
        <v>328</v>
      </c>
      <c r="CD366" t="s">
        <v>236</v>
      </c>
      <c r="CE366" t="s">
        <v>236</v>
      </c>
      <c r="EA366" t="s">
        <v>236</v>
      </c>
      <c r="EC366" t="s">
        <v>236</v>
      </c>
      <c r="EE366" t="s">
        <v>236</v>
      </c>
      <c r="EG366" t="s">
        <v>226</v>
      </c>
      <c r="EH366" t="s">
        <v>244</v>
      </c>
      <c r="EI366" t="s">
        <v>236</v>
      </c>
      <c r="EK366" t="s">
        <v>236</v>
      </c>
      <c r="EM366" t="s">
        <v>236</v>
      </c>
      <c r="EO366" t="s">
        <v>236</v>
      </c>
      <c r="EQ366" t="s">
        <v>236</v>
      </c>
      <c r="ES366" t="s">
        <v>236</v>
      </c>
      <c r="EU366" t="s">
        <v>236</v>
      </c>
      <c r="EW366" t="s">
        <v>236</v>
      </c>
      <c r="EY366" t="s">
        <v>236</v>
      </c>
      <c r="FA366" t="s">
        <v>236</v>
      </c>
      <c r="FC366" t="s">
        <v>236</v>
      </c>
      <c r="FE366" t="s">
        <v>236</v>
      </c>
      <c r="FG366" t="s">
        <v>236</v>
      </c>
      <c r="FJ366" t="s">
        <v>226</v>
      </c>
      <c r="FK366" t="s">
        <v>245</v>
      </c>
      <c r="FL366" t="s">
        <v>226</v>
      </c>
      <c r="FM366" t="s">
        <v>236</v>
      </c>
      <c r="FW366" t="s">
        <v>236</v>
      </c>
      <c r="FZ366" t="s">
        <v>236</v>
      </c>
      <c r="GC366" t="s">
        <v>226</v>
      </c>
      <c r="GD366" t="s">
        <v>226</v>
      </c>
      <c r="GE366" t="s">
        <v>266</v>
      </c>
      <c r="GF366" t="s">
        <v>226</v>
      </c>
      <c r="GG366" t="s">
        <v>226</v>
      </c>
      <c r="GH366" t="s">
        <v>267</v>
      </c>
      <c r="GI366" t="s">
        <v>236</v>
      </c>
      <c r="GL366" t="s">
        <v>236</v>
      </c>
      <c r="GO366" t="s">
        <v>226</v>
      </c>
      <c r="GP366" t="s">
        <v>226</v>
      </c>
      <c r="GQ366" t="s">
        <v>267</v>
      </c>
      <c r="GR366" t="s">
        <v>226</v>
      </c>
      <c r="GS366" t="s">
        <v>226</v>
      </c>
      <c r="GT366" t="s">
        <v>266</v>
      </c>
      <c r="GU366" t="s">
        <v>236</v>
      </c>
      <c r="GX366" t="s">
        <v>236</v>
      </c>
      <c r="HB366" t="s">
        <v>338</v>
      </c>
      <c r="HC366" t="s">
        <v>814</v>
      </c>
      <c r="HD366" t="s">
        <v>2036</v>
      </c>
      <c r="HE366">
        <v>83276911</v>
      </c>
      <c r="HF366" t="s">
        <v>2037</v>
      </c>
      <c r="HG366" s="2">
        <v>45756.59479166667</v>
      </c>
      <c r="HJ366" t="s">
        <v>248</v>
      </c>
      <c r="HL366" t="s">
        <v>249</v>
      </c>
      <c r="HN366">
        <v>365</v>
      </c>
    </row>
    <row r="367" spans="1:222" x14ac:dyDescent="0.25">
      <c r="A367" s="2">
        <v>45756.38337935185</v>
      </c>
      <c r="B367" s="2">
        <v>45756.388312916657</v>
      </c>
      <c r="C367" t="s">
        <v>270</v>
      </c>
      <c r="D367">
        <v>182</v>
      </c>
      <c r="E367" s="2">
        <v>45730</v>
      </c>
      <c r="F367">
        <v>4</v>
      </c>
      <c r="G367" t="s">
        <v>436</v>
      </c>
      <c r="H367" t="s">
        <v>270</v>
      </c>
      <c r="I367">
        <v>60</v>
      </c>
      <c r="J367" t="str">
        <f t="shared" si="5"/>
        <v>de 56 a más</v>
      </c>
      <c r="K367" t="s">
        <v>224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225</v>
      </c>
      <c r="R367" t="s">
        <v>226</v>
      </c>
      <c r="T367" t="s">
        <v>227</v>
      </c>
      <c r="V367" t="s">
        <v>228</v>
      </c>
      <c r="W367" t="s">
        <v>229</v>
      </c>
      <c r="X367" t="s">
        <v>368</v>
      </c>
      <c r="Z367" t="s">
        <v>351</v>
      </c>
      <c r="AA367" t="s">
        <v>232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I367" t="s">
        <v>233</v>
      </c>
      <c r="AJ367">
        <v>0</v>
      </c>
      <c r="AK367">
        <v>1</v>
      </c>
      <c r="AL367">
        <v>0</v>
      </c>
      <c r="AM367">
        <v>0</v>
      </c>
      <c r="AN367" t="s">
        <v>300</v>
      </c>
      <c r="AO367" t="s">
        <v>382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0</v>
      </c>
      <c r="AX367" t="s">
        <v>236</v>
      </c>
      <c r="AZ367" t="s">
        <v>259</v>
      </c>
      <c r="BA367" t="s">
        <v>1167</v>
      </c>
      <c r="BB367" t="s">
        <v>1168</v>
      </c>
      <c r="BC367" t="s">
        <v>1169</v>
      </c>
      <c r="BE367" t="s">
        <v>259</v>
      </c>
      <c r="BF367" t="s">
        <v>237</v>
      </c>
      <c r="BG367" t="s">
        <v>259</v>
      </c>
      <c r="BH367" t="s">
        <v>239</v>
      </c>
      <c r="BI367" t="s">
        <v>239</v>
      </c>
      <c r="BJ367" t="s">
        <v>237</v>
      </c>
      <c r="BK367" t="s">
        <v>261</v>
      </c>
      <c r="BL367" t="s">
        <v>262</v>
      </c>
      <c r="BM367" t="s">
        <v>1170</v>
      </c>
      <c r="BN367">
        <v>0</v>
      </c>
      <c r="BO367">
        <v>0</v>
      </c>
      <c r="BP367">
        <v>1</v>
      </c>
      <c r="BQ367">
        <v>1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0</v>
      </c>
      <c r="BX367">
        <v>0</v>
      </c>
      <c r="BY367">
        <v>0</v>
      </c>
      <c r="BZ367">
        <v>0</v>
      </c>
      <c r="CA367" t="s">
        <v>264</v>
      </c>
      <c r="CB367" t="s">
        <v>328</v>
      </c>
      <c r="CC367" t="s">
        <v>328</v>
      </c>
      <c r="CD367" t="s">
        <v>236</v>
      </c>
      <c r="CE367" t="s">
        <v>236</v>
      </c>
      <c r="EA367" t="s">
        <v>226</v>
      </c>
      <c r="EB367" t="s">
        <v>244</v>
      </c>
      <c r="EC367" t="s">
        <v>236</v>
      </c>
      <c r="EE367" t="s">
        <v>226</v>
      </c>
      <c r="EF367" t="s">
        <v>245</v>
      </c>
      <c r="EG367" t="s">
        <v>226</v>
      </c>
      <c r="EH367" t="s">
        <v>245</v>
      </c>
      <c r="EI367" t="s">
        <v>226</v>
      </c>
      <c r="EJ367" t="s">
        <v>265</v>
      </c>
      <c r="EK367" t="s">
        <v>236</v>
      </c>
      <c r="EM367" t="s">
        <v>226</v>
      </c>
      <c r="EN367" t="s">
        <v>244</v>
      </c>
      <c r="EO367" t="s">
        <v>226</v>
      </c>
      <c r="EP367" t="s">
        <v>244</v>
      </c>
      <c r="EQ367" t="s">
        <v>236</v>
      </c>
      <c r="ES367" t="s">
        <v>226</v>
      </c>
      <c r="ET367" t="s">
        <v>244</v>
      </c>
      <c r="EU367" t="s">
        <v>236</v>
      </c>
      <c r="EW367" t="s">
        <v>236</v>
      </c>
      <c r="EY367" t="s">
        <v>236</v>
      </c>
      <c r="FA367" t="s">
        <v>226</v>
      </c>
      <c r="FB367" t="s">
        <v>245</v>
      </c>
      <c r="FC367" t="s">
        <v>236</v>
      </c>
      <c r="FE367" t="s">
        <v>226</v>
      </c>
      <c r="FF367" t="s">
        <v>245</v>
      </c>
      <c r="FG367" t="s">
        <v>236</v>
      </c>
      <c r="FJ367" t="s">
        <v>226</v>
      </c>
      <c r="FK367" t="s">
        <v>265</v>
      </c>
      <c r="FL367" t="s">
        <v>236</v>
      </c>
      <c r="FM367" t="s">
        <v>236</v>
      </c>
      <c r="FW367" t="s">
        <v>236</v>
      </c>
      <c r="FZ367" t="s">
        <v>236</v>
      </c>
      <c r="GC367" t="s">
        <v>236</v>
      </c>
      <c r="GF367" t="s">
        <v>236</v>
      </c>
      <c r="GI367" t="s">
        <v>236</v>
      </c>
      <c r="GL367" t="s">
        <v>236</v>
      </c>
      <c r="GO367" t="s">
        <v>226</v>
      </c>
      <c r="GP367" t="s">
        <v>226</v>
      </c>
      <c r="GQ367" t="s">
        <v>570</v>
      </c>
      <c r="GR367" t="s">
        <v>226</v>
      </c>
      <c r="GS367" t="s">
        <v>226</v>
      </c>
      <c r="GT367" t="s">
        <v>570</v>
      </c>
      <c r="GU367" t="s">
        <v>236</v>
      </c>
      <c r="GX367" t="s">
        <v>236</v>
      </c>
      <c r="HB367" t="s">
        <v>323</v>
      </c>
      <c r="HC367" t="s">
        <v>1171</v>
      </c>
      <c r="HD367" t="s">
        <v>1172</v>
      </c>
      <c r="HE367">
        <v>83276998</v>
      </c>
      <c r="HF367" t="s">
        <v>1173</v>
      </c>
      <c r="HG367" s="2">
        <v>45756.596574074072</v>
      </c>
      <c r="HJ367" t="s">
        <v>248</v>
      </c>
      <c r="HL367" t="s">
        <v>249</v>
      </c>
      <c r="HN367">
        <v>366</v>
      </c>
    </row>
    <row r="368" spans="1:222" x14ac:dyDescent="0.25">
      <c r="A368" s="2">
        <v>45756.386547222217</v>
      </c>
      <c r="B368" s="2">
        <v>45756.415672499999</v>
      </c>
      <c r="C368" t="s">
        <v>334</v>
      </c>
      <c r="D368">
        <v>460</v>
      </c>
      <c r="E368" s="2">
        <v>45732</v>
      </c>
      <c r="F368">
        <v>4</v>
      </c>
      <c r="G368" t="s">
        <v>450</v>
      </c>
      <c r="H368" t="s">
        <v>270</v>
      </c>
      <c r="I368">
        <v>31</v>
      </c>
      <c r="J368" t="str">
        <f t="shared" si="5"/>
        <v>de 26 a 40 años</v>
      </c>
      <c r="K368" t="s">
        <v>341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291</v>
      </c>
      <c r="R368" t="s">
        <v>226</v>
      </c>
      <c r="T368" t="s">
        <v>227</v>
      </c>
      <c r="V368" t="s">
        <v>228</v>
      </c>
      <c r="W368" t="s">
        <v>229</v>
      </c>
      <c r="X368" t="s">
        <v>230</v>
      </c>
      <c r="Z368" t="s">
        <v>273</v>
      </c>
      <c r="AA368" t="s">
        <v>232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I368" t="s">
        <v>504</v>
      </c>
      <c r="AJ368">
        <v>1</v>
      </c>
      <c r="AK368">
        <v>0</v>
      </c>
      <c r="AL368">
        <v>0</v>
      </c>
      <c r="AM368">
        <v>0</v>
      </c>
      <c r="AN368" t="s">
        <v>300</v>
      </c>
      <c r="AO368" t="s">
        <v>235</v>
      </c>
      <c r="AP368">
        <v>0</v>
      </c>
      <c r="AQ368">
        <v>0</v>
      </c>
      <c r="AR368">
        <v>0</v>
      </c>
      <c r="AS368">
        <v>1</v>
      </c>
      <c r="AT368">
        <v>0</v>
      </c>
      <c r="AU368">
        <v>0</v>
      </c>
      <c r="AV368">
        <v>0</v>
      </c>
      <c r="AX368" t="s">
        <v>226</v>
      </c>
      <c r="AY368" t="s">
        <v>226</v>
      </c>
      <c r="AZ368" t="s">
        <v>259</v>
      </c>
      <c r="BA368" t="s">
        <v>2029</v>
      </c>
      <c r="BB368" t="s">
        <v>2030</v>
      </c>
      <c r="BE368" t="s">
        <v>259</v>
      </c>
      <c r="BF368" t="s">
        <v>259</v>
      </c>
      <c r="BG368" t="s">
        <v>259</v>
      </c>
      <c r="BH368" t="s">
        <v>237</v>
      </c>
      <c r="BI368" t="s">
        <v>237</v>
      </c>
      <c r="BJ368" t="s">
        <v>261</v>
      </c>
      <c r="BK368" t="s">
        <v>261</v>
      </c>
      <c r="BL368" t="s">
        <v>262</v>
      </c>
      <c r="BM368" t="s">
        <v>365</v>
      </c>
      <c r="BN368">
        <v>0</v>
      </c>
      <c r="BO368">
        <v>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 t="s">
        <v>264</v>
      </c>
      <c r="CB368" t="s">
        <v>264</v>
      </c>
      <c r="CC368" t="s">
        <v>242</v>
      </c>
      <c r="CD368" t="s">
        <v>226</v>
      </c>
      <c r="CE368" t="s">
        <v>236</v>
      </c>
      <c r="EA368" t="s">
        <v>236</v>
      </c>
      <c r="EC368" t="s">
        <v>236</v>
      </c>
      <c r="EE368" t="s">
        <v>226</v>
      </c>
      <c r="EF368" t="s">
        <v>265</v>
      </c>
      <c r="EG368" t="s">
        <v>236</v>
      </c>
      <c r="EI368" t="s">
        <v>226</v>
      </c>
      <c r="EJ368" t="s">
        <v>245</v>
      </c>
      <c r="EK368" t="s">
        <v>236</v>
      </c>
      <c r="EM368" t="s">
        <v>226</v>
      </c>
      <c r="EN368" t="s">
        <v>265</v>
      </c>
      <c r="EO368" t="s">
        <v>236</v>
      </c>
      <c r="EQ368" t="s">
        <v>236</v>
      </c>
      <c r="ES368" t="s">
        <v>226</v>
      </c>
      <c r="ET368" t="s">
        <v>245</v>
      </c>
      <c r="EU368" t="s">
        <v>236</v>
      </c>
      <c r="EW368" t="s">
        <v>236</v>
      </c>
      <c r="EY368" t="s">
        <v>236</v>
      </c>
      <c r="FA368" t="s">
        <v>236</v>
      </c>
      <c r="FC368" t="s">
        <v>236</v>
      </c>
      <c r="FE368" t="s">
        <v>236</v>
      </c>
      <c r="FG368" t="s">
        <v>236</v>
      </c>
      <c r="FJ368" t="s">
        <v>226</v>
      </c>
      <c r="FK368" t="s">
        <v>245</v>
      </c>
      <c r="FL368" t="s">
        <v>236</v>
      </c>
      <c r="FM368" t="s">
        <v>236</v>
      </c>
      <c r="FW368" t="s">
        <v>226</v>
      </c>
      <c r="FX368" t="s">
        <v>236</v>
      </c>
      <c r="FZ368" t="s">
        <v>236</v>
      </c>
      <c r="GC368" t="s">
        <v>236</v>
      </c>
      <c r="GF368" t="s">
        <v>226</v>
      </c>
      <c r="GG368" t="s">
        <v>226</v>
      </c>
      <c r="GH368" t="s">
        <v>267</v>
      </c>
      <c r="GI368" t="s">
        <v>236</v>
      </c>
      <c r="GL368" t="s">
        <v>226</v>
      </c>
      <c r="GM368" t="s">
        <v>236</v>
      </c>
      <c r="GO368" t="s">
        <v>236</v>
      </c>
      <c r="GR368" t="s">
        <v>226</v>
      </c>
      <c r="GS368" t="s">
        <v>236</v>
      </c>
      <c r="GU368" t="s">
        <v>226</v>
      </c>
      <c r="GV368" t="s">
        <v>236</v>
      </c>
      <c r="GX368" t="s">
        <v>236</v>
      </c>
      <c r="HB368" t="s">
        <v>537</v>
      </c>
      <c r="HC368" t="s">
        <v>2031</v>
      </c>
      <c r="HE368">
        <v>83279903</v>
      </c>
      <c r="HF368" t="s">
        <v>2032</v>
      </c>
      <c r="HG368" s="2">
        <v>45756.623923611107</v>
      </c>
      <c r="HJ368" t="s">
        <v>248</v>
      </c>
      <c r="HL368" t="s">
        <v>249</v>
      </c>
      <c r="HN368">
        <v>369</v>
      </c>
    </row>
    <row r="369" spans="1:222" x14ac:dyDescent="0.25">
      <c r="A369" s="2">
        <v>45756.388313449082</v>
      </c>
      <c r="B369" s="2">
        <v>45756.393137789353</v>
      </c>
      <c r="C369" t="s">
        <v>270</v>
      </c>
      <c r="D369">
        <v>181</v>
      </c>
      <c r="E369" s="2">
        <v>45730</v>
      </c>
      <c r="F369">
        <v>4</v>
      </c>
      <c r="G369" t="s">
        <v>367</v>
      </c>
      <c r="H369" t="s">
        <v>270</v>
      </c>
      <c r="I369">
        <v>67</v>
      </c>
      <c r="J369" t="str">
        <f t="shared" si="5"/>
        <v>de 56 a más</v>
      </c>
      <c r="K369" t="s">
        <v>251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225</v>
      </c>
      <c r="R369" t="s">
        <v>226</v>
      </c>
      <c r="T369" t="s">
        <v>227</v>
      </c>
      <c r="V369" t="s">
        <v>228</v>
      </c>
      <c r="W369" t="s">
        <v>229</v>
      </c>
      <c r="X369" t="s">
        <v>368</v>
      </c>
      <c r="Z369" t="s">
        <v>351</v>
      </c>
      <c r="AA369" t="s">
        <v>255</v>
      </c>
      <c r="AB369">
        <v>0</v>
      </c>
      <c r="AC369">
        <v>0</v>
      </c>
      <c r="AD369">
        <v>0</v>
      </c>
      <c r="AE369">
        <v>1</v>
      </c>
      <c r="AF369">
        <v>0</v>
      </c>
      <c r="AG369">
        <v>0</v>
      </c>
      <c r="AI369" t="s">
        <v>233</v>
      </c>
      <c r="AJ369">
        <v>0</v>
      </c>
      <c r="AK369">
        <v>1</v>
      </c>
      <c r="AL369">
        <v>0</v>
      </c>
      <c r="AM369">
        <v>0</v>
      </c>
      <c r="AN369" t="s">
        <v>257</v>
      </c>
      <c r="AO369" t="s">
        <v>382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X369" t="s">
        <v>236</v>
      </c>
      <c r="AZ369" t="s">
        <v>237</v>
      </c>
      <c r="BA369" t="s">
        <v>1165</v>
      </c>
      <c r="BE369" t="s">
        <v>237</v>
      </c>
      <c r="BF369" t="s">
        <v>237</v>
      </c>
      <c r="BG369" t="s">
        <v>237</v>
      </c>
      <c r="BH369" t="s">
        <v>237</v>
      </c>
      <c r="BI369" t="s">
        <v>308</v>
      </c>
      <c r="BJ369" t="s">
        <v>237</v>
      </c>
      <c r="BK369" t="s">
        <v>259</v>
      </c>
      <c r="BL369" t="s">
        <v>262</v>
      </c>
      <c r="BM369" t="s">
        <v>415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 t="s">
        <v>264</v>
      </c>
      <c r="CB369" t="s">
        <v>264</v>
      </c>
      <c r="CC369" t="s">
        <v>328</v>
      </c>
      <c r="CD369" t="s">
        <v>236</v>
      </c>
      <c r="CE369" t="s">
        <v>236</v>
      </c>
      <c r="EA369" t="s">
        <v>236</v>
      </c>
      <c r="EC369" t="s">
        <v>236</v>
      </c>
      <c r="EE369" t="s">
        <v>236</v>
      </c>
      <c r="EG369" t="s">
        <v>236</v>
      </c>
      <c r="EI369" t="s">
        <v>236</v>
      </c>
      <c r="EK369" t="s">
        <v>236</v>
      </c>
      <c r="EM369" t="s">
        <v>226</v>
      </c>
      <c r="EN369" t="s">
        <v>244</v>
      </c>
      <c r="EO369" t="s">
        <v>236</v>
      </c>
      <c r="EQ369" t="s">
        <v>236</v>
      </c>
      <c r="ES369" t="s">
        <v>236</v>
      </c>
      <c r="EU369" t="s">
        <v>236</v>
      </c>
      <c r="EW369" t="s">
        <v>236</v>
      </c>
      <c r="EY369" t="s">
        <v>236</v>
      </c>
      <c r="FA369" t="s">
        <v>236</v>
      </c>
      <c r="FC369" t="s">
        <v>236</v>
      </c>
      <c r="FE369" t="s">
        <v>236</v>
      </c>
      <c r="FG369" t="s">
        <v>236</v>
      </c>
      <c r="FJ369" t="s">
        <v>236</v>
      </c>
      <c r="FM369" t="s">
        <v>236</v>
      </c>
      <c r="FW369" t="s">
        <v>226</v>
      </c>
      <c r="FX369" t="s">
        <v>226</v>
      </c>
      <c r="FY369" t="s">
        <v>266</v>
      </c>
      <c r="FZ369" t="s">
        <v>236</v>
      </c>
      <c r="GC369" t="s">
        <v>236</v>
      </c>
      <c r="GF369" t="s">
        <v>236</v>
      </c>
      <c r="GI369" t="s">
        <v>236</v>
      </c>
      <c r="GL369" t="s">
        <v>236</v>
      </c>
      <c r="GO369" t="s">
        <v>226</v>
      </c>
      <c r="GP369" t="s">
        <v>236</v>
      </c>
      <c r="GR369" t="s">
        <v>236</v>
      </c>
      <c r="GU369" t="s">
        <v>236</v>
      </c>
      <c r="GX369" t="s">
        <v>236</v>
      </c>
      <c r="HB369" t="s">
        <v>288</v>
      </c>
      <c r="HE369">
        <v>83277281</v>
      </c>
      <c r="HF369" t="s">
        <v>1166</v>
      </c>
      <c r="HG369" s="2">
        <v>45756.601377314822</v>
      </c>
      <c r="HJ369" t="s">
        <v>248</v>
      </c>
      <c r="HL369" t="s">
        <v>249</v>
      </c>
      <c r="HN369">
        <v>367</v>
      </c>
    </row>
    <row r="370" spans="1:222" x14ac:dyDescent="0.25">
      <c r="A370" s="2">
        <v>45756.393138263891</v>
      </c>
      <c r="B370" s="2">
        <v>45756.400847083343</v>
      </c>
      <c r="C370" t="s">
        <v>270</v>
      </c>
      <c r="D370">
        <v>180</v>
      </c>
      <c r="E370" s="2">
        <v>45730</v>
      </c>
      <c r="F370">
        <v>4</v>
      </c>
      <c r="G370" t="s">
        <v>413</v>
      </c>
      <c r="H370" t="s">
        <v>270</v>
      </c>
      <c r="I370">
        <v>70</v>
      </c>
      <c r="J370" t="str">
        <f t="shared" si="5"/>
        <v>de 56 a más</v>
      </c>
      <c r="K370" t="s">
        <v>251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291</v>
      </c>
      <c r="R370" t="s">
        <v>226</v>
      </c>
      <c r="T370" t="s">
        <v>227</v>
      </c>
      <c r="V370" t="s">
        <v>272</v>
      </c>
      <c r="W370" t="s">
        <v>229</v>
      </c>
      <c r="X370" t="s">
        <v>368</v>
      </c>
      <c r="Z370" t="s">
        <v>273</v>
      </c>
      <c r="AA370" t="s">
        <v>232</v>
      </c>
      <c r="AB370">
        <v>1</v>
      </c>
      <c r="AC370">
        <v>0</v>
      </c>
      <c r="AD370">
        <v>0</v>
      </c>
      <c r="AE370">
        <v>0</v>
      </c>
      <c r="AF370">
        <v>0</v>
      </c>
      <c r="AG370">
        <v>0</v>
      </c>
      <c r="AI370" t="s">
        <v>233</v>
      </c>
      <c r="AJ370">
        <v>0</v>
      </c>
      <c r="AK370">
        <v>1</v>
      </c>
      <c r="AL370">
        <v>0</v>
      </c>
      <c r="AM370">
        <v>0</v>
      </c>
      <c r="AN370" t="s">
        <v>300</v>
      </c>
      <c r="AO370" t="s">
        <v>235</v>
      </c>
      <c r="AP370">
        <v>0</v>
      </c>
      <c r="AQ370">
        <v>0</v>
      </c>
      <c r="AR370">
        <v>0</v>
      </c>
      <c r="AS370">
        <v>1</v>
      </c>
      <c r="AT370">
        <v>0</v>
      </c>
      <c r="AU370">
        <v>0</v>
      </c>
      <c r="AV370">
        <v>0</v>
      </c>
      <c r="AX370" t="s">
        <v>226</v>
      </c>
      <c r="AY370" t="s">
        <v>226</v>
      </c>
      <c r="AZ370" t="s">
        <v>362</v>
      </c>
      <c r="BA370" t="s">
        <v>1160</v>
      </c>
      <c r="BB370" t="s">
        <v>1161</v>
      </c>
      <c r="BE370" t="s">
        <v>237</v>
      </c>
      <c r="BF370" t="s">
        <v>237</v>
      </c>
      <c r="BG370" t="s">
        <v>237</v>
      </c>
      <c r="BH370" t="s">
        <v>308</v>
      </c>
      <c r="BI370" t="s">
        <v>308</v>
      </c>
      <c r="BJ370" t="s">
        <v>237</v>
      </c>
      <c r="BK370" t="s">
        <v>237</v>
      </c>
      <c r="BL370" t="s">
        <v>240</v>
      </c>
      <c r="BM370" t="s">
        <v>372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1</v>
      </c>
      <c r="CA370" t="s">
        <v>264</v>
      </c>
      <c r="CB370" t="s">
        <v>328</v>
      </c>
      <c r="CC370" t="s">
        <v>328</v>
      </c>
      <c r="CD370" t="s">
        <v>236</v>
      </c>
      <c r="CE370" t="s">
        <v>236</v>
      </c>
      <c r="EA370" t="s">
        <v>236</v>
      </c>
      <c r="EC370" t="s">
        <v>226</v>
      </c>
      <c r="ED370" t="s">
        <v>245</v>
      </c>
      <c r="EE370" t="s">
        <v>226</v>
      </c>
      <c r="EF370" t="s">
        <v>245</v>
      </c>
      <c r="EG370" t="s">
        <v>236</v>
      </c>
      <c r="EI370" t="s">
        <v>236</v>
      </c>
      <c r="EK370" t="s">
        <v>236</v>
      </c>
      <c r="EM370" t="s">
        <v>226</v>
      </c>
      <c r="EN370" t="s">
        <v>245</v>
      </c>
      <c r="EO370" t="s">
        <v>236</v>
      </c>
      <c r="EQ370" t="s">
        <v>236</v>
      </c>
      <c r="ES370" t="s">
        <v>236</v>
      </c>
      <c r="EU370" t="s">
        <v>236</v>
      </c>
      <c r="EW370" t="s">
        <v>236</v>
      </c>
      <c r="EY370" t="s">
        <v>236</v>
      </c>
      <c r="FA370" t="s">
        <v>226</v>
      </c>
      <c r="FB370" t="s">
        <v>244</v>
      </c>
      <c r="FC370" t="s">
        <v>236</v>
      </c>
      <c r="FE370" t="s">
        <v>236</v>
      </c>
      <c r="FG370" t="s">
        <v>236</v>
      </c>
      <c r="FJ370" t="s">
        <v>236</v>
      </c>
      <c r="FM370" t="s">
        <v>236</v>
      </c>
      <c r="FW370" t="s">
        <v>226</v>
      </c>
      <c r="FX370" t="s">
        <v>226</v>
      </c>
      <c r="FY370" t="s">
        <v>266</v>
      </c>
      <c r="FZ370" t="s">
        <v>226</v>
      </c>
      <c r="GA370" t="s">
        <v>226</v>
      </c>
      <c r="GB370" t="s">
        <v>266</v>
      </c>
      <c r="GC370" t="s">
        <v>236</v>
      </c>
      <c r="GF370" t="s">
        <v>226</v>
      </c>
      <c r="GG370" t="s">
        <v>226</v>
      </c>
      <c r="GH370" t="s">
        <v>266</v>
      </c>
      <c r="GI370" t="s">
        <v>236</v>
      </c>
      <c r="GL370" t="s">
        <v>236</v>
      </c>
      <c r="GO370" t="s">
        <v>226</v>
      </c>
      <c r="GP370" t="s">
        <v>226</v>
      </c>
      <c r="GQ370" t="s">
        <v>266</v>
      </c>
      <c r="GR370" t="s">
        <v>236</v>
      </c>
      <c r="GU370" t="s">
        <v>236</v>
      </c>
      <c r="GX370" t="s">
        <v>236</v>
      </c>
      <c r="HB370" t="s">
        <v>338</v>
      </c>
      <c r="HC370" t="s">
        <v>1162</v>
      </c>
      <c r="HD370" t="s">
        <v>1163</v>
      </c>
      <c r="HE370">
        <v>83278123</v>
      </c>
      <c r="HF370" t="s">
        <v>1164</v>
      </c>
      <c r="HG370" s="2">
        <v>45756.6091087963</v>
      </c>
      <c r="HJ370" t="s">
        <v>248</v>
      </c>
      <c r="HL370" t="s">
        <v>249</v>
      </c>
      <c r="HN370">
        <v>368</v>
      </c>
    </row>
    <row r="371" spans="1:222" x14ac:dyDescent="0.25">
      <c r="A371" s="2">
        <v>45756.40084761574</v>
      </c>
      <c r="B371" s="2">
        <v>45756.430752245367</v>
      </c>
      <c r="C371" t="s">
        <v>270</v>
      </c>
      <c r="D371">
        <v>179</v>
      </c>
      <c r="E371" s="2">
        <v>45730</v>
      </c>
      <c r="F371">
        <v>4</v>
      </c>
      <c r="G371" t="s">
        <v>413</v>
      </c>
      <c r="H371" t="s">
        <v>270</v>
      </c>
      <c r="I371">
        <v>61</v>
      </c>
      <c r="J371" t="str">
        <f t="shared" si="5"/>
        <v>de 56 a más</v>
      </c>
      <c r="K371" t="s">
        <v>341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291</v>
      </c>
      <c r="R371" t="s">
        <v>226</v>
      </c>
      <c r="T371" t="s">
        <v>227</v>
      </c>
      <c r="V371" t="s">
        <v>272</v>
      </c>
      <c r="W371" t="s">
        <v>229</v>
      </c>
      <c r="X371" t="s">
        <v>299</v>
      </c>
      <c r="Z371" t="s">
        <v>308</v>
      </c>
      <c r="AA371" t="s">
        <v>232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I371" t="s">
        <v>233</v>
      </c>
      <c r="AJ371">
        <v>0</v>
      </c>
      <c r="AK371">
        <v>1</v>
      </c>
      <c r="AL371">
        <v>0</v>
      </c>
      <c r="AM371">
        <v>0</v>
      </c>
      <c r="AN371" t="s">
        <v>300</v>
      </c>
      <c r="AO371" t="s">
        <v>235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0</v>
      </c>
      <c r="AX371" t="s">
        <v>226</v>
      </c>
      <c r="AY371" t="s">
        <v>226</v>
      </c>
      <c r="AZ371" t="s">
        <v>237</v>
      </c>
      <c r="BA371" t="s">
        <v>1157</v>
      </c>
      <c r="BB371" t="s">
        <v>1158</v>
      </c>
      <c r="BE371" t="s">
        <v>237</v>
      </c>
      <c r="BF371" t="s">
        <v>237</v>
      </c>
      <c r="BG371" t="s">
        <v>237</v>
      </c>
      <c r="BH371" t="s">
        <v>308</v>
      </c>
      <c r="BI371" t="s">
        <v>308</v>
      </c>
      <c r="BJ371" t="s">
        <v>237</v>
      </c>
      <c r="BK371" t="s">
        <v>237</v>
      </c>
      <c r="BL371" t="s">
        <v>262</v>
      </c>
      <c r="BM371" t="s">
        <v>372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1</v>
      </c>
      <c r="CA371" t="s">
        <v>264</v>
      </c>
      <c r="CB371" t="s">
        <v>328</v>
      </c>
      <c r="CC371" t="s">
        <v>264</v>
      </c>
      <c r="CD371" t="s">
        <v>236</v>
      </c>
      <c r="CE371" t="s">
        <v>236</v>
      </c>
      <c r="EA371" t="s">
        <v>236</v>
      </c>
      <c r="EC371" t="s">
        <v>236</v>
      </c>
      <c r="EE371" t="s">
        <v>236</v>
      </c>
      <c r="EG371" t="s">
        <v>226</v>
      </c>
      <c r="EH371" t="s">
        <v>245</v>
      </c>
      <c r="EI371" t="s">
        <v>236</v>
      </c>
      <c r="EK371" t="s">
        <v>236</v>
      </c>
      <c r="EM371" t="s">
        <v>236</v>
      </c>
      <c r="EO371" t="s">
        <v>236</v>
      </c>
      <c r="EQ371" t="s">
        <v>236</v>
      </c>
      <c r="ES371" t="s">
        <v>226</v>
      </c>
      <c r="ET371" t="s">
        <v>245</v>
      </c>
      <c r="EU371" t="s">
        <v>236</v>
      </c>
      <c r="EW371" t="s">
        <v>226</v>
      </c>
      <c r="EX371" t="s">
        <v>245</v>
      </c>
      <c r="EY371" t="s">
        <v>226</v>
      </c>
      <c r="EZ371" t="s">
        <v>245</v>
      </c>
      <c r="FA371" t="s">
        <v>226</v>
      </c>
      <c r="FB371" t="s">
        <v>265</v>
      </c>
      <c r="FC371" t="s">
        <v>236</v>
      </c>
      <c r="FE371" t="s">
        <v>236</v>
      </c>
      <c r="FG371" t="s">
        <v>236</v>
      </c>
      <c r="FJ371" t="s">
        <v>226</v>
      </c>
      <c r="FK371" t="s">
        <v>244</v>
      </c>
      <c r="FL371" t="s">
        <v>226</v>
      </c>
      <c r="FM371" t="s">
        <v>236</v>
      </c>
      <c r="FW371" t="s">
        <v>236</v>
      </c>
      <c r="FZ371" t="s">
        <v>236</v>
      </c>
      <c r="GC371" t="s">
        <v>236</v>
      </c>
      <c r="GF371" t="s">
        <v>236</v>
      </c>
      <c r="GI371" t="s">
        <v>236</v>
      </c>
      <c r="GL371" t="s">
        <v>236</v>
      </c>
      <c r="GO371" t="s">
        <v>236</v>
      </c>
      <c r="GR371" t="s">
        <v>236</v>
      </c>
      <c r="GU371" t="s">
        <v>236</v>
      </c>
      <c r="GX371" t="s">
        <v>236</v>
      </c>
      <c r="HB371" t="s">
        <v>303</v>
      </c>
      <c r="HE371">
        <v>83281876</v>
      </c>
      <c r="HF371" t="s">
        <v>1159</v>
      </c>
      <c r="HG371" s="2">
        <v>45756.639027777783</v>
      </c>
      <c r="HJ371" t="s">
        <v>248</v>
      </c>
      <c r="HL371" t="s">
        <v>249</v>
      </c>
      <c r="HN371">
        <v>373</v>
      </c>
    </row>
    <row r="372" spans="1:222" x14ac:dyDescent="0.25">
      <c r="A372" s="2">
        <v>45756.415672974537</v>
      </c>
      <c r="B372" s="2">
        <v>45756.418321226847</v>
      </c>
      <c r="C372" t="s">
        <v>334</v>
      </c>
      <c r="D372">
        <v>459</v>
      </c>
      <c r="E372" s="2">
        <v>45732</v>
      </c>
      <c r="F372">
        <v>4</v>
      </c>
      <c r="G372" t="s">
        <v>1268</v>
      </c>
      <c r="H372" t="s">
        <v>270</v>
      </c>
      <c r="I372">
        <v>61</v>
      </c>
      <c r="J372" t="str">
        <f t="shared" si="5"/>
        <v>de 56 a más</v>
      </c>
      <c r="K372" t="s">
        <v>341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291</v>
      </c>
      <c r="R372" t="s">
        <v>226</v>
      </c>
      <c r="T372" t="s">
        <v>227</v>
      </c>
      <c r="V372" t="s">
        <v>252</v>
      </c>
      <c r="W372" t="s">
        <v>229</v>
      </c>
      <c r="X372" t="s">
        <v>368</v>
      </c>
      <c r="Z372" t="s">
        <v>231</v>
      </c>
      <c r="AA372" t="s">
        <v>232</v>
      </c>
      <c r="AB372">
        <v>1</v>
      </c>
      <c r="AC372">
        <v>0</v>
      </c>
      <c r="AD372">
        <v>0</v>
      </c>
      <c r="AE372">
        <v>0</v>
      </c>
      <c r="AF372">
        <v>0</v>
      </c>
      <c r="AG372">
        <v>0</v>
      </c>
      <c r="AI372" t="s">
        <v>233</v>
      </c>
      <c r="AJ372">
        <v>0</v>
      </c>
      <c r="AK372">
        <v>1</v>
      </c>
      <c r="AL372">
        <v>0</v>
      </c>
      <c r="AM372">
        <v>0</v>
      </c>
      <c r="AN372" t="s">
        <v>300</v>
      </c>
      <c r="AO372" t="s">
        <v>294</v>
      </c>
      <c r="AP372">
        <v>1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X372" t="s">
        <v>226</v>
      </c>
      <c r="AY372" t="s">
        <v>236</v>
      </c>
      <c r="AZ372" t="s">
        <v>237</v>
      </c>
      <c r="BA372" t="s">
        <v>825</v>
      </c>
      <c r="BE372" t="s">
        <v>237</v>
      </c>
      <c r="BF372" t="s">
        <v>237</v>
      </c>
      <c r="BG372" t="s">
        <v>237</v>
      </c>
      <c r="BH372" t="s">
        <v>362</v>
      </c>
      <c r="BI372" t="s">
        <v>362</v>
      </c>
      <c r="BJ372" t="s">
        <v>237</v>
      </c>
      <c r="BK372" t="s">
        <v>237</v>
      </c>
      <c r="BL372" t="s">
        <v>262</v>
      </c>
      <c r="BM372" t="s">
        <v>451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 t="s">
        <v>264</v>
      </c>
      <c r="CB372" t="s">
        <v>264</v>
      </c>
      <c r="CC372" t="s">
        <v>242</v>
      </c>
      <c r="CD372" t="s">
        <v>236</v>
      </c>
      <c r="CE372" t="s">
        <v>236</v>
      </c>
      <c r="EA372" t="s">
        <v>236</v>
      </c>
      <c r="EC372" t="s">
        <v>236</v>
      </c>
      <c r="EE372" t="s">
        <v>226</v>
      </c>
      <c r="EF372" t="s">
        <v>244</v>
      </c>
      <c r="EG372" t="s">
        <v>236</v>
      </c>
      <c r="EI372" t="s">
        <v>236</v>
      </c>
      <c r="EK372" t="s">
        <v>236</v>
      </c>
      <c r="EM372" t="s">
        <v>236</v>
      </c>
      <c r="EO372" t="s">
        <v>236</v>
      </c>
      <c r="EQ372" t="s">
        <v>236</v>
      </c>
      <c r="ES372" t="s">
        <v>236</v>
      </c>
      <c r="EU372" t="s">
        <v>236</v>
      </c>
      <c r="EW372" t="s">
        <v>236</v>
      </c>
      <c r="EY372" t="s">
        <v>236</v>
      </c>
      <c r="FA372" t="s">
        <v>236</v>
      </c>
      <c r="FC372" t="s">
        <v>236</v>
      </c>
      <c r="FE372" t="s">
        <v>226</v>
      </c>
      <c r="FF372" t="s">
        <v>245</v>
      </c>
      <c r="FG372" t="s">
        <v>236</v>
      </c>
      <c r="FJ372" t="s">
        <v>226</v>
      </c>
      <c r="FK372" t="s">
        <v>245</v>
      </c>
      <c r="FL372" t="s">
        <v>236</v>
      </c>
      <c r="FM372" t="s">
        <v>236</v>
      </c>
      <c r="FW372" t="s">
        <v>236</v>
      </c>
      <c r="FZ372" t="s">
        <v>236</v>
      </c>
      <c r="GC372" t="s">
        <v>236</v>
      </c>
      <c r="GF372" t="s">
        <v>236</v>
      </c>
      <c r="GI372" t="s">
        <v>236</v>
      </c>
      <c r="GL372" t="s">
        <v>236</v>
      </c>
      <c r="GO372" t="s">
        <v>226</v>
      </c>
      <c r="GP372" t="s">
        <v>236</v>
      </c>
      <c r="GR372" t="s">
        <v>226</v>
      </c>
      <c r="GS372" t="s">
        <v>236</v>
      </c>
      <c r="GU372" t="s">
        <v>236</v>
      </c>
      <c r="GX372" t="s">
        <v>236</v>
      </c>
      <c r="HB372" t="s">
        <v>279</v>
      </c>
      <c r="HC372" t="s">
        <v>288</v>
      </c>
      <c r="HE372">
        <v>83280237</v>
      </c>
      <c r="HF372" t="s">
        <v>2028</v>
      </c>
      <c r="HG372" s="2">
        <v>45756.626562500001</v>
      </c>
      <c r="HJ372" t="s">
        <v>248</v>
      </c>
      <c r="HL372" t="s">
        <v>249</v>
      </c>
      <c r="HN372">
        <v>370</v>
      </c>
    </row>
    <row r="373" spans="1:222" x14ac:dyDescent="0.25">
      <c r="A373" s="2">
        <v>45756.418321689816</v>
      </c>
      <c r="B373" s="2">
        <v>45756.421790613429</v>
      </c>
      <c r="C373" t="s">
        <v>334</v>
      </c>
      <c r="D373">
        <v>458</v>
      </c>
      <c r="E373" s="2">
        <v>45732</v>
      </c>
      <c r="F373">
        <v>4</v>
      </c>
      <c r="G373" t="s">
        <v>436</v>
      </c>
      <c r="H373" t="s">
        <v>270</v>
      </c>
      <c r="I373">
        <v>53</v>
      </c>
      <c r="J373" t="str">
        <f t="shared" si="5"/>
        <v>de 41 a 55 años</v>
      </c>
      <c r="K373" t="s">
        <v>224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225</v>
      </c>
      <c r="R373" t="s">
        <v>226</v>
      </c>
      <c r="T373" t="s">
        <v>227</v>
      </c>
      <c r="V373" t="s">
        <v>393</v>
      </c>
      <c r="W373" t="s">
        <v>229</v>
      </c>
      <c r="X373" t="s">
        <v>230</v>
      </c>
      <c r="Z373" t="s">
        <v>308</v>
      </c>
      <c r="AA373" t="s">
        <v>896</v>
      </c>
      <c r="AB373">
        <v>1</v>
      </c>
      <c r="AC373">
        <v>0</v>
      </c>
      <c r="AD373">
        <v>0</v>
      </c>
      <c r="AE373">
        <v>0</v>
      </c>
      <c r="AF373">
        <v>0</v>
      </c>
      <c r="AG373">
        <v>1</v>
      </c>
      <c r="AH373" t="s">
        <v>551</v>
      </c>
      <c r="AI373" t="s">
        <v>233</v>
      </c>
      <c r="AJ373">
        <v>0</v>
      </c>
      <c r="AK373">
        <v>1</v>
      </c>
      <c r="AL373">
        <v>0</v>
      </c>
      <c r="AM373">
        <v>0</v>
      </c>
      <c r="AN373" t="s">
        <v>257</v>
      </c>
      <c r="AO373" t="s">
        <v>369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 t="s">
        <v>551</v>
      </c>
      <c r="AX373" t="s">
        <v>226</v>
      </c>
      <c r="AY373" t="s">
        <v>226</v>
      </c>
      <c r="AZ373" t="s">
        <v>237</v>
      </c>
      <c r="BA373" t="s">
        <v>371</v>
      </c>
      <c r="BB373" t="s">
        <v>672</v>
      </c>
      <c r="BE373" t="s">
        <v>259</v>
      </c>
      <c r="BF373" t="s">
        <v>237</v>
      </c>
      <c r="BG373" t="s">
        <v>259</v>
      </c>
      <c r="BH373" t="s">
        <v>239</v>
      </c>
      <c r="BI373" t="s">
        <v>239</v>
      </c>
      <c r="BJ373" t="s">
        <v>237</v>
      </c>
      <c r="BK373" t="s">
        <v>239</v>
      </c>
      <c r="BL373" t="s">
        <v>262</v>
      </c>
      <c r="BM373" t="s">
        <v>2024</v>
      </c>
      <c r="BN373">
        <v>1</v>
      </c>
      <c r="BO373">
        <v>1</v>
      </c>
      <c r="BP373">
        <v>0</v>
      </c>
      <c r="BQ373">
        <v>1</v>
      </c>
      <c r="BR373">
        <v>0</v>
      </c>
      <c r="BS373">
        <v>1</v>
      </c>
      <c r="BT373">
        <v>0</v>
      </c>
      <c r="BU373">
        <v>0</v>
      </c>
      <c r="BV373">
        <v>1</v>
      </c>
      <c r="BW373">
        <v>1</v>
      </c>
      <c r="BX373">
        <v>0</v>
      </c>
      <c r="BY373">
        <v>0</v>
      </c>
      <c r="BZ373">
        <v>0</v>
      </c>
      <c r="CA373" t="s">
        <v>242</v>
      </c>
      <c r="CB373" t="s">
        <v>328</v>
      </c>
      <c r="CC373" t="s">
        <v>328</v>
      </c>
      <c r="CD373" t="s">
        <v>236</v>
      </c>
      <c r="CE373" t="s">
        <v>236</v>
      </c>
      <c r="EA373" t="s">
        <v>226</v>
      </c>
      <c r="EB373" t="s">
        <v>244</v>
      </c>
      <c r="EC373" t="s">
        <v>236</v>
      </c>
      <c r="EE373" t="s">
        <v>226</v>
      </c>
      <c r="EF373" t="s">
        <v>244</v>
      </c>
      <c r="EG373" t="s">
        <v>226</v>
      </c>
      <c r="EH373" t="s">
        <v>244</v>
      </c>
      <c r="EI373" t="s">
        <v>308</v>
      </c>
      <c r="EK373" t="s">
        <v>236</v>
      </c>
      <c r="EM373" t="s">
        <v>226</v>
      </c>
      <c r="EN373" t="s">
        <v>244</v>
      </c>
      <c r="EO373" t="s">
        <v>236</v>
      </c>
      <c r="EQ373" t="s">
        <v>236</v>
      </c>
      <c r="ES373" t="s">
        <v>236</v>
      </c>
      <c r="EU373" t="s">
        <v>236</v>
      </c>
      <c r="EW373" t="s">
        <v>236</v>
      </c>
      <c r="EY373" t="s">
        <v>236</v>
      </c>
      <c r="FA373" t="s">
        <v>236</v>
      </c>
      <c r="FC373" t="s">
        <v>226</v>
      </c>
      <c r="FD373" t="s">
        <v>244</v>
      </c>
      <c r="FE373" t="s">
        <v>236</v>
      </c>
      <c r="FG373" t="s">
        <v>236</v>
      </c>
      <c r="FJ373" t="s">
        <v>226</v>
      </c>
      <c r="FK373" t="s">
        <v>244</v>
      </c>
      <c r="FL373" t="s">
        <v>236</v>
      </c>
      <c r="FM373" t="s">
        <v>236</v>
      </c>
      <c r="FW373" t="s">
        <v>226</v>
      </c>
      <c r="FX373" t="s">
        <v>226</v>
      </c>
      <c r="FY373" t="s">
        <v>266</v>
      </c>
      <c r="FZ373" t="s">
        <v>236</v>
      </c>
      <c r="GC373" t="s">
        <v>236</v>
      </c>
      <c r="GF373" t="s">
        <v>226</v>
      </c>
      <c r="GG373" t="s">
        <v>226</v>
      </c>
      <c r="GH373" t="s">
        <v>266</v>
      </c>
      <c r="GI373" t="s">
        <v>236</v>
      </c>
      <c r="GL373" t="s">
        <v>236</v>
      </c>
      <c r="GO373" t="s">
        <v>226</v>
      </c>
      <c r="GP373" t="s">
        <v>226</v>
      </c>
      <c r="GQ373" t="s">
        <v>266</v>
      </c>
      <c r="GR373" t="s">
        <v>226</v>
      </c>
      <c r="GS373" t="s">
        <v>226</v>
      </c>
      <c r="GT373" t="s">
        <v>570</v>
      </c>
      <c r="GU373" t="s">
        <v>236</v>
      </c>
      <c r="GX373" t="s">
        <v>236</v>
      </c>
      <c r="HB373" t="s">
        <v>2025</v>
      </c>
      <c r="HC373" t="s">
        <v>2026</v>
      </c>
      <c r="HE373">
        <v>83280536</v>
      </c>
      <c r="HF373" t="s">
        <v>2027</v>
      </c>
      <c r="HG373" s="2">
        <v>45756.63003472222</v>
      </c>
      <c r="HJ373" t="s">
        <v>248</v>
      </c>
      <c r="HL373" t="s">
        <v>249</v>
      </c>
      <c r="HN373">
        <v>371</v>
      </c>
    </row>
    <row r="374" spans="1:222" x14ac:dyDescent="0.25">
      <c r="A374" s="2">
        <v>45756.421791261571</v>
      </c>
      <c r="B374" s="2">
        <v>45756.426118634263</v>
      </c>
      <c r="C374" t="s">
        <v>334</v>
      </c>
      <c r="D374">
        <v>457</v>
      </c>
      <c r="E374" s="2">
        <v>45732</v>
      </c>
      <c r="F374">
        <v>4</v>
      </c>
      <c r="G374" t="s">
        <v>436</v>
      </c>
      <c r="H374" t="s">
        <v>270</v>
      </c>
      <c r="I374">
        <v>74</v>
      </c>
      <c r="J374" t="str">
        <f t="shared" si="5"/>
        <v>de 56 a más</v>
      </c>
      <c r="K374" t="s">
        <v>341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225</v>
      </c>
      <c r="R374" t="s">
        <v>226</v>
      </c>
      <c r="T374" t="s">
        <v>227</v>
      </c>
      <c r="V374" t="s">
        <v>228</v>
      </c>
      <c r="W374" t="s">
        <v>229</v>
      </c>
      <c r="X374" t="s">
        <v>368</v>
      </c>
      <c r="Z374" t="s">
        <v>308</v>
      </c>
      <c r="AA374" t="s">
        <v>232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I374" t="s">
        <v>233</v>
      </c>
      <c r="AJ374">
        <v>0</v>
      </c>
      <c r="AK374">
        <v>1</v>
      </c>
      <c r="AL374">
        <v>0</v>
      </c>
      <c r="AM374">
        <v>0</v>
      </c>
      <c r="AN374" t="s">
        <v>300</v>
      </c>
      <c r="AO374" t="s">
        <v>369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 t="s">
        <v>551</v>
      </c>
      <c r="AX374" t="s">
        <v>226</v>
      </c>
      <c r="AY374" t="s">
        <v>226</v>
      </c>
      <c r="AZ374" t="s">
        <v>237</v>
      </c>
      <c r="BA374" t="s">
        <v>2020</v>
      </c>
      <c r="BB374" t="s">
        <v>452</v>
      </c>
      <c r="BC374" t="s">
        <v>277</v>
      </c>
      <c r="BE374" t="s">
        <v>259</v>
      </c>
      <c r="BF374" t="s">
        <v>237</v>
      </c>
      <c r="BG374" t="s">
        <v>259</v>
      </c>
      <c r="BH374" t="s">
        <v>239</v>
      </c>
      <c r="BI374" t="s">
        <v>237</v>
      </c>
      <c r="BJ374" t="s">
        <v>237</v>
      </c>
      <c r="BK374" t="s">
        <v>239</v>
      </c>
      <c r="BL374" t="s">
        <v>262</v>
      </c>
      <c r="BM374" t="s">
        <v>1752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1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 t="s">
        <v>242</v>
      </c>
      <c r="CB374" t="s">
        <v>328</v>
      </c>
      <c r="CC374" t="s">
        <v>264</v>
      </c>
      <c r="CD374" t="s">
        <v>236</v>
      </c>
      <c r="CE374" t="s">
        <v>236</v>
      </c>
      <c r="EA374" t="s">
        <v>236</v>
      </c>
      <c r="EC374" t="s">
        <v>226</v>
      </c>
      <c r="ED374" t="s">
        <v>244</v>
      </c>
      <c r="EE374" t="s">
        <v>226</v>
      </c>
      <c r="EF374" t="s">
        <v>245</v>
      </c>
      <c r="EG374" t="s">
        <v>226</v>
      </c>
      <c r="EH374" t="s">
        <v>244</v>
      </c>
      <c r="EI374" t="s">
        <v>226</v>
      </c>
      <c r="EJ374" t="s">
        <v>245</v>
      </c>
      <c r="EK374" t="s">
        <v>236</v>
      </c>
      <c r="EM374" t="s">
        <v>226</v>
      </c>
      <c r="EN374" t="s">
        <v>244</v>
      </c>
      <c r="EO374" t="s">
        <v>236</v>
      </c>
      <c r="EQ374" t="s">
        <v>236</v>
      </c>
      <c r="ES374" t="s">
        <v>236</v>
      </c>
      <c r="EU374" t="s">
        <v>236</v>
      </c>
      <c r="EW374" t="s">
        <v>236</v>
      </c>
      <c r="EY374" t="s">
        <v>236</v>
      </c>
      <c r="FA374" t="s">
        <v>226</v>
      </c>
      <c r="FB374" t="s">
        <v>244</v>
      </c>
      <c r="FC374" t="s">
        <v>236</v>
      </c>
      <c r="FE374" t="s">
        <v>236</v>
      </c>
      <c r="FG374" t="s">
        <v>236</v>
      </c>
      <c r="FJ374" t="s">
        <v>226</v>
      </c>
      <c r="FK374" t="s">
        <v>245</v>
      </c>
      <c r="FL374" t="s">
        <v>236</v>
      </c>
      <c r="FM374" t="s">
        <v>236</v>
      </c>
      <c r="FW374" t="s">
        <v>236</v>
      </c>
      <c r="FZ374" t="s">
        <v>236</v>
      </c>
      <c r="GC374" t="s">
        <v>226</v>
      </c>
      <c r="GD374" t="s">
        <v>226</v>
      </c>
      <c r="GE374" t="s">
        <v>266</v>
      </c>
      <c r="GF374" t="s">
        <v>236</v>
      </c>
      <c r="GI374" t="s">
        <v>236</v>
      </c>
      <c r="GL374" t="s">
        <v>236</v>
      </c>
      <c r="GO374" t="s">
        <v>226</v>
      </c>
      <c r="GP374" t="s">
        <v>226</v>
      </c>
      <c r="GQ374" t="s">
        <v>266</v>
      </c>
      <c r="GR374" t="s">
        <v>236</v>
      </c>
      <c r="GU374" t="s">
        <v>236</v>
      </c>
      <c r="GX374" t="s">
        <v>236</v>
      </c>
      <c r="HB374" t="s">
        <v>2021</v>
      </c>
      <c r="HC374" t="s">
        <v>2022</v>
      </c>
      <c r="HE374">
        <v>83281179</v>
      </c>
      <c r="HF374" t="s">
        <v>2023</v>
      </c>
      <c r="HG374" s="2">
        <v>45756.634363425917</v>
      </c>
      <c r="HJ374" t="s">
        <v>248</v>
      </c>
      <c r="HL374" t="s">
        <v>249</v>
      </c>
      <c r="HN374">
        <v>372</v>
      </c>
    </row>
    <row r="375" spans="1:222" x14ac:dyDescent="0.25">
      <c r="A375" s="2">
        <v>45756.42611940972</v>
      </c>
      <c r="B375" s="2">
        <v>45756.433288460648</v>
      </c>
      <c r="C375" t="s">
        <v>334</v>
      </c>
      <c r="D375">
        <v>456</v>
      </c>
      <c r="E375" s="2">
        <v>45732</v>
      </c>
      <c r="F375">
        <v>4</v>
      </c>
      <c r="G375" t="s">
        <v>450</v>
      </c>
      <c r="H375" t="s">
        <v>270</v>
      </c>
      <c r="I375">
        <v>39</v>
      </c>
      <c r="J375" t="str">
        <f t="shared" si="5"/>
        <v>de 26 a 40 años</v>
      </c>
      <c r="K375" t="s">
        <v>341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291</v>
      </c>
      <c r="R375" t="s">
        <v>226</v>
      </c>
      <c r="T375" t="s">
        <v>386</v>
      </c>
      <c r="V375" t="s">
        <v>252</v>
      </c>
      <c r="W375" t="s">
        <v>229</v>
      </c>
      <c r="X375" t="s">
        <v>230</v>
      </c>
      <c r="Z375" t="s">
        <v>231</v>
      </c>
      <c r="AA375" t="s">
        <v>232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I375" t="s">
        <v>233</v>
      </c>
      <c r="AJ375">
        <v>0</v>
      </c>
      <c r="AK375">
        <v>1</v>
      </c>
      <c r="AL375">
        <v>0</v>
      </c>
      <c r="AM375">
        <v>0</v>
      </c>
      <c r="AN375" t="s">
        <v>274</v>
      </c>
      <c r="AO375" t="s">
        <v>275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</v>
      </c>
      <c r="AV375">
        <v>0</v>
      </c>
      <c r="AX375" t="s">
        <v>226</v>
      </c>
      <c r="AY375" t="s">
        <v>226</v>
      </c>
      <c r="AZ375" t="s">
        <v>237</v>
      </c>
      <c r="BA375" t="s">
        <v>2016</v>
      </c>
      <c r="BB375" t="s">
        <v>339</v>
      </c>
      <c r="BE375" t="s">
        <v>259</v>
      </c>
      <c r="BF375" t="s">
        <v>259</v>
      </c>
      <c r="BG375" t="s">
        <v>259</v>
      </c>
      <c r="BH375" t="s">
        <v>259</v>
      </c>
      <c r="BI375" t="s">
        <v>237</v>
      </c>
      <c r="BJ375" t="s">
        <v>259</v>
      </c>
      <c r="BK375" t="s">
        <v>259</v>
      </c>
      <c r="BL375" t="s">
        <v>240</v>
      </c>
      <c r="BM375" t="s">
        <v>365</v>
      </c>
      <c r="BN375">
        <v>0</v>
      </c>
      <c r="BO375">
        <v>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 t="s">
        <v>243</v>
      </c>
      <c r="CB375" t="s">
        <v>328</v>
      </c>
      <c r="CC375" t="s">
        <v>264</v>
      </c>
      <c r="CD375" t="s">
        <v>226</v>
      </c>
      <c r="CE375" t="s">
        <v>236</v>
      </c>
      <c r="EA375" t="s">
        <v>236</v>
      </c>
      <c r="EC375" t="s">
        <v>236</v>
      </c>
      <c r="EE375" t="s">
        <v>226</v>
      </c>
      <c r="EF375" t="s">
        <v>245</v>
      </c>
      <c r="EG375" t="s">
        <v>226</v>
      </c>
      <c r="EH375" t="s">
        <v>245</v>
      </c>
      <c r="EI375" t="s">
        <v>236</v>
      </c>
      <c r="EK375" t="s">
        <v>226</v>
      </c>
      <c r="EL375" t="s">
        <v>245</v>
      </c>
      <c r="EM375" t="s">
        <v>226</v>
      </c>
      <c r="EN375" t="s">
        <v>245</v>
      </c>
      <c r="EO375" t="s">
        <v>226</v>
      </c>
      <c r="EP375" t="s">
        <v>245</v>
      </c>
      <c r="EQ375" t="s">
        <v>226</v>
      </c>
      <c r="ER375" t="s">
        <v>245</v>
      </c>
      <c r="ES375" t="s">
        <v>236</v>
      </c>
      <c r="EU375" t="s">
        <v>236</v>
      </c>
      <c r="EW375" t="s">
        <v>236</v>
      </c>
      <c r="EY375" t="s">
        <v>226</v>
      </c>
      <c r="EZ375" t="s">
        <v>245</v>
      </c>
      <c r="FA375" t="s">
        <v>236</v>
      </c>
      <c r="FC375" t="s">
        <v>236</v>
      </c>
      <c r="FE375" t="s">
        <v>236</v>
      </c>
      <c r="FG375" t="s">
        <v>236</v>
      </c>
      <c r="FJ375" t="s">
        <v>226</v>
      </c>
      <c r="FK375" t="s">
        <v>245</v>
      </c>
      <c r="FL375" t="s">
        <v>236</v>
      </c>
      <c r="FM375" t="s">
        <v>236</v>
      </c>
      <c r="FW375" t="s">
        <v>236</v>
      </c>
      <c r="FZ375" t="s">
        <v>236</v>
      </c>
      <c r="GC375" t="s">
        <v>236</v>
      </c>
      <c r="GF375" t="s">
        <v>236</v>
      </c>
      <c r="GI375" t="s">
        <v>236</v>
      </c>
      <c r="GL375" t="s">
        <v>226</v>
      </c>
      <c r="GM375" t="s">
        <v>236</v>
      </c>
      <c r="GO375" t="s">
        <v>236</v>
      </c>
      <c r="GR375" t="s">
        <v>226</v>
      </c>
      <c r="GS375" t="s">
        <v>236</v>
      </c>
      <c r="GU375" t="s">
        <v>226</v>
      </c>
      <c r="GV375" t="s">
        <v>236</v>
      </c>
      <c r="GX375" t="s">
        <v>236</v>
      </c>
      <c r="HB375" t="s">
        <v>2017</v>
      </c>
      <c r="HC375" t="s">
        <v>2018</v>
      </c>
      <c r="HD375" t="s">
        <v>279</v>
      </c>
      <c r="HE375">
        <v>83282190</v>
      </c>
      <c r="HF375" t="s">
        <v>2019</v>
      </c>
      <c r="HG375" s="2">
        <v>45756.641539351847</v>
      </c>
      <c r="HJ375" t="s">
        <v>248</v>
      </c>
      <c r="HL375" t="s">
        <v>249</v>
      </c>
      <c r="HN375">
        <v>374</v>
      </c>
    </row>
    <row r="376" spans="1:222" x14ac:dyDescent="0.25">
      <c r="A376" s="2">
        <v>45756.432733113426</v>
      </c>
      <c r="B376" s="2">
        <v>45756.437040474542</v>
      </c>
      <c r="C376" t="s">
        <v>270</v>
      </c>
      <c r="D376">
        <v>178</v>
      </c>
      <c r="E376" s="2">
        <v>45730</v>
      </c>
      <c r="F376">
        <v>4</v>
      </c>
      <c r="G376" t="s">
        <v>413</v>
      </c>
      <c r="H376" t="s">
        <v>270</v>
      </c>
      <c r="I376">
        <v>20</v>
      </c>
      <c r="J376" t="str">
        <f t="shared" si="5"/>
        <v>de 18 a 25 años</v>
      </c>
      <c r="K376" t="s">
        <v>224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291</v>
      </c>
      <c r="R376" t="s">
        <v>226</v>
      </c>
      <c r="T376" t="s">
        <v>227</v>
      </c>
      <c r="V376" t="s">
        <v>252</v>
      </c>
      <c r="W376" t="s">
        <v>229</v>
      </c>
      <c r="X376" t="s">
        <v>253</v>
      </c>
      <c r="Z376" t="s">
        <v>308</v>
      </c>
      <c r="AA376" t="s">
        <v>232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I376" t="s">
        <v>233</v>
      </c>
      <c r="AJ376">
        <v>0</v>
      </c>
      <c r="AK376">
        <v>1</v>
      </c>
      <c r="AL376">
        <v>0</v>
      </c>
      <c r="AM376">
        <v>0</v>
      </c>
      <c r="AN376" t="s">
        <v>234</v>
      </c>
      <c r="AO376" t="s">
        <v>235</v>
      </c>
      <c r="AP376">
        <v>0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0</v>
      </c>
      <c r="AX376" t="s">
        <v>226</v>
      </c>
      <c r="AY376" t="s">
        <v>226</v>
      </c>
      <c r="AZ376" t="s">
        <v>237</v>
      </c>
      <c r="BA376" t="s">
        <v>1153</v>
      </c>
      <c r="BB376" t="s">
        <v>1154</v>
      </c>
      <c r="BE376" t="s">
        <v>237</v>
      </c>
      <c r="BF376" t="s">
        <v>237</v>
      </c>
      <c r="BG376" t="s">
        <v>237</v>
      </c>
      <c r="BH376" t="s">
        <v>237</v>
      </c>
      <c r="BI376" t="s">
        <v>237</v>
      </c>
      <c r="BJ376" t="s">
        <v>237</v>
      </c>
      <c r="BK376" t="s">
        <v>237</v>
      </c>
      <c r="BL376" t="s">
        <v>240</v>
      </c>
      <c r="BM376" t="s">
        <v>372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1</v>
      </c>
      <c r="CA376" t="s">
        <v>264</v>
      </c>
      <c r="CB376" t="s">
        <v>264</v>
      </c>
      <c r="CC376" t="s">
        <v>264</v>
      </c>
      <c r="CD376" t="s">
        <v>236</v>
      </c>
      <c r="CE376" t="s">
        <v>236</v>
      </c>
      <c r="EA376" t="s">
        <v>236</v>
      </c>
      <c r="EC376" t="s">
        <v>226</v>
      </c>
      <c r="ED376" t="s">
        <v>244</v>
      </c>
      <c r="EE376" t="s">
        <v>236</v>
      </c>
      <c r="EG376" t="s">
        <v>236</v>
      </c>
      <c r="EI376" t="s">
        <v>236</v>
      </c>
      <c r="EK376" t="s">
        <v>236</v>
      </c>
      <c r="EM376" t="s">
        <v>226</v>
      </c>
      <c r="EN376" t="s">
        <v>244</v>
      </c>
      <c r="EO376" t="s">
        <v>236</v>
      </c>
      <c r="EQ376" t="s">
        <v>236</v>
      </c>
      <c r="ES376" t="s">
        <v>236</v>
      </c>
      <c r="EU376" t="s">
        <v>236</v>
      </c>
      <c r="EW376" t="s">
        <v>236</v>
      </c>
      <c r="EY376" t="s">
        <v>236</v>
      </c>
      <c r="FA376" t="s">
        <v>236</v>
      </c>
      <c r="FC376" t="s">
        <v>236</v>
      </c>
      <c r="FE376" t="s">
        <v>236</v>
      </c>
      <c r="FG376" t="s">
        <v>236</v>
      </c>
      <c r="FJ376" t="s">
        <v>236</v>
      </c>
      <c r="FM376" t="s">
        <v>236</v>
      </c>
      <c r="FW376" t="s">
        <v>236</v>
      </c>
      <c r="FZ376" t="s">
        <v>236</v>
      </c>
      <c r="GC376" t="s">
        <v>236</v>
      </c>
      <c r="GF376" t="s">
        <v>236</v>
      </c>
      <c r="GI376" t="s">
        <v>236</v>
      </c>
      <c r="GL376" t="s">
        <v>226</v>
      </c>
      <c r="GM376" t="s">
        <v>236</v>
      </c>
      <c r="GO376" t="s">
        <v>226</v>
      </c>
      <c r="GP376" t="s">
        <v>226</v>
      </c>
      <c r="GQ376" t="s">
        <v>266</v>
      </c>
      <c r="GR376" t="s">
        <v>226</v>
      </c>
      <c r="GS376" t="s">
        <v>226</v>
      </c>
      <c r="GT376" t="s">
        <v>266</v>
      </c>
      <c r="GU376" t="s">
        <v>236</v>
      </c>
      <c r="GX376" t="s">
        <v>236</v>
      </c>
      <c r="HB376" t="s">
        <v>1155</v>
      </c>
      <c r="HE376">
        <v>83282895</v>
      </c>
      <c r="HF376" t="s">
        <v>1156</v>
      </c>
      <c r="HG376" s="2">
        <v>45756.645381944443</v>
      </c>
      <c r="HJ376" t="s">
        <v>248</v>
      </c>
      <c r="HL376" t="s">
        <v>249</v>
      </c>
      <c r="HN376">
        <v>375</v>
      </c>
    </row>
    <row r="377" spans="1:222" x14ac:dyDescent="0.25">
      <c r="A377" s="2">
        <v>45756.43328902778</v>
      </c>
      <c r="B377" s="2">
        <v>45756.447974629627</v>
      </c>
      <c r="C377" t="s">
        <v>334</v>
      </c>
      <c r="D377">
        <v>455</v>
      </c>
      <c r="E377" s="2">
        <v>45738</v>
      </c>
      <c r="F377">
        <v>1</v>
      </c>
      <c r="G377" t="s">
        <v>436</v>
      </c>
      <c r="H377" t="s">
        <v>270</v>
      </c>
      <c r="I377">
        <v>65</v>
      </c>
      <c r="J377" t="str">
        <f t="shared" si="5"/>
        <v>de 56 a más</v>
      </c>
      <c r="K377" t="s">
        <v>251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291</v>
      </c>
      <c r="R377" t="s">
        <v>226</v>
      </c>
      <c r="T377" t="s">
        <v>227</v>
      </c>
      <c r="V377" t="s">
        <v>228</v>
      </c>
      <c r="W377" t="s">
        <v>229</v>
      </c>
      <c r="X377" t="s">
        <v>230</v>
      </c>
      <c r="Z377" t="s">
        <v>308</v>
      </c>
      <c r="AA377" t="s">
        <v>958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I377" t="s">
        <v>256</v>
      </c>
      <c r="AJ377">
        <v>0</v>
      </c>
      <c r="AK377">
        <v>0</v>
      </c>
      <c r="AL377">
        <v>1</v>
      </c>
      <c r="AM377">
        <v>0</v>
      </c>
      <c r="AN377" t="s">
        <v>300</v>
      </c>
      <c r="AO377" t="s">
        <v>831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1</v>
      </c>
      <c r="AW377" t="s">
        <v>1260</v>
      </c>
      <c r="AX377" t="s">
        <v>226</v>
      </c>
      <c r="AY377" t="s">
        <v>226</v>
      </c>
      <c r="AZ377" t="s">
        <v>237</v>
      </c>
      <c r="BA377" t="s">
        <v>276</v>
      </c>
      <c r="BB377" t="s">
        <v>438</v>
      </c>
      <c r="BC377" t="s">
        <v>2012</v>
      </c>
      <c r="BE377" t="s">
        <v>259</v>
      </c>
      <c r="BF377" t="s">
        <v>237</v>
      </c>
      <c r="BG377" t="s">
        <v>259</v>
      </c>
      <c r="BH377" t="s">
        <v>239</v>
      </c>
      <c r="BI377" t="s">
        <v>237</v>
      </c>
      <c r="BJ377" t="s">
        <v>237</v>
      </c>
      <c r="BK377" t="s">
        <v>239</v>
      </c>
      <c r="BL377" t="s">
        <v>262</v>
      </c>
      <c r="BM377" t="s">
        <v>2013</v>
      </c>
      <c r="BN377">
        <v>1</v>
      </c>
      <c r="BO377">
        <v>1</v>
      </c>
      <c r="BP377">
        <v>0</v>
      </c>
      <c r="BQ377">
        <v>1</v>
      </c>
      <c r="BR377">
        <v>1</v>
      </c>
      <c r="BS377">
        <v>1</v>
      </c>
      <c r="BT377">
        <v>0</v>
      </c>
      <c r="BU377">
        <v>0</v>
      </c>
      <c r="BV377">
        <v>1</v>
      </c>
      <c r="BW377">
        <v>1</v>
      </c>
      <c r="BX377">
        <v>1</v>
      </c>
      <c r="BY377">
        <v>1</v>
      </c>
      <c r="BZ377">
        <v>0</v>
      </c>
      <c r="CA377" t="s">
        <v>242</v>
      </c>
      <c r="CB377" t="s">
        <v>264</v>
      </c>
      <c r="CC377" t="s">
        <v>264</v>
      </c>
      <c r="CD377" t="s">
        <v>236</v>
      </c>
      <c r="CE377" t="s">
        <v>236</v>
      </c>
      <c r="EA377" t="s">
        <v>236</v>
      </c>
      <c r="EC377" t="s">
        <v>236</v>
      </c>
      <c r="EE377" t="s">
        <v>236</v>
      </c>
      <c r="EG377" t="s">
        <v>226</v>
      </c>
      <c r="EH377" t="s">
        <v>244</v>
      </c>
      <c r="EI377" t="s">
        <v>236</v>
      </c>
      <c r="EK377" t="s">
        <v>236</v>
      </c>
      <c r="EM377" t="s">
        <v>236</v>
      </c>
      <c r="EO377" t="s">
        <v>236</v>
      </c>
      <c r="EQ377" t="s">
        <v>236</v>
      </c>
      <c r="ES377" t="s">
        <v>236</v>
      </c>
      <c r="EU377" t="s">
        <v>236</v>
      </c>
      <c r="EW377" t="s">
        <v>236</v>
      </c>
      <c r="EY377" t="s">
        <v>236</v>
      </c>
      <c r="FA377" t="s">
        <v>236</v>
      </c>
      <c r="FC377" t="s">
        <v>236</v>
      </c>
      <c r="FE377" t="s">
        <v>236</v>
      </c>
      <c r="FG377" t="s">
        <v>236</v>
      </c>
      <c r="FJ377" t="s">
        <v>226</v>
      </c>
      <c r="FK377" t="s">
        <v>245</v>
      </c>
      <c r="FL377" t="s">
        <v>236</v>
      </c>
      <c r="FM377" t="s">
        <v>236</v>
      </c>
      <c r="FW377" t="s">
        <v>236</v>
      </c>
      <c r="FZ377" t="s">
        <v>236</v>
      </c>
      <c r="GC377" t="s">
        <v>236</v>
      </c>
      <c r="GF377" t="s">
        <v>226</v>
      </c>
      <c r="GG377" t="s">
        <v>226</v>
      </c>
      <c r="GH377" t="s">
        <v>266</v>
      </c>
      <c r="GI377" t="s">
        <v>236</v>
      </c>
      <c r="GL377" t="s">
        <v>236</v>
      </c>
      <c r="GO377" t="s">
        <v>226</v>
      </c>
      <c r="GP377" t="s">
        <v>226</v>
      </c>
      <c r="GQ377" t="s">
        <v>266</v>
      </c>
      <c r="GR377" t="s">
        <v>236</v>
      </c>
      <c r="GU377" t="s">
        <v>236</v>
      </c>
      <c r="GX377" t="s">
        <v>236</v>
      </c>
      <c r="HB377" t="s">
        <v>1479</v>
      </c>
      <c r="HC377" t="s">
        <v>2014</v>
      </c>
      <c r="HD377" t="s">
        <v>982</v>
      </c>
      <c r="HE377">
        <v>83284488</v>
      </c>
      <c r="HF377" t="s">
        <v>2015</v>
      </c>
      <c r="HG377" s="2">
        <v>45756.656226851846</v>
      </c>
      <c r="HJ377" t="s">
        <v>248</v>
      </c>
      <c r="HL377" t="s">
        <v>249</v>
      </c>
      <c r="HN377">
        <v>377</v>
      </c>
    </row>
    <row r="378" spans="1:222" x14ac:dyDescent="0.25">
      <c r="A378" s="2">
        <v>45756.437041400473</v>
      </c>
      <c r="B378" s="2">
        <v>45756.441270277777</v>
      </c>
      <c r="C378" t="s">
        <v>270</v>
      </c>
      <c r="D378">
        <v>177</v>
      </c>
      <c r="E378" s="2">
        <v>45730</v>
      </c>
      <c r="F378">
        <v>4</v>
      </c>
      <c r="G378" t="s">
        <v>367</v>
      </c>
      <c r="H378" t="s">
        <v>270</v>
      </c>
      <c r="I378">
        <v>55</v>
      </c>
      <c r="J378" t="str">
        <f t="shared" si="5"/>
        <v>de 41 a 55 años</v>
      </c>
      <c r="K378" t="s">
        <v>341</v>
      </c>
      <c r="L378">
        <v>4</v>
      </c>
      <c r="M378">
        <v>0</v>
      </c>
      <c r="N378">
        <v>0</v>
      </c>
      <c r="O378">
        <v>0</v>
      </c>
      <c r="P378">
        <v>0</v>
      </c>
      <c r="Q378" t="s">
        <v>291</v>
      </c>
      <c r="R378" t="s">
        <v>236</v>
      </c>
      <c r="S378" t="s">
        <v>935</v>
      </c>
      <c r="T378" t="s">
        <v>227</v>
      </c>
      <c r="V378" t="s">
        <v>272</v>
      </c>
      <c r="W378" t="s">
        <v>229</v>
      </c>
      <c r="X378" t="s">
        <v>368</v>
      </c>
      <c r="Z378" t="s">
        <v>351</v>
      </c>
      <c r="AA378" t="s">
        <v>232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I378" t="s">
        <v>233</v>
      </c>
      <c r="AJ378">
        <v>0</v>
      </c>
      <c r="AK378">
        <v>1</v>
      </c>
      <c r="AL378">
        <v>0</v>
      </c>
      <c r="AM378">
        <v>0</v>
      </c>
      <c r="AN378" t="s">
        <v>300</v>
      </c>
      <c r="AO378" t="s">
        <v>802</v>
      </c>
      <c r="AP378">
        <v>0</v>
      </c>
      <c r="AQ378">
        <v>0</v>
      </c>
      <c r="AR378">
        <v>0</v>
      </c>
      <c r="AS378">
        <v>1</v>
      </c>
      <c r="AT378">
        <v>0</v>
      </c>
      <c r="AU378">
        <v>0</v>
      </c>
      <c r="AV378">
        <v>1</v>
      </c>
      <c r="AW378" t="s">
        <v>1149</v>
      </c>
      <c r="AX378" t="s">
        <v>226</v>
      </c>
      <c r="AY378" t="s">
        <v>226</v>
      </c>
      <c r="AZ378" t="s">
        <v>237</v>
      </c>
      <c r="BA378" t="s">
        <v>1150</v>
      </c>
      <c r="BB378" t="s">
        <v>339</v>
      </c>
      <c r="BE378" t="s">
        <v>237</v>
      </c>
      <c r="BF378" t="s">
        <v>237</v>
      </c>
      <c r="BG378" t="s">
        <v>237</v>
      </c>
      <c r="BH378" t="s">
        <v>362</v>
      </c>
      <c r="BI378" t="s">
        <v>362</v>
      </c>
      <c r="BJ378" t="s">
        <v>237</v>
      </c>
      <c r="BK378" t="s">
        <v>259</v>
      </c>
      <c r="BL378" t="s">
        <v>313</v>
      </c>
      <c r="BM378" t="s">
        <v>415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 t="s">
        <v>242</v>
      </c>
      <c r="CB378" t="s">
        <v>242</v>
      </c>
      <c r="CC378" t="s">
        <v>264</v>
      </c>
      <c r="CD378" t="s">
        <v>226</v>
      </c>
      <c r="CE378" t="s">
        <v>236</v>
      </c>
      <c r="EA378" t="s">
        <v>236</v>
      </c>
      <c r="EC378" t="s">
        <v>236</v>
      </c>
      <c r="EE378" t="s">
        <v>236</v>
      </c>
      <c r="EG378" t="s">
        <v>226</v>
      </c>
      <c r="EH378" t="s">
        <v>245</v>
      </c>
      <c r="EI378" t="s">
        <v>226</v>
      </c>
      <c r="EJ378" t="s">
        <v>245</v>
      </c>
      <c r="EK378" t="s">
        <v>236</v>
      </c>
      <c r="EM378" t="s">
        <v>226</v>
      </c>
      <c r="EN378" t="s">
        <v>245</v>
      </c>
      <c r="EO378" t="s">
        <v>236</v>
      </c>
      <c r="EQ378" t="s">
        <v>236</v>
      </c>
      <c r="ES378" t="s">
        <v>226</v>
      </c>
      <c r="ET378" t="s">
        <v>245</v>
      </c>
      <c r="EU378" t="s">
        <v>236</v>
      </c>
      <c r="EW378" t="s">
        <v>236</v>
      </c>
      <c r="EY378" t="s">
        <v>226</v>
      </c>
      <c r="EZ378" t="s">
        <v>244</v>
      </c>
      <c r="FA378" t="s">
        <v>236</v>
      </c>
      <c r="FC378" t="s">
        <v>236</v>
      </c>
      <c r="FE378" t="s">
        <v>236</v>
      </c>
      <c r="FG378" t="s">
        <v>236</v>
      </c>
      <c r="FJ378" t="s">
        <v>226</v>
      </c>
      <c r="FK378" t="s">
        <v>245</v>
      </c>
      <c r="FL378" t="s">
        <v>236</v>
      </c>
      <c r="FM378" t="s">
        <v>236</v>
      </c>
      <c r="FW378" t="s">
        <v>226</v>
      </c>
      <c r="FX378" t="s">
        <v>236</v>
      </c>
      <c r="FZ378" t="s">
        <v>226</v>
      </c>
      <c r="GA378" t="s">
        <v>236</v>
      </c>
      <c r="GC378" t="s">
        <v>226</v>
      </c>
      <c r="GD378" t="s">
        <v>236</v>
      </c>
      <c r="GF378" t="s">
        <v>226</v>
      </c>
      <c r="GG378" t="s">
        <v>236</v>
      </c>
      <c r="GI378" t="s">
        <v>236</v>
      </c>
      <c r="GL378" t="s">
        <v>236</v>
      </c>
      <c r="GO378" t="s">
        <v>226</v>
      </c>
      <c r="GP378" t="s">
        <v>236</v>
      </c>
      <c r="GR378" t="s">
        <v>226</v>
      </c>
      <c r="GS378" t="s">
        <v>226</v>
      </c>
      <c r="GT378" t="s">
        <v>267</v>
      </c>
      <c r="GU378" t="s">
        <v>236</v>
      </c>
      <c r="GX378" t="s">
        <v>236</v>
      </c>
      <c r="HB378" t="s">
        <v>1151</v>
      </c>
      <c r="HC378" t="s">
        <v>280</v>
      </c>
      <c r="HE378">
        <v>83283498</v>
      </c>
      <c r="HF378" t="s">
        <v>1152</v>
      </c>
      <c r="HG378" s="2">
        <v>45756.649606481478</v>
      </c>
      <c r="HJ378" t="s">
        <v>248</v>
      </c>
      <c r="HL378" t="s">
        <v>249</v>
      </c>
      <c r="HN378">
        <v>376</v>
      </c>
    </row>
    <row r="379" spans="1:222" x14ac:dyDescent="0.25">
      <c r="A379" s="2">
        <v>45756.441271099538</v>
      </c>
      <c r="B379" s="2">
        <v>45756.449972893519</v>
      </c>
      <c r="C379" t="s">
        <v>270</v>
      </c>
      <c r="D379">
        <v>175</v>
      </c>
      <c r="E379" s="2">
        <v>45730</v>
      </c>
      <c r="F379">
        <v>4</v>
      </c>
      <c r="G379" t="s">
        <v>436</v>
      </c>
      <c r="H379" t="s">
        <v>270</v>
      </c>
      <c r="I379">
        <v>23</v>
      </c>
      <c r="J379" t="str">
        <f t="shared" si="5"/>
        <v>de 18 a 25 años</v>
      </c>
      <c r="K379" t="s">
        <v>224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291</v>
      </c>
      <c r="R379" t="s">
        <v>226</v>
      </c>
      <c r="T379" t="s">
        <v>227</v>
      </c>
      <c r="V379" t="s">
        <v>252</v>
      </c>
      <c r="W379" t="s">
        <v>229</v>
      </c>
      <c r="X379" t="s">
        <v>253</v>
      </c>
      <c r="Z379" t="s">
        <v>308</v>
      </c>
      <c r="AA379" t="s">
        <v>232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I379" t="s">
        <v>233</v>
      </c>
      <c r="AJ379">
        <v>0</v>
      </c>
      <c r="AK379">
        <v>1</v>
      </c>
      <c r="AL379">
        <v>0</v>
      </c>
      <c r="AM379">
        <v>0</v>
      </c>
      <c r="AN379" t="s">
        <v>300</v>
      </c>
      <c r="AO379" t="s">
        <v>369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1</v>
      </c>
      <c r="AW379" t="s">
        <v>551</v>
      </c>
      <c r="AX379" t="s">
        <v>226</v>
      </c>
      <c r="AY379" t="s">
        <v>226</v>
      </c>
      <c r="AZ379" t="s">
        <v>362</v>
      </c>
      <c r="BA379" t="s">
        <v>1132</v>
      </c>
      <c r="BE379" t="s">
        <v>237</v>
      </c>
      <c r="BF379" t="s">
        <v>237</v>
      </c>
      <c r="BG379" t="s">
        <v>239</v>
      </c>
      <c r="BH379" t="s">
        <v>239</v>
      </c>
      <c r="BI379" t="s">
        <v>239</v>
      </c>
      <c r="BJ379" t="s">
        <v>237</v>
      </c>
      <c r="BK379" t="s">
        <v>239</v>
      </c>
      <c r="BL379" t="s">
        <v>262</v>
      </c>
      <c r="BM379" t="s">
        <v>296</v>
      </c>
      <c r="BN379">
        <v>0</v>
      </c>
      <c r="BO379">
        <v>0</v>
      </c>
      <c r="BP379">
        <v>0</v>
      </c>
      <c r="BQ379">
        <v>0</v>
      </c>
      <c r="BR379">
        <v>1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 t="s">
        <v>264</v>
      </c>
      <c r="CB379" t="s">
        <v>328</v>
      </c>
      <c r="CC379" t="s">
        <v>328</v>
      </c>
      <c r="CD379" t="s">
        <v>236</v>
      </c>
      <c r="CE379" t="s">
        <v>236</v>
      </c>
      <c r="EA379" t="s">
        <v>236</v>
      </c>
      <c r="EC379" t="s">
        <v>236</v>
      </c>
      <c r="EE379" t="s">
        <v>236</v>
      </c>
      <c r="EG379" t="s">
        <v>236</v>
      </c>
      <c r="EI379" t="s">
        <v>236</v>
      </c>
      <c r="EK379" t="s">
        <v>236</v>
      </c>
      <c r="EM379" t="s">
        <v>226</v>
      </c>
      <c r="EN379" t="s">
        <v>244</v>
      </c>
      <c r="EO379" t="s">
        <v>236</v>
      </c>
      <c r="EQ379" t="s">
        <v>236</v>
      </c>
      <c r="ES379" t="s">
        <v>236</v>
      </c>
      <c r="EU379" t="s">
        <v>236</v>
      </c>
      <c r="EW379" t="s">
        <v>236</v>
      </c>
      <c r="EY379" t="s">
        <v>236</v>
      </c>
      <c r="FA379" t="s">
        <v>236</v>
      </c>
      <c r="FC379" t="s">
        <v>236</v>
      </c>
      <c r="FE379" t="s">
        <v>236</v>
      </c>
      <c r="FG379" t="s">
        <v>236</v>
      </c>
      <c r="FJ379" t="s">
        <v>236</v>
      </c>
      <c r="FM379" t="s">
        <v>236</v>
      </c>
      <c r="FW379" t="s">
        <v>226</v>
      </c>
      <c r="FX379" t="s">
        <v>226</v>
      </c>
      <c r="FY379" t="s">
        <v>266</v>
      </c>
      <c r="FZ379" t="s">
        <v>236</v>
      </c>
      <c r="GC379" t="s">
        <v>236</v>
      </c>
      <c r="GF379" t="s">
        <v>226</v>
      </c>
      <c r="GG379" t="s">
        <v>226</v>
      </c>
      <c r="GH379" t="s">
        <v>266</v>
      </c>
      <c r="GI379" t="s">
        <v>236</v>
      </c>
      <c r="GL379" t="s">
        <v>226</v>
      </c>
      <c r="GM379" t="s">
        <v>226</v>
      </c>
      <c r="GN379" t="s">
        <v>266</v>
      </c>
      <c r="GO379" t="s">
        <v>226</v>
      </c>
      <c r="GP379" t="s">
        <v>226</v>
      </c>
      <c r="GQ379" t="s">
        <v>266</v>
      </c>
      <c r="GR379" t="s">
        <v>226</v>
      </c>
      <c r="GS379" t="s">
        <v>226</v>
      </c>
      <c r="GT379" t="s">
        <v>266</v>
      </c>
      <c r="GU379" t="s">
        <v>236</v>
      </c>
      <c r="GX379" t="s">
        <v>236</v>
      </c>
      <c r="HB379" t="s">
        <v>338</v>
      </c>
      <c r="HE379">
        <v>83284782</v>
      </c>
      <c r="HF379" t="s">
        <v>1148</v>
      </c>
      <c r="HG379" s="2">
        <v>45756.658310185187</v>
      </c>
      <c r="HJ379" t="s">
        <v>248</v>
      </c>
      <c r="HL379" t="s">
        <v>249</v>
      </c>
      <c r="HN379">
        <v>378</v>
      </c>
    </row>
    <row r="380" spans="1:222" x14ac:dyDescent="0.25">
      <c r="A380" s="2">
        <v>45756.447975312498</v>
      </c>
      <c r="B380" s="2">
        <v>45756.493884108793</v>
      </c>
      <c r="C380" t="s">
        <v>334</v>
      </c>
      <c r="D380">
        <v>454</v>
      </c>
      <c r="E380" s="2">
        <v>45738</v>
      </c>
      <c r="F380">
        <v>1</v>
      </c>
      <c r="G380" t="s">
        <v>413</v>
      </c>
      <c r="H380" t="s">
        <v>270</v>
      </c>
      <c r="I380">
        <v>69</v>
      </c>
      <c r="J380" t="str">
        <f t="shared" si="5"/>
        <v>de 56 a más</v>
      </c>
      <c r="K380" t="s">
        <v>251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291</v>
      </c>
      <c r="R380" t="s">
        <v>226</v>
      </c>
      <c r="T380" t="s">
        <v>227</v>
      </c>
      <c r="V380" t="s">
        <v>612</v>
      </c>
      <c r="W380" t="s">
        <v>229</v>
      </c>
      <c r="X380" t="s">
        <v>299</v>
      </c>
      <c r="Z380" t="s">
        <v>308</v>
      </c>
      <c r="AA380" t="s">
        <v>255</v>
      </c>
      <c r="AB380">
        <v>0</v>
      </c>
      <c r="AC380">
        <v>0</v>
      </c>
      <c r="AD380">
        <v>0</v>
      </c>
      <c r="AE380">
        <v>1</v>
      </c>
      <c r="AF380">
        <v>0</v>
      </c>
      <c r="AG380">
        <v>0</v>
      </c>
      <c r="AI380" t="s">
        <v>233</v>
      </c>
      <c r="AJ380">
        <v>0</v>
      </c>
      <c r="AK380">
        <v>1</v>
      </c>
      <c r="AL380">
        <v>0</v>
      </c>
      <c r="AM380">
        <v>0</v>
      </c>
      <c r="AN380" t="s">
        <v>300</v>
      </c>
      <c r="AO380" t="s">
        <v>275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X380" t="s">
        <v>226</v>
      </c>
      <c r="AY380" t="s">
        <v>226</v>
      </c>
      <c r="AZ380" t="s">
        <v>259</v>
      </c>
      <c r="BA380" t="s">
        <v>2007</v>
      </c>
      <c r="BB380" t="s">
        <v>2008</v>
      </c>
      <c r="BE380" t="s">
        <v>259</v>
      </c>
      <c r="BF380" t="s">
        <v>237</v>
      </c>
      <c r="BG380" t="s">
        <v>237</v>
      </c>
      <c r="BH380" t="s">
        <v>237</v>
      </c>
      <c r="BI380" t="s">
        <v>237</v>
      </c>
      <c r="BJ380" t="s">
        <v>237</v>
      </c>
      <c r="BK380" t="s">
        <v>237</v>
      </c>
      <c r="BL380" t="s">
        <v>262</v>
      </c>
      <c r="BM380" t="s">
        <v>372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1</v>
      </c>
      <c r="CA380" t="s">
        <v>242</v>
      </c>
      <c r="CB380" t="s">
        <v>328</v>
      </c>
      <c r="CC380" t="s">
        <v>328</v>
      </c>
      <c r="CD380" t="s">
        <v>236</v>
      </c>
      <c r="CE380" t="s">
        <v>236</v>
      </c>
      <c r="EA380" t="s">
        <v>226</v>
      </c>
      <c r="EB380" t="s">
        <v>244</v>
      </c>
      <c r="EC380" t="s">
        <v>226</v>
      </c>
      <c r="ED380" t="s">
        <v>244</v>
      </c>
      <c r="EE380" t="s">
        <v>226</v>
      </c>
      <c r="EF380" t="s">
        <v>244</v>
      </c>
      <c r="EG380" t="s">
        <v>236</v>
      </c>
      <c r="EI380" t="s">
        <v>236</v>
      </c>
      <c r="EK380" t="s">
        <v>226</v>
      </c>
      <c r="EL380" t="s">
        <v>244</v>
      </c>
      <c r="EM380" t="s">
        <v>226</v>
      </c>
      <c r="EN380" t="s">
        <v>244</v>
      </c>
      <c r="EO380" t="s">
        <v>236</v>
      </c>
      <c r="EQ380" t="s">
        <v>236</v>
      </c>
      <c r="ES380" t="s">
        <v>236</v>
      </c>
      <c r="EU380" t="s">
        <v>236</v>
      </c>
      <c r="EW380" t="s">
        <v>236</v>
      </c>
      <c r="EY380" t="s">
        <v>226</v>
      </c>
      <c r="EZ380" t="s">
        <v>244</v>
      </c>
      <c r="FA380" t="s">
        <v>236</v>
      </c>
      <c r="FC380" t="s">
        <v>236</v>
      </c>
      <c r="FE380" t="s">
        <v>226</v>
      </c>
      <c r="FF380" t="s">
        <v>244</v>
      </c>
      <c r="FG380" t="s">
        <v>236</v>
      </c>
      <c r="FJ380" t="s">
        <v>226</v>
      </c>
      <c r="FK380" t="s">
        <v>245</v>
      </c>
      <c r="FL380" t="s">
        <v>226</v>
      </c>
      <c r="FM380" t="s">
        <v>236</v>
      </c>
      <c r="FW380" t="s">
        <v>226</v>
      </c>
      <c r="FX380" t="s">
        <v>236</v>
      </c>
      <c r="FZ380" t="s">
        <v>236</v>
      </c>
      <c r="GC380" t="s">
        <v>226</v>
      </c>
      <c r="GD380" t="s">
        <v>236</v>
      </c>
      <c r="GF380" t="s">
        <v>236</v>
      </c>
      <c r="GI380" t="s">
        <v>236</v>
      </c>
      <c r="GL380" t="s">
        <v>226</v>
      </c>
      <c r="GM380" t="s">
        <v>236</v>
      </c>
      <c r="GO380" t="s">
        <v>226</v>
      </c>
      <c r="GP380" t="s">
        <v>236</v>
      </c>
      <c r="GR380" t="s">
        <v>226</v>
      </c>
      <c r="GS380" t="s">
        <v>236</v>
      </c>
      <c r="GU380" t="s">
        <v>236</v>
      </c>
      <c r="GX380" t="s">
        <v>236</v>
      </c>
      <c r="HB380" t="s">
        <v>2009</v>
      </c>
      <c r="HC380" t="s">
        <v>2010</v>
      </c>
      <c r="HE380">
        <v>83295163</v>
      </c>
      <c r="HF380" t="s">
        <v>2011</v>
      </c>
      <c r="HG380" s="2">
        <v>45756.70212962963</v>
      </c>
      <c r="HJ380" t="s">
        <v>248</v>
      </c>
      <c r="HL380" t="s">
        <v>249</v>
      </c>
      <c r="HN380">
        <v>380</v>
      </c>
    </row>
    <row r="381" spans="1:222" x14ac:dyDescent="0.25">
      <c r="A381" s="2">
        <v>45756.449973773153</v>
      </c>
      <c r="B381" s="2">
        <v>45756.464750775463</v>
      </c>
      <c r="C381" t="s">
        <v>270</v>
      </c>
      <c r="D381">
        <v>174</v>
      </c>
      <c r="E381" s="2">
        <v>45730</v>
      </c>
      <c r="F381">
        <v>4</v>
      </c>
      <c r="G381" t="s">
        <v>361</v>
      </c>
      <c r="H381" t="s">
        <v>270</v>
      </c>
      <c r="I381">
        <v>45</v>
      </c>
      <c r="J381" t="str">
        <f t="shared" si="5"/>
        <v>de 41 a 55 años</v>
      </c>
      <c r="K381" t="s">
        <v>341</v>
      </c>
      <c r="L381">
        <v>1</v>
      </c>
      <c r="M381">
        <v>0</v>
      </c>
      <c r="N381">
        <v>0</v>
      </c>
      <c r="O381">
        <v>0</v>
      </c>
      <c r="P381">
        <v>0</v>
      </c>
      <c r="Q381" t="s">
        <v>291</v>
      </c>
      <c r="R381" t="s">
        <v>226</v>
      </c>
      <c r="T381" t="s">
        <v>227</v>
      </c>
      <c r="V381" t="s">
        <v>252</v>
      </c>
      <c r="W381" t="s">
        <v>229</v>
      </c>
      <c r="X381" t="s">
        <v>299</v>
      </c>
      <c r="Z381" t="s">
        <v>231</v>
      </c>
      <c r="AA381" t="s">
        <v>616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</v>
      </c>
      <c r="AH381" t="s">
        <v>1142</v>
      </c>
      <c r="AI381" t="s">
        <v>504</v>
      </c>
      <c r="AJ381">
        <v>1</v>
      </c>
      <c r="AK381">
        <v>0</v>
      </c>
      <c r="AL381">
        <v>0</v>
      </c>
      <c r="AM381">
        <v>0</v>
      </c>
      <c r="AN381" t="s">
        <v>300</v>
      </c>
      <c r="AO381" t="s">
        <v>369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 t="s">
        <v>1142</v>
      </c>
      <c r="AX381" t="s">
        <v>226</v>
      </c>
      <c r="AY381" t="s">
        <v>226</v>
      </c>
      <c r="AZ381" t="s">
        <v>237</v>
      </c>
      <c r="BA381" t="s">
        <v>1143</v>
      </c>
      <c r="BE381" t="s">
        <v>259</v>
      </c>
      <c r="BF381" t="s">
        <v>259</v>
      </c>
      <c r="BG381" t="s">
        <v>259</v>
      </c>
      <c r="BH381" t="s">
        <v>239</v>
      </c>
      <c r="BI381" t="s">
        <v>239</v>
      </c>
      <c r="BJ381" t="s">
        <v>259</v>
      </c>
      <c r="BK381" t="s">
        <v>259</v>
      </c>
      <c r="BL381" t="s">
        <v>262</v>
      </c>
      <c r="BM381" t="s">
        <v>1144</v>
      </c>
      <c r="BN381">
        <v>0</v>
      </c>
      <c r="BO381">
        <v>1</v>
      </c>
      <c r="BP381">
        <v>0</v>
      </c>
      <c r="BQ381">
        <v>0</v>
      </c>
      <c r="BR381">
        <v>0</v>
      </c>
      <c r="BS381">
        <v>1</v>
      </c>
      <c r="BT381">
        <v>0</v>
      </c>
      <c r="BU381">
        <v>0</v>
      </c>
      <c r="BV381">
        <v>0</v>
      </c>
      <c r="BW381">
        <v>1</v>
      </c>
      <c r="BX381">
        <v>0</v>
      </c>
      <c r="BY381">
        <v>0</v>
      </c>
      <c r="BZ381">
        <v>0</v>
      </c>
      <c r="CA381" t="s">
        <v>264</v>
      </c>
      <c r="CB381" t="s">
        <v>243</v>
      </c>
      <c r="CC381" t="s">
        <v>328</v>
      </c>
      <c r="CD381" t="s">
        <v>236</v>
      </c>
      <c r="CE381" t="s">
        <v>236</v>
      </c>
      <c r="EA381" t="s">
        <v>226</v>
      </c>
      <c r="EB381" t="s">
        <v>265</v>
      </c>
      <c r="EC381" t="s">
        <v>236</v>
      </c>
      <c r="EE381" t="s">
        <v>226</v>
      </c>
      <c r="EF381" t="s">
        <v>245</v>
      </c>
      <c r="EG381" t="s">
        <v>226</v>
      </c>
      <c r="EH381" t="s">
        <v>265</v>
      </c>
      <c r="EI381" t="s">
        <v>226</v>
      </c>
      <c r="EJ381" t="s">
        <v>244</v>
      </c>
      <c r="EK381" t="s">
        <v>236</v>
      </c>
      <c r="EM381" t="s">
        <v>226</v>
      </c>
      <c r="EN381" t="s">
        <v>245</v>
      </c>
      <c r="EO381" t="s">
        <v>226</v>
      </c>
      <c r="EP381" t="s">
        <v>244</v>
      </c>
      <c r="EQ381" t="s">
        <v>236</v>
      </c>
      <c r="ES381" t="s">
        <v>236</v>
      </c>
      <c r="EU381" t="s">
        <v>236</v>
      </c>
      <c r="EW381" t="s">
        <v>236</v>
      </c>
      <c r="EY381" t="s">
        <v>226</v>
      </c>
      <c r="EZ381" t="s">
        <v>265</v>
      </c>
      <c r="FA381" t="s">
        <v>226</v>
      </c>
      <c r="FB381" t="s">
        <v>244</v>
      </c>
      <c r="FC381" t="s">
        <v>236</v>
      </c>
      <c r="FE381" t="s">
        <v>226</v>
      </c>
      <c r="FF381" t="s">
        <v>244</v>
      </c>
      <c r="FG381" t="s">
        <v>236</v>
      </c>
      <c r="FJ381" t="s">
        <v>226</v>
      </c>
      <c r="FK381" t="s">
        <v>245</v>
      </c>
      <c r="FL381" t="s">
        <v>226</v>
      </c>
      <c r="FM381" t="s">
        <v>236</v>
      </c>
      <c r="FW381" t="s">
        <v>226</v>
      </c>
      <c r="FX381" t="s">
        <v>226</v>
      </c>
      <c r="FY381" t="s">
        <v>266</v>
      </c>
      <c r="FZ381" t="s">
        <v>236</v>
      </c>
      <c r="GC381" t="s">
        <v>236</v>
      </c>
      <c r="GF381" t="s">
        <v>236</v>
      </c>
      <c r="GI381" t="s">
        <v>236</v>
      </c>
      <c r="GL381" t="s">
        <v>226</v>
      </c>
      <c r="GM381" t="s">
        <v>226</v>
      </c>
      <c r="GN381" t="s">
        <v>266</v>
      </c>
      <c r="GO381" t="s">
        <v>236</v>
      </c>
      <c r="GR381" t="s">
        <v>236</v>
      </c>
      <c r="GU381" t="s">
        <v>226</v>
      </c>
      <c r="GV381" t="s">
        <v>226</v>
      </c>
      <c r="GW381" t="s">
        <v>266</v>
      </c>
      <c r="GX381" t="s">
        <v>236</v>
      </c>
      <c r="HB381" t="s">
        <v>1145</v>
      </c>
      <c r="HC381" t="s">
        <v>1146</v>
      </c>
      <c r="HE381">
        <v>83289014</v>
      </c>
      <c r="HF381" t="s">
        <v>1147</v>
      </c>
      <c r="HG381" s="2">
        <v>45756.673090277778</v>
      </c>
      <c r="HJ381" t="s">
        <v>248</v>
      </c>
      <c r="HL381" t="s">
        <v>249</v>
      </c>
      <c r="HN381">
        <v>379</v>
      </c>
    </row>
    <row r="382" spans="1:222" x14ac:dyDescent="0.25">
      <c r="A382" s="2">
        <v>45756.464751562497</v>
      </c>
      <c r="B382" s="2">
        <v>45756.510813402783</v>
      </c>
      <c r="C382" t="s">
        <v>270</v>
      </c>
      <c r="D382">
        <v>57</v>
      </c>
      <c r="E382" s="2">
        <v>45731</v>
      </c>
      <c r="F382">
        <v>2</v>
      </c>
      <c r="G382" t="s">
        <v>271</v>
      </c>
      <c r="H382" t="s">
        <v>391</v>
      </c>
      <c r="I382">
        <v>28</v>
      </c>
      <c r="J382" t="str">
        <f t="shared" si="5"/>
        <v>de 26 a 40 años</v>
      </c>
      <c r="K382" t="s">
        <v>224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225</v>
      </c>
      <c r="R382" t="s">
        <v>226</v>
      </c>
      <c r="T382" t="s">
        <v>227</v>
      </c>
      <c r="V382" t="s">
        <v>252</v>
      </c>
      <c r="W382" t="s">
        <v>229</v>
      </c>
      <c r="X382" t="s">
        <v>230</v>
      </c>
      <c r="Z382" t="s">
        <v>254</v>
      </c>
      <c r="AA382" t="s">
        <v>232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I382" t="s">
        <v>233</v>
      </c>
      <c r="AJ382">
        <v>0</v>
      </c>
      <c r="AK382">
        <v>1</v>
      </c>
      <c r="AL382">
        <v>0</v>
      </c>
      <c r="AM382">
        <v>0</v>
      </c>
      <c r="AN382" t="s">
        <v>300</v>
      </c>
      <c r="AO382" t="s">
        <v>294</v>
      </c>
      <c r="AP382">
        <v>1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X382" t="s">
        <v>236</v>
      </c>
      <c r="AZ382" t="s">
        <v>237</v>
      </c>
      <c r="BA382" t="s">
        <v>301</v>
      </c>
      <c r="BB382" t="s">
        <v>660</v>
      </c>
      <c r="BE382" t="s">
        <v>259</v>
      </c>
      <c r="BF382" t="s">
        <v>237</v>
      </c>
      <c r="BG382" t="s">
        <v>237</v>
      </c>
      <c r="BH382" t="s">
        <v>237</v>
      </c>
      <c r="BI382" t="s">
        <v>237</v>
      </c>
      <c r="BJ382" t="s">
        <v>237</v>
      </c>
      <c r="BK382" t="s">
        <v>237</v>
      </c>
      <c r="BL382" t="s">
        <v>262</v>
      </c>
      <c r="BM382" t="s">
        <v>451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 t="s">
        <v>264</v>
      </c>
      <c r="CB382" t="s">
        <v>264</v>
      </c>
      <c r="CC382" t="s">
        <v>264</v>
      </c>
      <c r="CD382" t="s">
        <v>236</v>
      </c>
      <c r="CE382" t="s">
        <v>236</v>
      </c>
      <c r="EA382" t="s">
        <v>236</v>
      </c>
      <c r="EC382" t="s">
        <v>236</v>
      </c>
      <c r="EE382" t="s">
        <v>226</v>
      </c>
      <c r="EF382" t="s">
        <v>244</v>
      </c>
      <c r="EG382" t="s">
        <v>226</v>
      </c>
      <c r="EH382" t="s">
        <v>244</v>
      </c>
      <c r="EI382" t="s">
        <v>236</v>
      </c>
      <c r="EK382" t="s">
        <v>236</v>
      </c>
      <c r="EM382" t="s">
        <v>226</v>
      </c>
      <c r="EN382" t="s">
        <v>244</v>
      </c>
      <c r="EO382" t="s">
        <v>236</v>
      </c>
      <c r="EQ382" t="s">
        <v>236</v>
      </c>
      <c r="ES382" t="s">
        <v>236</v>
      </c>
      <c r="EU382" t="s">
        <v>236</v>
      </c>
      <c r="EW382" t="s">
        <v>236</v>
      </c>
      <c r="EY382" t="s">
        <v>226</v>
      </c>
      <c r="EZ382" t="s">
        <v>244</v>
      </c>
      <c r="FA382" t="s">
        <v>226</v>
      </c>
      <c r="FB382" t="s">
        <v>244</v>
      </c>
      <c r="FC382" t="s">
        <v>236</v>
      </c>
      <c r="FE382" t="s">
        <v>236</v>
      </c>
      <c r="FG382" t="s">
        <v>236</v>
      </c>
      <c r="FJ382" t="s">
        <v>226</v>
      </c>
      <c r="FK382" t="s">
        <v>244</v>
      </c>
      <c r="FL382" t="s">
        <v>236</v>
      </c>
      <c r="FM382" t="s">
        <v>236</v>
      </c>
      <c r="FW382" t="s">
        <v>226</v>
      </c>
      <c r="FX382" t="s">
        <v>226</v>
      </c>
      <c r="FY382" t="s">
        <v>266</v>
      </c>
      <c r="FZ382" t="s">
        <v>236</v>
      </c>
      <c r="GC382" t="s">
        <v>236</v>
      </c>
      <c r="GF382" t="s">
        <v>226</v>
      </c>
      <c r="GG382" t="s">
        <v>226</v>
      </c>
      <c r="GH382" t="s">
        <v>267</v>
      </c>
      <c r="GI382" t="s">
        <v>236</v>
      </c>
      <c r="GL382" t="s">
        <v>226</v>
      </c>
      <c r="GM382" t="s">
        <v>226</v>
      </c>
      <c r="GN382" t="s">
        <v>267</v>
      </c>
      <c r="GO382" t="s">
        <v>226</v>
      </c>
      <c r="GP382" t="s">
        <v>226</v>
      </c>
      <c r="GQ382" t="s">
        <v>267</v>
      </c>
      <c r="GR382" t="s">
        <v>226</v>
      </c>
      <c r="GS382" t="s">
        <v>226</v>
      </c>
      <c r="GT382" t="s">
        <v>267</v>
      </c>
      <c r="GU382" t="s">
        <v>236</v>
      </c>
      <c r="GX382" t="s">
        <v>236</v>
      </c>
      <c r="HB382" t="s">
        <v>280</v>
      </c>
      <c r="HC382" t="s">
        <v>288</v>
      </c>
      <c r="HE382">
        <v>83298069</v>
      </c>
      <c r="HF382" t="s">
        <v>718</v>
      </c>
      <c r="HG382" s="2">
        <v>45756.719155092593</v>
      </c>
      <c r="HJ382" t="s">
        <v>248</v>
      </c>
      <c r="HL382" t="s">
        <v>249</v>
      </c>
      <c r="HN382">
        <v>383</v>
      </c>
    </row>
    <row r="383" spans="1:222" x14ac:dyDescent="0.25">
      <c r="A383" s="2">
        <v>45756.493884629628</v>
      </c>
      <c r="B383" s="2">
        <v>45756.498121481483</v>
      </c>
      <c r="C383" t="s">
        <v>334</v>
      </c>
      <c r="D383">
        <v>453</v>
      </c>
      <c r="E383" s="2">
        <v>45738</v>
      </c>
      <c r="F383">
        <v>1</v>
      </c>
      <c r="G383" t="s">
        <v>222</v>
      </c>
      <c r="H383" t="s">
        <v>270</v>
      </c>
      <c r="I383">
        <v>42</v>
      </c>
      <c r="J383" t="str">
        <f t="shared" si="5"/>
        <v>de 41 a 55 años</v>
      </c>
      <c r="K383" t="s">
        <v>251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225</v>
      </c>
      <c r="R383" t="s">
        <v>226</v>
      </c>
      <c r="T383" t="s">
        <v>227</v>
      </c>
      <c r="V383" t="s">
        <v>612</v>
      </c>
      <c r="W383" t="s">
        <v>229</v>
      </c>
      <c r="X383" t="s">
        <v>230</v>
      </c>
      <c r="Z383" t="s">
        <v>254</v>
      </c>
      <c r="AA383" t="s">
        <v>293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0</v>
      </c>
      <c r="AI383" t="s">
        <v>233</v>
      </c>
      <c r="AJ383">
        <v>0</v>
      </c>
      <c r="AK383">
        <v>1</v>
      </c>
      <c r="AL383">
        <v>0</v>
      </c>
      <c r="AM383">
        <v>0</v>
      </c>
      <c r="AN383" t="s">
        <v>300</v>
      </c>
      <c r="AO383" t="s">
        <v>454</v>
      </c>
      <c r="AP383">
        <v>0</v>
      </c>
      <c r="AQ383">
        <v>0</v>
      </c>
      <c r="AR383">
        <v>1</v>
      </c>
      <c r="AS383">
        <v>0</v>
      </c>
      <c r="AT383">
        <v>0</v>
      </c>
      <c r="AU383">
        <v>1</v>
      </c>
      <c r="AV383">
        <v>0</v>
      </c>
      <c r="AX383" t="s">
        <v>226</v>
      </c>
      <c r="AY383" t="s">
        <v>226</v>
      </c>
      <c r="AZ383" t="s">
        <v>237</v>
      </c>
      <c r="BA383" t="s">
        <v>2004</v>
      </c>
      <c r="BE383" t="s">
        <v>259</v>
      </c>
      <c r="BF383" t="s">
        <v>259</v>
      </c>
      <c r="BG383" t="s">
        <v>259</v>
      </c>
      <c r="BH383" t="s">
        <v>259</v>
      </c>
      <c r="BI383" t="s">
        <v>237</v>
      </c>
      <c r="BJ383" t="s">
        <v>259</v>
      </c>
      <c r="BK383" t="s">
        <v>261</v>
      </c>
      <c r="BL383" t="s">
        <v>313</v>
      </c>
      <c r="BM383" t="s">
        <v>837</v>
      </c>
      <c r="BN383">
        <v>0</v>
      </c>
      <c r="BO383">
        <v>0</v>
      </c>
      <c r="BP383">
        <v>0</v>
      </c>
      <c r="BQ383">
        <v>0</v>
      </c>
      <c r="BR383">
        <v>1</v>
      </c>
      <c r="BS383">
        <v>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 t="s">
        <v>243</v>
      </c>
      <c r="CB383" t="s">
        <v>243</v>
      </c>
      <c r="CC383" t="s">
        <v>243</v>
      </c>
      <c r="CD383" t="s">
        <v>226</v>
      </c>
      <c r="CE383" t="s">
        <v>236</v>
      </c>
      <c r="EA383" t="s">
        <v>226</v>
      </c>
      <c r="EB383" t="s">
        <v>265</v>
      </c>
      <c r="EC383" t="s">
        <v>236</v>
      </c>
      <c r="EE383" t="s">
        <v>226</v>
      </c>
      <c r="EF383" t="s">
        <v>265</v>
      </c>
      <c r="EG383" t="s">
        <v>226</v>
      </c>
      <c r="EH383" t="s">
        <v>245</v>
      </c>
      <c r="EI383" t="s">
        <v>226</v>
      </c>
      <c r="EJ383" t="s">
        <v>245</v>
      </c>
      <c r="EK383" t="s">
        <v>226</v>
      </c>
      <c r="EL383" t="s">
        <v>245</v>
      </c>
      <c r="EM383" t="s">
        <v>226</v>
      </c>
      <c r="EN383" t="s">
        <v>245</v>
      </c>
      <c r="EO383" t="s">
        <v>226</v>
      </c>
      <c r="EP383" t="s">
        <v>265</v>
      </c>
      <c r="EQ383" t="s">
        <v>226</v>
      </c>
      <c r="ER383" t="s">
        <v>265</v>
      </c>
      <c r="ES383" t="s">
        <v>226</v>
      </c>
      <c r="ET383" t="s">
        <v>265</v>
      </c>
      <c r="EU383" t="s">
        <v>226</v>
      </c>
      <c r="EV383" t="s">
        <v>265</v>
      </c>
      <c r="EW383" t="s">
        <v>226</v>
      </c>
      <c r="EX383" t="s">
        <v>265</v>
      </c>
      <c r="EY383" t="s">
        <v>226</v>
      </c>
      <c r="EZ383" t="s">
        <v>265</v>
      </c>
      <c r="FA383" t="s">
        <v>226</v>
      </c>
      <c r="FB383" t="s">
        <v>265</v>
      </c>
      <c r="FC383" t="s">
        <v>226</v>
      </c>
      <c r="FD383" t="s">
        <v>265</v>
      </c>
      <c r="FE383" t="s">
        <v>226</v>
      </c>
      <c r="FF383" t="s">
        <v>265</v>
      </c>
      <c r="FG383" t="s">
        <v>236</v>
      </c>
      <c r="FJ383" t="s">
        <v>226</v>
      </c>
      <c r="FK383" t="s">
        <v>265</v>
      </c>
      <c r="FL383" t="s">
        <v>226</v>
      </c>
      <c r="FM383" t="s">
        <v>226</v>
      </c>
      <c r="FN383" t="s">
        <v>416</v>
      </c>
      <c r="FO383">
        <v>0</v>
      </c>
      <c r="FP383">
        <v>1</v>
      </c>
      <c r="FQ383">
        <v>0</v>
      </c>
      <c r="FR383">
        <v>0</v>
      </c>
      <c r="FS383">
        <v>0</v>
      </c>
      <c r="FU383" t="s">
        <v>226</v>
      </c>
      <c r="FW383" t="s">
        <v>226</v>
      </c>
      <c r="FX383" t="s">
        <v>226</v>
      </c>
      <c r="FY383" t="s">
        <v>266</v>
      </c>
      <c r="FZ383" t="s">
        <v>226</v>
      </c>
      <c r="GA383" t="s">
        <v>226</v>
      </c>
      <c r="GB383" t="s">
        <v>266</v>
      </c>
      <c r="GC383" t="s">
        <v>226</v>
      </c>
      <c r="GD383" t="s">
        <v>226</v>
      </c>
      <c r="GE383" t="s">
        <v>266</v>
      </c>
      <c r="GF383" t="s">
        <v>226</v>
      </c>
      <c r="GG383" t="s">
        <v>226</v>
      </c>
      <c r="GH383" t="s">
        <v>267</v>
      </c>
      <c r="GI383" t="s">
        <v>226</v>
      </c>
      <c r="GJ383" t="s">
        <v>226</v>
      </c>
      <c r="GK383" t="s">
        <v>266</v>
      </c>
      <c r="GL383" t="s">
        <v>226</v>
      </c>
      <c r="GM383" t="s">
        <v>226</v>
      </c>
      <c r="GN383" t="s">
        <v>266</v>
      </c>
      <c r="GO383" t="s">
        <v>226</v>
      </c>
      <c r="GP383" t="s">
        <v>226</v>
      </c>
      <c r="GQ383" t="s">
        <v>266</v>
      </c>
      <c r="GR383" t="s">
        <v>226</v>
      </c>
      <c r="GS383" t="s">
        <v>226</v>
      </c>
      <c r="GT383" t="s">
        <v>266</v>
      </c>
      <c r="GU383" t="s">
        <v>236</v>
      </c>
      <c r="GX383" t="s">
        <v>226</v>
      </c>
      <c r="GY383" t="s">
        <v>226</v>
      </c>
      <c r="GZ383" t="s">
        <v>266</v>
      </c>
      <c r="HB383" t="s">
        <v>2005</v>
      </c>
      <c r="HE383">
        <v>83295959</v>
      </c>
      <c r="HF383" t="s">
        <v>2006</v>
      </c>
      <c r="HG383" s="2">
        <v>45756.706365740742</v>
      </c>
      <c r="HJ383" t="s">
        <v>248</v>
      </c>
      <c r="HL383" t="s">
        <v>249</v>
      </c>
      <c r="HN383">
        <v>381</v>
      </c>
    </row>
    <row r="384" spans="1:222" x14ac:dyDescent="0.25">
      <c r="A384" s="2">
        <v>45756.49812196759</v>
      </c>
      <c r="B384" s="2">
        <v>45756.503405682874</v>
      </c>
      <c r="C384" t="s">
        <v>334</v>
      </c>
      <c r="D384">
        <v>451</v>
      </c>
      <c r="E384" s="2">
        <v>45738</v>
      </c>
      <c r="F384">
        <v>1</v>
      </c>
      <c r="G384" t="s">
        <v>413</v>
      </c>
      <c r="H384" t="s">
        <v>1995</v>
      </c>
      <c r="I384">
        <v>83</v>
      </c>
      <c r="J384" t="str">
        <f t="shared" si="5"/>
        <v>de 56 a más</v>
      </c>
      <c r="K384" t="s">
        <v>251</v>
      </c>
      <c r="L384">
        <v>1</v>
      </c>
      <c r="M384">
        <v>0</v>
      </c>
      <c r="N384">
        <v>0</v>
      </c>
      <c r="O384">
        <v>0</v>
      </c>
      <c r="P384">
        <v>0</v>
      </c>
      <c r="Q384" t="s">
        <v>225</v>
      </c>
      <c r="R384" t="s">
        <v>226</v>
      </c>
      <c r="T384" t="s">
        <v>227</v>
      </c>
      <c r="V384" t="s">
        <v>228</v>
      </c>
      <c r="W384" t="s">
        <v>229</v>
      </c>
      <c r="X384" t="s">
        <v>368</v>
      </c>
      <c r="Z384" t="s">
        <v>231</v>
      </c>
      <c r="AA384" t="s">
        <v>232</v>
      </c>
      <c r="AB384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I384" t="s">
        <v>233</v>
      </c>
      <c r="AJ384">
        <v>0</v>
      </c>
      <c r="AK384">
        <v>1</v>
      </c>
      <c r="AL384">
        <v>0</v>
      </c>
      <c r="AM384">
        <v>0</v>
      </c>
      <c r="AN384" t="s">
        <v>300</v>
      </c>
      <c r="AO384" t="s">
        <v>235</v>
      </c>
      <c r="AP384">
        <v>0</v>
      </c>
      <c r="AQ384">
        <v>0</v>
      </c>
      <c r="AR384">
        <v>0</v>
      </c>
      <c r="AS384">
        <v>1</v>
      </c>
      <c r="AT384">
        <v>0</v>
      </c>
      <c r="AU384">
        <v>0</v>
      </c>
      <c r="AV384">
        <v>0</v>
      </c>
      <c r="AX384" t="s">
        <v>226</v>
      </c>
      <c r="AY384" t="s">
        <v>226</v>
      </c>
      <c r="AZ384" t="s">
        <v>237</v>
      </c>
      <c r="BA384" t="s">
        <v>1996</v>
      </c>
      <c r="BB384" t="s">
        <v>1997</v>
      </c>
      <c r="BE384" t="s">
        <v>237</v>
      </c>
      <c r="BF384" t="s">
        <v>237</v>
      </c>
      <c r="BG384" t="s">
        <v>239</v>
      </c>
      <c r="BH384" t="s">
        <v>239</v>
      </c>
      <c r="BI384" t="s">
        <v>237</v>
      </c>
      <c r="BJ384" t="s">
        <v>237</v>
      </c>
      <c r="BK384" t="s">
        <v>308</v>
      </c>
      <c r="BL384" t="s">
        <v>262</v>
      </c>
      <c r="BM384" t="s">
        <v>372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 t="s">
        <v>264</v>
      </c>
      <c r="CB384" t="s">
        <v>328</v>
      </c>
      <c r="CC384" t="s">
        <v>328</v>
      </c>
      <c r="CD384" t="s">
        <v>236</v>
      </c>
      <c r="CE384" t="s">
        <v>236</v>
      </c>
      <c r="EA384" t="s">
        <v>236</v>
      </c>
      <c r="EC384" t="s">
        <v>236</v>
      </c>
      <c r="EE384" t="s">
        <v>236</v>
      </c>
      <c r="EG384" t="s">
        <v>226</v>
      </c>
      <c r="EH384" t="s">
        <v>244</v>
      </c>
      <c r="EI384" t="s">
        <v>236</v>
      </c>
      <c r="EK384" t="s">
        <v>236</v>
      </c>
      <c r="EM384" t="s">
        <v>236</v>
      </c>
      <c r="EO384" t="s">
        <v>236</v>
      </c>
      <c r="EQ384" t="s">
        <v>236</v>
      </c>
      <c r="ES384" t="s">
        <v>236</v>
      </c>
      <c r="EU384" t="s">
        <v>236</v>
      </c>
      <c r="EW384" t="s">
        <v>236</v>
      </c>
      <c r="EY384" t="s">
        <v>236</v>
      </c>
      <c r="FA384" t="s">
        <v>236</v>
      </c>
      <c r="FC384" t="s">
        <v>236</v>
      </c>
      <c r="FE384" t="s">
        <v>226</v>
      </c>
      <c r="FF384" t="s">
        <v>244</v>
      </c>
      <c r="FG384" t="s">
        <v>236</v>
      </c>
      <c r="FJ384" t="s">
        <v>236</v>
      </c>
      <c r="FM384" t="s">
        <v>236</v>
      </c>
      <c r="FW384" t="s">
        <v>226</v>
      </c>
      <c r="FX384" t="s">
        <v>236</v>
      </c>
      <c r="FZ384" t="s">
        <v>236</v>
      </c>
      <c r="GC384" t="s">
        <v>236</v>
      </c>
      <c r="GF384" t="s">
        <v>226</v>
      </c>
      <c r="GG384" t="s">
        <v>236</v>
      </c>
      <c r="GI384" t="s">
        <v>236</v>
      </c>
      <c r="GL384" t="s">
        <v>236</v>
      </c>
      <c r="GO384" t="s">
        <v>226</v>
      </c>
      <c r="GP384" t="s">
        <v>226</v>
      </c>
      <c r="GQ384" t="s">
        <v>266</v>
      </c>
      <c r="GR384" t="s">
        <v>226</v>
      </c>
      <c r="GS384" t="s">
        <v>236</v>
      </c>
      <c r="GU384" t="s">
        <v>226</v>
      </c>
      <c r="GV384" t="s">
        <v>236</v>
      </c>
      <c r="GX384" t="s">
        <v>236</v>
      </c>
      <c r="HB384" t="s">
        <v>1998</v>
      </c>
      <c r="HC384" t="s">
        <v>1999</v>
      </c>
      <c r="HD384" t="s">
        <v>1566</v>
      </c>
      <c r="HE384">
        <v>83296742</v>
      </c>
      <c r="HF384" t="s">
        <v>2000</v>
      </c>
      <c r="HG384" s="2">
        <v>45756.711655092593</v>
      </c>
      <c r="HJ384" t="s">
        <v>248</v>
      </c>
      <c r="HL384" t="s">
        <v>249</v>
      </c>
      <c r="HN384">
        <v>382</v>
      </c>
    </row>
    <row r="385" spans="1:222" x14ac:dyDescent="0.25">
      <c r="A385" s="2">
        <v>45756.503406412026</v>
      </c>
      <c r="B385" s="2">
        <v>45756.515516620369</v>
      </c>
      <c r="C385" t="s">
        <v>334</v>
      </c>
      <c r="D385">
        <v>450</v>
      </c>
      <c r="E385" s="2">
        <v>45738</v>
      </c>
      <c r="F385">
        <v>1</v>
      </c>
      <c r="G385" t="s">
        <v>436</v>
      </c>
      <c r="H385" t="s">
        <v>270</v>
      </c>
      <c r="I385">
        <v>61</v>
      </c>
      <c r="J385" t="str">
        <f t="shared" si="5"/>
        <v>de 56 a más</v>
      </c>
      <c r="K385" t="s">
        <v>224</v>
      </c>
      <c r="L385">
        <v>2</v>
      </c>
      <c r="M385">
        <v>0</v>
      </c>
      <c r="N385">
        <v>0</v>
      </c>
      <c r="O385">
        <v>0</v>
      </c>
      <c r="P385">
        <v>0</v>
      </c>
      <c r="Q385" t="s">
        <v>225</v>
      </c>
      <c r="R385" t="s">
        <v>226</v>
      </c>
      <c r="T385" t="s">
        <v>227</v>
      </c>
      <c r="V385" t="s">
        <v>228</v>
      </c>
      <c r="W385" t="s">
        <v>229</v>
      </c>
      <c r="X385" t="s">
        <v>230</v>
      </c>
      <c r="Z385" t="s">
        <v>308</v>
      </c>
      <c r="AA385" t="s">
        <v>232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I385" t="s">
        <v>233</v>
      </c>
      <c r="AJ385">
        <v>0</v>
      </c>
      <c r="AK385">
        <v>1</v>
      </c>
      <c r="AL385">
        <v>0</v>
      </c>
      <c r="AM385">
        <v>0</v>
      </c>
      <c r="AN385" t="s">
        <v>274</v>
      </c>
      <c r="AO385" t="s">
        <v>550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1</v>
      </c>
      <c r="AW385" t="s">
        <v>551</v>
      </c>
      <c r="AX385" t="s">
        <v>226</v>
      </c>
      <c r="AY385" t="s">
        <v>226</v>
      </c>
      <c r="AZ385" t="s">
        <v>237</v>
      </c>
      <c r="BA385" t="s">
        <v>1990</v>
      </c>
      <c r="BB385" t="s">
        <v>1991</v>
      </c>
      <c r="BC385" t="s">
        <v>1992</v>
      </c>
      <c r="BE385" t="s">
        <v>239</v>
      </c>
      <c r="BF385" t="s">
        <v>237</v>
      </c>
      <c r="BG385" t="s">
        <v>259</v>
      </c>
      <c r="BH385" t="s">
        <v>237</v>
      </c>
      <c r="BI385" t="s">
        <v>237</v>
      </c>
      <c r="BJ385" t="s">
        <v>237</v>
      </c>
      <c r="BK385" t="s">
        <v>239</v>
      </c>
      <c r="BL385" t="s">
        <v>262</v>
      </c>
      <c r="BM385" t="s">
        <v>1257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0</v>
      </c>
      <c r="CA385" t="s">
        <v>242</v>
      </c>
      <c r="CB385" t="s">
        <v>264</v>
      </c>
      <c r="CC385" t="s">
        <v>264</v>
      </c>
      <c r="CD385" t="s">
        <v>236</v>
      </c>
      <c r="CE385" t="s">
        <v>236</v>
      </c>
      <c r="EA385" t="s">
        <v>236</v>
      </c>
      <c r="EC385" t="s">
        <v>236</v>
      </c>
      <c r="EE385" t="s">
        <v>226</v>
      </c>
      <c r="EF385" t="s">
        <v>244</v>
      </c>
      <c r="EG385" t="s">
        <v>226</v>
      </c>
      <c r="EH385" t="s">
        <v>245</v>
      </c>
      <c r="EI385" t="s">
        <v>308</v>
      </c>
      <c r="EK385" t="s">
        <v>236</v>
      </c>
      <c r="EM385" t="s">
        <v>236</v>
      </c>
      <c r="EO385" t="s">
        <v>236</v>
      </c>
      <c r="EQ385" t="s">
        <v>236</v>
      </c>
      <c r="ES385" t="s">
        <v>236</v>
      </c>
      <c r="EU385" t="s">
        <v>236</v>
      </c>
      <c r="EW385" t="s">
        <v>236</v>
      </c>
      <c r="EY385" t="s">
        <v>236</v>
      </c>
      <c r="FA385" t="s">
        <v>236</v>
      </c>
      <c r="FC385" t="s">
        <v>236</v>
      </c>
      <c r="FE385" t="s">
        <v>236</v>
      </c>
      <c r="FG385" t="s">
        <v>236</v>
      </c>
      <c r="FJ385" t="s">
        <v>226</v>
      </c>
      <c r="FK385" t="s">
        <v>244</v>
      </c>
      <c r="FL385" t="s">
        <v>236</v>
      </c>
      <c r="FM385" t="s">
        <v>236</v>
      </c>
      <c r="FW385" t="s">
        <v>236</v>
      </c>
      <c r="FZ385" t="s">
        <v>236</v>
      </c>
      <c r="GC385" t="s">
        <v>236</v>
      </c>
      <c r="GF385" t="s">
        <v>226</v>
      </c>
      <c r="GG385" t="s">
        <v>226</v>
      </c>
      <c r="GH385" t="s">
        <v>266</v>
      </c>
      <c r="GI385" t="s">
        <v>226</v>
      </c>
      <c r="GJ385" t="s">
        <v>236</v>
      </c>
      <c r="GL385" t="s">
        <v>226</v>
      </c>
      <c r="GM385" t="s">
        <v>226</v>
      </c>
      <c r="GN385" t="s">
        <v>266</v>
      </c>
      <c r="GO385" t="s">
        <v>226</v>
      </c>
      <c r="GP385" t="s">
        <v>226</v>
      </c>
      <c r="GQ385" t="s">
        <v>266</v>
      </c>
      <c r="GR385" t="s">
        <v>226</v>
      </c>
      <c r="GS385" t="s">
        <v>226</v>
      </c>
      <c r="GT385" t="s">
        <v>266</v>
      </c>
      <c r="GU385" t="s">
        <v>236</v>
      </c>
      <c r="GX385" t="s">
        <v>236</v>
      </c>
      <c r="HB385" t="s">
        <v>408</v>
      </c>
      <c r="HC385" t="s">
        <v>1993</v>
      </c>
      <c r="HE385">
        <v>83298840</v>
      </c>
      <c r="HF385" t="s">
        <v>1994</v>
      </c>
      <c r="HG385" s="2">
        <v>45756.723761574067</v>
      </c>
      <c r="HJ385" t="s">
        <v>248</v>
      </c>
      <c r="HL385" t="s">
        <v>249</v>
      </c>
      <c r="HN385">
        <v>385</v>
      </c>
    </row>
    <row r="386" spans="1:222" x14ac:dyDescent="0.25">
      <c r="A386" s="2">
        <v>45756.510814270827</v>
      </c>
      <c r="B386" s="2">
        <v>45756.514832939807</v>
      </c>
      <c r="C386" t="s">
        <v>270</v>
      </c>
      <c r="D386">
        <v>59</v>
      </c>
      <c r="E386" s="2">
        <v>45731</v>
      </c>
      <c r="F386">
        <v>2</v>
      </c>
      <c r="G386" t="s">
        <v>503</v>
      </c>
      <c r="H386" t="s">
        <v>391</v>
      </c>
      <c r="I386">
        <v>26</v>
      </c>
      <c r="J386" t="str">
        <f t="shared" ref="J386:J449" si="6">IF(AND(I386&gt;=18,I386&lt;=25), "de 18 a 25 años",IF(AND(I386&gt;=26,I386&lt;=40),"de 26 a 40 años",IF(AND(I386&gt;=41,I386&lt;=55),"de 41 a 55 años","de 56 a más")))</f>
        <v>de 26 a 40 años</v>
      </c>
      <c r="K386" t="s">
        <v>251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225</v>
      </c>
      <c r="R386" t="s">
        <v>226</v>
      </c>
      <c r="T386" t="s">
        <v>227</v>
      </c>
      <c r="V386" t="s">
        <v>252</v>
      </c>
      <c r="W386" t="s">
        <v>229</v>
      </c>
      <c r="X386" t="s">
        <v>230</v>
      </c>
      <c r="Z386" t="s">
        <v>254</v>
      </c>
      <c r="AA386" t="s">
        <v>232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I386" t="s">
        <v>233</v>
      </c>
      <c r="AJ386">
        <v>0</v>
      </c>
      <c r="AK386">
        <v>1</v>
      </c>
      <c r="AL386">
        <v>0</v>
      </c>
      <c r="AM386">
        <v>0</v>
      </c>
      <c r="AN386" t="s">
        <v>234</v>
      </c>
      <c r="AO386" t="s">
        <v>294</v>
      </c>
      <c r="AP386">
        <v>1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X386" t="s">
        <v>226</v>
      </c>
      <c r="AY386" t="s">
        <v>226</v>
      </c>
      <c r="AZ386" t="s">
        <v>237</v>
      </c>
      <c r="BA386" t="s">
        <v>594</v>
      </c>
      <c r="BE386" t="s">
        <v>237</v>
      </c>
      <c r="BF386" t="s">
        <v>237</v>
      </c>
      <c r="BG386" t="s">
        <v>259</v>
      </c>
      <c r="BH386" t="s">
        <v>259</v>
      </c>
      <c r="BI386" t="s">
        <v>237</v>
      </c>
      <c r="BJ386" t="s">
        <v>237</v>
      </c>
      <c r="BK386" t="s">
        <v>259</v>
      </c>
      <c r="BL386" t="s">
        <v>262</v>
      </c>
      <c r="BM386" t="s">
        <v>415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1</v>
      </c>
      <c r="BZ386">
        <v>0</v>
      </c>
      <c r="CA386" t="s">
        <v>264</v>
      </c>
      <c r="CB386" t="s">
        <v>243</v>
      </c>
      <c r="CC386" t="s">
        <v>243</v>
      </c>
      <c r="CD386" t="s">
        <v>226</v>
      </c>
      <c r="CE386" t="s">
        <v>236</v>
      </c>
      <c r="EA386" t="s">
        <v>236</v>
      </c>
      <c r="EC386" t="s">
        <v>236</v>
      </c>
      <c r="EE386" t="s">
        <v>226</v>
      </c>
      <c r="EF386" t="s">
        <v>245</v>
      </c>
      <c r="EG386" t="s">
        <v>226</v>
      </c>
      <c r="EH386" t="s">
        <v>244</v>
      </c>
      <c r="EI386" t="s">
        <v>236</v>
      </c>
      <c r="EK386" t="s">
        <v>226</v>
      </c>
      <c r="EL386" t="s">
        <v>244</v>
      </c>
      <c r="EM386" t="s">
        <v>226</v>
      </c>
      <c r="EN386" t="s">
        <v>245</v>
      </c>
      <c r="EO386" t="s">
        <v>226</v>
      </c>
      <c r="EP386" t="s">
        <v>245</v>
      </c>
      <c r="EQ386" t="s">
        <v>226</v>
      </c>
      <c r="ER386" t="s">
        <v>245</v>
      </c>
      <c r="ES386" t="s">
        <v>226</v>
      </c>
      <c r="ET386" t="s">
        <v>245</v>
      </c>
      <c r="EU386" t="s">
        <v>226</v>
      </c>
      <c r="EV386" t="s">
        <v>244</v>
      </c>
      <c r="EW386" t="s">
        <v>226</v>
      </c>
      <c r="EX386" t="s">
        <v>244</v>
      </c>
      <c r="EY386" t="s">
        <v>236</v>
      </c>
      <c r="FA386" t="s">
        <v>226</v>
      </c>
      <c r="FB386" t="s">
        <v>244</v>
      </c>
      <c r="FC386" t="s">
        <v>226</v>
      </c>
      <c r="FD386" t="s">
        <v>244</v>
      </c>
      <c r="FE386" t="s">
        <v>236</v>
      </c>
      <c r="FG386" t="s">
        <v>236</v>
      </c>
      <c r="FJ386" t="s">
        <v>226</v>
      </c>
      <c r="FK386" t="s">
        <v>245</v>
      </c>
      <c r="FL386" t="s">
        <v>236</v>
      </c>
      <c r="FM386" t="s">
        <v>236</v>
      </c>
      <c r="FW386" t="s">
        <v>226</v>
      </c>
      <c r="FX386" t="s">
        <v>236</v>
      </c>
      <c r="FZ386" t="s">
        <v>236</v>
      </c>
      <c r="GC386" t="s">
        <v>236</v>
      </c>
      <c r="GF386" t="s">
        <v>226</v>
      </c>
      <c r="GG386" t="s">
        <v>236</v>
      </c>
      <c r="GI386" t="s">
        <v>236</v>
      </c>
      <c r="GL386" t="s">
        <v>236</v>
      </c>
      <c r="GO386" t="s">
        <v>236</v>
      </c>
      <c r="GR386" t="s">
        <v>226</v>
      </c>
      <c r="GS386" t="s">
        <v>226</v>
      </c>
      <c r="GT386" t="s">
        <v>266</v>
      </c>
      <c r="GU386" t="s">
        <v>226</v>
      </c>
      <c r="GV386" t="s">
        <v>226</v>
      </c>
      <c r="GW386" t="s">
        <v>267</v>
      </c>
      <c r="GX386" t="s">
        <v>226</v>
      </c>
      <c r="GY386" t="s">
        <v>236</v>
      </c>
      <c r="HB386" t="s">
        <v>723</v>
      </c>
      <c r="HE386">
        <v>83298774</v>
      </c>
      <c r="HF386" t="s">
        <v>724</v>
      </c>
      <c r="HG386" s="2">
        <v>45756.723171296297</v>
      </c>
      <c r="HJ386" t="s">
        <v>248</v>
      </c>
      <c r="HL386" t="s">
        <v>249</v>
      </c>
      <c r="HN386">
        <v>384</v>
      </c>
    </row>
    <row r="387" spans="1:222" x14ac:dyDescent="0.25">
      <c r="A387" s="2">
        <v>45756.515517210653</v>
      </c>
      <c r="B387" s="2">
        <v>45756.520337638889</v>
      </c>
      <c r="C387" t="s">
        <v>334</v>
      </c>
      <c r="D387">
        <v>449</v>
      </c>
      <c r="E387" s="2">
        <v>45738</v>
      </c>
      <c r="F387">
        <v>1</v>
      </c>
      <c r="G387" t="s">
        <v>222</v>
      </c>
      <c r="H387" t="s">
        <v>270</v>
      </c>
      <c r="I387">
        <v>43</v>
      </c>
      <c r="J387" t="str">
        <f t="shared" si="6"/>
        <v>de 41 a 55 años</v>
      </c>
      <c r="K387" t="s">
        <v>251</v>
      </c>
      <c r="L387">
        <v>1</v>
      </c>
      <c r="M387">
        <v>0</v>
      </c>
      <c r="N387">
        <v>0</v>
      </c>
      <c r="O387">
        <v>0</v>
      </c>
      <c r="P387">
        <v>0</v>
      </c>
      <c r="Q387" t="s">
        <v>291</v>
      </c>
      <c r="R387" t="s">
        <v>226</v>
      </c>
      <c r="T387" t="s">
        <v>227</v>
      </c>
      <c r="V387" t="s">
        <v>228</v>
      </c>
      <c r="W387" t="s">
        <v>229</v>
      </c>
      <c r="X387" t="s">
        <v>230</v>
      </c>
      <c r="Z387" t="s">
        <v>351</v>
      </c>
      <c r="AA387" t="s">
        <v>293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0</v>
      </c>
      <c r="AI387" t="s">
        <v>233</v>
      </c>
      <c r="AJ387">
        <v>0</v>
      </c>
      <c r="AK387">
        <v>1</v>
      </c>
      <c r="AL387">
        <v>0</v>
      </c>
      <c r="AM387">
        <v>0</v>
      </c>
      <c r="AN387" t="s">
        <v>300</v>
      </c>
      <c r="AO387" t="s">
        <v>275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</v>
      </c>
      <c r="AV387">
        <v>0</v>
      </c>
      <c r="AX387" t="s">
        <v>226</v>
      </c>
      <c r="AY387" t="s">
        <v>226</v>
      </c>
      <c r="AZ387" t="s">
        <v>259</v>
      </c>
      <c r="BA387" t="s">
        <v>1987</v>
      </c>
      <c r="BE387" t="s">
        <v>259</v>
      </c>
      <c r="BF387" t="s">
        <v>237</v>
      </c>
      <c r="BG387" t="s">
        <v>259</v>
      </c>
      <c r="BH387" t="s">
        <v>259</v>
      </c>
      <c r="BI387" t="s">
        <v>259</v>
      </c>
      <c r="BJ387" t="s">
        <v>259</v>
      </c>
      <c r="BK387" t="s">
        <v>261</v>
      </c>
      <c r="BL387" t="s">
        <v>313</v>
      </c>
      <c r="BM387" t="s">
        <v>389</v>
      </c>
      <c r="BN387">
        <v>0</v>
      </c>
      <c r="BO387">
        <v>0</v>
      </c>
      <c r="BP387">
        <v>1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 t="s">
        <v>328</v>
      </c>
      <c r="CB387" t="s">
        <v>243</v>
      </c>
      <c r="CC387" t="s">
        <v>243</v>
      </c>
      <c r="CD387" t="s">
        <v>226</v>
      </c>
      <c r="CE387" t="s">
        <v>236</v>
      </c>
      <c r="EA387" t="s">
        <v>226</v>
      </c>
      <c r="EB387" t="s">
        <v>265</v>
      </c>
      <c r="EC387" t="s">
        <v>236</v>
      </c>
      <c r="EE387" t="s">
        <v>226</v>
      </c>
      <c r="EF387" t="s">
        <v>265</v>
      </c>
      <c r="EG387" t="s">
        <v>236</v>
      </c>
      <c r="EI387" t="s">
        <v>226</v>
      </c>
      <c r="EJ387" t="s">
        <v>265</v>
      </c>
      <c r="EK387" t="s">
        <v>236</v>
      </c>
      <c r="EM387" t="s">
        <v>226</v>
      </c>
      <c r="EN387" t="s">
        <v>244</v>
      </c>
      <c r="EO387" t="s">
        <v>236</v>
      </c>
      <c r="EQ387" t="s">
        <v>236</v>
      </c>
      <c r="ES387" t="s">
        <v>236</v>
      </c>
      <c r="EU387" t="s">
        <v>236</v>
      </c>
      <c r="EW387" t="s">
        <v>236</v>
      </c>
      <c r="EY387" t="s">
        <v>226</v>
      </c>
      <c r="EZ387" t="s">
        <v>265</v>
      </c>
      <c r="FA387" t="s">
        <v>226</v>
      </c>
      <c r="FB387" t="s">
        <v>244</v>
      </c>
      <c r="FC387" t="s">
        <v>236</v>
      </c>
      <c r="FE387" t="s">
        <v>226</v>
      </c>
      <c r="FF387" t="s">
        <v>265</v>
      </c>
      <c r="FG387" t="s">
        <v>226</v>
      </c>
      <c r="FH387" t="s">
        <v>1988</v>
      </c>
      <c r="FI387" t="s">
        <v>265</v>
      </c>
      <c r="FJ387" t="s">
        <v>226</v>
      </c>
      <c r="FK387" t="s">
        <v>265</v>
      </c>
      <c r="FL387" t="s">
        <v>236</v>
      </c>
      <c r="FM387" t="s">
        <v>236</v>
      </c>
      <c r="FW387" t="s">
        <v>236</v>
      </c>
      <c r="FZ387" t="s">
        <v>236</v>
      </c>
      <c r="GC387" t="s">
        <v>236</v>
      </c>
      <c r="GF387" t="s">
        <v>236</v>
      </c>
      <c r="GI387" t="s">
        <v>236</v>
      </c>
      <c r="GL387" t="s">
        <v>236</v>
      </c>
      <c r="GO387" t="s">
        <v>226</v>
      </c>
      <c r="GP387" t="s">
        <v>226</v>
      </c>
      <c r="GQ387" t="s">
        <v>266</v>
      </c>
      <c r="GR387" t="s">
        <v>226</v>
      </c>
      <c r="GS387" t="s">
        <v>236</v>
      </c>
      <c r="GU387" t="s">
        <v>236</v>
      </c>
      <c r="GX387" t="s">
        <v>236</v>
      </c>
      <c r="HB387" t="s">
        <v>734</v>
      </c>
      <c r="HE387">
        <v>83299334</v>
      </c>
      <c r="HF387" t="s">
        <v>1989</v>
      </c>
      <c r="HG387" s="2">
        <v>45756.728587962964</v>
      </c>
      <c r="HJ387" t="s">
        <v>248</v>
      </c>
      <c r="HL387" t="s">
        <v>249</v>
      </c>
      <c r="HN387">
        <v>386</v>
      </c>
    </row>
    <row r="388" spans="1:222" x14ac:dyDescent="0.25">
      <c r="A388" s="2">
        <v>45756.537287604173</v>
      </c>
      <c r="B388" s="2">
        <v>45756.5400715625</v>
      </c>
      <c r="C388" t="s">
        <v>270</v>
      </c>
      <c r="D388">
        <v>60</v>
      </c>
      <c r="E388" s="2">
        <v>45731</v>
      </c>
      <c r="F388">
        <v>2</v>
      </c>
      <c r="G388" t="s">
        <v>271</v>
      </c>
      <c r="H388" t="s">
        <v>391</v>
      </c>
      <c r="I388">
        <v>39</v>
      </c>
      <c r="J388" t="str">
        <f t="shared" si="6"/>
        <v>de 26 a 40 años</v>
      </c>
      <c r="K388" t="s">
        <v>224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225</v>
      </c>
      <c r="R388" t="s">
        <v>226</v>
      </c>
      <c r="T388" t="s">
        <v>659</v>
      </c>
      <c r="V388" t="s">
        <v>252</v>
      </c>
      <c r="W388" t="s">
        <v>229</v>
      </c>
      <c r="X388" t="s">
        <v>230</v>
      </c>
      <c r="Z388" t="s">
        <v>231</v>
      </c>
      <c r="AA388" t="s">
        <v>232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I388" t="s">
        <v>233</v>
      </c>
      <c r="AJ388">
        <v>0</v>
      </c>
      <c r="AK388">
        <v>1</v>
      </c>
      <c r="AL388">
        <v>0</v>
      </c>
      <c r="AM388">
        <v>0</v>
      </c>
      <c r="AN388" t="s">
        <v>300</v>
      </c>
      <c r="AO388" t="s">
        <v>294</v>
      </c>
      <c r="AP388">
        <v>1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X388" t="s">
        <v>226</v>
      </c>
      <c r="AY388" t="s">
        <v>226</v>
      </c>
      <c r="AZ388" t="s">
        <v>237</v>
      </c>
      <c r="BA388" t="s">
        <v>594</v>
      </c>
      <c r="BB388" t="s">
        <v>725</v>
      </c>
      <c r="BE388" t="s">
        <v>259</v>
      </c>
      <c r="BF388" t="s">
        <v>259</v>
      </c>
      <c r="BG388" t="s">
        <v>259</v>
      </c>
      <c r="BH388" t="s">
        <v>259</v>
      </c>
      <c r="BI388" t="s">
        <v>259</v>
      </c>
      <c r="BJ388" t="s">
        <v>259</v>
      </c>
      <c r="BK388" t="s">
        <v>259</v>
      </c>
      <c r="BL388" t="s">
        <v>262</v>
      </c>
      <c r="BM388" t="s">
        <v>278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1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 t="s">
        <v>264</v>
      </c>
      <c r="CB388" t="s">
        <v>264</v>
      </c>
      <c r="CC388" t="s">
        <v>264</v>
      </c>
      <c r="CD388" t="s">
        <v>236</v>
      </c>
      <c r="CE388" t="s">
        <v>236</v>
      </c>
      <c r="EA388" t="s">
        <v>226</v>
      </c>
      <c r="EB388" t="s">
        <v>244</v>
      </c>
      <c r="EC388" t="s">
        <v>236</v>
      </c>
      <c r="EE388" t="s">
        <v>236</v>
      </c>
      <c r="EG388" t="s">
        <v>226</v>
      </c>
      <c r="EH388" t="s">
        <v>244</v>
      </c>
      <c r="EI388" t="s">
        <v>236</v>
      </c>
      <c r="EK388" t="s">
        <v>236</v>
      </c>
      <c r="EM388" t="s">
        <v>236</v>
      </c>
      <c r="EO388" t="s">
        <v>236</v>
      </c>
      <c r="EQ388" t="s">
        <v>236</v>
      </c>
      <c r="ES388" t="s">
        <v>226</v>
      </c>
      <c r="ET388" t="s">
        <v>244</v>
      </c>
      <c r="EU388" t="s">
        <v>236</v>
      </c>
      <c r="EW388" t="s">
        <v>236</v>
      </c>
      <c r="EY388" t="s">
        <v>236</v>
      </c>
      <c r="FA388" t="s">
        <v>226</v>
      </c>
      <c r="FB388" t="s">
        <v>244</v>
      </c>
      <c r="FC388" t="s">
        <v>236</v>
      </c>
      <c r="FE388" t="s">
        <v>236</v>
      </c>
      <c r="FG388" t="s">
        <v>236</v>
      </c>
      <c r="FJ388" t="s">
        <v>226</v>
      </c>
      <c r="FK388" t="s">
        <v>244</v>
      </c>
      <c r="FL388" t="s">
        <v>236</v>
      </c>
      <c r="FM388" t="s">
        <v>236</v>
      </c>
      <c r="FW388" t="s">
        <v>226</v>
      </c>
      <c r="FX388" t="s">
        <v>236</v>
      </c>
      <c r="FZ388" t="s">
        <v>226</v>
      </c>
      <c r="GA388" t="s">
        <v>236</v>
      </c>
      <c r="GC388" t="s">
        <v>236</v>
      </c>
      <c r="GF388" t="s">
        <v>226</v>
      </c>
      <c r="GG388" t="s">
        <v>236</v>
      </c>
      <c r="GI388" t="s">
        <v>236</v>
      </c>
      <c r="GL388" t="s">
        <v>236</v>
      </c>
      <c r="GO388" t="s">
        <v>226</v>
      </c>
      <c r="GP388" t="s">
        <v>236</v>
      </c>
      <c r="GR388" t="s">
        <v>226</v>
      </c>
      <c r="GS388" t="s">
        <v>236</v>
      </c>
      <c r="GU388" t="s">
        <v>236</v>
      </c>
      <c r="GX388" t="s">
        <v>236</v>
      </c>
      <c r="HB388" t="s">
        <v>726</v>
      </c>
      <c r="HC388" t="s">
        <v>338</v>
      </c>
      <c r="HE388">
        <v>83303987</v>
      </c>
      <c r="HF388" t="s">
        <v>727</v>
      </c>
      <c r="HG388" s="2">
        <v>45756.74832175926</v>
      </c>
      <c r="HJ388" t="s">
        <v>248</v>
      </c>
      <c r="HL388" t="s">
        <v>249</v>
      </c>
      <c r="HN388">
        <v>387</v>
      </c>
    </row>
    <row r="389" spans="1:222" x14ac:dyDescent="0.25">
      <c r="A389" s="2">
        <v>45756.540072175929</v>
      </c>
      <c r="B389" s="2">
        <v>45756.624909930557</v>
      </c>
      <c r="C389" t="s">
        <v>270</v>
      </c>
      <c r="D389">
        <v>62</v>
      </c>
      <c r="E389" s="2">
        <v>45731</v>
      </c>
      <c r="F389">
        <v>2</v>
      </c>
      <c r="G389" t="s">
        <v>290</v>
      </c>
      <c r="H389" t="s">
        <v>391</v>
      </c>
      <c r="I389">
        <v>46</v>
      </c>
      <c r="J389" t="str">
        <f t="shared" si="6"/>
        <v>de 41 a 55 años</v>
      </c>
      <c r="K389" t="s">
        <v>341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291</v>
      </c>
      <c r="R389" t="s">
        <v>226</v>
      </c>
      <c r="T389" t="s">
        <v>227</v>
      </c>
      <c r="V389" t="s">
        <v>252</v>
      </c>
      <c r="W389" t="s">
        <v>229</v>
      </c>
      <c r="X389" t="s">
        <v>350</v>
      </c>
      <c r="Z389" t="s">
        <v>254</v>
      </c>
      <c r="AA389" t="s">
        <v>232</v>
      </c>
      <c r="AB389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I389" t="s">
        <v>233</v>
      </c>
      <c r="AJ389">
        <v>0</v>
      </c>
      <c r="AK389">
        <v>1</v>
      </c>
      <c r="AL389">
        <v>0</v>
      </c>
      <c r="AM389">
        <v>0</v>
      </c>
      <c r="AN389" t="s">
        <v>234</v>
      </c>
      <c r="AO389" t="s">
        <v>294</v>
      </c>
      <c r="AP389">
        <v>1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X389" t="s">
        <v>236</v>
      </c>
      <c r="AZ389" t="s">
        <v>259</v>
      </c>
      <c r="BA389" t="s">
        <v>731</v>
      </c>
      <c r="BB389" t="s">
        <v>732</v>
      </c>
      <c r="BE389" t="s">
        <v>259</v>
      </c>
      <c r="BF389" t="s">
        <v>259</v>
      </c>
      <c r="BG389" t="s">
        <v>259</v>
      </c>
      <c r="BH389" t="s">
        <v>259</v>
      </c>
      <c r="BI389" t="s">
        <v>259</v>
      </c>
      <c r="BJ389" t="s">
        <v>259</v>
      </c>
      <c r="BK389" t="s">
        <v>259</v>
      </c>
      <c r="BL389" t="s">
        <v>262</v>
      </c>
      <c r="BM389" t="s">
        <v>733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0</v>
      </c>
      <c r="BZ389">
        <v>0</v>
      </c>
      <c r="CA389" t="s">
        <v>264</v>
      </c>
      <c r="CB389" t="s">
        <v>264</v>
      </c>
      <c r="CC389" t="s">
        <v>264</v>
      </c>
      <c r="CD389" t="s">
        <v>236</v>
      </c>
      <c r="CE389" t="s">
        <v>236</v>
      </c>
      <c r="EA389" t="s">
        <v>236</v>
      </c>
      <c r="EC389" t="s">
        <v>236</v>
      </c>
      <c r="EE389" t="s">
        <v>236</v>
      </c>
      <c r="EG389" t="s">
        <v>236</v>
      </c>
      <c r="EI389" t="s">
        <v>236</v>
      </c>
      <c r="EK389" t="s">
        <v>236</v>
      </c>
      <c r="EM389" t="s">
        <v>236</v>
      </c>
      <c r="EO389" t="s">
        <v>236</v>
      </c>
      <c r="EQ389" t="s">
        <v>236</v>
      </c>
      <c r="ES389" t="s">
        <v>236</v>
      </c>
      <c r="EU389" t="s">
        <v>236</v>
      </c>
      <c r="EW389" t="s">
        <v>236</v>
      </c>
      <c r="EY389" t="s">
        <v>236</v>
      </c>
      <c r="FA389" t="s">
        <v>236</v>
      </c>
      <c r="FC389" t="s">
        <v>236</v>
      </c>
      <c r="FE389" t="s">
        <v>236</v>
      </c>
      <c r="FG389" t="s">
        <v>236</v>
      </c>
      <c r="FJ389" t="s">
        <v>226</v>
      </c>
      <c r="FK389" t="s">
        <v>265</v>
      </c>
      <c r="FL389" t="s">
        <v>226</v>
      </c>
      <c r="FM389" t="s">
        <v>226</v>
      </c>
      <c r="FN389" t="s">
        <v>416</v>
      </c>
      <c r="FO389">
        <v>0</v>
      </c>
      <c r="FP389">
        <v>1</v>
      </c>
      <c r="FQ389">
        <v>0</v>
      </c>
      <c r="FR389">
        <v>0</v>
      </c>
      <c r="FS389">
        <v>0</v>
      </c>
      <c r="FU389" t="s">
        <v>236</v>
      </c>
      <c r="FW389" t="s">
        <v>226</v>
      </c>
      <c r="FX389" t="s">
        <v>236</v>
      </c>
      <c r="FZ389" t="s">
        <v>236</v>
      </c>
      <c r="GC389" t="s">
        <v>236</v>
      </c>
      <c r="GF389" t="s">
        <v>236</v>
      </c>
      <c r="GI389" t="s">
        <v>226</v>
      </c>
      <c r="GJ389" t="s">
        <v>236</v>
      </c>
      <c r="GL389" t="s">
        <v>226</v>
      </c>
      <c r="GM389" t="s">
        <v>236</v>
      </c>
      <c r="GO389" t="s">
        <v>226</v>
      </c>
      <c r="GP389" t="s">
        <v>236</v>
      </c>
      <c r="GR389" t="s">
        <v>226</v>
      </c>
      <c r="GS389" t="s">
        <v>226</v>
      </c>
      <c r="GT389" t="s">
        <v>266</v>
      </c>
      <c r="GU389" t="s">
        <v>226</v>
      </c>
      <c r="GV389" t="s">
        <v>236</v>
      </c>
      <c r="GX389" t="s">
        <v>236</v>
      </c>
      <c r="HB389" t="s">
        <v>734</v>
      </c>
      <c r="HC389" t="s">
        <v>735</v>
      </c>
      <c r="HE389">
        <v>83314477</v>
      </c>
      <c r="HF389" t="s">
        <v>736</v>
      </c>
      <c r="HG389" s="2">
        <v>45756.83315972222</v>
      </c>
      <c r="HJ389" t="s">
        <v>248</v>
      </c>
      <c r="HL389" t="s">
        <v>249</v>
      </c>
      <c r="HN389">
        <v>388</v>
      </c>
    </row>
    <row r="390" spans="1:222" x14ac:dyDescent="0.25">
      <c r="A390" s="2">
        <v>45756.626559212957</v>
      </c>
      <c r="B390" s="2">
        <v>45756.63411201389</v>
      </c>
      <c r="C390" t="s">
        <v>270</v>
      </c>
      <c r="D390">
        <v>63</v>
      </c>
      <c r="E390" s="2">
        <v>45731</v>
      </c>
      <c r="F390">
        <v>2</v>
      </c>
      <c r="G390" t="s">
        <v>503</v>
      </c>
      <c r="H390" t="s">
        <v>391</v>
      </c>
      <c r="I390">
        <v>45</v>
      </c>
      <c r="J390" t="str">
        <f t="shared" si="6"/>
        <v>de 41 a 55 años</v>
      </c>
      <c r="K390" t="s">
        <v>341</v>
      </c>
      <c r="L390">
        <v>3</v>
      </c>
      <c r="M390">
        <v>0</v>
      </c>
      <c r="N390">
        <v>0</v>
      </c>
      <c r="O390">
        <v>0</v>
      </c>
      <c r="P390">
        <v>0</v>
      </c>
      <c r="Q390" t="s">
        <v>291</v>
      </c>
      <c r="R390" t="s">
        <v>226</v>
      </c>
      <c r="T390" t="s">
        <v>227</v>
      </c>
      <c r="V390" t="s">
        <v>228</v>
      </c>
      <c r="W390" t="s">
        <v>229</v>
      </c>
      <c r="X390" t="s">
        <v>299</v>
      </c>
      <c r="Z390" t="s">
        <v>254</v>
      </c>
      <c r="AA390" t="s">
        <v>232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I390" t="s">
        <v>233</v>
      </c>
      <c r="AJ390">
        <v>0</v>
      </c>
      <c r="AK390">
        <v>1</v>
      </c>
      <c r="AL390">
        <v>0</v>
      </c>
      <c r="AM390">
        <v>0</v>
      </c>
      <c r="AN390" t="s">
        <v>300</v>
      </c>
      <c r="AO390" t="s">
        <v>294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X390" t="s">
        <v>226</v>
      </c>
      <c r="AY390" t="s">
        <v>226</v>
      </c>
      <c r="AZ390" t="s">
        <v>259</v>
      </c>
      <c r="BA390" t="s">
        <v>737</v>
      </c>
      <c r="BE390" t="s">
        <v>259</v>
      </c>
      <c r="BF390" t="s">
        <v>237</v>
      </c>
      <c r="BG390" t="s">
        <v>259</v>
      </c>
      <c r="BH390" t="s">
        <v>259</v>
      </c>
      <c r="BI390" t="s">
        <v>237</v>
      </c>
      <c r="BJ390" t="s">
        <v>237</v>
      </c>
      <c r="BK390" t="s">
        <v>261</v>
      </c>
      <c r="BL390" t="s">
        <v>262</v>
      </c>
      <c r="BM390" t="s">
        <v>365</v>
      </c>
      <c r="BN390">
        <v>0</v>
      </c>
      <c r="BO390">
        <v>1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 t="s">
        <v>264</v>
      </c>
      <c r="CB390" t="s">
        <v>264</v>
      </c>
      <c r="CC390" t="s">
        <v>243</v>
      </c>
      <c r="CD390" t="s">
        <v>236</v>
      </c>
      <c r="CE390" t="s">
        <v>236</v>
      </c>
      <c r="EA390" t="s">
        <v>236</v>
      </c>
      <c r="EC390" t="s">
        <v>236</v>
      </c>
      <c r="EE390" t="s">
        <v>226</v>
      </c>
      <c r="EF390" t="s">
        <v>265</v>
      </c>
      <c r="EG390" t="s">
        <v>226</v>
      </c>
      <c r="EH390" t="s">
        <v>244</v>
      </c>
      <c r="EI390" t="s">
        <v>226</v>
      </c>
      <c r="EJ390" t="s">
        <v>265</v>
      </c>
      <c r="EK390" t="s">
        <v>226</v>
      </c>
      <c r="EL390" t="s">
        <v>245</v>
      </c>
      <c r="EM390" t="s">
        <v>226</v>
      </c>
      <c r="EN390" t="s">
        <v>265</v>
      </c>
      <c r="EO390" t="s">
        <v>226</v>
      </c>
      <c r="EP390" t="s">
        <v>265</v>
      </c>
      <c r="EQ390" t="s">
        <v>236</v>
      </c>
      <c r="ES390" t="s">
        <v>226</v>
      </c>
      <c r="ET390" t="s">
        <v>265</v>
      </c>
      <c r="EU390" t="s">
        <v>226</v>
      </c>
      <c r="EV390" t="s">
        <v>244</v>
      </c>
      <c r="EW390" t="s">
        <v>226</v>
      </c>
      <c r="EX390" t="s">
        <v>244</v>
      </c>
      <c r="EY390" t="s">
        <v>226</v>
      </c>
      <c r="EZ390" t="s">
        <v>245</v>
      </c>
      <c r="FA390" t="s">
        <v>226</v>
      </c>
      <c r="FB390" t="s">
        <v>245</v>
      </c>
      <c r="FC390" t="s">
        <v>236</v>
      </c>
      <c r="FE390" t="s">
        <v>236</v>
      </c>
      <c r="FG390" t="s">
        <v>236</v>
      </c>
      <c r="FJ390" t="s">
        <v>226</v>
      </c>
      <c r="FK390" t="s">
        <v>245</v>
      </c>
      <c r="FL390" t="s">
        <v>236</v>
      </c>
      <c r="FM390" t="s">
        <v>226</v>
      </c>
      <c r="FN390" t="s">
        <v>416</v>
      </c>
      <c r="FO390">
        <v>0</v>
      </c>
      <c r="FP390">
        <v>1</v>
      </c>
      <c r="FQ390">
        <v>0</v>
      </c>
      <c r="FR390">
        <v>0</v>
      </c>
      <c r="FS390">
        <v>0</v>
      </c>
      <c r="FU390" t="s">
        <v>226</v>
      </c>
      <c r="FW390" t="s">
        <v>236</v>
      </c>
      <c r="FZ390" t="s">
        <v>236</v>
      </c>
      <c r="GC390" t="s">
        <v>236</v>
      </c>
      <c r="GF390" t="s">
        <v>236</v>
      </c>
      <c r="GI390" t="s">
        <v>236</v>
      </c>
      <c r="GL390" t="s">
        <v>236</v>
      </c>
      <c r="GO390" t="s">
        <v>226</v>
      </c>
      <c r="GP390" t="s">
        <v>226</v>
      </c>
      <c r="GQ390" t="s">
        <v>267</v>
      </c>
      <c r="GR390" t="s">
        <v>226</v>
      </c>
      <c r="GS390" t="s">
        <v>226</v>
      </c>
      <c r="GT390" t="s">
        <v>266</v>
      </c>
      <c r="GU390" t="s">
        <v>236</v>
      </c>
      <c r="GX390" t="s">
        <v>236</v>
      </c>
      <c r="HB390" t="s">
        <v>358</v>
      </c>
      <c r="HE390">
        <v>83315833</v>
      </c>
      <c r="HF390" t="s">
        <v>738</v>
      </c>
      <c r="HG390" s="2">
        <v>45756.842442129629</v>
      </c>
      <c r="HJ390" t="s">
        <v>248</v>
      </c>
      <c r="HL390" t="s">
        <v>249</v>
      </c>
      <c r="HN390">
        <v>389</v>
      </c>
    </row>
    <row r="391" spans="1:222" x14ac:dyDescent="0.25">
      <c r="A391" s="2">
        <v>45756.634112858803</v>
      </c>
      <c r="B391" s="2">
        <v>45756.65278945602</v>
      </c>
      <c r="C391" t="s">
        <v>270</v>
      </c>
      <c r="D391">
        <v>64</v>
      </c>
      <c r="E391" s="2">
        <v>45731</v>
      </c>
      <c r="F391">
        <v>2</v>
      </c>
      <c r="G391" t="s">
        <v>271</v>
      </c>
      <c r="H391" t="s">
        <v>391</v>
      </c>
      <c r="I391">
        <v>38</v>
      </c>
      <c r="J391" t="str">
        <f t="shared" si="6"/>
        <v>de 26 a 40 años</v>
      </c>
      <c r="K391" t="s">
        <v>251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291</v>
      </c>
      <c r="R391" t="s">
        <v>226</v>
      </c>
      <c r="T391" t="s">
        <v>227</v>
      </c>
      <c r="V391" t="s">
        <v>228</v>
      </c>
      <c r="W391" t="s">
        <v>229</v>
      </c>
      <c r="X391" t="s">
        <v>230</v>
      </c>
      <c r="Z391" t="s">
        <v>231</v>
      </c>
      <c r="AA391" t="s">
        <v>232</v>
      </c>
      <c r="AB391">
        <v>1</v>
      </c>
      <c r="AC391">
        <v>0</v>
      </c>
      <c r="AD391">
        <v>0</v>
      </c>
      <c r="AE391">
        <v>0</v>
      </c>
      <c r="AF391">
        <v>0</v>
      </c>
      <c r="AG391">
        <v>0</v>
      </c>
      <c r="AI391" t="s">
        <v>256</v>
      </c>
      <c r="AJ391">
        <v>0</v>
      </c>
      <c r="AK391">
        <v>0</v>
      </c>
      <c r="AL391">
        <v>1</v>
      </c>
      <c r="AM391">
        <v>0</v>
      </c>
      <c r="AN391" t="s">
        <v>234</v>
      </c>
      <c r="AO391" t="s">
        <v>294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X391" t="s">
        <v>226</v>
      </c>
      <c r="AY391" t="s">
        <v>226</v>
      </c>
      <c r="AZ391" t="s">
        <v>259</v>
      </c>
      <c r="BA391" t="s">
        <v>739</v>
      </c>
      <c r="BB391" t="s">
        <v>336</v>
      </c>
      <c r="BE391" t="s">
        <v>259</v>
      </c>
      <c r="BF391" t="s">
        <v>259</v>
      </c>
      <c r="BG391" t="s">
        <v>259</v>
      </c>
      <c r="BH391" t="s">
        <v>259</v>
      </c>
      <c r="BI391" t="s">
        <v>237</v>
      </c>
      <c r="BJ391" t="s">
        <v>237</v>
      </c>
      <c r="BK391" t="s">
        <v>237</v>
      </c>
      <c r="BL391" t="s">
        <v>313</v>
      </c>
      <c r="BM391" t="s">
        <v>490</v>
      </c>
      <c r="BN391">
        <v>1</v>
      </c>
      <c r="BO391">
        <v>0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 t="s">
        <v>264</v>
      </c>
      <c r="CB391" t="s">
        <v>264</v>
      </c>
      <c r="CC391" t="s">
        <v>264</v>
      </c>
      <c r="CD391" t="s">
        <v>236</v>
      </c>
      <c r="CE391" t="s">
        <v>236</v>
      </c>
      <c r="EA391" t="s">
        <v>226</v>
      </c>
      <c r="EB391" t="s">
        <v>244</v>
      </c>
      <c r="EC391" t="s">
        <v>236</v>
      </c>
      <c r="EE391" t="s">
        <v>226</v>
      </c>
      <c r="EF391" t="s">
        <v>265</v>
      </c>
      <c r="EG391" t="s">
        <v>236</v>
      </c>
      <c r="EI391" t="s">
        <v>236</v>
      </c>
      <c r="EK391" t="s">
        <v>226</v>
      </c>
      <c r="EL391" t="s">
        <v>244</v>
      </c>
      <c r="EM391" t="s">
        <v>226</v>
      </c>
      <c r="EN391" t="s">
        <v>245</v>
      </c>
      <c r="EO391" t="s">
        <v>236</v>
      </c>
      <c r="EQ391" t="s">
        <v>236</v>
      </c>
      <c r="ES391" t="s">
        <v>236</v>
      </c>
      <c r="EU391" t="s">
        <v>236</v>
      </c>
      <c r="EW391" t="s">
        <v>236</v>
      </c>
      <c r="EY391" t="s">
        <v>236</v>
      </c>
      <c r="FA391" t="s">
        <v>226</v>
      </c>
      <c r="FB391" t="s">
        <v>244</v>
      </c>
      <c r="FC391" t="s">
        <v>236</v>
      </c>
      <c r="FE391" t="s">
        <v>236</v>
      </c>
      <c r="FG391" t="s">
        <v>236</v>
      </c>
      <c r="FJ391" t="s">
        <v>236</v>
      </c>
      <c r="FM391" t="s">
        <v>236</v>
      </c>
      <c r="FW391" t="s">
        <v>226</v>
      </c>
      <c r="FX391" t="s">
        <v>236</v>
      </c>
      <c r="FZ391" t="s">
        <v>236</v>
      </c>
      <c r="GC391" t="s">
        <v>236</v>
      </c>
      <c r="GF391" t="s">
        <v>226</v>
      </c>
      <c r="GG391" t="s">
        <v>236</v>
      </c>
      <c r="GI391" t="s">
        <v>226</v>
      </c>
      <c r="GJ391" t="s">
        <v>236</v>
      </c>
      <c r="GL391" t="s">
        <v>226</v>
      </c>
      <c r="GM391" t="s">
        <v>236</v>
      </c>
      <c r="GO391" t="s">
        <v>236</v>
      </c>
      <c r="GR391" t="s">
        <v>226</v>
      </c>
      <c r="GS391" t="s">
        <v>226</v>
      </c>
      <c r="GT391" t="s">
        <v>601</v>
      </c>
      <c r="GU391" t="s">
        <v>226</v>
      </c>
      <c r="GV391" t="s">
        <v>236</v>
      </c>
      <c r="GX391" t="s">
        <v>236</v>
      </c>
      <c r="HB391" t="s">
        <v>303</v>
      </c>
      <c r="HC391" t="s">
        <v>288</v>
      </c>
      <c r="HD391" t="s">
        <v>510</v>
      </c>
      <c r="HE391">
        <v>83318110</v>
      </c>
      <c r="HF391" t="s">
        <v>740</v>
      </c>
      <c r="HG391" s="2">
        <v>45756.861111111109</v>
      </c>
      <c r="HJ391" t="s">
        <v>248</v>
      </c>
      <c r="HL391" t="s">
        <v>249</v>
      </c>
      <c r="HN391">
        <v>390</v>
      </c>
    </row>
    <row r="392" spans="1:222" x14ac:dyDescent="0.25">
      <c r="A392" s="2">
        <v>45756.652790358799</v>
      </c>
      <c r="B392" s="2">
        <v>45756.656275949077</v>
      </c>
      <c r="C392" t="s">
        <v>270</v>
      </c>
      <c r="D392">
        <v>65</v>
      </c>
      <c r="E392" s="2">
        <v>45731</v>
      </c>
      <c r="F392">
        <v>2</v>
      </c>
      <c r="G392" t="s">
        <v>503</v>
      </c>
      <c r="H392" t="s">
        <v>391</v>
      </c>
      <c r="I392">
        <v>40</v>
      </c>
      <c r="J392" t="str">
        <f t="shared" si="6"/>
        <v>de 26 a 40 años</v>
      </c>
      <c r="K392" t="s">
        <v>341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291</v>
      </c>
      <c r="R392" t="s">
        <v>226</v>
      </c>
      <c r="T392" t="s">
        <v>227</v>
      </c>
      <c r="V392" t="s">
        <v>228</v>
      </c>
      <c r="W392" t="s">
        <v>229</v>
      </c>
      <c r="X392" t="s">
        <v>299</v>
      </c>
      <c r="Z392" t="s">
        <v>231</v>
      </c>
      <c r="AA392" t="s">
        <v>232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I392" t="s">
        <v>256</v>
      </c>
      <c r="AJ392">
        <v>0</v>
      </c>
      <c r="AK392">
        <v>0</v>
      </c>
      <c r="AL392">
        <v>1</v>
      </c>
      <c r="AM392">
        <v>0</v>
      </c>
      <c r="AN392" t="s">
        <v>300</v>
      </c>
      <c r="AO392" t="s">
        <v>294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X392" t="s">
        <v>226</v>
      </c>
      <c r="AY392" t="s">
        <v>226</v>
      </c>
      <c r="AZ392" t="s">
        <v>259</v>
      </c>
      <c r="BA392" t="s">
        <v>741</v>
      </c>
      <c r="BE392" t="s">
        <v>259</v>
      </c>
      <c r="BF392" t="s">
        <v>259</v>
      </c>
      <c r="BG392" t="s">
        <v>259</v>
      </c>
      <c r="BH392" t="s">
        <v>237</v>
      </c>
      <c r="BI392" t="s">
        <v>237</v>
      </c>
      <c r="BJ392" t="s">
        <v>259</v>
      </c>
      <c r="BK392" t="s">
        <v>259</v>
      </c>
      <c r="BL392" t="s">
        <v>262</v>
      </c>
      <c r="BM392" t="s">
        <v>365</v>
      </c>
      <c r="BN392">
        <v>0</v>
      </c>
      <c r="BO392">
        <v>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 t="s">
        <v>264</v>
      </c>
      <c r="CB392" t="s">
        <v>328</v>
      </c>
      <c r="CC392" t="s">
        <v>328</v>
      </c>
      <c r="CD392" t="s">
        <v>236</v>
      </c>
      <c r="CE392" t="s">
        <v>236</v>
      </c>
      <c r="EA392" t="s">
        <v>236</v>
      </c>
      <c r="EC392" t="s">
        <v>226</v>
      </c>
      <c r="ED392" t="s">
        <v>245</v>
      </c>
      <c r="EE392" t="s">
        <v>226</v>
      </c>
      <c r="EF392" t="s">
        <v>245</v>
      </c>
      <c r="EG392" t="s">
        <v>226</v>
      </c>
      <c r="EH392" t="s">
        <v>245</v>
      </c>
      <c r="EI392" t="s">
        <v>226</v>
      </c>
      <c r="EJ392" t="s">
        <v>245</v>
      </c>
      <c r="EK392" t="s">
        <v>226</v>
      </c>
      <c r="EL392" t="s">
        <v>245</v>
      </c>
      <c r="EM392" t="s">
        <v>226</v>
      </c>
      <c r="EN392" t="s">
        <v>245</v>
      </c>
      <c r="EO392" t="s">
        <v>226</v>
      </c>
      <c r="EP392" t="s">
        <v>245</v>
      </c>
      <c r="EQ392" t="s">
        <v>236</v>
      </c>
      <c r="ES392" t="s">
        <v>226</v>
      </c>
      <c r="ET392" t="s">
        <v>245</v>
      </c>
      <c r="EU392" t="s">
        <v>236</v>
      </c>
      <c r="EW392" t="s">
        <v>236</v>
      </c>
      <c r="EY392" t="s">
        <v>236</v>
      </c>
      <c r="FA392" t="s">
        <v>226</v>
      </c>
      <c r="FB392" t="s">
        <v>244</v>
      </c>
      <c r="FC392" t="s">
        <v>236</v>
      </c>
      <c r="FE392" t="s">
        <v>236</v>
      </c>
      <c r="FG392" t="s">
        <v>236</v>
      </c>
      <c r="FJ392" t="s">
        <v>226</v>
      </c>
      <c r="FK392" t="s">
        <v>265</v>
      </c>
      <c r="FL392" t="s">
        <v>226</v>
      </c>
      <c r="FM392" t="s">
        <v>236</v>
      </c>
      <c r="FW392" t="s">
        <v>236</v>
      </c>
      <c r="FZ392" t="s">
        <v>236</v>
      </c>
      <c r="GC392" t="s">
        <v>236</v>
      </c>
      <c r="GF392" t="s">
        <v>236</v>
      </c>
      <c r="GI392" t="s">
        <v>236</v>
      </c>
      <c r="GL392" t="s">
        <v>236</v>
      </c>
      <c r="GO392" t="s">
        <v>226</v>
      </c>
      <c r="GP392" t="s">
        <v>226</v>
      </c>
      <c r="GQ392" t="s">
        <v>266</v>
      </c>
      <c r="GR392" t="s">
        <v>226</v>
      </c>
      <c r="GS392" t="s">
        <v>226</v>
      </c>
      <c r="GT392" t="s">
        <v>267</v>
      </c>
      <c r="GU392" t="s">
        <v>236</v>
      </c>
      <c r="GX392" t="s">
        <v>236</v>
      </c>
      <c r="HB392" t="s">
        <v>742</v>
      </c>
      <c r="HE392">
        <v>83318375</v>
      </c>
      <c r="HF392" t="s">
        <v>743</v>
      </c>
      <c r="HG392" s="2">
        <v>45756.864606481482</v>
      </c>
      <c r="HJ392" t="s">
        <v>248</v>
      </c>
      <c r="HL392" t="s">
        <v>249</v>
      </c>
      <c r="HN392">
        <v>391</v>
      </c>
    </row>
    <row r="393" spans="1:222" x14ac:dyDescent="0.25">
      <c r="A393" s="2">
        <v>45756.65627699074</v>
      </c>
      <c r="B393" s="2">
        <v>45756.659165069454</v>
      </c>
      <c r="C393" t="s">
        <v>270</v>
      </c>
      <c r="D393">
        <v>67</v>
      </c>
      <c r="E393" s="2">
        <v>45731</v>
      </c>
      <c r="F393">
        <v>2</v>
      </c>
      <c r="G393" t="s">
        <v>271</v>
      </c>
      <c r="H393" t="s">
        <v>391</v>
      </c>
      <c r="I393">
        <v>42</v>
      </c>
      <c r="J393" t="str">
        <f t="shared" si="6"/>
        <v>de 41 a 55 años</v>
      </c>
      <c r="K393" t="s">
        <v>251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225</v>
      </c>
      <c r="R393" t="s">
        <v>226</v>
      </c>
      <c r="T393" t="s">
        <v>227</v>
      </c>
      <c r="V393" t="s">
        <v>252</v>
      </c>
      <c r="W393" t="s">
        <v>229</v>
      </c>
      <c r="X393" t="s">
        <v>230</v>
      </c>
      <c r="Z393" t="s">
        <v>254</v>
      </c>
      <c r="AA393" t="s">
        <v>232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0</v>
      </c>
      <c r="AI393" t="s">
        <v>233</v>
      </c>
      <c r="AJ393">
        <v>0</v>
      </c>
      <c r="AK393">
        <v>1</v>
      </c>
      <c r="AL393">
        <v>0</v>
      </c>
      <c r="AM393">
        <v>0</v>
      </c>
      <c r="AN393" t="s">
        <v>300</v>
      </c>
      <c r="AO393" t="s">
        <v>275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</v>
      </c>
      <c r="AX393" t="s">
        <v>226</v>
      </c>
      <c r="AY393" t="s">
        <v>236</v>
      </c>
      <c r="AZ393" t="s">
        <v>259</v>
      </c>
      <c r="BA393" t="s">
        <v>739</v>
      </c>
      <c r="BB393" t="s">
        <v>746</v>
      </c>
      <c r="BE393" t="s">
        <v>259</v>
      </c>
      <c r="BF393" t="s">
        <v>259</v>
      </c>
      <c r="BG393" t="s">
        <v>259</v>
      </c>
      <c r="BH393" t="s">
        <v>237</v>
      </c>
      <c r="BI393" t="s">
        <v>237</v>
      </c>
      <c r="BJ393" t="s">
        <v>237</v>
      </c>
      <c r="BK393" t="s">
        <v>259</v>
      </c>
      <c r="BL393" t="s">
        <v>262</v>
      </c>
      <c r="BM393" t="s">
        <v>733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 t="s">
        <v>264</v>
      </c>
      <c r="CB393" t="s">
        <v>264</v>
      </c>
      <c r="CC393" t="s">
        <v>264</v>
      </c>
      <c r="CD393" t="s">
        <v>236</v>
      </c>
      <c r="CE393" t="s">
        <v>236</v>
      </c>
      <c r="EA393" t="s">
        <v>236</v>
      </c>
      <c r="EC393" t="s">
        <v>236</v>
      </c>
      <c r="EE393" t="s">
        <v>236</v>
      </c>
      <c r="EG393" t="s">
        <v>236</v>
      </c>
      <c r="EI393" t="s">
        <v>226</v>
      </c>
      <c r="EJ393" t="s">
        <v>244</v>
      </c>
      <c r="EK393" t="s">
        <v>236</v>
      </c>
      <c r="EM393" t="s">
        <v>236</v>
      </c>
      <c r="EO393" t="s">
        <v>236</v>
      </c>
      <c r="EQ393" t="s">
        <v>236</v>
      </c>
      <c r="ES393" t="s">
        <v>236</v>
      </c>
      <c r="EU393" t="s">
        <v>236</v>
      </c>
      <c r="EW393" t="s">
        <v>236</v>
      </c>
      <c r="EY393" t="s">
        <v>236</v>
      </c>
      <c r="FA393" t="s">
        <v>236</v>
      </c>
      <c r="FC393" t="s">
        <v>236</v>
      </c>
      <c r="FE393" t="s">
        <v>236</v>
      </c>
      <c r="FG393" t="s">
        <v>236</v>
      </c>
      <c r="FJ393" t="s">
        <v>226</v>
      </c>
      <c r="FK393" t="s">
        <v>244</v>
      </c>
      <c r="FL393" t="s">
        <v>236</v>
      </c>
      <c r="FM393" t="s">
        <v>236</v>
      </c>
      <c r="FW393" t="s">
        <v>226</v>
      </c>
      <c r="FX393" t="s">
        <v>236</v>
      </c>
      <c r="FZ393" t="s">
        <v>226</v>
      </c>
      <c r="GA393" t="s">
        <v>236</v>
      </c>
      <c r="GC393" t="s">
        <v>236</v>
      </c>
      <c r="GF393" t="s">
        <v>226</v>
      </c>
      <c r="GG393" t="s">
        <v>236</v>
      </c>
      <c r="GI393" t="s">
        <v>236</v>
      </c>
      <c r="GL393" t="s">
        <v>226</v>
      </c>
      <c r="GM393" t="s">
        <v>226</v>
      </c>
      <c r="GN393" t="s">
        <v>570</v>
      </c>
      <c r="GO393" t="s">
        <v>226</v>
      </c>
      <c r="GP393" t="s">
        <v>236</v>
      </c>
      <c r="GR393" t="s">
        <v>226</v>
      </c>
      <c r="GS393" t="s">
        <v>236</v>
      </c>
      <c r="GU393" t="s">
        <v>236</v>
      </c>
      <c r="GX393" t="s">
        <v>236</v>
      </c>
      <c r="HB393" t="s">
        <v>323</v>
      </c>
      <c r="HC393" t="s">
        <v>279</v>
      </c>
      <c r="HE393">
        <v>83318475</v>
      </c>
      <c r="HF393" t="s">
        <v>747</v>
      </c>
      <c r="HG393" s="2">
        <v>45756.867488425924</v>
      </c>
      <c r="HJ393" t="s">
        <v>248</v>
      </c>
      <c r="HL393" t="s">
        <v>249</v>
      </c>
      <c r="HN393">
        <v>392</v>
      </c>
    </row>
    <row r="394" spans="1:222" x14ac:dyDescent="0.25">
      <c r="A394" s="2">
        <v>45756.65916599537</v>
      </c>
      <c r="B394" s="2">
        <v>45756.665206377307</v>
      </c>
      <c r="C394" t="s">
        <v>270</v>
      </c>
      <c r="D394">
        <v>69</v>
      </c>
      <c r="E394" s="2">
        <v>45731</v>
      </c>
      <c r="F394">
        <v>2</v>
      </c>
      <c r="G394" t="s">
        <v>503</v>
      </c>
      <c r="H394" t="s">
        <v>391</v>
      </c>
      <c r="I394">
        <v>70</v>
      </c>
      <c r="J394" t="str">
        <f t="shared" si="6"/>
        <v>de 56 a más</v>
      </c>
      <c r="K394" t="s">
        <v>224</v>
      </c>
      <c r="L394">
        <v>1</v>
      </c>
      <c r="M394">
        <v>0</v>
      </c>
      <c r="N394">
        <v>0</v>
      </c>
      <c r="O394">
        <v>0</v>
      </c>
      <c r="P394">
        <v>0</v>
      </c>
      <c r="Q394" t="s">
        <v>225</v>
      </c>
      <c r="R394" t="s">
        <v>226</v>
      </c>
      <c r="T394" t="s">
        <v>392</v>
      </c>
      <c r="V394" t="s">
        <v>228</v>
      </c>
      <c r="W394" t="s">
        <v>292</v>
      </c>
      <c r="X394" t="s">
        <v>368</v>
      </c>
      <c r="Z394" t="s">
        <v>231</v>
      </c>
      <c r="AA394" t="s">
        <v>232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I394" t="s">
        <v>233</v>
      </c>
      <c r="AJ394">
        <v>0</v>
      </c>
      <c r="AK394">
        <v>1</v>
      </c>
      <c r="AL394">
        <v>0</v>
      </c>
      <c r="AM394">
        <v>0</v>
      </c>
      <c r="AN394" t="s">
        <v>257</v>
      </c>
      <c r="AO394" t="s">
        <v>294</v>
      </c>
      <c r="AP394">
        <v>1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X394" t="s">
        <v>226</v>
      </c>
      <c r="AY394" t="s">
        <v>226</v>
      </c>
      <c r="AZ394" t="s">
        <v>237</v>
      </c>
      <c r="BA394" t="s">
        <v>751</v>
      </c>
      <c r="BE394" t="s">
        <v>259</v>
      </c>
      <c r="BF394" t="s">
        <v>259</v>
      </c>
      <c r="BG394" t="s">
        <v>259</v>
      </c>
      <c r="BH394" t="s">
        <v>259</v>
      </c>
      <c r="BI394" t="s">
        <v>239</v>
      </c>
      <c r="BJ394" t="s">
        <v>261</v>
      </c>
      <c r="BK394" t="s">
        <v>261</v>
      </c>
      <c r="BL394" t="s">
        <v>240</v>
      </c>
      <c r="BM394" t="s">
        <v>357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1</v>
      </c>
      <c r="BV394">
        <v>0</v>
      </c>
      <c r="BW394">
        <v>0</v>
      </c>
      <c r="BX394">
        <v>0</v>
      </c>
      <c r="BY394">
        <v>0</v>
      </c>
      <c r="BZ394">
        <v>0</v>
      </c>
      <c r="CA394" t="s">
        <v>242</v>
      </c>
      <c r="CB394" t="s">
        <v>243</v>
      </c>
      <c r="CC394" t="s">
        <v>264</v>
      </c>
      <c r="CD394" t="s">
        <v>226</v>
      </c>
      <c r="CE394" t="s">
        <v>236</v>
      </c>
      <c r="EA394" t="s">
        <v>226</v>
      </c>
      <c r="EB394" t="s">
        <v>244</v>
      </c>
      <c r="EC394" t="s">
        <v>226</v>
      </c>
      <c r="ED394" t="s">
        <v>245</v>
      </c>
      <c r="EE394" t="s">
        <v>226</v>
      </c>
      <c r="EF394" t="s">
        <v>265</v>
      </c>
      <c r="EG394" t="s">
        <v>226</v>
      </c>
      <c r="EH394" t="s">
        <v>265</v>
      </c>
      <c r="EI394" t="s">
        <v>226</v>
      </c>
      <c r="EJ394" t="s">
        <v>265</v>
      </c>
      <c r="EK394" t="s">
        <v>236</v>
      </c>
      <c r="EM394" t="s">
        <v>226</v>
      </c>
      <c r="EN394" t="s">
        <v>245</v>
      </c>
      <c r="EO394" t="s">
        <v>226</v>
      </c>
      <c r="EP394" t="s">
        <v>245</v>
      </c>
      <c r="EQ394" t="s">
        <v>236</v>
      </c>
      <c r="ES394" t="s">
        <v>226</v>
      </c>
      <c r="ET394" t="s">
        <v>245</v>
      </c>
      <c r="EU394" t="s">
        <v>236</v>
      </c>
      <c r="EW394" t="s">
        <v>236</v>
      </c>
      <c r="EY394" t="s">
        <v>236</v>
      </c>
      <c r="FA394" t="s">
        <v>226</v>
      </c>
      <c r="FB394" t="s">
        <v>245</v>
      </c>
      <c r="FC394" t="s">
        <v>236</v>
      </c>
      <c r="FE394" t="s">
        <v>226</v>
      </c>
      <c r="FF394" t="s">
        <v>244</v>
      </c>
      <c r="FG394" t="s">
        <v>236</v>
      </c>
      <c r="FJ394" t="s">
        <v>226</v>
      </c>
      <c r="FK394" t="s">
        <v>245</v>
      </c>
      <c r="FL394" t="s">
        <v>236</v>
      </c>
      <c r="FM394" t="s">
        <v>236</v>
      </c>
      <c r="FW394" t="s">
        <v>226</v>
      </c>
      <c r="FX394" t="s">
        <v>236</v>
      </c>
      <c r="FZ394" t="s">
        <v>226</v>
      </c>
      <c r="GA394" t="s">
        <v>236</v>
      </c>
      <c r="GC394" t="s">
        <v>226</v>
      </c>
      <c r="GD394" t="s">
        <v>236</v>
      </c>
      <c r="GF394" t="s">
        <v>226</v>
      </c>
      <c r="GG394" t="s">
        <v>236</v>
      </c>
      <c r="GI394" t="s">
        <v>226</v>
      </c>
      <c r="GJ394" t="s">
        <v>236</v>
      </c>
      <c r="GL394" t="s">
        <v>226</v>
      </c>
      <c r="GM394" t="s">
        <v>236</v>
      </c>
      <c r="GO394" t="s">
        <v>226</v>
      </c>
      <c r="GP394" t="s">
        <v>236</v>
      </c>
      <c r="GR394" t="s">
        <v>226</v>
      </c>
      <c r="GS394" t="s">
        <v>236</v>
      </c>
      <c r="GU394" t="s">
        <v>236</v>
      </c>
      <c r="GX394" t="s">
        <v>236</v>
      </c>
      <c r="HB394" t="s">
        <v>752</v>
      </c>
      <c r="HE394">
        <v>83318773</v>
      </c>
      <c r="HF394" t="s">
        <v>753</v>
      </c>
      <c r="HG394" s="2">
        <v>45756.873530092591</v>
      </c>
      <c r="HJ394" t="s">
        <v>248</v>
      </c>
      <c r="HL394" t="s">
        <v>249</v>
      </c>
      <c r="HN394">
        <v>393</v>
      </c>
    </row>
    <row r="395" spans="1:222" x14ac:dyDescent="0.25">
      <c r="A395" s="2">
        <v>45756.665207280093</v>
      </c>
      <c r="B395" s="2">
        <v>45756.673817222218</v>
      </c>
      <c r="C395" t="s">
        <v>270</v>
      </c>
      <c r="D395">
        <v>70</v>
      </c>
      <c r="E395" s="2">
        <v>45731</v>
      </c>
      <c r="F395">
        <v>2</v>
      </c>
      <c r="G395" t="s">
        <v>271</v>
      </c>
      <c r="H395" t="s">
        <v>391</v>
      </c>
      <c r="I395">
        <v>60</v>
      </c>
      <c r="J395" t="str">
        <f t="shared" si="6"/>
        <v>de 56 a más</v>
      </c>
      <c r="K395" t="s">
        <v>251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225</v>
      </c>
      <c r="R395" t="s">
        <v>226</v>
      </c>
      <c r="T395" t="s">
        <v>227</v>
      </c>
      <c r="V395" t="s">
        <v>321</v>
      </c>
      <c r="W395" t="s">
        <v>229</v>
      </c>
      <c r="X395" t="s">
        <v>350</v>
      </c>
      <c r="Z395" t="s">
        <v>254</v>
      </c>
      <c r="AA395" t="s">
        <v>255</v>
      </c>
      <c r="AB395">
        <v>0</v>
      </c>
      <c r="AC395">
        <v>0</v>
      </c>
      <c r="AD395">
        <v>0</v>
      </c>
      <c r="AE395">
        <v>1</v>
      </c>
      <c r="AF395">
        <v>0</v>
      </c>
      <c r="AG395">
        <v>0</v>
      </c>
      <c r="AI395" t="s">
        <v>233</v>
      </c>
      <c r="AJ395">
        <v>0</v>
      </c>
      <c r="AK395">
        <v>1</v>
      </c>
      <c r="AL395">
        <v>0</v>
      </c>
      <c r="AM395">
        <v>0</v>
      </c>
      <c r="AN395" t="s">
        <v>300</v>
      </c>
      <c r="AO395" t="s">
        <v>294</v>
      </c>
      <c r="AP395">
        <v>1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X395" t="s">
        <v>226</v>
      </c>
      <c r="AY395" t="s">
        <v>226</v>
      </c>
      <c r="AZ395" t="s">
        <v>259</v>
      </c>
      <c r="BA395" t="s">
        <v>754</v>
      </c>
      <c r="BB395" t="s">
        <v>627</v>
      </c>
      <c r="BE395" t="s">
        <v>259</v>
      </c>
      <c r="BF395" t="s">
        <v>259</v>
      </c>
      <c r="BG395" t="s">
        <v>259</v>
      </c>
      <c r="BH395" t="s">
        <v>237</v>
      </c>
      <c r="BI395" t="s">
        <v>237</v>
      </c>
      <c r="BJ395" t="s">
        <v>237</v>
      </c>
      <c r="BK395" t="s">
        <v>237</v>
      </c>
      <c r="BL395" t="s">
        <v>313</v>
      </c>
      <c r="BM395" t="s">
        <v>296</v>
      </c>
      <c r="BN395">
        <v>0</v>
      </c>
      <c r="BO395">
        <v>0</v>
      </c>
      <c r="BP395">
        <v>0</v>
      </c>
      <c r="BQ395">
        <v>0</v>
      </c>
      <c r="BR395">
        <v>1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 t="s">
        <v>264</v>
      </c>
      <c r="CB395" t="s">
        <v>264</v>
      </c>
      <c r="CC395" t="s">
        <v>264</v>
      </c>
      <c r="CD395" t="s">
        <v>236</v>
      </c>
      <c r="CE395" t="s">
        <v>236</v>
      </c>
      <c r="EA395" t="s">
        <v>226</v>
      </c>
      <c r="EB395" t="s">
        <v>244</v>
      </c>
      <c r="EC395" t="s">
        <v>236</v>
      </c>
      <c r="EE395" t="s">
        <v>226</v>
      </c>
      <c r="EF395" t="s">
        <v>244</v>
      </c>
      <c r="EG395" t="s">
        <v>226</v>
      </c>
      <c r="EH395" t="s">
        <v>245</v>
      </c>
      <c r="EI395" t="s">
        <v>226</v>
      </c>
      <c r="EJ395" t="s">
        <v>245</v>
      </c>
      <c r="EK395" t="s">
        <v>236</v>
      </c>
      <c r="EM395" t="s">
        <v>226</v>
      </c>
      <c r="EN395" t="s">
        <v>244</v>
      </c>
      <c r="EO395" t="s">
        <v>226</v>
      </c>
      <c r="EP395" t="s">
        <v>244</v>
      </c>
      <c r="EQ395" t="s">
        <v>236</v>
      </c>
      <c r="ES395" t="s">
        <v>236</v>
      </c>
      <c r="EU395" t="s">
        <v>236</v>
      </c>
      <c r="EW395" t="s">
        <v>226</v>
      </c>
      <c r="EX395" t="s">
        <v>245</v>
      </c>
      <c r="EY395" t="s">
        <v>226</v>
      </c>
      <c r="EZ395" t="s">
        <v>244</v>
      </c>
      <c r="FA395" t="s">
        <v>226</v>
      </c>
      <c r="FB395" t="s">
        <v>244</v>
      </c>
      <c r="FC395" t="s">
        <v>236</v>
      </c>
      <c r="FE395" t="s">
        <v>226</v>
      </c>
      <c r="FF395" t="s">
        <v>244</v>
      </c>
      <c r="FG395" t="s">
        <v>236</v>
      </c>
      <c r="FJ395" t="s">
        <v>226</v>
      </c>
      <c r="FK395" t="s">
        <v>245</v>
      </c>
      <c r="FL395" t="s">
        <v>226</v>
      </c>
      <c r="FM395" t="s">
        <v>236</v>
      </c>
      <c r="FW395" t="s">
        <v>226</v>
      </c>
      <c r="FX395" t="s">
        <v>236</v>
      </c>
      <c r="FZ395" t="s">
        <v>226</v>
      </c>
      <c r="GA395" t="s">
        <v>236</v>
      </c>
      <c r="GC395" t="s">
        <v>236</v>
      </c>
      <c r="GF395" t="s">
        <v>226</v>
      </c>
      <c r="GG395" t="s">
        <v>236</v>
      </c>
      <c r="GI395" t="s">
        <v>236</v>
      </c>
      <c r="GL395" t="s">
        <v>226</v>
      </c>
      <c r="GM395" t="s">
        <v>236</v>
      </c>
      <c r="GO395" t="s">
        <v>226</v>
      </c>
      <c r="GP395" t="s">
        <v>236</v>
      </c>
      <c r="GR395" t="s">
        <v>226</v>
      </c>
      <c r="GS395" t="s">
        <v>236</v>
      </c>
      <c r="GU395" t="s">
        <v>236</v>
      </c>
      <c r="GX395" t="s">
        <v>236</v>
      </c>
      <c r="HB395" t="s">
        <v>755</v>
      </c>
      <c r="HC395" t="s">
        <v>756</v>
      </c>
      <c r="HE395">
        <v>83319235</v>
      </c>
      <c r="HF395" t="s">
        <v>757</v>
      </c>
      <c r="HG395" s="2">
        <v>45756.882152777784</v>
      </c>
      <c r="HJ395" t="s">
        <v>248</v>
      </c>
      <c r="HL395" t="s">
        <v>249</v>
      </c>
      <c r="HN395">
        <v>394</v>
      </c>
    </row>
    <row r="396" spans="1:222" x14ac:dyDescent="0.25">
      <c r="A396" s="2">
        <v>45756.673818090283</v>
      </c>
      <c r="B396" s="2">
        <v>45756.676829351847</v>
      </c>
      <c r="C396" t="s">
        <v>270</v>
      </c>
      <c r="D396">
        <v>72</v>
      </c>
      <c r="E396" s="2">
        <v>45731</v>
      </c>
      <c r="F396">
        <v>2</v>
      </c>
      <c r="G396" t="s">
        <v>271</v>
      </c>
      <c r="H396" t="s">
        <v>391</v>
      </c>
      <c r="I396">
        <v>39</v>
      </c>
      <c r="J396" t="str">
        <f t="shared" si="6"/>
        <v>de 26 a 40 años</v>
      </c>
      <c r="K396" t="s">
        <v>251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225</v>
      </c>
      <c r="R396" t="s">
        <v>226</v>
      </c>
      <c r="T396" t="s">
        <v>227</v>
      </c>
      <c r="V396" t="s">
        <v>321</v>
      </c>
      <c r="W396" t="s">
        <v>229</v>
      </c>
      <c r="X396" t="s">
        <v>348</v>
      </c>
      <c r="Y396" t="s">
        <v>761</v>
      </c>
      <c r="Z396" t="s">
        <v>254</v>
      </c>
      <c r="AA396" t="s">
        <v>232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I396" t="s">
        <v>233</v>
      </c>
      <c r="AJ396">
        <v>0</v>
      </c>
      <c r="AK396">
        <v>1</v>
      </c>
      <c r="AL396">
        <v>0</v>
      </c>
      <c r="AM396">
        <v>0</v>
      </c>
      <c r="AN396" t="s">
        <v>300</v>
      </c>
      <c r="AO396" t="s">
        <v>294</v>
      </c>
      <c r="AP396">
        <v>1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X396" t="s">
        <v>226</v>
      </c>
      <c r="AY396" t="s">
        <v>226</v>
      </c>
      <c r="AZ396" t="s">
        <v>237</v>
      </c>
      <c r="BA396" t="s">
        <v>301</v>
      </c>
      <c r="BB396" t="s">
        <v>277</v>
      </c>
      <c r="BE396" t="s">
        <v>237</v>
      </c>
      <c r="BF396" t="s">
        <v>237</v>
      </c>
      <c r="BG396" t="s">
        <v>237</v>
      </c>
      <c r="BH396" t="s">
        <v>237</v>
      </c>
      <c r="BI396" t="s">
        <v>237</v>
      </c>
      <c r="BJ396" t="s">
        <v>259</v>
      </c>
      <c r="BK396" t="s">
        <v>259</v>
      </c>
      <c r="BL396" t="s">
        <v>262</v>
      </c>
      <c r="BM396" t="s">
        <v>451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 t="s">
        <v>264</v>
      </c>
      <c r="CB396" t="s">
        <v>264</v>
      </c>
      <c r="CC396" t="s">
        <v>264</v>
      </c>
      <c r="CD396" t="s">
        <v>226</v>
      </c>
      <c r="CE396" t="s">
        <v>236</v>
      </c>
      <c r="EA396" t="s">
        <v>236</v>
      </c>
      <c r="EC396" t="s">
        <v>236</v>
      </c>
      <c r="EE396" t="s">
        <v>236</v>
      </c>
      <c r="EG396" t="s">
        <v>236</v>
      </c>
      <c r="EI396" t="s">
        <v>236</v>
      </c>
      <c r="EK396" t="s">
        <v>236</v>
      </c>
      <c r="EM396" t="s">
        <v>236</v>
      </c>
      <c r="EO396" t="s">
        <v>236</v>
      </c>
      <c r="EQ396" t="s">
        <v>236</v>
      </c>
      <c r="ES396" t="s">
        <v>236</v>
      </c>
      <c r="EU396" t="s">
        <v>236</v>
      </c>
      <c r="EW396" t="s">
        <v>236</v>
      </c>
      <c r="EY396" t="s">
        <v>236</v>
      </c>
      <c r="FA396" t="s">
        <v>236</v>
      </c>
      <c r="FC396" t="s">
        <v>236</v>
      </c>
      <c r="FE396" t="s">
        <v>236</v>
      </c>
      <c r="FG396" t="s">
        <v>236</v>
      </c>
      <c r="FJ396" t="s">
        <v>236</v>
      </c>
      <c r="FM396" t="s">
        <v>236</v>
      </c>
      <c r="FW396" t="s">
        <v>236</v>
      </c>
      <c r="FZ396" t="s">
        <v>236</v>
      </c>
      <c r="GC396" t="s">
        <v>236</v>
      </c>
      <c r="GF396" t="s">
        <v>226</v>
      </c>
      <c r="GG396" t="s">
        <v>236</v>
      </c>
      <c r="GI396" t="s">
        <v>236</v>
      </c>
      <c r="GL396" t="s">
        <v>236</v>
      </c>
      <c r="GO396" t="s">
        <v>236</v>
      </c>
      <c r="GR396" t="s">
        <v>236</v>
      </c>
      <c r="GU396" t="s">
        <v>226</v>
      </c>
      <c r="GV396" t="s">
        <v>236</v>
      </c>
      <c r="GX396" t="s">
        <v>226</v>
      </c>
      <c r="GY396" t="s">
        <v>236</v>
      </c>
      <c r="HB396" t="s">
        <v>762</v>
      </c>
      <c r="HC396" t="s">
        <v>763</v>
      </c>
      <c r="HE396">
        <v>83319385</v>
      </c>
      <c r="HF396" t="s">
        <v>764</v>
      </c>
      <c r="HG396" s="2">
        <v>45756.885150462957</v>
      </c>
      <c r="HJ396" t="s">
        <v>248</v>
      </c>
      <c r="HL396" t="s">
        <v>249</v>
      </c>
      <c r="HN396">
        <v>395</v>
      </c>
    </row>
    <row r="397" spans="1:222" x14ac:dyDescent="0.25">
      <c r="A397" s="2">
        <v>45756.676830173608</v>
      </c>
      <c r="B397" s="2">
        <v>45756.679810694448</v>
      </c>
      <c r="C397" t="s">
        <v>270</v>
      </c>
      <c r="D397">
        <v>73</v>
      </c>
      <c r="E397" s="2">
        <v>45731</v>
      </c>
      <c r="F397">
        <v>2</v>
      </c>
      <c r="G397" t="s">
        <v>503</v>
      </c>
      <c r="H397" t="s">
        <v>391</v>
      </c>
      <c r="I397">
        <v>78</v>
      </c>
      <c r="J397" t="str">
        <f t="shared" si="6"/>
        <v>de 56 a más</v>
      </c>
      <c r="K397" t="s">
        <v>224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291</v>
      </c>
      <c r="R397" t="s">
        <v>226</v>
      </c>
      <c r="T397" t="s">
        <v>227</v>
      </c>
      <c r="V397" t="s">
        <v>612</v>
      </c>
      <c r="W397" t="s">
        <v>229</v>
      </c>
      <c r="X397" t="s">
        <v>299</v>
      </c>
      <c r="Z397" t="s">
        <v>254</v>
      </c>
      <c r="AA397" t="s">
        <v>232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I397" t="s">
        <v>233</v>
      </c>
      <c r="AJ397">
        <v>0</v>
      </c>
      <c r="AK397">
        <v>1</v>
      </c>
      <c r="AL397">
        <v>0</v>
      </c>
      <c r="AM397">
        <v>0</v>
      </c>
      <c r="AN397" t="s">
        <v>274</v>
      </c>
      <c r="AO397" t="s">
        <v>294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X397" t="s">
        <v>236</v>
      </c>
      <c r="AZ397" t="s">
        <v>237</v>
      </c>
      <c r="BA397" t="s">
        <v>301</v>
      </c>
      <c r="BE397" t="s">
        <v>259</v>
      </c>
      <c r="BF397" t="s">
        <v>259</v>
      </c>
      <c r="BG397" t="s">
        <v>259</v>
      </c>
      <c r="BH397" t="s">
        <v>259</v>
      </c>
      <c r="BI397" t="s">
        <v>237</v>
      </c>
      <c r="BJ397" t="s">
        <v>259</v>
      </c>
      <c r="BK397" t="s">
        <v>259</v>
      </c>
      <c r="BL397" t="s">
        <v>313</v>
      </c>
      <c r="BM397" t="s">
        <v>733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1</v>
      </c>
      <c r="BY397">
        <v>0</v>
      </c>
      <c r="BZ397">
        <v>0</v>
      </c>
      <c r="CA397" t="s">
        <v>264</v>
      </c>
      <c r="CB397" t="s">
        <v>243</v>
      </c>
      <c r="CC397" t="s">
        <v>243</v>
      </c>
      <c r="CD397" t="s">
        <v>236</v>
      </c>
      <c r="CE397" t="s">
        <v>236</v>
      </c>
      <c r="EA397" t="s">
        <v>236</v>
      </c>
      <c r="EC397" t="s">
        <v>236</v>
      </c>
      <c r="EE397" t="s">
        <v>226</v>
      </c>
      <c r="EF397" t="s">
        <v>244</v>
      </c>
      <c r="EG397" t="s">
        <v>236</v>
      </c>
      <c r="EI397" t="s">
        <v>236</v>
      </c>
      <c r="EK397" t="s">
        <v>236</v>
      </c>
      <c r="EM397" t="s">
        <v>226</v>
      </c>
      <c r="EN397" t="s">
        <v>245</v>
      </c>
      <c r="EO397" t="s">
        <v>226</v>
      </c>
      <c r="EP397" t="s">
        <v>244</v>
      </c>
      <c r="EQ397" t="s">
        <v>236</v>
      </c>
      <c r="ES397" t="s">
        <v>226</v>
      </c>
      <c r="ET397" t="s">
        <v>265</v>
      </c>
      <c r="EU397" t="s">
        <v>236</v>
      </c>
      <c r="EW397" t="s">
        <v>236</v>
      </c>
      <c r="EY397" t="s">
        <v>236</v>
      </c>
      <c r="FA397" t="s">
        <v>236</v>
      </c>
      <c r="FC397" t="s">
        <v>236</v>
      </c>
      <c r="FE397" t="s">
        <v>236</v>
      </c>
      <c r="FG397" t="s">
        <v>236</v>
      </c>
      <c r="FJ397" t="s">
        <v>226</v>
      </c>
      <c r="FK397" t="s">
        <v>244</v>
      </c>
      <c r="FL397" t="s">
        <v>236</v>
      </c>
      <c r="FM397" t="s">
        <v>236</v>
      </c>
      <c r="FW397" t="s">
        <v>236</v>
      </c>
      <c r="FZ397" t="s">
        <v>236</v>
      </c>
      <c r="GC397" t="s">
        <v>236</v>
      </c>
      <c r="GF397" t="s">
        <v>226</v>
      </c>
      <c r="GG397" t="s">
        <v>236</v>
      </c>
      <c r="GI397" t="s">
        <v>236</v>
      </c>
      <c r="GL397" t="s">
        <v>236</v>
      </c>
      <c r="GO397" t="s">
        <v>236</v>
      </c>
      <c r="GR397" t="s">
        <v>226</v>
      </c>
      <c r="GS397" t="s">
        <v>236</v>
      </c>
      <c r="GU397" t="s">
        <v>226</v>
      </c>
      <c r="GV397" t="s">
        <v>236</v>
      </c>
      <c r="GX397" t="s">
        <v>236</v>
      </c>
      <c r="HB397" t="s">
        <v>537</v>
      </c>
      <c r="HC397" t="s">
        <v>303</v>
      </c>
      <c r="HE397">
        <v>83319505</v>
      </c>
      <c r="HF397" t="s">
        <v>765</v>
      </c>
      <c r="HG397" s="2">
        <v>45756.888136574067</v>
      </c>
      <c r="HJ397" t="s">
        <v>248</v>
      </c>
      <c r="HL397" t="s">
        <v>249</v>
      </c>
      <c r="HN397">
        <v>396</v>
      </c>
    </row>
    <row r="398" spans="1:222" x14ac:dyDescent="0.25">
      <c r="A398" s="2">
        <v>45756.679811550923</v>
      </c>
      <c r="B398" s="2">
        <v>45756.682508067133</v>
      </c>
      <c r="C398" t="s">
        <v>270</v>
      </c>
      <c r="D398">
        <v>75</v>
      </c>
      <c r="E398" s="2">
        <v>45731</v>
      </c>
      <c r="F398">
        <v>2</v>
      </c>
      <c r="G398" t="s">
        <v>271</v>
      </c>
      <c r="H398" t="s">
        <v>391</v>
      </c>
      <c r="I398">
        <v>29</v>
      </c>
      <c r="J398" t="str">
        <f t="shared" si="6"/>
        <v>de 26 a 40 años</v>
      </c>
      <c r="K398" t="s">
        <v>224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225</v>
      </c>
      <c r="R398" t="s">
        <v>226</v>
      </c>
      <c r="T398" t="s">
        <v>227</v>
      </c>
      <c r="V398" t="s">
        <v>252</v>
      </c>
      <c r="W398" t="s">
        <v>229</v>
      </c>
      <c r="X398" t="s">
        <v>230</v>
      </c>
      <c r="Z398" t="s">
        <v>254</v>
      </c>
      <c r="AA398" t="s">
        <v>232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I398" t="s">
        <v>256</v>
      </c>
      <c r="AJ398">
        <v>0</v>
      </c>
      <c r="AK398">
        <v>0</v>
      </c>
      <c r="AL398">
        <v>1</v>
      </c>
      <c r="AM398">
        <v>0</v>
      </c>
      <c r="AN398" t="s">
        <v>234</v>
      </c>
      <c r="AO398" t="s">
        <v>294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X398" t="s">
        <v>226</v>
      </c>
      <c r="AY398" t="s">
        <v>226</v>
      </c>
      <c r="AZ398" t="s">
        <v>237</v>
      </c>
      <c r="BA398" t="s">
        <v>708</v>
      </c>
      <c r="BB398" t="s">
        <v>277</v>
      </c>
      <c r="BE398" t="s">
        <v>259</v>
      </c>
      <c r="BF398" t="s">
        <v>259</v>
      </c>
      <c r="BG398" t="s">
        <v>237</v>
      </c>
      <c r="BH398" t="s">
        <v>259</v>
      </c>
      <c r="BI398" t="s">
        <v>259</v>
      </c>
      <c r="BJ398" t="s">
        <v>237</v>
      </c>
      <c r="BK398" t="s">
        <v>259</v>
      </c>
      <c r="BL398" t="s">
        <v>240</v>
      </c>
      <c r="BM398" t="s">
        <v>278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 t="s">
        <v>264</v>
      </c>
      <c r="CB398" t="s">
        <v>264</v>
      </c>
      <c r="CC398" t="s">
        <v>264</v>
      </c>
      <c r="CD398" t="s">
        <v>236</v>
      </c>
      <c r="CE398" t="s">
        <v>236</v>
      </c>
      <c r="EA398" t="s">
        <v>236</v>
      </c>
      <c r="EC398" t="s">
        <v>236</v>
      </c>
      <c r="EE398" t="s">
        <v>226</v>
      </c>
      <c r="EF398" t="s">
        <v>245</v>
      </c>
      <c r="EG398" t="s">
        <v>236</v>
      </c>
      <c r="EI398" t="s">
        <v>236</v>
      </c>
      <c r="EK398" t="s">
        <v>226</v>
      </c>
      <c r="EL398" t="s">
        <v>244</v>
      </c>
      <c r="EM398" t="s">
        <v>226</v>
      </c>
      <c r="EN398" t="s">
        <v>265</v>
      </c>
      <c r="EO398" t="s">
        <v>236</v>
      </c>
      <c r="EQ398" t="s">
        <v>236</v>
      </c>
      <c r="ES398" t="s">
        <v>236</v>
      </c>
      <c r="EU398" t="s">
        <v>236</v>
      </c>
      <c r="EW398" t="s">
        <v>226</v>
      </c>
      <c r="EX398" t="s">
        <v>245</v>
      </c>
      <c r="EY398" t="s">
        <v>226</v>
      </c>
      <c r="EZ398" t="s">
        <v>244</v>
      </c>
      <c r="FA398" t="s">
        <v>236</v>
      </c>
      <c r="FC398" t="s">
        <v>236</v>
      </c>
      <c r="FE398" t="s">
        <v>236</v>
      </c>
      <c r="FG398" t="s">
        <v>236</v>
      </c>
      <c r="FJ398" t="s">
        <v>236</v>
      </c>
      <c r="FM398" t="s">
        <v>236</v>
      </c>
      <c r="FW398" t="s">
        <v>226</v>
      </c>
      <c r="FX398" t="s">
        <v>236</v>
      </c>
      <c r="FZ398" t="s">
        <v>236</v>
      </c>
      <c r="GC398" t="s">
        <v>236</v>
      </c>
      <c r="GF398" t="s">
        <v>226</v>
      </c>
      <c r="GG398" t="s">
        <v>236</v>
      </c>
      <c r="GI398" t="s">
        <v>236</v>
      </c>
      <c r="GL398" t="s">
        <v>236</v>
      </c>
      <c r="GO398" t="s">
        <v>226</v>
      </c>
      <c r="GP398" t="s">
        <v>226</v>
      </c>
      <c r="GQ398" t="s">
        <v>570</v>
      </c>
      <c r="GR398" t="s">
        <v>226</v>
      </c>
      <c r="GS398" t="s">
        <v>226</v>
      </c>
      <c r="GT398" t="s">
        <v>266</v>
      </c>
      <c r="GU398" t="s">
        <v>226</v>
      </c>
      <c r="GV398" t="s">
        <v>236</v>
      </c>
      <c r="GX398" t="s">
        <v>236</v>
      </c>
      <c r="HB398" t="s">
        <v>510</v>
      </c>
      <c r="HC398" t="s">
        <v>338</v>
      </c>
      <c r="HE398">
        <v>83319633</v>
      </c>
      <c r="HF398" t="s">
        <v>770</v>
      </c>
      <c r="HG398" s="2">
        <v>45756.890833333331</v>
      </c>
      <c r="HJ398" t="s">
        <v>248</v>
      </c>
      <c r="HL398" t="s">
        <v>249</v>
      </c>
      <c r="HN398">
        <v>397</v>
      </c>
    </row>
    <row r="399" spans="1:222" x14ac:dyDescent="0.25">
      <c r="A399" s="2">
        <v>45756.682508888887</v>
      </c>
      <c r="B399" s="2">
        <v>45756.686574108797</v>
      </c>
      <c r="C399" t="s">
        <v>270</v>
      </c>
      <c r="D399">
        <v>78</v>
      </c>
      <c r="E399" s="2">
        <v>45731</v>
      </c>
      <c r="F399">
        <v>2</v>
      </c>
      <c r="G399" t="s">
        <v>271</v>
      </c>
      <c r="H399" t="s">
        <v>391</v>
      </c>
      <c r="I399">
        <v>49</v>
      </c>
      <c r="J399" t="str">
        <f t="shared" si="6"/>
        <v>de 41 a 55 años</v>
      </c>
      <c r="K399" t="s">
        <v>251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291</v>
      </c>
      <c r="R399" t="s">
        <v>226</v>
      </c>
      <c r="T399" t="s">
        <v>227</v>
      </c>
      <c r="V399" t="s">
        <v>228</v>
      </c>
      <c r="W399" t="s">
        <v>229</v>
      </c>
      <c r="X399" t="s">
        <v>230</v>
      </c>
      <c r="Z399" t="s">
        <v>254</v>
      </c>
      <c r="AA399" t="s">
        <v>255</v>
      </c>
      <c r="AB399">
        <v>0</v>
      </c>
      <c r="AC399">
        <v>0</v>
      </c>
      <c r="AD399">
        <v>0</v>
      </c>
      <c r="AE399">
        <v>1</v>
      </c>
      <c r="AF399">
        <v>0</v>
      </c>
      <c r="AG399">
        <v>0</v>
      </c>
      <c r="AI399" t="s">
        <v>233</v>
      </c>
      <c r="AJ399">
        <v>0</v>
      </c>
      <c r="AK399">
        <v>1</v>
      </c>
      <c r="AL399">
        <v>0</v>
      </c>
      <c r="AM399">
        <v>0</v>
      </c>
      <c r="AN399" t="s">
        <v>300</v>
      </c>
      <c r="AO399" t="s">
        <v>294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X399" t="s">
        <v>226</v>
      </c>
      <c r="AY399" t="s">
        <v>226</v>
      </c>
      <c r="AZ399" t="s">
        <v>237</v>
      </c>
      <c r="BA399" t="s">
        <v>301</v>
      </c>
      <c r="BB399" t="s">
        <v>777</v>
      </c>
      <c r="BE399" t="s">
        <v>259</v>
      </c>
      <c r="BF399" t="s">
        <v>259</v>
      </c>
      <c r="BG399" t="s">
        <v>259</v>
      </c>
      <c r="BH399" t="s">
        <v>259</v>
      </c>
      <c r="BI399" t="s">
        <v>237</v>
      </c>
      <c r="BJ399" t="s">
        <v>237</v>
      </c>
      <c r="BK399" t="s">
        <v>237</v>
      </c>
      <c r="BL399" t="s">
        <v>262</v>
      </c>
      <c r="BM399" t="s">
        <v>451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 t="s">
        <v>243</v>
      </c>
      <c r="CB399" t="s">
        <v>243</v>
      </c>
      <c r="CC399" t="s">
        <v>243</v>
      </c>
      <c r="CD399" t="s">
        <v>236</v>
      </c>
      <c r="CE399" t="s">
        <v>236</v>
      </c>
      <c r="EA399" t="s">
        <v>236</v>
      </c>
      <c r="EC399" t="s">
        <v>236</v>
      </c>
      <c r="EE399" t="s">
        <v>236</v>
      </c>
      <c r="EG399" t="s">
        <v>236</v>
      </c>
      <c r="EI399" t="s">
        <v>236</v>
      </c>
      <c r="EK399" t="s">
        <v>236</v>
      </c>
      <c r="EM399" t="s">
        <v>236</v>
      </c>
      <c r="EO399" t="s">
        <v>236</v>
      </c>
      <c r="EQ399" t="s">
        <v>236</v>
      </c>
      <c r="ES399" t="s">
        <v>236</v>
      </c>
      <c r="EU399" t="s">
        <v>226</v>
      </c>
      <c r="EV399" t="s">
        <v>244</v>
      </c>
      <c r="EW399" t="s">
        <v>236</v>
      </c>
      <c r="EY399" t="s">
        <v>236</v>
      </c>
      <c r="FA399" t="s">
        <v>236</v>
      </c>
      <c r="FC399" t="s">
        <v>236</v>
      </c>
      <c r="FE399" t="s">
        <v>236</v>
      </c>
      <c r="FG399" t="s">
        <v>236</v>
      </c>
      <c r="FJ399" t="s">
        <v>226</v>
      </c>
      <c r="FK399" t="s">
        <v>245</v>
      </c>
      <c r="FL399" t="s">
        <v>236</v>
      </c>
      <c r="FM399" t="s">
        <v>236</v>
      </c>
      <c r="FW399" t="s">
        <v>226</v>
      </c>
      <c r="FX399" t="s">
        <v>236</v>
      </c>
      <c r="FZ399" t="s">
        <v>236</v>
      </c>
      <c r="GC399" t="s">
        <v>236</v>
      </c>
      <c r="GF399" t="s">
        <v>236</v>
      </c>
      <c r="GI399" t="s">
        <v>226</v>
      </c>
      <c r="GJ399" t="s">
        <v>236</v>
      </c>
      <c r="GL399" t="s">
        <v>226</v>
      </c>
      <c r="GM399" t="s">
        <v>236</v>
      </c>
      <c r="GO399" t="s">
        <v>236</v>
      </c>
      <c r="GR399" t="s">
        <v>226</v>
      </c>
      <c r="GS399" t="s">
        <v>236</v>
      </c>
      <c r="GU399" t="s">
        <v>236</v>
      </c>
      <c r="GX399" t="s">
        <v>226</v>
      </c>
      <c r="GY399" t="s">
        <v>236</v>
      </c>
      <c r="HB399" t="s">
        <v>338</v>
      </c>
      <c r="HC399" t="s">
        <v>303</v>
      </c>
      <c r="HE399">
        <v>83319784</v>
      </c>
      <c r="HF399" t="s">
        <v>778</v>
      </c>
      <c r="HG399" s="2">
        <v>45756.894895833328</v>
      </c>
      <c r="HJ399" t="s">
        <v>248</v>
      </c>
      <c r="HL399" t="s">
        <v>249</v>
      </c>
      <c r="HN399">
        <v>398</v>
      </c>
    </row>
    <row r="400" spans="1:222" x14ac:dyDescent="0.25">
      <c r="A400" s="2">
        <v>45757.290607708332</v>
      </c>
      <c r="B400" s="2">
        <v>45757.295919583332</v>
      </c>
      <c r="C400" t="s">
        <v>270</v>
      </c>
      <c r="D400">
        <v>79</v>
      </c>
      <c r="E400" s="2">
        <v>45731</v>
      </c>
      <c r="F400">
        <v>2</v>
      </c>
      <c r="G400" t="s">
        <v>271</v>
      </c>
      <c r="H400" t="s">
        <v>391</v>
      </c>
      <c r="I400">
        <v>47</v>
      </c>
      <c r="J400" t="str">
        <f t="shared" si="6"/>
        <v>de 41 a 55 años</v>
      </c>
      <c r="K400" t="s">
        <v>251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291</v>
      </c>
      <c r="R400" t="s">
        <v>226</v>
      </c>
      <c r="T400" t="s">
        <v>227</v>
      </c>
      <c r="V400" t="s">
        <v>612</v>
      </c>
      <c r="W400" t="s">
        <v>292</v>
      </c>
      <c r="X400" t="s">
        <v>299</v>
      </c>
      <c r="Z400" t="s">
        <v>254</v>
      </c>
      <c r="AA400" t="s">
        <v>255</v>
      </c>
      <c r="AB400">
        <v>0</v>
      </c>
      <c r="AC400">
        <v>0</v>
      </c>
      <c r="AD400">
        <v>0</v>
      </c>
      <c r="AE400">
        <v>1</v>
      </c>
      <c r="AF400">
        <v>0</v>
      </c>
      <c r="AG400">
        <v>0</v>
      </c>
      <c r="AI400" t="s">
        <v>233</v>
      </c>
      <c r="AJ400">
        <v>0</v>
      </c>
      <c r="AK400">
        <v>1</v>
      </c>
      <c r="AL400">
        <v>0</v>
      </c>
      <c r="AM400">
        <v>0</v>
      </c>
      <c r="AN400" t="s">
        <v>234</v>
      </c>
      <c r="AO400" t="s">
        <v>779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0</v>
      </c>
      <c r="AX400" t="s">
        <v>226</v>
      </c>
      <c r="AY400" t="s">
        <v>226</v>
      </c>
      <c r="AZ400" t="s">
        <v>259</v>
      </c>
      <c r="BA400" t="s">
        <v>780</v>
      </c>
      <c r="BB400" t="s">
        <v>781</v>
      </c>
      <c r="BE400" t="s">
        <v>259</v>
      </c>
      <c r="BF400" t="s">
        <v>259</v>
      </c>
      <c r="BG400" t="s">
        <v>237</v>
      </c>
      <c r="BH400" t="s">
        <v>261</v>
      </c>
      <c r="BI400" t="s">
        <v>259</v>
      </c>
      <c r="BJ400" t="s">
        <v>259</v>
      </c>
      <c r="BK400" t="s">
        <v>237</v>
      </c>
      <c r="BL400" t="s">
        <v>262</v>
      </c>
      <c r="BM400" t="s">
        <v>296</v>
      </c>
      <c r="BN400">
        <v>0</v>
      </c>
      <c r="BO400">
        <v>0</v>
      </c>
      <c r="BP400">
        <v>0</v>
      </c>
      <c r="BQ400">
        <v>0</v>
      </c>
      <c r="BR400">
        <v>1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 t="s">
        <v>264</v>
      </c>
      <c r="CB400" t="s">
        <v>264</v>
      </c>
      <c r="CC400" t="s">
        <v>264</v>
      </c>
      <c r="CD400" t="s">
        <v>236</v>
      </c>
      <c r="CE400" t="s">
        <v>236</v>
      </c>
      <c r="EA400" t="s">
        <v>236</v>
      </c>
      <c r="EC400" t="s">
        <v>236</v>
      </c>
      <c r="EE400" t="s">
        <v>226</v>
      </c>
      <c r="EF400" t="s">
        <v>245</v>
      </c>
      <c r="EG400" t="s">
        <v>236</v>
      </c>
      <c r="EI400" t="s">
        <v>236</v>
      </c>
      <c r="EK400" t="s">
        <v>226</v>
      </c>
      <c r="EL400" t="s">
        <v>244</v>
      </c>
      <c r="EM400" t="s">
        <v>236</v>
      </c>
      <c r="EO400" t="s">
        <v>236</v>
      </c>
      <c r="EQ400" t="s">
        <v>236</v>
      </c>
      <c r="ES400" t="s">
        <v>236</v>
      </c>
      <c r="EU400" t="s">
        <v>236</v>
      </c>
      <c r="EW400" t="s">
        <v>236</v>
      </c>
      <c r="EY400" t="s">
        <v>226</v>
      </c>
      <c r="EZ400" t="s">
        <v>244</v>
      </c>
      <c r="FA400" t="s">
        <v>226</v>
      </c>
      <c r="FB400" t="s">
        <v>244</v>
      </c>
      <c r="FC400" t="s">
        <v>236</v>
      </c>
      <c r="FE400" t="s">
        <v>226</v>
      </c>
      <c r="FF400" t="s">
        <v>244</v>
      </c>
      <c r="FG400" t="s">
        <v>236</v>
      </c>
      <c r="FJ400" t="s">
        <v>226</v>
      </c>
      <c r="FK400" t="s">
        <v>245</v>
      </c>
      <c r="FL400" t="s">
        <v>236</v>
      </c>
      <c r="FM400" t="s">
        <v>236</v>
      </c>
      <c r="FW400" t="s">
        <v>236</v>
      </c>
      <c r="FZ400" t="s">
        <v>236</v>
      </c>
      <c r="GC400" t="s">
        <v>226</v>
      </c>
      <c r="GD400" t="s">
        <v>236</v>
      </c>
      <c r="GF400" t="s">
        <v>226</v>
      </c>
      <c r="GG400" t="s">
        <v>236</v>
      </c>
      <c r="GI400" t="s">
        <v>226</v>
      </c>
      <c r="GJ400" t="s">
        <v>236</v>
      </c>
      <c r="GL400" t="s">
        <v>226</v>
      </c>
      <c r="GM400" t="s">
        <v>236</v>
      </c>
      <c r="GO400" t="s">
        <v>226</v>
      </c>
      <c r="GP400" t="s">
        <v>226</v>
      </c>
      <c r="GQ400" t="s">
        <v>266</v>
      </c>
      <c r="GR400" t="s">
        <v>226</v>
      </c>
      <c r="GS400" t="s">
        <v>236</v>
      </c>
      <c r="GU400" t="s">
        <v>226</v>
      </c>
      <c r="GV400" t="s">
        <v>236</v>
      </c>
      <c r="GX400" t="s">
        <v>236</v>
      </c>
      <c r="HB400" t="s">
        <v>279</v>
      </c>
      <c r="HC400" t="s">
        <v>734</v>
      </c>
      <c r="HE400">
        <v>83398039</v>
      </c>
      <c r="HF400" t="s">
        <v>782</v>
      </c>
      <c r="HG400" s="2">
        <v>45757.504247685189</v>
      </c>
      <c r="HJ400" t="s">
        <v>248</v>
      </c>
      <c r="HL400" t="s">
        <v>249</v>
      </c>
      <c r="HN400">
        <v>399</v>
      </c>
    </row>
    <row r="401" spans="1:222" x14ac:dyDescent="0.25">
      <c r="A401" s="2">
        <v>45757.358766597223</v>
      </c>
      <c r="B401" s="2">
        <v>45757.364745393519</v>
      </c>
      <c r="C401" t="s">
        <v>270</v>
      </c>
      <c r="D401">
        <v>102</v>
      </c>
      <c r="E401" s="2">
        <v>45730</v>
      </c>
      <c r="F401">
        <v>4</v>
      </c>
      <c r="G401" t="s">
        <v>413</v>
      </c>
      <c r="H401" t="s">
        <v>270</v>
      </c>
      <c r="I401">
        <v>25</v>
      </c>
      <c r="J401" t="str">
        <f t="shared" si="6"/>
        <v>de 18 a 25 años</v>
      </c>
      <c r="K401" t="s">
        <v>341</v>
      </c>
      <c r="L401">
        <v>1</v>
      </c>
      <c r="M401">
        <v>0</v>
      </c>
      <c r="N401">
        <v>0</v>
      </c>
      <c r="O401">
        <v>0</v>
      </c>
      <c r="P401">
        <v>0</v>
      </c>
      <c r="Q401" t="s">
        <v>291</v>
      </c>
      <c r="R401" t="s">
        <v>226</v>
      </c>
      <c r="T401" t="s">
        <v>227</v>
      </c>
      <c r="V401" t="s">
        <v>272</v>
      </c>
      <c r="W401" t="s">
        <v>292</v>
      </c>
      <c r="X401" t="s">
        <v>480</v>
      </c>
      <c r="Z401" t="s">
        <v>308</v>
      </c>
      <c r="AA401" t="s">
        <v>255</v>
      </c>
      <c r="AB401">
        <v>0</v>
      </c>
      <c r="AC401">
        <v>0</v>
      </c>
      <c r="AD401">
        <v>0</v>
      </c>
      <c r="AE401">
        <v>1</v>
      </c>
      <c r="AF401">
        <v>0</v>
      </c>
      <c r="AG401">
        <v>0</v>
      </c>
      <c r="AI401" t="s">
        <v>342</v>
      </c>
      <c r="AJ401">
        <v>0</v>
      </c>
      <c r="AK401">
        <v>1</v>
      </c>
      <c r="AL401">
        <v>1</v>
      </c>
      <c r="AM401">
        <v>1</v>
      </c>
      <c r="AN401" t="s">
        <v>300</v>
      </c>
      <c r="AO401" t="s">
        <v>369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 t="s">
        <v>884</v>
      </c>
      <c r="AX401" t="s">
        <v>226</v>
      </c>
      <c r="AY401" t="s">
        <v>226</v>
      </c>
      <c r="AZ401" t="s">
        <v>261</v>
      </c>
      <c r="BA401" t="s">
        <v>885</v>
      </c>
      <c r="BB401" t="s">
        <v>886</v>
      </c>
      <c r="BE401" t="s">
        <v>261</v>
      </c>
      <c r="BF401" t="s">
        <v>261</v>
      </c>
      <c r="BG401" t="s">
        <v>259</v>
      </c>
      <c r="BH401" t="s">
        <v>261</v>
      </c>
      <c r="BI401" t="s">
        <v>259</v>
      </c>
      <c r="BJ401" t="s">
        <v>259</v>
      </c>
      <c r="BK401" t="s">
        <v>261</v>
      </c>
      <c r="BL401" t="s">
        <v>262</v>
      </c>
      <c r="BM401" t="s">
        <v>518</v>
      </c>
      <c r="BN401">
        <v>0</v>
      </c>
      <c r="BO401">
        <v>0</v>
      </c>
      <c r="BP401">
        <v>1</v>
      </c>
      <c r="BQ401">
        <v>0</v>
      </c>
      <c r="BR401">
        <v>1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 t="s">
        <v>264</v>
      </c>
      <c r="CB401" t="s">
        <v>328</v>
      </c>
      <c r="CC401" t="s">
        <v>264</v>
      </c>
      <c r="CD401" t="s">
        <v>226</v>
      </c>
      <c r="CE401" t="s">
        <v>226</v>
      </c>
      <c r="CF401" t="s">
        <v>887</v>
      </c>
      <c r="CG401">
        <v>1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1</v>
      </c>
      <c r="CP401">
        <v>1</v>
      </c>
      <c r="CQ401">
        <v>0</v>
      </c>
      <c r="CS401" t="s">
        <v>226</v>
      </c>
      <c r="DA401" t="s">
        <v>226</v>
      </c>
      <c r="DB401" t="s">
        <v>226</v>
      </c>
      <c r="DD401" t="s">
        <v>316</v>
      </c>
      <c r="DT401" t="s">
        <v>520</v>
      </c>
      <c r="DV401" t="s">
        <v>520</v>
      </c>
      <c r="EA401" t="s">
        <v>226</v>
      </c>
      <c r="EB401" t="s">
        <v>245</v>
      </c>
      <c r="EC401" t="s">
        <v>236</v>
      </c>
      <c r="EE401" t="s">
        <v>226</v>
      </c>
      <c r="EF401" t="s">
        <v>245</v>
      </c>
      <c r="EG401" t="s">
        <v>226</v>
      </c>
      <c r="EH401" t="s">
        <v>245</v>
      </c>
      <c r="EI401" t="s">
        <v>226</v>
      </c>
      <c r="EJ401" t="s">
        <v>245</v>
      </c>
      <c r="EK401" t="s">
        <v>226</v>
      </c>
      <c r="EL401" t="s">
        <v>244</v>
      </c>
      <c r="EM401" t="s">
        <v>226</v>
      </c>
      <c r="EN401" t="s">
        <v>244</v>
      </c>
      <c r="EO401" t="s">
        <v>236</v>
      </c>
      <c r="EQ401" t="s">
        <v>236</v>
      </c>
      <c r="ES401" t="s">
        <v>226</v>
      </c>
      <c r="ET401" t="s">
        <v>244</v>
      </c>
      <c r="EU401" t="s">
        <v>236</v>
      </c>
      <c r="EW401" t="s">
        <v>236</v>
      </c>
      <c r="EY401" t="s">
        <v>226</v>
      </c>
      <c r="EZ401" t="s">
        <v>244</v>
      </c>
      <c r="FA401" t="s">
        <v>226</v>
      </c>
      <c r="FB401" t="s">
        <v>245</v>
      </c>
      <c r="FC401" t="s">
        <v>236</v>
      </c>
      <c r="FE401" t="s">
        <v>226</v>
      </c>
      <c r="FF401" t="s">
        <v>244</v>
      </c>
      <c r="FG401" t="s">
        <v>236</v>
      </c>
      <c r="FJ401" t="s">
        <v>226</v>
      </c>
      <c r="FK401" t="s">
        <v>245</v>
      </c>
      <c r="FL401" t="s">
        <v>226</v>
      </c>
      <c r="FM401" t="s">
        <v>226</v>
      </c>
      <c r="FN401" t="s">
        <v>416</v>
      </c>
      <c r="FO401">
        <v>0</v>
      </c>
      <c r="FP401">
        <v>1</v>
      </c>
      <c r="FQ401">
        <v>0</v>
      </c>
      <c r="FR401">
        <v>0</v>
      </c>
      <c r="FS401">
        <v>0</v>
      </c>
      <c r="FU401" t="s">
        <v>226</v>
      </c>
      <c r="FW401" t="s">
        <v>226</v>
      </c>
      <c r="FX401" t="s">
        <v>236</v>
      </c>
      <c r="FZ401" t="s">
        <v>226</v>
      </c>
      <c r="GA401" t="s">
        <v>226</v>
      </c>
      <c r="GB401" t="s">
        <v>266</v>
      </c>
      <c r="GC401" t="s">
        <v>236</v>
      </c>
      <c r="GF401" t="s">
        <v>226</v>
      </c>
      <c r="GG401" t="s">
        <v>236</v>
      </c>
      <c r="GI401" t="s">
        <v>236</v>
      </c>
      <c r="GL401" t="s">
        <v>236</v>
      </c>
      <c r="GO401" t="s">
        <v>226</v>
      </c>
      <c r="GP401" t="s">
        <v>226</v>
      </c>
      <c r="GQ401" t="s">
        <v>266</v>
      </c>
      <c r="GR401" t="s">
        <v>226</v>
      </c>
      <c r="GS401" t="s">
        <v>236</v>
      </c>
      <c r="GU401" t="s">
        <v>236</v>
      </c>
      <c r="GX401" t="s">
        <v>236</v>
      </c>
      <c r="HB401" t="s">
        <v>888</v>
      </c>
      <c r="HE401">
        <v>83406536</v>
      </c>
      <c r="HF401" t="s">
        <v>889</v>
      </c>
      <c r="HG401" s="2">
        <v>45757.573067129633</v>
      </c>
      <c r="HJ401" t="s">
        <v>248</v>
      </c>
      <c r="HL401" t="s">
        <v>282</v>
      </c>
      <c r="HN401">
        <v>400</v>
      </c>
    </row>
    <row r="402" spans="1:222" x14ac:dyDescent="0.25">
      <c r="A402" s="2">
        <v>45757.364746273153</v>
      </c>
      <c r="B402" s="2">
        <v>45757.368149965281</v>
      </c>
      <c r="C402" t="s">
        <v>270</v>
      </c>
      <c r="D402">
        <v>404</v>
      </c>
      <c r="E402" s="2">
        <v>45731</v>
      </c>
      <c r="F402">
        <v>3</v>
      </c>
      <c r="G402" t="s">
        <v>306</v>
      </c>
      <c r="H402" t="s">
        <v>307</v>
      </c>
      <c r="I402">
        <v>58</v>
      </c>
      <c r="J402" t="str">
        <f t="shared" si="6"/>
        <v>de 56 a más</v>
      </c>
      <c r="K402" t="s">
        <v>251</v>
      </c>
      <c r="L402">
        <v>1</v>
      </c>
      <c r="M402">
        <v>0</v>
      </c>
      <c r="N402">
        <v>0</v>
      </c>
      <c r="O402">
        <v>0</v>
      </c>
      <c r="P402">
        <v>0</v>
      </c>
      <c r="Q402" t="s">
        <v>225</v>
      </c>
      <c r="R402" t="s">
        <v>226</v>
      </c>
      <c r="T402" t="s">
        <v>227</v>
      </c>
      <c r="V402" t="s">
        <v>272</v>
      </c>
      <c r="W402" t="s">
        <v>229</v>
      </c>
      <c r="X402" t="s">
        <v>230</v>
      </c>
      <c r="Z402" t="s">
        <v>398</v>
      </c>
      <c r="AA402" t="s">
        <v>232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I402" t="s">
        <v>233</v>
      </c>
      <c r="AJ402">
        <v>0</v>
      </c>
      <c r="AK402">
        <v>1</v>
      </c>
      <c r="AL402">
        <v>0</v>
      </c>
      <c r="AM402">
        <v>0</v>
      </c>
      <c r="AN402" t="s">
        <v>234</v>
      </c>
      <c r="AO402" t="s">
        <v>1562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X402" t="s">
        <v>226</v>
      </c>
      <c r="AY402" t="s">
        <v>226</v>
      </c>
      <c r="AZ402" t="s">
        <v>237</v>
      </c>
      <c r="BA402" t="s">
        <v>1852</v>
      </c>
      <c r="BE402" t="s">
        <v>259</v>
      </c>
      <c r="BF402" t="s">
        <v>259</v>
      </c>
      <c r="BG402" t="s">
        <v>259</v>
      </c>
      <c r="BH402" t="s">
        <v>237</v>
      </c>
      <c r="BI402" t="s">
        <v>237</v>
      </c>
      <c r="BJ402" t="s">
        <v>237</v>
      </c>
      <c r="BK402" t="s">
        <v>239</v>
      </c>
      <c r="BL402" t="s">
        <v>313</v>
      </c>
      <c r="BM402" t="s">
        <v>365</v>
      </c>
      <c r="BN402">
        <v>0</v>
      </c>
      <c r="BO402">
        <v>1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 t="s">
        <v>264</v>
      </c>
      <c r="CB402" t="s">
        <v>264</v>
      </c>
      <c r="CC402" t="s">
        <v>264</v>
      </c>
      <c r="CD402" t="s">
        <v>236</v>
      </c>
      <c r="CE402" t="s">
        <v>236</v>
      </c>
      <c r="EA402" t="s">
        <v>226</v>
      </c>
      <c r="EB402" t="s">
        <v>244</v>
      </c>
      <c r="EC402" t="s">
        <v>236</v>
      </c>
      <c r="EE402" t="s">
        <v>226</v>
      </c>
      <c r="EF402" t="s">
        <v>244</v>
      </c>
      <c r="EG402" t="s">
        <v>226</v>
      </c>
      <c r="EH402" t="s">
        <v>244</v>
      </c>
      <c r="EI402" t="s">
        <v>308</v>
      </c>
      <c r="EK402" t="s">
        <v>226</v>
      </c>
      <c r="EL402" t="s">
        <v>244</v>
      </c>
      <c r="EM402" t="s">
        <v>226</v>
      </c>
      <c r="EN402" t="s">
        <v>265</v>
      </c>
      <c r="EO402" t="s">
        <v>226</v>
      </c>
      <c r="EP402" t="s">
        <v>244</v>
      </c>
      <c r="EQ402" t="s">
        <v>236</v>
      </c>
      <c r="ES402" t="s">
        <v>226</v>
      </c>
      <c r="ET402" t="s">
        <v>244</v>
      </c>
      <c r="EU402" t="s">
        <v>236</v>
      </c>
      <c r="EW402" t="s">
        <v>226</v>
      </c>
      <c r="EX402" t="s">
        <v>244</v>
      </c>
      <c r="EY402" t="s">
        <v>236</v>
      </c>
      <c r="FA402" t="s">
        <v>226</v>
      </c>
      <c r="FB402" t="s">
        <v>244</v>
      </c>
      <c r="FC402" t="s">
        <v>236</v>
      </c>
      <c r="FE402" t="s">
        <v>236</v>
      </c>
      <c r="FG402" t="s">
        <v>236</v>
      </c>
      <c r="FJ402" t="s">
        <v>226</v>
      </c>
      <c r="FK402" t="s">
        <v>245</v>
      </c>
      <c r="FL402" t="s">
        <v>236</v>
      </c>
      <c r="FM402" t="s">
        <v>236</v>
      </c>
      <c r="FW402" t="s">
        <v>236</v>
      </c>
      <c r="FZ402" t="s">
        <v>226</v>
      </c>
      <c r="GA402" t="s">
        <v>226</v>
      </c>
      <c r="GB402" t="s">
        <v>266</v>
      </c>
      <c r="GC402" t="s">
        <v>236</v>
      </c>
      <c r="GF402" t="s">
        <v>226</v>
      </c>
      <c r="GG402" t="s">
        <v>226</v>
      </c>
      <c r="GH402" t="s">
        <v>266</v>
      </c>
      <c r="GI402" t="s">
        <v>226</v>
      </c>
      <c r="GJ402" t="s">
        <v>236</v>
      </c>
      <c r="GL402" t="s">
        <v>236</v>
      </c>
      <c r="GO402" t="s">
        <v>226</v>
      </c>
      <c r="GP402" t="s">
        <v>236</v>
      </c>
      <c r="GR402" t="s">
        <v>226</v>
      </c>
      <c r="GS402" t="s">
        <v>236</v>
      </c>
      <c r="GU402" t="s">
        <v>226</v>
      </c>
      <c r="GV402" t="s">
        <v>236</v>
      </c>
      <c r="GX402" t="s">
        <v>236</v>
      </c>
      <c r="HB402" t="s">
        <v>338</v>
      </c>
      <c r="HE402">
        <v>83406689</v>
      </c>
      <c r="HF402" t="s">
        <v>1853</v>
      </c>
      <c r="HG402" s="2">
        <v>45757.576469907413</v>
      </c>
      <c r="HJ402" t="s">
        <v>248</v>
      </c>
      <c r="HL402" t="s">
        <v>282</v>
      </c>
      <c r="HN402">
        <v>401</v>
      </c>
    </row>
    <row r="403" spans="1:222" x14ac:dyDescent="0.25">
      <c r="A403" s="2">
        <v>45757.36815091435</v>
      </c>
      <c r="B403" s="2">
        <v>45757.371351377318</v>
      </c>
      <c r="C403" t="s">
        <v>270</v>
      </c>
      <c r="D403">
        <v>418</v>
      </c>
      <c r="E403" s="2">
        <v>45731</v>
      </c>
      <c r="F403">
        <v>3</v>
      </c>
      <c r="G403" t="s">
        <v>223</v>
      </c>
      <c r="H403" t="s">
        <v>307</v>
      </c>
      <c r="I403">
        <v>47</v>
      </c>
      <c r="J403" t="str">
        <f t="shared" si="6"/>
        <v>de 41 a 55 años</v>
      </c>
      <c r="K403" t="s">
        <v>251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291</v>
      </c>
      <c r="R403" t="s">
        <v>226</v>
      </c>
      <c r="T403" t="s">
        <v>227</v>
      </c>
      <c r="V403" t="s">
        <v>228</v>
      </c>
      <c r="W403" t="s">
        <v>229</v>
      </c>
      <c r="X403" t="s">
        <v>480</v>
      </c>
      <c r="Z403" t="s">
        <v>231</v>
      </c>
      <c r="AA403" t="s">
        <v>255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I403" t="s">
        <v>256</v>
      </c>
      <c r="AJ403">
        <v>0</v>
      </c>
      <c r="AK403">
        <v>0</v>
      </c>
      <c r="AL403">
        <v>1</v>
      </c>
      <c r="AM403">
        <v>0</v>
      </c>
      <c r="AN403" t="s">
        <v>257</v>
      </c>
      <c r="AO403" t="s">
        <v>275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X403" t="s">
        <v>226</v>
      </c>
      <c r="AY403" t="s">
        <v>226</v>
      </c>
      <c r="AZ403" t="s">
        <v>237</v>
      </c>
      <c r="BA403" t="s">
        <v>1890</v>
      </c>
      <c r="BE403" t="s">
        <v>237</v>
      </c>
      <c r="BF403" t="s">
        <v>259</v>
      </c>
      <c r="BG403" t="s">
        <v>239</v>
      </c>
      <c r="BH403" t="s">
        <v>237</v>
      </c>
      <c r="BI403" t="s">
        <v>237</v>
      </c>
      <c r="BJ403" t="s">
        <v>259</v>
      </c>
      <c r="BK403" t="s">
        <v>261</v>
      </c>
      <c r="BL403" t="s">
        <v>262</v>
      </c>
      <c r="BM403" t="s">
        <v>372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1</v>
      </c>
      <c r="CA403" t="s">
        <v>328</v>
      </c>
      <c r="CB403" t="s">
        <v>243</v>
      </c>
      <c r="CC403" t="s">
        <v>243</v>
      </c>
      <c r="CD403" t="s">
        <v>236</v>
      </c>
      <c r="CE403" t="s">
        <v>236</v>
      </c>
      <c r="EA403" t="s">
        <v>236</v>
      </c>
      <c r="EC403" t="s">
        <v>236</v>
      </c>
      <c r="EE403" t="s">
        <v>236</v>
      </c>
      <c r="EG403" t="s">
        <v>236</v>
      </c>
      <c r="EI403" t="s">
        <v>236</v>
      </c>
      <c r="EK403" t="s">
        <v>236</v>
      </c>
      <c r="EM403" t="s">
        <v>236</v>
      </c>
      <c r="EO403" t="s">
        <v>236</v>
      </c>
      <c r="EQ403" t="s">
        <v>236</v>
      </c>
      <c r="ES403" t="s">
        <v>236</v>
      </c>
      <c r="EU403" t="s">
        <v>236</v>
      </c>
      <c r="EW403" t="s">
        <v>236</v>
      </c>
      <c r="EY403" t="s">
        <v>236</v>
      </c>
      <c r="FA403" t="s">
        <v>236</v>
      </c>
      <c r="FC403" t="s">
        <v>236</v>
      </c>
      <c r="FE403" t="s">
        <v>226</v>
      </c>
      <c r="FF403" t="s">
        <v>245</v>
      </c>
      <c r="FG403" t="s">
        <v>236</v>
      </c>
      <c r="FJ403" t="s">
        <v>226</v>
      </c>
      <c r="FK403" t="s">
        <v>245</v>
      </c>
      <c r="FL403" t="s">
        <v>236</v>
      </c>
      <c r="FM403" t="s">
        <v>236</v>
      </c>
      <c r="FW403" t="s">
        <v>226</v>
      </c>
      <c r="FX403" t="s">
        <v>236</v>
      </c>
      <c r="FZ403" t="s">
        <v>236</v>
      </c>
      <c r="GC403" t="s">
        <v>236</v>
      </c>
      <c r="GF403" t="s">
        <v>226</v>
      </c>
      <c r="GG403" t="s">
        <v>236</v>
      </c>
      <c r="GI403" t="s">
        <v>236</v>
      </c>
      <c r="GL403" t="s">
        <v>226</v>
      </c>
      <c r="GM403" t="s">
        <v>236</v>
      </c>
      <c r="GO403" t="s">
        <v>226</v>
      </c>
      <c r="GP403" t="s">
        <v>236</v>
      </c>
      <c r="GR403" t="s">
        <v>236</v>
      </c>
      <c r="GU403" t="s">
        <v>236</v>
      </c>
      <c r="GX403" t="s">
        <v>236</v>
      </c>
      <c r="HB403" t="s">
        <v>547</v>
      </c>
      <c r="HC403" t="s">
        <v>604</v>
      </c>
      <c r="HE403">
        <v>83407000</v>
      </c>
      <c r="HF403" t="s">
        <v>1891</v>
      </c>
      <c r="HG403" s="2">
        <v>45757.579675925917</v>
      </c>
      <c r="HJ403" t="s">
        <v>248</v>
      </c>
      <c r="HL403" t="s">
        <v>282</v>
      </c>
      <c r="HN403">
        <v>402</v>
      </c>
    </row>
    <row r="404" spans="1:222" x14ac:dyDescent="0.25">
      <c r="A404" s="2">
        <v>45757.371352233793</v>
      </c>
      <c r="B404" s="2">
        <v>45757.381287002318</v>
      </c>
      <c r="C404" t="s">
        <v>270</v>
      </c>
      <c r="D404">
        <v>434</v>
      </c>
      <c r="E404" s="2">
        <v>45731</v>
      </c>
      <c r="F404">
        <v>3</v>
      </c>
      <c r="G404" t="s">
        <v>380</v>
      </c>
      <c r="H404" t="s">
        <v>307</v>
      </c>
      <c r="I404">
        <v>30</v>
      </c>
      <c r="J404" t="str">
        <f t="shared" si="6"/>
        <v>de 26 a 40 años</v>
      </c>
      <c r="K404" t="s">
        <v>224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291</v>
      </c>
      <c r="R404" t="s">
        <v>226</v>
      </c>
      <c r="T404" t="s">
        <v>227</v>
      </c>
      <c r="V404" t="s">
        <v>252</v>
      </c>
      <c r="W404" t="s">
        <v>229</v>
      </c>
      <c r="X404" t="s">
        <v>230</v>
      </c>
      <c r="Z404" t="s">
        <v>254</v>
      </c>
      <c r="AA404" t="s">
        <v>232</v>
      </c>
      <c r="AB404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I404" t="s">
        <v>233</v>
      </c>
      <c r="AJ404">
        <v>0</v>
      </c>
      <c r="AK404">
        <v>1</v>
      </c>
      <c r="AL404">
        <v>0</v>
      </c>
      <c r="AM404">
        <v>0</v>
      </c>
      <c r="AN404" t="s">
        <v>274</v>
      </c>
      <c r="AO404" t="s">
        <v>235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X404" t="s">
        <v>226</v>
      </c>
      <c r="AY404" t="s">
        <v>226</v>
      </c>
      <c r="AZ404" t="s">
        <v>237</v>
      </c>
      <c r="BA404" t="s">
        <v>1941</v>
      </c>
      <c r="BE404" t="s">
        <v>259</v>
      </c>
      <c r="BF404" t="s">
        <v>259</v>
      </c>
      <c r="BG404" t="s">
        <v>259</v>
      </c>
      <c r="BH404" t="s">
        <v>259</v>
      </c>
      <c r="BI404" t="s">
        <v>237</v>
      </c>
      <c r="BJ404" t="s">
        <v>237</v>
      </c>
      <c r="BK404" t="s">
        <v>261</v>
      </c>
      <c r="BL404" t="s">
        <v>262</v>
      </c>
      <c r="BM404" t="s">
        <v>415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 t="s">
        <v>264</v>
      </c>
      <c r="CB404" t="s">
        <v>328</v>
      </c>
      <c r="CC404" t="s">
        <v>243</v>
      </c>
      <c r="CD404" t="s">
        <v>236</v>
      </c>
      <c r="CE404" t="s">
        <v>236</v>
      </c>
      <c r="EA404" t="s">
        <v>226</v>
      </c>
      <c r="EB404" t="s">
        <v>245</v>
      </c>
      <c r="EC404" t="s">
        <v>226</v>
      </c>
      <c r="ED404" t="s">
        <v>245</v>
      </c>
      <c r="EE404" t="s">
        <v>226</v>
      </c>
      <c r="EF404" t="s">
        <v>245</v>
      </c>
      <c r="EG404" t="s">
        <v>236</v>
      </c>
      <c r="EI404" t="s">
        <v>236</v>
      </c>
      <c r="EK404" t="s">
        <v>236</v>
      </c>
      <c r="EM404" t="s">
        <v>226</v>
      </c>
      <c r="EN404" t="s">
        <v>245</v>
      </c>
      <c r="EO404" t="s">
        <v>236</v>
      </c>
      <c r="EQ404" t="s">
        <v>236</v>
      </c>
      <c r="ES404" t="s">
        <v>236</v>
      </c>
      <c r="EU404" t="s">
        <v>236</v>
      </c>
      <c r="EW404" t="s">
        <v>236</v>
      </c>
      <c r="EY404" t="s">
        <v>236</v>
      </c>
      <c r="FA404" t="s">
        <v>236</v>
      </c>
      <c r="FC404" t="s">
        <v>236</v>
      </c>
      <c r="FE404" t="s">
        <v>236</v>
      </c>
      <c r="FG404" t="s">
        <v>236</v>
      </c>
      <c r="FJ404" t="s">
        <v>226</v>
      </c>
      <c r="FK404" t="s">
        <v>245</v>
      </c>
      <c r="FL404" t="s">
        <v>236</v>
      </c>
      <c r="FM404" t="s">
        <v>236</v>
      </c>
      <c r="FW404" t="s">
        <v>226</v>
      </c>
      <c r="FX404" t="s">
        <v>226</v>
      </c>
      <c r="FY404" t="s">
        <v>266</v>
      </c>
      <c r="FZ404" t="s">
        <v>226</v>
      </c>
      <c r="GA404" t="s">
        <v>226</v>
      </c>
      <c r="GB404" t="s">
        <v>266</v>
      </c>
      <c r="GC404" t="s">
        <v>236</v>
      </c>
      <c r="GF404" t="s">
        <v>226</v>
      </c>
      <c r="GG404" t="s">
        <v>226</v>
      </c>
      <c r="GH404" t="s">
        <v>266</v>
      </c>
      <c r="GI404" t="s">
        <v>236</v>
      </c>
      <c r="GL404" t="s">
        <v>226</v>
      </c>
      <c r="GM404" t="s">
        <v>226</v>
      </c>
      <c r="GN404" t="s">
        <v>267</v>
      </c>
      <c r="GO404" t="s">
        <v>226</v>
      </c>
      <c r="GP404" t="s">
        <v>226</v>
      </c>
      <c r="GQ404" t="s">
        <v>267</v>
      </c>
      <c r="GR404" t="s">
        <v>226</v>
      </c>
      <c r="GS404" t="s">
        <v>226</v>
      </c>
      <c r="GT404" t="s">
        <v>267</v>
      </c>
      <c r="GU404" t="s">
        <v>236</v>
      </c>
      <c r="GX404" t="s">
        <v>236</v>
      </c>
      <c r="HB404" t="s">
        <v>1942</v>
      </c>
      <c r="HE404">
        <v>83407817</v>
      </c>
      <c r="HF404" t="s">
        <v>1943</v>
      </c>
      <c r="HG404" s="2">
        <v>45757.589618055557</v>
      </c>
      <c r="HJ404" t="s">
        <v>248</v>
      </c>
      <c r="HL404" t="s">
        <v>282</v>
      </c>
      <c r="HN404">
        <v>403</v>
      </c>
    </row>
    <row r="405" spans="1:222" x14ac:dyDescent="0.25">
      <c r="A405" s="2">
        <v>45757.381287719909</v>
      </c>
      <c r="B405" s="2">
        <v>45757.383931018521</v>
      </c>
      <c r="C405" t="s">
        <v>270</v>
      </c>
      <c r="D405">
        <v>437</v>
      </c>
      <c r="E405" s="2">
        <v>45738</v>
      </c>
      <c r="F405">
        <v>3</v>
      </c>
      <c r="G405" t="s">
        <v>290</v>
      </c>
      <c r="H405" t="s">
        <v>335</v>
      </c>
      <c r="I405">
        <v>42</v>
      </c>
      <c r="J405" t="str">
        <f t="shared" si="6"/>
        <v>de 41 a 55 años</v>
      </c>
      <c r="K405" t="s">
        <v>224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291</v>
      </c>
      <c r="R405" t="s">
        <v>226</v>
      </c>
      <c r="T405" t="s">
        <v>227</v>
      </c>
      <c r="V405" t="s">
        <v>252</v>
      </c>
      <c r="W405" t="s">
        <v>229</v>
      </c>
      <c r="X405" t="s">
        <v>230</v>
      </c>
      <c r="Z405" t="s">
        <v>231</v>
      </c>
      <c r="AA405" t="s">
        <v>644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I405" t="s">
        <v>233</v>
      </c>
      <c r="AJ405">
        <v>0</v>
      </c>
      <c r="AK405">
        <v>1</v>
      </c>
      <c r="AL405">
        <v>0</v>
      </c>
      <c r="AM405">
        <v>0</v>
      </c>
      <c r="AN405" t="s">
        <v>234</v>
      </c>
      <c r="AO405" t="s">
        <v>633</v>
      </c>
      <c r="AP405">
        <v>0</v>
      </c>
      <c r="AQ405">
        <v>0</v>
      </c>
      <c r="AR405">
        <v>0</v>
      </c>
      <c r="AS405">
        <v>1</v>
      </c>
      <c r="AT405">
        <v>0</v>
      </c>
      <c r="AU405">
        <v>1</v>
      </c>
      <c r="AV405">
        <v>0</v>
      </c>
      <c r="AX405" t="s">
        <v>226</v>
      </c>
      <c r="AY405" t="s">
        <v>226</v>
      </c>
      <c r="AZ405" t="s">
        <v>237</v>
      </c>
      <c r="BA405" t="s">
        <v>1801</v>
      </c>
      <c r="BB405" t="s">
        <v>1945</v>
      </c>
      <c r="BE405" t="s">
        <v>259</v>
      </c>
      <c r="BF405" t="s">
        <v>237</v>
      </c>
      <c r="BG405" t="s">
        <v>259</v>
      </c>
      <c r="BH405" t="s">
        <v>259</v>
      </c>
      <c r="BI405" t="s">
        <v>237</v>
      </c>
      <c r="BJ405" t="s">
        <v>237</v>
      </c>
      <c r="BK405" t="s">
        <v>237</v>
      </c>
      <c r="BL405" t="s">
        <v>262</v>
      </c>
      <c r="BM405" t="s">
        <v>296</v>
      </c>
      <c r="BN405">
        <v>0</v>
      </c>
      <c r="BO405">
        <v>0</v>
      </c>
      <c r="BP405">
        <v>0</v>
      </c>
      <c r="BQ405">
        <v>0</v>
      </c>
      <c r="BR405">
        <v>1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 t="s">
        <v>264</v>
      </c>
      <c r="CB405" t="s">
        <v>264</v>
      </c>
      <c r="CC405" t="s">
        <v>264</v>
      </c>
      <c r="CD405" t="s">
        <v>236</v>
      </c>
      <c r="CE405" t="s">
        <v>236</v>
      </c>
      <c r="EA405" t="s">
        <v>236</v>
      </c>
      <c r="EC405" t="s">
        <v>236</v>
      </c>
      <c r="EE405" t="s">
        <v>236</v>
      </c>
      <c r="EG405" t="s">
        <v>236</v>
      </c>
      <c r="EI405" t="s">
        <v>236</v>
      </c>
      <c r="EK405" t="s">
        <v>236</v>
      </c>
      <c r="EM405" t="s">
        <v>236</v>
      </c>
      <c r="EO405" t="s">
        <v>236</v>
      </c>
      <c r="EQ405" t="s">
        <v>236</v>
      </c>
      <c r="ES405" t="s">
        <v>236</v>
      </c>
      <c r="EU405" t="s">
        <v>236</v>
      </c>
      <c r="EW405" t="s">
        <v>236</v>
      </c>
      <c r="EY405" t="s">
        <v>236</v>
      </c>
      <c r="FA405" t="s">
        <v>236</v>
      </c>
      <c r="FC405" t="s">
        <v>236</v>
      </c>
      <c r="FE405" t="s">
        <v>236</v>
      </c>
      <c r="FG405" t="s">
        <v>236</v>
      </c>
      <c r="FJ405" t="s">
        <v>226</v>
      </c>
      <c r="FK405" t="s">
        <v>245</v>
      </c>
      <c r="FL405" t="s">
        <v>236</v>
      </c>
      <c r="FM405" t="s">
        <v>236</v>
      </c>
      <c r="FW405" t="s">
        <v>236</v>
      </c>
      <c r="FZ405" t="s">
        <v>236</v>
      </c>
      <c r="GC405" t="s">
        <v>236</v>
      </c>
      <c r="GF405" t="s">
        <v>226</v>
      </c>
      <c r="GG405" t="s">
        <v>236</v>
      </c>
      <c r="GI405" t="s">
        <v>236</v>
      </c>
      <c r="GL405" t="s">
        <v>236</v>
      </c>
      <c r="GO405" t="s">
        <v>226</v>
      </c>
      <c r="GP405" t="s">
        <v>236</v>
      </c>
      <c r="GR405" t="s">
        <v>226</v>
      </c>
      <c r="GS405" t="s">
        <v>236</v>
      </c>
      <c r="GU405" t="s">
        <v>236</v>
      </c>
      <c r="GX405" t="s">
        <v>236</v>
      </c>
      <c r="HB405" t="s">
        <v>1946</v>
      </c>
      <c r="HC405" t="s">
        <v>1947</v>
      </c>
      <c r="HE405">
        <v>83408003</v>
      </c>
      <c r="HF405" t="s">
        <v>1948</v>
      </c>
      <c r="HG405" s="2">
        <v>45757.592256944437</v>
      </c>
      <c r="HJ405" t="s">
        <v>248</v>
      </c>
      <c r="HL405" t="s">
        <v>282</v>
      </c>
      <c r="HN405">
        <v>404</v>
      </c>
    </row>
    <row r="406" spans="1:222" x14ac:dyDescent="0.25">
      <c r="A406" s="2">
        <v>45757.383931932869</v>
      </c>
      <c r="B406" s="2">
        <v>45757.388510185177</v>
      </c>
      <c r="C406" t="s">
        <v>270</v>
      </c>
      <c r="D406">
        <v>439</v>
      </c>
      <c r="E406" s="2">
        <v>45738</v>
      </c>
      <c r="F406">
        <v>3</v>
      </c>
      <c r="G406" t="s">
        <v>271</v>
      </c>
      <c r="H406" t="s">
        <v>335</v>
      </c>
      <c r="I406">
        <v>69</v>
      </c>
      <c r="J406" t="str">
        <f t="shared" si="6"/>
        <v>de 56 a más</v>
      </c>
      <c r="K406" t="s">
        <v>341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225</v>
      </c>
      <c r="R406" t="s">
        <v>226</v>
      </c>
      <c r="T406" t="s">
        <v>227</v>
      </c>
      <c r="V406" t="s">
        <v>252</v>
      </c>
      <c r="W406" t="s">
        <v>229</v>
      </c>
      <c r="X406" t="s">
        <v>230</v>
      </c>
      <c r="Z406" t="s">
        <v>231</v>
      </c>
      <c r="AA406" t="s">
        <v>232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I406" t="s">
        <v>233</v>
      </c>
      <c r="AJ406">
        <v>0</v>
      </c>
      <c r="AK406">
        <v>1</v>
      </c>
      <c r="AL406">
        <v>0</v>
      </c>
      <c r="AM406">
        <v>0</v>
      </c>
      <c r="AN406" t="s">
        <v>234</v>
      </c>
      <c r="AO406" t="s">
        <v>294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X406" t="s">
        <v>226</v>
      </c>
      <c r="AY406" t="s">
        <v>226</v>
      </c>
      <c r="AZ406" t="s">
        <v>259</v>
      </c>
      <c r="BA406" t="s">
        <v>430</v>
      </c>
      <c r="BB406" t="s">
        <v>431</v>
      </c>
      <c r="BC406" t="s">
        <v>432</v>
      </c>
      <c r="BE406" t="s">
        <v>259</v>
      </c>
      <c r="BF406" t="s">
        <v>259</v>
      </c>
      <c r="BG406" t="s">
        <v>259</v>
      </c>
      <c r="BH406" t="s">
        <v>259</v>
      </c>
      <c r="BI406" t="s">
        <v>259</v>
      </c>
      <c r="BJ406" t="s">
        <v>259</v>
      </c>
      <c r="BK406" t="s">
        <v>259</v>
      </c>
      <c r="BL406" t="s">
        <v>313</v>
      </c>
      <c r="BM406" t="s">
        <v>433</v>
      </c>
      <c r="BN406">
        <v>0</v>
      </c>
      <c r="BO406">
        <v>0</v>
      </c>
      <c r="BP406">
        <v>1</v>
      </c>
      <c r="BQ406">
        <v>1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 t="s">
        <v>264</v>
      </c>
      <c r="CB406" t="s">
        <v>264</v>
      </c>
      <c r="CC406" t="s">
        <v>264</v>
      </c>
      <c r="CD406" t="s">
        <v>226</v>
      </c>
      <c r="CE406" t="s">
        <v>236</v>
      </c>
      <c r="EA406" t="s">
        <v>236</v>
      </c>
      <c r="EC406" t="s">
        <v>236</v>
      </c>
      <c r="EE406" t="s">
        <v>236</v>
      </c>
      <c r="EG406" t="s">
        <v>236</v>
      </c>
      <c r="EI406" t="s">
        <v>236</v>
      </c>
      <c r="EK406" t="s">
        <v>226</v>
      </c>
      <c r="EL406" t="s">
        <v>244</v>
      </c>
      <c r="EM406" t="s">
        <v>226</v>
      </c>
      <c r="EN406" t="s">
        <v>244</v>
      </c>
      <c r="EO406" t="s">
        <v>226</v>
      </c>
      <c r="EP406" t="s">
        <v>244</v>
      </c>
      <c r="EQ406" t="s">
        <v>226</v>
      </c>
      <c r="ER406" t="s">
        <v>244</v>
      </c>
      <c r="ES406" t="s">
        <v>226</v>
      </c>
      <c r="ET406" t="s">
        <v>244</v>
      </c>
      <c r="EU406" t="s">
        <v>226</v>
      </c>
      <c r="EV406" t="s">
        <v>244</v>
      </c>
      <c r="EW406" t="s">
        <v>236</v>
      </c>
      <c r="EY406" t="s">
        <v>236</v>
      </c>
      <c r="FA406" t="s">
        <v>236</v>
      </c>
      <c r="FC406" t="s">
        <v>236</v>
      </c>
      <c r="FE406" t="s">
        <v>236</v>
      </c>
      <c r="FG406" t="s">
        <v>236</v>
      </c>
      <c r="FJ406" t="s">
        <v>226</v>
      </c>
      <c r="FK406" t="s">
        <v>245</v>
      </c>
      <c r="FL406" t="s">
        <v>236</v>
      </c>
      <c r="FM406" t="s">
        <v>236</v>
      </c>
      <c r="FW406" t="s">
        <v>236</v>
      </c>
      <c r="FZ406" t="s">
        <v>236</v>
      </c>
      <c r="GC406" t="s">
        <v>236</v>
      </c>
      <c r="GF406" t="s">
        <v>226</v>
      </c>
      <c r="GG406" t="s">
        <v>236</v>
      </c>
      <c r="GI406" t="s">
        <v>236</v>
      </c>
      <c r="GL406" t="s">
        <v>226</v>
      </c>
      <c r="GM406" t="s">
        <v>236</v>
      </c>
      <c r="GO406" t="s">
        <v>226</v>
      </c>
      <c r="GP406" t="s">
        <v>226</v>
      </c>
      <c r="GQ406" t="s">
        <v>266</v>
      </c>
      <c r="GR406" t="s">
        <v>226</v>
      </c>
      <c r="GS406" t="s">
        <v>226</v>
      </c>
      <c r="GT406" t="s">
        <v>267</v>
      </c>
      <c r="GU406" t="s">
        <v>226</v>
      </c>
      <c r="GV406" t="s">
        <v>236</v>
      </c>
      <c r="GX406" t="s">
        <v>236</v>
      </c>
      <c r="HB406" t="s">
        <v>323</v>
      </c>
      <c r="HC406" t="s">
        <v>434</v>
      </c>
      <c r="HD406" t="s">
        <v>279</v>
      </c>
      <c r="HE406">
        <v>83408249</v>
      </c>
      <c r="HF406" t="s">
        <v>435</v>
      </c>
      <c r="HG406" s="2">
        <v>45757.596828703703</v>
      </c>
      <c r="HJ406" t="s">
        <v>248</v>
      </c>
      <c r="HL406" t="s">
        <v>282</v>
      </c>
      <c r="HN406">
        <v>405</v>
      </c>
    </row>
    <row r="407" spans="1:222" x14ac:dyDescent="0.25">
      <c r="A407" s="2">
        <v>45757.388510949073</v>
      </c>
      <c r="B407" s="2">
        <v>45757.392446944446</v>
      </c>
      <c r="C407" t="s">
        <v>270</v>
      </c>
      <c r="D407">
        <v>443</v>
      </c>
      <c r="E407" s="2">
        <v>45738</v>
      </c>
      <c r="F407">
        <v>3</v>
      </c>
      <c r="G407" t="s">
        <v>290</v>
      </c>
      <c r="H407" t="s">
        <v>335</v>
      </c>
      <c r="I407">
        <v>64</v>
      </c>
      <c r="J407" t="str">
        <f t="shared" si="6"/>
        <v>de 56 a más</v>
      </c>
      <c r="K407" t="s">
        <v>224</v>
      </c>
      <c r="L407">
        <v>2</v>
      </c>
      <c r="M407">
        <v>0</v>
      </c>
      <c r="N407">
        <v>0</v>
      </c>
      <c r="O407">
        <v>0</v>
      </c>
      <c r="P407">
        <v>0</v>
      </c>
      <c r="Q407" t="s">
        <v>291</v>
      </c>
      <c r="R407" t="s">
        <v>226</v>
      </c>
      <c r="T407" t="s">
        <v>227</v>
      </c>
      <c r="V407" t="s">
        <v>252</v>
      </c>
      <c r="W407" t="s">
        <v>229</v>
      </c>
      <c r="X407" t="s">
        <v>230</v>
      </c>
      <c r="Z407" t="s">
        <v>231</v>
      </c>
      <c r="AA407" t="s">
        <v>232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I407" t="s">
        <v>233</v>
      </c>
      <c r="AJ407">
        <v>0</v>
      </c>
      <c r="AK407">
        <v>1</v>
      </c>
      <c r="AL407">
        <v>0</v>
      </c>
      <c r="AM407">
        <v>0</v>
      </c>
      <c r="AN407" t="s">
        <v>234</v>
      </c>
      <c r="AO407" t="s">
        <v>235</v>
      </c>
      <c r="AP407">
        <v>0</v>
      </c>
      <c r="AQ407">
        <v>0</v>
      </c>
      <c r="AR407">
        <v>0</v>
      </c>
      <c r="AS407">
        <v>1</v>
      </c>
      <c r="AT407">
        <v>0</v>
      </c>
      <c r="AU407">
        <v>0</v>
      </c>
      <c r="AV407">
        <v>0</v>
      </c>
      <c r="AX407" t="s">
        <v>226</v>
      </c>
      <c r="AY407" t="s">
        <v>226</v>
      </c>
      <c r="AZ407" t="s">
        <v>237</v>
      </c>
      <c r="BA407" t="s">
        <v>1592</v>
      </c>
      <c r="BB407" t="s">
        <v>1966</v>
      </c>
      <c r="BC407" t="s">
        <v>1967</v>
      </c>
      <c r="BE407" t="s">
        <v>259</v>
      </c>
      <c r="BF407" t="s">
        <v>259</v>
      </c>
      <c r="BG407" t="s">
        <v>259</v>
      </c>
      <c r="BH407" t="s">
        <v>259</v>
      </c>
      <c r="BI407" t="s">
        <v>259</v>
      </c>
      <c r="BJ407" t="s">
        <v>259</v>
      </c>
      <c r="BK407" t="s">
        <v>259</v>
      </c>
      <c r="BL407" t="s">
        <v>262</v>
      </c>
      <c r="BM407" t="s">
        <v>296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 t="s">
        <v>242</v>
      </c>
      <c r="CB407" t="s">
        <v>264</v>
      </c>
      <c r="CC407" t="s">
        <v>243</v>
      </c>
      <c r="CD407" t="s">
        <v>236</v>
      </c>
      <c r="CE407" t="s">
        <v>236</v>
      </c>
      <c r="EA407" t="s">
        <v>236</v>
      </c>
      <c r="EC407" t="s">
        <v>236</v>
      </c>
      <c r="EE407" t="s">
        <v>226</v>
      </c>
      <c r="EF407" t="s">
        <v>244</v>
      </c>
      <c r="EG407" t="s">
        <v>236</v>
      </c>
      <c r="EI407" t="s">
        <v>236</v>
      </c>
      <c r="EK407" t="s">
        <v>236</v>
      </c>
      <c r="EM407" t="s">
        <v>236</v>
      </c>
      <c r="EO407" t="s">
        <v>226</v>
      </c>
      <c r="EP407" t="s">
        <v>245</v>
      </c>
      <c r="EQ407" t="s">
        <v>236</v>
      </c>
      <c r="ES407" t="s">
        <v>236</v>
      </c>
      <c r="EU407" t="s">
        <v>236</v>
      </c>
      <c r="EW407" t="s">
        <v>236</v>
      </c>
      <c r="EY407" t="s">
        <v>236</v>
      </c>
      <c r="FA407" t="s">
        <v>236</v>
      </c>
      <c r="FC407" t="s">
        <v>236</v>
      </c>
      <c r="FE407" t="s">
        <v>236</v>
      </c>
      <c r="FG407" t="s">
        <v>236</v>
      </c>
      <c r="FJ407" t="s">
        <v>226</v>
      </c>
      <c r="FK407" t="s">
        <v>245</v>
      </c>
      <c r="FL407" t="s">
        <v>226</v>
      </c>
      <c r="FM407" t="s">
        <v>226</v>
      </c>
      <c r="FN407" t="s">
        <v>416</v>
      </c>
      <c r="FU407" t="s">
        <v>226</v>
      </c>
      <c r="FW407" t="s">
        <v>236</v>
      </c>
      <c r="FZ407" t="s">
        <v>236</v>
      </c>
      <c r="GC407" t="s">
        <v>236</v>
      </c>
      <c r="GF407" t="s">
        <v>226</v>
      </c>
      <c r="GG407" t="s">
        <v>226</v>
      </c>
      <c r="GH407" t="s">
        <v>266</v>
      </c>
      <c r="GI407" t="s">
        <v>236</v>
      </c>
      <c r="GL407" t="s">
        <v>236</v>
      </c>
      <c r="GO407" t="s">
        <v>226</v>
      </c>
      <c r="GP407" t="s">
        <v>236</v>
      </c>
      <c r="GR407" t="s">
        <v>226</v>
      </c>
      <c r="GS407" t="s">
        <v>236</v>
      </c>
      <c r="GU407" t="s">
        <v>236</v>
      </c>
      <c r="GX407" t="s">
        <v>236</v>
      </c>
      <c r="HB407" t="s">
        <v>1968</v>
      </c>
      <c r="HC407" t="s">
        <v>1969</v>
      </c>
      <c r="HE407">
        <v>83408743</v>
      </c>
      <c r="HF407" t="s">
        <v>1970</v>
      </c>
      <c r="HG407" s="2">
        <v>45757.600775462961</v>
      </c>
      <c r="HJ407" t="s">
        <v>248</v>
      </c>
      <c r="HL407" t="s">
        <v>282</v>
      </c>
      <c r="HN407">
        <v>406</v>
      </c>
    </row>
    <row r="408" spans="1:222" x14ac:dyDescent="0.25">
      <c r="A408" s="2">
        <v>45757.392447696759</v>
      </c>
      <c r="B408" s="2">
        <v>45757.396139293982</v>
      </c>
      <c r="C408" t="s">
        <v>270</v>
      </c>
      <c r="D408">
        <v>446</v>
      </c>
      <c r="E408" s="2">
        <v>45738</v>
      </c>
      <c r="F408">
        <v>1</v>
      </c>
      <c r="G408" t="s">
        <v>436</v>
      </c>
      <c r="H408" t="s">
        <v>270</v>
      </c>
      <c r="I408">
        <v>69</v>
      </c>
      <c r="J408" t="str">
        <f t="shared" si="6"/>
        <v>de 56 a más</v>
      </c>
      <c r="K408" t="s">
        <v>224</v>
      </c>
      <c r="L408">
        <v>1</v>
      </c>
      <c r="M408">
        <v>0</v>
      </c>
      <c r="N408">
        <v>0</v>
      </c>
      <c r="O408">
        <v>0</v>
      </c>
      <c r="P408">
        <v>0</v>
      </c>
      <c r="Q408" t="s">
        <v>291</v>
      </c>
      <c r="R408" t="s">
        <v>226</v>
      </c>
      <c r="T408" t="s">
        <v>227</v>
      </c>
      <c r="V408" t="s">
        <v>228</v>
      </c>
      <c r="W408" t="s">
        <v>229</v>
      </c>
      <c r="X408" t="s">
        <v>368</v>
      </c>
      <c r="Z408" t="s">
        <v>308</v>
      </c>
      <c r="AA408" t="s">
        <v>232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I408" t="s">
        <v>233</v>
      </c>
      <c r="AJ408">
        <v>0</v>
      </c>
      <c r="AK408">
        <v>1</v>
      </c>
      <c r="AL408">
        <v>0</v>
      </c>
      <c r="AM408">
        <v>0</v>
      </c>
      <c r="AN408" t="s">
        <v>300</v>
      </c>
      <c r="AO408" t="s">
        <v>369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 t="s">
        <v>551</v>
      </c>
      <c r="AX408" t="s">
        <v>226</v>
      </c>
      <c r="AY408" t="s">
        <v>226</v>
      </c>
      <c r="AZ408" t="s">
        <v>237</v>
      </c>
      <c r="BA408" t="s">
        <v>1592</v>
      </c>
      <c r="BB408" t="s">
        <v>672</v>
      </c>
      <c r="BE408" t="s">
        <v>259</v>
      </c>
      <c r="BF408" t="s">
        <v>259</v>
      </c>
      <c r="BG408" t="s">
        <v>259</v>
      </c>
      <c r="BH408" t="s">
        <v>239</v>
      </c>
      <c r="BI408" t="s">
        <v>237</v>
      </c>
      <c r="BJ408" t="s">
        <v>237</v>
      </c>
      <c r="BK408" t="s">
        <v>239</v>
      </c>
      <c r="BL408" t="s">
        <v>262</v>
      </c>
      <c r="BM408" t="s">
        <v>1976</v>
      </c>
      <c r="BN408">
        <v>0</v>
      </c>
      <c r="BO408">
        <v>1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1</v>
      </c>
      <c r="BX408">
        <v>0</v>
      </c>
      <c r="BY408">
        <v>0</v>
      </c>
      <c r="BZ408">
        <v>0</v>
      </c>
      <c r="CA408" t="s">
        <v>243</v>
      </c>
      <c r="CB408" t="s">
        <v>328</v>
      </c>
      <c r="CC408" t="s">
        <v>243</v>
      </c>
      <c r="CD408" t="s">
        <v>236</v>
      </c>
      <c r="CE408" t="s">
        <v>236</v>
      </c>
      <c r="EA408" t="s">
        <v>236</v>
      </c>
      <c r="EC408" t="s">
        <v>236</v>
      </c>
      <c r="EE408" t="s">
        <v>226</v>
      </c>
      <c r="EF408" t="s">
        <v>245</v>
      </c>
      <c r="EG408" t="s">
        <v>226</v>
      </c>
      <c r="EH408" t="s">
        <v>245</v>
      </c>
      <c r="EI408" t="s">
        <v>308</v>
      </c>
      <c r="EK408" t="s">
        <v>236</v>
      </c>
      <c r="EM408" t="s">
        <v>226</v>
      </c>
      <c r="EN408" t="s">
        <v>245</v>
      </c>
      <c r="EO408" t="s">
        <v>236</v>
      </c>
      <c r="EQ408" t="s">
        <v>236</v>
      </c>
      <c r="ES408" t="s">
        <v>236</v>
      </c>
      <c r="EU408" t="s">
        <v>236</v>
      </c>
      <c r="EW408" t="s">
        <v>226</v>
      </c>
      <c r="EX408" t="s">
        <v>245</v>
      </c>
      <c r="EY408" t="s">
        <v>236</v>
      </c>
      <c r="FA408" t="s">
        <v>236</v>
      </c>
      <c r="FC408" t="s">
        <v>236</v>
      </c>
      <c r="FE408" t="s">
        <v>236</v>
      </c>
      <c r="FG408" t="s">
        <v>236</v>
      </c>
      <c r="FJ408" t="s">
        <v>226</v>
      </c>
      <c r="FK408" t="s">
        <v>265</v>
      </c>
      <c r="FL408" t="s">
        <v>226</v>
      </c>
      <c r="FM408" t="s">
        <v>236</v>
      </c>
      <c r="FW408" t="s">
        <v>226</v>
      </c>
      <c r="FX408" t="s">
        <v>236</v>
      </c>
      <c r="FZ408" t="s">
        <v>236</v>
      </c>
      <c r="GC408" t="s">
        <v>236</v>
      </c>
      <c r="GF408" t="s">
        <v>226</v>
      </c>
      <c r="GG408" t="s">
        <v>226</v>
      </c>
      <c r="GH408" t="s">
        <v>266</v>
      </c>
      <c r="GI408" t="s">
        <v>236</v>
      </c>
      <c r="GL408" t="s">
        <v>236</v>
      </c>
      <c r="GO408" t="s">
        <v>236</v>
      </c>
      <c r="GR408" t="s">
        <v>236</v>
      </c>
      <c r="GU408" t="s">
        <v>236</v>
      </c>
      <c r="GX408" t="s">
        <v>236</v>
      </c>
      <c r="HB408" t="s">
        <v>1977</v>
      </c>
      <c r="HC408" t="s">
        <v>1978</v>
      </c>
      <c r="HE408">
        <v>83409211</v>
      </c>
      <c r="HF408" t="s">
        <v>1979</v>
      </c>
      <c r="HG408" s="2">
        <v>45757.604467592602</v>
      </c>
      <c r="HJ408" t="s">
        <v>248</v>
      </c>
      <c r="HL408" t="s">
        <v>282</v>
      </c>
      <c r="HN408">
        <v>407</v>
      </c>
    </row>
    <row r="409" spans="1:222" x14ac:dyDescent="0.25">
      <c r="A409" s="2">
        <v>45757.396140277779</v>
      </c>
      <c r="B409" s="2">
        <v>45757.401606435182</v>
      </c>
      <c r="C409" t="s">
        <v>270</v>
      </c>
      <c r="D409">
        <v>447</v>
      </c>
      <c r="E409" s="2">
        <v>45738</v>
      </c>
      <c r="F409">
        <v>1</v>
      </c>
      <c r="G409" t="s">
        <v>436</v>
      </c>
      <c r="H409" t="s">
        <v>270</v>
      </c>
      <c r="I409">
        <v>69</v>
      </c>
      <c r="J409" t="str">
        <f t="shared" si="6"/>
        <v>de 56 a más</v>
      </c>
      <c r="K409" t="s">
        <v>341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225</v>
      </c>
      <c r="R409" t="s">
        <v>226</v>
      </c>
      <c r="T409" t="s">
        <v>227</v>
      </c>
      <c r="V409" t="s">
        <v>272</v>
      </c>
      <c r="W409" t="s">
        <v>229</v>
      </c>
      <c r="X409" t="s">
        <v>368</v>
      </c>
      <c r="Z409" t="s">
        <v>308</v>
      </c>
      <c r="AA409" t="s">
        <v>232</v>
      </c>
      <c r="AB409">
        <v>1</v>
      </c>
      <c r="AC409">
        <v>0</v>
      </c>
      <c r="AD409">
        <v>0</v>
      </c>
      <c r="AE409">
        <v>0</v>
      </c>
      <c r="AF409">
        <v>0</v>
      </c>
      <c r="AG409">
        <v>0</v>
      </c>
      <c r="AI409" t="s">
        <v>233</v>
      </c>
      <c r="AJ409">
        <v>0</v>
      </c>
      <c r="AK409">
        <v>1</v>
      </c>
      <c r="AL409">
        <v>0</v>
      </c>
      <c r="AM409">
        <v>0</v>
      </c>
      <c r="AN409" t="s">
        <v>257</v>
      </c>
      <c r="AO409" t="s">
        <v>369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 t="s">
        <v>551</v>
      </c>
      <c r="AX409" t="s">
        <v>236</v>
      </c>
      <c r="AZ409" t="s">
        <v>259</v>
      </c>
      <c r="BA409" t="s">
        <v>1980</v>
      </c>
      <c r="BB409" t="s">
        <v>1981</v>
      </c>
      <c r="BC409" t="s">
        <v>1982</v>
      </c>
      <c r="BE409" t="s">
        <v>259</v>
      </c>
      <c r="BF409" t="s">
        <v>237</v>
      </c>
      <c r="BG409" t="s">
        <v>259</v>
      </c>
      <c r="BH409" t="s">
        <v>259</v>
      </c>
      <c r="BI409" t="s">
        <v>239</v>
      </c>
      <c r="BJ409" t="s">
        <v>259</v>
      </c>
      <c r="BK409" t="s">
        <v>239</v>
      </c>
      <c r="BL409" t="s">
        <v>262</v>
      </c>
      <c r="BM409" t="s">
        <v>415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 t="s">
        <v>243</v>
      </c>
      <c r="CB409" t="s">
        <v>243</v>
      </c>
      <c r="CC409" t="s">
        <v>328</v>
      </c>
      <c r="CD409" t="s">
        <v>236</v>
      </c>
      <c r="CE409" t="s">
        <v>236</v>
      </c>
      <c r="EA409" t="s">
        <v>236</v>
      </c>
      <c r="EC409" t="s">
        <v>236</v>
      </c>
      <c r="EE409" t="s">
        <v>236</v>
      </c>
      <c r="EG409" t="s">
        <v>226</v>
      </c>
      <c r="EH409" t="s">
        <v>245</v>
      </c>
      <c r="EI409" t="s">
        <v>236</v>
      </c>
      <c r="EK409" t="s">
        <v>236</v>
      </c>
      <c r="EM409" t="s">
        <v>226</v>
      </c>
      <c r="EN409" t="s">
        <v>245</v>
      </c>
      <c r="EO409" t="s">
        <v>236</v>
      </c>
      <c r="EQ409" t="s">
        <v>236</v>
      </c>
      <c r="ES409" t="s">
        <v>226</v>
      </c>
      <c r="ET409" t="s">
        <v>245</v>
      </c>
      <c r="EU409" t="s">
        <v>226</v>
      </c>
      <c r="EV409" t="s">
        <v>245</v>
      </c>
      <c r="EW409" t="s">
        <v>236</v>
      </c>
      <c r="EY409" t="s">
        <v>236</v>
      </c>
      <c r="FA409" t="s">
        <v>236</v>
      </c>
      <c r="FC409" t="s">
        <v>236</v>
      </c>
      <c r="FE409" t="s">
        <v>236</v>
      </c>
      <c r="FG409" t="s">
        <v>236</v>
      </c>
      <c r="FJ409" t="s">
        <v>226</v>
      </c>
      <c r="FK409" t="s">
        <v>245</v>
      </c>
      <c r="FL409" t="s">
        <v>236</v>
      </c>
      <c r="FM409" t="s">
        <v>236</v>
      </c>
      <c r="FW409" t="s">
        <v>236</v>
      </c>
      <c r="FZ409" t="s">
        <v>236</v>
      </c>
      <c r="GC409" t="s">
        <v>226</v>
      </c>
      <c r="GD409" t="s">
        <v>226</v>
      </c>
      <c r="GE409" t="s">
        <v>570</v>
      </c>
      <c r="GF409" t="s">
        <v>226</v>
      </c>
      <c r="GG409" t="s">
        <v>226</v>
      </c>
      <c r="GH409" t="s">
        <v>266</v>
      </c>
      <c r="GI409" t="s">
        <v>236</v>
      </c>
      <c r="GL409" t="s">
        <v>236</v>
      </c>
      <c r="GO409" t="s">
        <v>226</v>
      </c>
      <c r="GP409" t="s">
        <v>226</v>
      </c>
      <c r="GQ409" t="s">
        <v>267</v>
      </c>
      <c r="GR409" t="s">
        <v>226</v>
      </c>
      <c r="GS409" t="s">
        <v>226</v>
      </c>
      <c r="GT409" t="s">
        <v>570</v>
      </c>
      <c r="GU409" t="s">
        <v>226</v>
      </c>
      <c r="GV409" t="s">
        <v>236</v>
      </c>
      <c r="GX409" t="s">
        <v>236</v>
      </c>
      <c r="HB409" t="s">
        <v>1983</v>
      </c>
      <c r="HC409" t="s">
        <v>1984</v>
      </c>
      <c r="HD409" t="s">
        <v>1985</v>
      </c>
      <c r="HE409">
        <v>83409801</v>
      </c>
      <c r="HF409" t="s">
        <v>1986</v>
      </c>
      <c r="HG409" s="2">
        <v>45757.609930555547</v>
      </c>
      <c r="HJ409" t="s">
        <v>248</v>
      </c>
      <c r="HL409" t="s">
        <v>282</v>
      </c>
      <c r="HN409">
        <v>408</v>
      </c>
    </row>
    <row r="410" spans="1:222" x14ac:dyDescent="0.25">
      <c r="A410" s="2">
        <v>45757.401607476851</v>
      </c>
      <c r="B410" s="2">
        <v>45757.409169502323</v>
      </c>
      <c r="C410" t="s">
        <v>270</v>
      </c>
      <c r="D410">
        <v>278</v>
      </c>
      <c r="E410" s="2">
        <v>45730</v>
      </c>
      <c r="F410">
        <v>1</v>
      </c>
      <c r="G410" t="s">
        <v>507</v>
      </c>
      <c r="H410" t="s">
        <v>375</v>
      </c>
      <c r="I410">
        <v>36</v>
      </c>
      <c r="J410" t="str">
        <f t="shared" si="6"/>
        <v>de 26 a 40 años</v>
      </c>
      <c r="K410" t="s">
        <v>341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225</v>
      </c>
      <c r="R410" t="s">
        <v>226</v>
      </c>
      <c r="T410" t="s">
        <v>227</v>
      </c>
      <c r="V410" t="s">
        <v>252</v>
      </c>
      <c r="W410" t="s">
        <v>229</v>
      </c>
      <c r="X410" t="s">
        <v>350</v>
      </c>
      <c r="Z410" t="s">
        <v>231</v>
      </c>
      <c r="AA410" t="s">
        <v>616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 t="s">
        <v>1076</v>
      </c>
      <c r="AI410" t="s">
        <v>311</v>
      </c>
      <c r="AJ410">
        <v>0</v>
      </c>
      <c r="AK410">
        <v>1</v>
      </c>
      <c r="AL410">
        <v>1</v>
      </c>
      <c r="AM410">
        <v>0</v>
      </c>
      <c r="AN410" t="s">
        <v>274</v>
      </c>
      <c r="AO410" t="s">
        <v>606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1</v>
      </c>
      <c r="AV410">
        <v>0</v>
      </c>
      <c r="AX410" t="s">
        <v>236</v>
      </c>
      <c r="AZ410" t="s">
        <v>259</v>
      </c>
      <c r="BA410" t="s">
        <v>1454</v>
      </c>
      <c r="BB410" t="s">
        <v>1455</v>
      </c>
      <c r="BC410" t="s">
        <v>312</v>
      </c>
      <c r="BE410" t="s">
        <v>261</v>
      </c>
      <c r="BF410" t="s">
        <v>237</v>
      </c>
      <c r="BG410" t="s">
        <v>261</v>
      </c>
      <c r="BH410" t="s">
        <v>237</v>
      </c>
      <c r="BI410" t="s">
        <v>237</v>
      </c>
      <c r="BJ410" t="s">
        <v>259</v>
      </c>
      <c r="BK410" t="s">
        <v>259</v>
      </c>
      <c r="BL410" t="s">
        <v>313</v>
      </c>
      <c r="BM410" t="s">
        <v>415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 t="s">
        <v>242</v>
      </c>
      <c r="CB410" t="s">
        <v>264</v>
      </c>
      <c r="CC410" t="s">
        <v>264</v>
      </c>
      <c r="CD410" t="s">
        <v>236</v>
      </c>
      <c r="CE410" t="s">
        <v>236</v>
      </c>
      <c r="EA410" t="s">
        <v>236</v>
      </c>
      <c r="EC410" t="s">
        <v>226</v>
      </c>
      <c r="ED410" t="s">
        <v>265</v>
      </c>
      <c r="EE410" t="s">
        <v>226</v>
      </c>
      <c r="EF410" t="s">
        <v>265</v>
      </c>
      <c r="EG410" t="s">
        <v>226</v>
      </c>
      <c r="EH410" t="s">
        <v>265</v>
      </c>
      <c r="EI410" t="s">
        <v>236</v>
      </c>
      <c r="EK410" t="s">
        <v>226</v>
      </c>
      <c r="EL410" t="s">
        <v>245</v>
      </c>
      <c r="EM410" t="s">
        <v>226</v>
      </c>
      <c r="EN410" t="s">
        <v>265</v>
      </c>
      <c r="EO410" t="s">
        <v>226</v>
      </c>
      <c r="EP410" t="s">
        <v>265</v>
      </c>
      <c r="EQ410" t="s">
        <v>236</v>
      </c>
      <c r="ES410" t="s">
        <v>226</v>
      </c>
      <c r="ET410" t="s">
        <v>265</v>
      </c>
      <c r="EU410" t="s">
        <v>308</v>
      </c>
      <c r="EW410" t="s">
        <v>226</v>
      </c>
      <c r="EX410" t="s">
        <v>245</v>
      </c>
      <c r="EY410" t="s">
        <v>226</v>
      </c>
      <c r="EZ410" t="s">
        <v>265</v>
      </c>
      <c r="FA410" t="s">
        <v>226</v>
      </c>
      <c r="FB410" t="s">
        <v>265</v>
      </c>
      <c r="FC410" t="s">
        <v>226</v>
      </c>
      <c r="FD410" t="s">
        <v>244</v>
      </c>
      <c r="FE410" t="s">
        <v>226</v>
      </c>
      <c r="FF410" t="s">
        <v>245</v>
      </c>
      <c r="FG410" t="s">
        <v>236</v>
      </c>
      <c r="FJ410" t="s">
        <v>226</v>
      </c>
      <c r="FK410" t="s">
        <v>245</v>
      </c>
      <c r="FL410" t="s">
        <v>236</v>
      </c>
      <c r="FM410" t="s">
        <v>226</v>
      </c>
      <c r="FN410" t="s">
        <v>416</v>
      </c>
      <c r="FO410">
        <v>0</v>
      </c>
      <c r="FP410">
        <v>1</v>
      </c>
      <c r="FQ410">
        <v>0</v>
      </c>
      <c r="FR410">
        <v>0</v>
      </c>
      <c r="FS410">
        <v>0</v>
      </c>
      <c r="FU410" t="s">
        <v>226</v>
      </c>
      <c r="FW410" t="s">
        <v>226</v>
      </c>
      <c r="FX410" t="s">
        <v>236</v>
      </c>
      <c r="FZ410" t="s">
        <v>236</v>
      </c>
      <c r="GC410" t="s">
        <v>236</v>
      </c>
      <c r="GF410" t="s">
        <v>226</v>
      </c>
      <c r="GG410" t="s">
        <v>236</v>
      </c>
      <c r="GI410" t="s">
        <v>226</v>
      </c>
      <c r="GJ410" t="s">
        <v>236</v>
      </c>
      <c r="GL410" t="s">
        <v>236</v>
      </c>
      <c r="GO410" t="s">
        <v>226</v>
      </c>
      <c r="GP410" t="s">
        <v>226</v>
      </c>
      <c r="GQ410" t="s">
        <v>267</v>
      </c>
      <c r="GR410" t="s">
        <v>226</v>
      </c>
      <c r="GS410" t="s">
        <v>236</v>
      </c>
      <c r="GU410" t="s">
        <v>226</v>
      </c>
      <c r="GV410" t="s">
        <v>236</v>
      </c>
      <c r="GX410" t="s">
        <v>236</v>
      </c>
      <c r="HB410" t="s">
        <v>279</v>
      </c>
      <c r="HC410" t="s">
        <v>1456</v>
      </c>
      <c r="HD410" t="s">
        <v>1457</v>
      </c>
      <c r="HE410">
        <v>83410365</v>
      </c>
      <c r="HF410" t="s">
        <v>1458</v>
      </c>
      <c r="HG410" s="2">
        <v>45757.6175</v>
      </c>
      <c r="HJ410" t="s">
        <v>248</v>
      </c>
      <c r="HL410" t="s">
        <v>282</v>
      </c>
      <c r="HN410">
        <v>409</v>
      </c>
    </row>
    <row r="411" spans="1:222" x14ac:dyDescent="0.25">
      <c r="A411" s="2">
        <v>45757.406728020833</v>
      </c>
      <c r="B411" s="2">
        <v>45757.411402488433</v>
      </c>
      <c r="C411" t="s">
        <v>305</v>
      </c>
      <c r="D411">
        <v>479</v>
      </c>
      <c r="E411" s="2">
        <v>45732</v>
      </c>
      <c r="F411">
        <v>4</v>
      </c>
      <c r="G411" t="s">
        <v>1268</v>
      </c>
      <c r="H411" t="s">
        <v>270</v>
      </c>
      <c r="I411">
        <v>65</v>
      </c>
      <c r="J411" t="str">
        <f t="shared" si="6"/>
        <v>de 56 a más</v>
      </c>
      <c r="K411" t="s">
        <v>341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291</v>
      </c>
      <c r="R411" t="s">
        <v>226</v>
      </c>
      <c r="T411" t="s">
        <v>227</v>
      </c>
      <c r="V411" t="s">
        <v>228</v>
      </c>
      <c r="W411" t="s">
        <v>229</v>
      </c>
      <c r="X411" t="s">
        <v>368</v>
      </c>
      <c r="Z411" t="s">
        <v>231</v>
      </c>
      <c r="AA411" t="s">
        <v>293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0</v>
      </c>
      <c r="AI411" t="s">
        <v>233</v>
      </c>
      <c r="AJ411">
        <v>0</v>
      </c>
      <c r="AK411">
        <v>1</v>
      </c>
      <c r="AL411">
        <v>0</v>
      </c>
      <c r="AM411">
        <v>0</v>
      </c>
      <c r="AN411" t="s">
        <v>300</v>
      </c>
      <c r="AO411" t="s">
        <v>275</v>
      </c>
      <c r="AX411" t="s">
        <v>236</v>
      </c>
      <c r="AZ411" t="s">
        <v>237</v>
      </c>
      <c r="BA411" t="s">
        <v>2085</v>
      </c>
      <c r="BB411" t="s">
        <v>2086</v>
      </c>
      <c r="BE411" t="s">
        <v>237</v>
      </c>
      <c r="BF411" t="s">
        <v>237</v>
      </c>
      <c r="BG411" t="s">
        <v>237</v>
      </c>
      <c r="BH411" t="s">
        <v>259</v>
      </c>
      <c r="BI411" t="s">
        <v>259</v>
      </c>
      <c r="BJ411" t="s">
        <v>259</v>
      </c>
      <c r="BK411" t="s">
        <v>261</v>
      </c>
      <c r="BL411" t="s">
        <v>313</v>
      </c>
      <c r="BM411" t="s">
        <v>365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 t="s">
        <v>264</v>
      </c>
      <c r="CB411" t="s">
        <v>264</v>
      </c>
      <c r="CC411" t="s">
        <v>243</v>
      </c>
      <c r="CD411" t="s">
        <v>236</v>
      </c>
      <c r="CE411" t="s">
        <v>236</v>
      </c>
      <c r="EA411" t="s">
        <v>236</v>
      </c>
      <c r="EC411" t="s">
        <v>236</v>
      </c>
      <c r="EE411" t="s">
        <v>226</v>
      </c>
      <c r="EF411" t="s">
        <v>265</v>
      </c>
      <c r="EG411" t="s">
        <v>226</v>
      </c>
      <c r="EH411" t="s">
        <v>245</v>
      </c>
      <c r="EI411" t="s">
        <v>236</v>
      </c>
      <c r="EK411" t="s">
        <v>236</v>
      </c>
      <c r="EM411" t="s">
        <v>236</v>
      </c>
      <c r="EO411" t="s">
        <v>236</v>
      </c>
      <c r="EQ411" t="s">
        <v>236</v>
      </c>
      <c r="ES411" t="s">
        <v>236</v>
      </c>
      <c r="EU411" t="s">
        <v>236</v>
      </c>
      <c r="EW411" t="s">
        <v>236</v>
      </c>
      <c r="EY411" t="s">
        <v>226</v>
      </c>
      <c r="EZ411" t="s">
        <v>265</v>
      </c>
      <c r="FA411" t="s">
        <v>236</v>
      </c>
      <c r="FC411" t="s">
        <v>236</v>
      </c>
      <c r="FE411" t="s">
        <v>236</v>
      </c>
      <c r="FG411" t="s">
        <v>236</v>
      </c>
      <c r="FJ411" t="s">
        <v>226</v>
      </c>
      <c r="FK411" t="s">
        <v>265</v>
      </c>
      <c r="FL411" t="s">
        <v>236</v>
      </c>
      <c r="FM411" t="s">
        <v>236</v>
      </c>
      <c r="FW411" t="s">
        <v>236</v>
      </c>
      <c r="FZ411" t="s">
        <v>236</v>
      </c>
      <c r="GC411" t="s">
        <v>236</v>
      </c>
      <c r="GF411" t="s">
        <v>236</v>
      </c>
      <c r="GI411" t="s">
        <v>236</v>
      </c>
      <c r="GL411" t="s">
        <v>236</v>
      </c>
      <c r="GO411" t="s">
        <v>236</v>
      </c>
      <c r="GR411" t="s">
        <v>236</v>
      </c>
      <c r="GU411" t="s">
        <v>236</v>
      </c>
      <c r="GX411" t="s">
        <v>236</v>
      </c>
      <c r="HB411" t="s">
        <v>2087</v>
      </c>
      <c r="HC411" t="s">
        <v>510</v>
      </c>
      <c r="HE411">
        <v>83410585</v>
      </c>
      <c r="HF411" t="s">
        <v>2088</v>
      </c>
      <c r="HG411" s="2">
        <v>45757.619652777779</v>
      </c>
      <c r="HJ411" t="s">
        <v>248</v>
      </c>
      <c r="HL411" t="s">
        <v>282</v>
      </c>
      <c r="HN411">
        <v>410</v>
      </c>
    </row>
    <row r="412" spans="1:222" x14ac:dyDescent="0.25">
      <c r="A412" s="2">
        <v>45757.409170567131</v>
      </c>
      <c r="B412" s="2">
        <v>45757.427731539348</v>
      </c>
      <c r="C412" t="s">
        <v>270</v>
      </c>
      <c r="D412">
        <v>244</v>
      </c>
      <c r="E412" s="2">
        <v>45730</v>
      </c>
      <c r="F412">
        <v>5</v>
      </c>
      <c r="G412" t="s">
        <v>1361</v>
      </c>
      <c r="H412" t="s">
        <v>223</v>
      </c>
      <c r="I412">
        <v>29</v>
      </c>
      <c r="J412" t="str">
        <f t="shared" si="6"/>
        <v>de 26 a 40 años</v>
      </c>
      <c r="K412" t="s">
        <v>224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291</v>
      </c>
      <c r="R412" t="s">
        <v>226</v>
      </c>
      <c r="T412" t="s">
        <v>227</v>
      </c>
      <c r="V412" t="s">
        <v>252</v>
      </c>
      <c r="W412" t="s">
        <v>229</v>
      </c>
      <c r="X412" t="s">
        <v>230</v>
      </c>
      <c r="Z412" t="s">
        <v>231</v>
      </c>
      <c r="AA412" t="s">
        <v>255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I412" t="s">
        <v>233</v>
      </c>
      <c r="AJ412">
        <v>0</v>
      </c>
      <c r="AK412">
        <v>1</v>
      </c>
      <c r="AL412">
        <v>0</v>
      </c>
      <c r="AM412">
        <v>0</v>
      </c>
      <c r="AN412" t="s">
        <v>257</v>
      </c>
      <c r="AO412" t="s">
        <v>382</v>
      </c>
      <c r="AP412">
        <v>0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X412" t="s">
        <v>236</v>
      </c>
      <c r="AZ412" t="s">
        <v>237</v>
      </c>
      <c r="BA412" t="s">
        <v>1362</v>
      </c>
      <c r="BE412" t="s">
        <v>259</v>
      </c>
      <c r="BF412" t="s">
        <v>259</v>
      </c>
      <c r="BG412" t="s">
        <v>259</v>
      </c>
      <c r="BH412" t="s">
        <v>237</v>
      </c>
      <c r="BI412" t="s">
        <v>237</v>
      </c>
      <c r="BJ412" t="s">
        <v>237</v>
      </c>
      <c r="BK412" t="s">
        <v>259</v>
      </c>
      <c r="BL412" t="s">
        <v>262</v>
      </c>
      <c r="BM412" t="s">
        <v>733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1</v>
      </c>
      <c r="BY412">
        <v>0</v>
      </c>
      <c r="BZ412">
        <v>0</v>
      </c>
      <c r="CA412" t="s">
        <v>264</v>
      </c>
      <c r="CB412" t="s">
        <v>243</v>
      </c>
      <c r="CC412" t="s">
        <v>243</v>
      </c>
      <c r="CD412" t="s">
        <v>226</v>
      </c>
      <c r="CE412" t="s">
        <v>236</v>
      </c>
      <c r="EA412" t="s">
        <v>226</v>
      </c>
      <c r="EB412" t="s">
        <v>244</v>
      </c>
      <c r="EC412" t="s">
        <v>236</v>
      </c>
      <c r="EE412" t="s">
        <v>236</v>
      </c>
      <c r="EG412" t="s">
        <v>236</v>
      </c>
      <c r="EI412" t="s">
        <v>236</v>
      </c>
      <c r="EK412" t="s">
        <v>236</v>
      </c>
      <c r="EM412" t="s">
        <v>226</v>
      </c>
      <c r="EN412" t="s">
        <v>244</v>
      </c>
      <c r="EO412" t="s">
        <v>236</v>
      </c>
      <c r="EQ412" t="s">
        <v>236</v>
      </c>
      <c r="ES412" t="s">
        <v>236</v>
      </c>
      <c r="EU412" t="s">
        <v>236</v>
      </c>
      <c r="EW412" t="s">
        <v>236</v>
      </c>
      <c r="EY412" t="s">
        <v>236</v>
      </c>
      <c r="FA412" t="s">
        <v>226</v>
      </c>
      <c r="FB412" t="s">
        <v>244</v>
      </c>
      <c r="FC412" t="s">
        <v>236</v>
      </c>
      <c r="FE412" t="s">
        <v>236</v>
      </c>
      <c r="FG412" t="s">
        <v>236</v>
      </c>
      <c r="FJ412" t="s">
        <v>226</v>
      </c>
      <c r="FK412" t="s">
        <v>265</v>
      </c>
      <c r="FL412" t="s">
        <v>236</v>
      </c>
      <c r="FM412" t="s">
        <v>236</v>
      </c>
      <c r="FW412" t="s">
        <v>226</v>
      </c>
      <c r="FX412" t="s">
        <v>236</v>
      </c>
      <c r="FZ412" t="s">
        <v>226</v>
      </c>
      <c r="GA412" t="s">
        <v>236</v>
      </c>
      <c r="GC412" t="s">
        <v>236</v>
      </c>
      <c r="GF412" t="s">
        <v>226</v>
      </c>
      <c r="GG412" t="s">
        <v>236</v>
      </c>
      <c r="GI412" t="s">
        <v>236</v>
      </c>
      <c r="GL412" t="s">
        <v>226</v>
      </c>
      <c r="GM412" t="s">
        <v>236</v>
      </c>
      <c r="GO412" t="s">
        <v>226</v>
      </c>
      <c r="GP412" t="s">
        <v>236</v>
      </c>
      <c r="GR412" t="s">
        <v>226</v>
      </c>
      <c r="GS412" t="s">
        <v>236</v>
      </c>
      <c r="GU412" t="s">
        <v>236</v>
      </c>
      <c r="GX412" t="s">
        <v>236</v>
      </c>
      <c r="HB412" t="s">
        <v>1363</v>
      </c>
      <c r="HE412">
        <v>83412697</v>
      </c>
      <c r="HF412" t="s">
        <v>1364</v>
      </c>
      <c r="HG412" s="2">
        <v>45757.636053240742</v>
      </c>
      <c r="HJ412" t="s">
        <v>248</v>
      </c>
      <c r="HL412" t="s">
        <v>282</v>
      </c>
      <c r="HN412">
        <v>414</v>
      </c>
    </row>
    <row r="413" spans="1:222" x14ac:dyDescent="0.25">
      <c r="A413" s="2">
        <v>45757.411403136583</v>
      </c>
      <c r="B413" s="2">
        <v>45757.414086886572</v>
      </c>
      <c r="C413" t="s">
        <v>305</v>
      </c>
      <c r="D413">
        <v>43</v>
      </c>
      <c r="E413" s="2">
        <v>45732</v>
      </c>
      <c r="F413">
        <v>5</v>
      </c>
      <c r="G413" t="s">
        <v>271</v>
      </c>
      <c r="H413" t="s">
        <v>223</v>
      </c>
      <c r="I413">
        <v>26</v>
      </c>
      <c r="J413" t="str">
        <f t="shared" si="6"/>
        <v>de 26 a 40 años</v>
      </c>
      <c r="K413" t="s">
        <v>341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291</v>
      </c>
      <c r="R413" t="s">
        <v>226</v>
      </c>
      <c r="T413" t="s">
        <v>227</v>
      </c>
      <c r="V413" t="s">
        <v>228</v>
      </c>
      <c r="W413" t="s">
        <v>229</v>
      </c>
      <c r="X413" t="s">
        <v>230</v>
      </c>
      <c r="Z413" t="s">
        <v>398</v>
      </c>
      <c r="AA413" t="s">
        <v>232</v>
      </c>
      <c r="AB413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I413" t="s">
        <v>233</v>
      </c>
      <c r="AJ413">
        <v>0</v>
      </c>
      <c r="AK413">
        <v>1</v>
      </c>
      <c r="AL413">
        <v>0</v>
      </c>
      <c r="AM413">
        <v>0</v>
      </c>
      <c r="AN413" t="s">
        <v>257</v>
      </c>
      <c r="AO413" t="s">
        <v>275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X413" t="s">
        <v>236</v>
      </c>
      <c r="AZ413" t="s">
        <v>237</v>
      </c>
      <c r="BA413" t="s">
        <v>681</v>
      </c>
      <c r="BB413" t="s">
        <v>682</v>
      </c>
      <c r="BE413" t="s">
        <v>362</v>
      </c>
      <c r="BF413" t="s">
        <v>237</v>
      </c>
      <c r="BG413" t="s">
        <v>259</v>
      </c>
      <c r="BH413" t="s">
        <v>259</v>
      </c>
      <c r="BI413" t="s">
        <v>237</v>
      </c>
      <c r="BJ413" t="s">
        <v>259</v>
      </c>
      <c r="BK413" t="s">
        <v>261</v>
      </c>
      <c r="BL413" t="s">
        <v>262</v>
      </c>
      <c r="BM413" t="s">
        <v>683</v>
      </c>
      <c r="BN413">
        <v>0</v>
      </c>
      <c r="BO413">
        <v>1</v>
      </c>
      <c r="BP413">
        <v>1</v>
      </c>
      <c r="BQ413">
        <v>0</v>
      </c>
      <c r="BR413">
        <v>1</v>
      </c>
      <c r="BS413">
        <v>1</v>
      </c>
      <c r="BT413">
        <v>0</v>
      </c>
      <c r="BU413">
        <v>0</v>
      </c>
      <c r="BV413">
        <v>1</v>
      </c>
      <c r="BW413">
        <v>1</v>
      </c>
      <c r="BX413">
        <v>0</v>
      </c>
      <c r="BY413">
        <v>1</v>
      </c>
      <c r="BZ413">
        <v>0</v>
      </c>
      <c r="CA413" t="s">
        <v>264</v>
      </c>
      <c r="CB413" t="s">
        <v>243</v>
      </c>
      <c r="CC413" t="s">
        <v>243</v>
      </c>
      <c r="CD413" t="s">
        <v>236</v>
      </c>
      <c r="CE413" t="s">
        <v>236</v>
      </c>
      <c r="EA413" t="s">
        <v>236</v>
      </c>
      <c r="EC413" t="s">
        <v>236</v>
      </c>
      <c r="EE413" t="s">
        <v>226</v>
      </c>
      <c r="EF413" t="s">
        <v>245</v>
      </c>
      <c r="EG413" t="s">
        <v>236</v>
      </c>
      <c r="EI413" t="s">
        <v>226</v>
      </c>
      <c r="EJ413" t="s">
        <v>245</v>
      </c>
      <c r="EK413" t="s">
        <v>236</v>
      </c>
      <c r="EM413" t="s">
        <v>236</v>
      </c>
      <c r="EO413" t="s">
        <v>236</v>
      </c>
      <c r="EQ413" t="s">
        <v>236</v>
      </c>
      <c r="ES413" t="s">
        <v>226</v>
      </c>
      <c r="ET413" t="s">
        <v>265</v>
      </c>
      <c r="EU413" t="s">
        <v>226</v>
      </c>
      <c r="EV413" t="s">
        <v>265</v>
      </c>
      <c r="EW413" t="s">
        <v>226</v>
      </c>
      <c r="EX413" t="s">
        <v>245</v>
      </c>
      <c r="EY413" t="s">
        <v>236</v>
      </c>
      <c r="FA413" t="s">
        <v>226</v>
      </c>
      <c r="FB413" t="s">
        <v>245</v>
      </c>
      <c r="FC413" t="s">
        <v>236</v>
      </c>
      <c r="FE413" t="s">
        <v>226</v>
      </c>
      <c r="FF413" t="s">
        <v>245</v>
      </c>
      <c r="FG413" t="s">
        <v>236</v>
      </c>
      <c r="FJ413" t="s">
        <v>226</v>
      </c>
      <c r="FK413" t="s">
        <v>244</v>
      </c>
      <c r="FL413" t="s">
        <v>236</v>
      </c>
      <c r="FM413" t="s">
        <v>226</v>
      </c>
      <c r="FN413" t="s">
        <v>416</v>
      </c>
      <c r="FO413">
        <v>0</v>
      </c>
      <c r="FP413">
        <v>1</v>
      </c>
      <c r="FQ413">
        <v>0</v>
      </c>
      <c r="FR413">
        <v>0</v>
      </c>
      <c r="FS413">
        <v>0</v>
      </c>
      <c r="FU413" t="s">
        <v>226</v>
      </c>
      <c r="FW413" t="s">
        <v>226</v>
      </c>
      <c r="FX413" t="s">
        <v>226</v>
      </c>
      <c r="FY413" t="s">
        <v>266</v>
      </c>
      <c r="FZ413" t="s">
        <v>226</v>
      </c>
      <c r="GA413" t="s">
        <v>226</v>
      </c>
      <c r="GB413" t="s">
        <v>266</v>
      </c>
      <c r="GC413" t="s">
        <v>236</v>
      </c>
      <c r="GF413" t="s">
        <v>226</v>
      </c>
      <c r="GG413" t="s">
        <v>226</v>
      </c>
      <c r="GH413" t="s">
        <v>266</v>
      </c>
      <c r="GI413" t="s">
        <v>236</v>
      </c>
      <c r="GL413" t="s">
        <v>236</v>
      </c>
      <c r="GO413" t="s">
        <v>226</v>
      </c>
      <c r="GP413" t="s">
        <v>226</v>
      </c>
      <c r="GQ413" t="s">
        <v>266</v>
      </c>
      <c r="GR413" t="s">
        <v>226</v>
      </c>
      <c r="GS413" t="s">
        <v>226</v>
      </c>
      <c r="GT413" t="s">
        <v>266</v>
      </c>
      <c r="GU413" t="s">
        <v>236</v>
      </c>
      <c r="GX413" t="s">
        <v>236</v>
      </c>
      <c r="HB413" t="s">
        <v>510</v>
      </c>
      <c r="HC413" t="s">
        <v>338</v>
      </c>
      <c r="HD413" t="s">
        <v>684</v>
      </c>
      <c r="HE413">
        <v>83410917</v>
      </c>
      <c r="HF413" t="s">
        <v>685</v>
      </c>
      <c r="HG413" s="2">
        <v>45757.622337962966</v>
      </c>
      <c r="HJ413" t="s">
        <v>248</v>
      </c>
      <c r="HL413" t="s">
        <v>282</v>
      </c>
      <c r="HN413">
        <v>411</v>
      </c>
    </row>
    <row r="414" spans="1:222" x14ac:dyDescent="0.25">
      <c r="A414" s="2">
        <v>45757.414087442128</v>
      </c>
      <c r="B414" s="2">
        <v>45757.420167372693</v>
      </c>
      <c r="C414" t="s">
        <v>305</v>
      </c>
      <c r="D414">
        <v>452</v>
      </c>
      <c r="E414" s="2">
        <v>45738</v>
      </c>
      <c r="F414">
        <v>4</v>
      </c>
      <c r="G414" t="s">
        <v>2001</v>
      </c>
      <c r="H414" t="s">
        <v>270</v>
      </c>
      <c r="I414">
        <v>41</v>
      </c>
      <c r="J414" t="str">
        <f t="shared" si="6"/>
        <v>de 41 a 55 años</v>
      </c>
      <c r="K414" t="s">
        <v>224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225</v>
      </c>
      <c r="R414" t="s">
        <v>226</v>
      </c>
      <c r="T414" t="s">
        <v>227</v>
      </c>
      <c r="V414" t="s">
        <v>612</v>
      </c>
      <c r="W414" t="s">
        <v>229</v>
      </c>
      <c r="X414" t="s">
        <v>230</v>
      </c>
      <c r="Z414" t="s">
        <v>308</v>
      </c>
      <c r="AA414" t="s">
        <v>232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I414" t="s">
        <v>233</v>
      </c>
      <c r="AJ414">
        <v>0</v>
      </c>
      <c r="AK414">
        <v>1</v>
      </c>
      <c r="AL414">
        <v>0</v>
      </c>
      <c r="AM414">
        <v>0</v>
      </c>
      <c r="AN414" t="s">
        <v>234</v>
      </c>
      <c r="AO414" t="s">
        <v>294</v>
      </c>
      <c r="AP414">
        <v>1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X414" t="s">
        <v>226</v>
      </c>
      <c r="AY414" t="s">
        <v>226</v>
      </c>
      <c r="AZ414" t="s">
        <v>362</v>
      </c>
      <c r="BA414" t="s">
        <v>2002</v>
      </c>
      <c r="BE414" t="s">
        <v>259</v>
      </c>
      <c r="BF414" t="s">
        <v>259</v>
      </c>
      <c r="BG414" t="s">
        <v>259</v>
      </c>
      <c r="BH414" t="s">
        <v>237</v>
      </c>
      <c r="BI414" t="s">
        <v>259</v>
      </c>
      <c r="BJ414" t="s">
        <v>362</v>
      </c>
      <c r="BK414" t="s">
        <v>261</v>
      </c>
      <c r="BL414" t="s">
        <v>313</v>
      </c>
      <c r="BM414" t="s">
        <v>1478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 t="s">
        <v>264</v>
      </c>
      <c r="CB414" t="s">
        <v>242</v>
      </c>
      <c r="CC414" t="s">
        <v>243</v>
      </c>
      <c r="CD414" t="s">
        <v>226</v>
      </c>
      <c r="CE414" t="s">
        <v>236</v>
      </c>
      <c r="EA414" t="s">
        <v>226</v>
      </c>
      <c r="EB414" t="s">
        <v>265</v>
      </c>
      <c r="EC414" t="s">
        <v>226</v>
      </c>
      <c r="ED414" t="s">
        <v>265</v>
      </c>
      <c r="EE414" t="s">
        <v>226</v>
      </c>
      <c r="EF414" t="s">
        <v>265</v>
      </c>
      <c r="EG414" t="s">
        <v>236</v>
      </c>
      <c r="EI414" t="s">
        <v>226</v>
      </c>
      <c r="EJ414" t="s">
        <v>265</v>
      </c>
      <c r="EK414" t="s">
        <v>236</v>
      </c>
      <c r="EM414" t="s">
        <v>226</v>
      </c>
      <c r="EN414" t="s">
        <v>244</v>
      </c>
      <c r="EO414" t="s">
        <v>226</v>
      </c>
      <c r="EP414" t="s">
        <v>265</v>
      </c>
      <c r="EQ414" t="s">
        <v>226</v>
      </c>
      <c r="ER414" t="s">
        <v>265</v>
      </c>
      <c r="ES414" t="s">
        <v>226</v>
      </c>
      <c r="ET414" t="s">
        <v>265</v>
      </c>
      <c r="EU414" t="s">
        <v>226</v>
      </c>
      <c r="EV414" t="s">
        <v>265</v>
      </c>
      <c r="EW414" t="s">
        <v>226</v>
      </c>
      <c r="EX414" t="s">
        <v>265</v>
      </c>
      <c r="EY414" t="s">
        <v>236</v>
      </c>
      <c r="FA414" t="s">
        <v>226</v>
      </c>
      <c r="FB414" t="s">
        <v>245</v>
      </c>
      <c r="FC414" t="s">
        <v>226</v>
      </c>
      <c r="FD414" t="s">
        <v>244</v>
      </c>
      <c r="FE414" t="s">
        <v>308</v>
      </c>
      <c r="FG414" t="s">
        <v>236</v>
      </c>
      <c r="FJ414" t="s">
        <v>226</v>
      </c>
      <c r="FK414" t="s">
        <v>265</v>
      </c>
      <c r="FL414" t="s">
        <v>226</v>
      </c>
      <c r="FM414" t="s">
        <v>226</v>
      </c>
      <c r="FN414" t="s">
        <v>967</v>
      </c>
      <c r="FO414">
        <v>1</v>
      </c>
      <c r="FP414">
        <v>0</v>
      </c>
      <c r="FQ414">
        <v>0</v>
      </c>
      <c r="FR414">
        <v>0</v>
      </c>
      <c r="FS414">
        <v>0</v>
      </c>
      <c r="FU414" t="s">
        <v>236</v>
      </c>
      <c r="FW414" t="s">
        <v>226</v>
      </c>
      <c r="FX414" t="s">
        <v>226</v>
      </c>
      <c r="FY414" t="s">
        <v>267</v>
      </c>
      <c r="FZ414" t="s">
        <v>226</v>
      </c>
      <c r="GA414" t="s">
        <v>226</v>
      </c>
      <c r="GB414" t="s">
        <v>267</v>
      </c>
      <c r="GC414" t="s">
        <v>226</v>
      </c>
      <c r="GD414" t="s">
        <v>226</v>
      </c>
      <c r="GE414" t="s">
        <v>267</v>
      </c>
      <c r="GF414" t="s">
        <v>226</v>
      </c>
      <c r="GG414" t="s">
        <v>226</v>
      </c>
      <c r="GH414" t="s">
        <v>267</v>
      </c>
      <c r="GI414" t="s">
        <v>226</v>
      </c>
      <c r="GJ414" t="s">
        <v>226</v>
      </c>
      <c r="GK414" t="s">
        <v>267</v>
      </c>
      <c r="GL414" t="s">
        <v>226</v>
      </c>
      <c r="GM414" t="s">
        <v>236</v>
      </c>
      <c r="GO414" t="s">
        <v>226</v>
      </c>
      <c r="GP414" t="s">
        <v>236</v>
      </c>
      <c r="GR414" t="s">
        <v>226</v>
      </c>
      <c r="GS414" t="s">
        <v>226</v>
      </c>
      <c r="GT414" t="s">
        <v>266</v>
      </c>
      <c r="GU414" t="s">
        <v>226</v>
      </c>
      <c r="GV414" t="s">
        <v>226</v>
      </c>
      <c r="GW414" t="s">
        <v>266</v>
      </c>
      <c r="GX414" t="s">
        <v>226</v>
      </c>
      <c r="GY414" t="s">
        <v>226</v>
      </c>
      <c r="GZ414" t="s">
        <v>266</v>
      </c>
      <c r="HB414" t="s">
        <v>280</v>
      </c>
      <c r="HC414" t="s">
        <v>323</v>
      </c>
      <c r="HE414">
        <v>83411902</v>
      </c>
      <c r="HF414" t="s">
        <v>2003</v>
      </c>
      <c r="HG414" s="2">
        <v>45757.628425925926</v>
      </c>
      <c r="HJ414" t="s">
        <v>248</v>
      </c>
      <c r="HL414" t="s">
        <v>282</v>
      </c>
      <c r="HN414">
        <v>412</v>
      </c>
    </row>
    <row r="415" spans="1:222" x14ac:dyDescent="0.25">
      <c r="A415" s="2">
        <v>45757.420167847216</v>
      </c>
      <c r="B415" s="2">
        <v>45757.425421261571</v>
      </c>
      <c r="C415" t="s">
        <v>305</v>
      </c>
      <c r="D415">
        <v>469</v>
      </c>
      <c r="E415" s="2">
        <v>45732</v>
      </c>
      <c r="F415">
        <v>4</v>
      </c>
      <c r="G415" t="s">
        <v>436</v>
      </c>
      <c r="H415" t="s">
        <v>270</v>
      </c>
      <c r="I415">
        <v>45</v>
      </c>
      <c r="J415" t="str">
        <f t="shared" si="6"/>
        <v>de 41 a 55 años</v>
      </c>
      <c r="K415" t="s">
        <v>251</v>
      </c>
      <c r="L415">
        <v>1</v>
      </c>
      <c r="M415">
        <v>0</v>
      </c>
      <c r="N415">
        <v>0</v>
      </c>
      <c r="O415">
        <v>0</v>
      </c>
      <c r="P415">
        <v>0</v>
      </c>
      <c r="Q415" t="s">
        <v>291</v>
      </c>
      <c r="R415" t="s">
        <v>226</v>
      </c>
      <c r="T415" t="s">
        <v>227</v>
      </c>
      <c r="V415" t="s">
        <v>252</v>
      </c>
      <c r="W415" t="s">
        <v>229</v>
      </c>
      <c r="X415" t="s">
        <v>230</v>
      </c>
      <c r="Z415" t="s">
        <v>308</v>
      </c>
      <c r="AA415" t="s">
        <v>293</v>
      </c>
      <c r="AB415">
        <v>0</v>
      </c>
      <c r="AC415">
        <v>0</v>
      </c>
      <c r="AD415">
        <v>0</v>
      </c>
      <c r="AE415">
        <v>0</v>
      </c>
      <c r="AF415">
        <v>1</v>
      </c>
      <c r="AG415">
        <v>0</v>
      </c>
      <c r="AI415" t="s">
        <v>233</v>
      </c>
      <c r="AJ415">
        <v>0</v>
      </c>
      <c r="AK415">
        <v>1</v>
      </c>
      <c r="AL415">
        <v>0</v>
      </c>
      <c r="AM415">
        <v>0</v>
      </c>
      <c r="AN415" t="s">
        <v>300</v>
      </c>
      <c r="AO415" t="s">
        <v>550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1</v>
      </c>
      <c r="AW415" t="s">
        <v>551</v>
      </c>
      <c r="AX415" t="s">
        <v>226</v>
      </c>
      <c r="AY415" t="s">
        <v>226</v>
      </c>
      <c r="AZ415" t="s">
        <v>259</v>
      </c>
      <c r="BA415" t="s">
        <v>552</v>
      </c>
      <c r="BE415" t="s">
        <v>259</v>
      </c>
      <c r="BF415" t="s">
        <v>259</v>
      </c>
      <c r="BG415" t="s">
        <v>237</v>
      </c>
      <c r="BH415" t="s">
        <v>239</v>
      </c>
      <c r="BI415" t="s">
        <v>237</v>
      </c>
      <c r="BJ415" t="s">
        <v>259</v>
      </c>
      <c r="BK415" t="s">
        <v>239</v>
      </c>
      <c r="BL415" t="s">
        <v>262</v>
      </c>
      <c r="BM415" t="s">
        <v>553</v>
      </c>
      <c r="BN415">
        <v>0</v>
      </c>
      <c r="BO415">
        <v>0</v>
      </c>
      <c r="BP415">
        <v>1</v>
      </c>
      <c r="BQ415">
        <v>0</v>
      </c>
      <c r="BR415">
        <v>1</v>
      </c>
      <c r="BS415">
        <v>0</v>
      </c>
      <c r="BT415">
        <v>0</v>
      </c>
      <c r="BU415">
        <v>0</v>
      </c>
      <c r="BV415">
        <v>1</v>
      </c>
      <c r="BW415">
        <v>1</v>
      </c>
      <c r="BX415">
        <v>0</v>
      </c>
      <c r="BY415">
        <v>0</v>
      </c>
      <c r="BZ415">
        <v>0</v>
      </c>
      <c r="CA415" t="s">
        <v>243</v>
      </c>
      <c r="CB415" t="s">
        <v>328</v>
      </c>
      <c r="CC415" t="s">
        <v>328</v>
      </c>
      <c r="CD415" t="s">
        <v>236</v>
      </c>
      <c r="CE415" t="s">
        <v>236</v>
      </c>
      <c r="EA415" t="s">
        <v>236</v>
      </c>
      <c r="EC415" t="s">
        <v>236</v>
      </c>
      <c r="EE415" t="s">
        <v>236</v>
      </c>
      <c r="EG415" t="s">
        <v>226</v>
      </c>
      <c r="EH415" t="s">
        <v>244</v>
      </c>
      <c r="EI415" t="s">
        <v>308</v>
      </c>
      <c r="EK415" t="s">
        <v>236</v>
      </c>
      <c r="EM415" t="s">
        <v>226</v>
      </c>
      <c r="EN415" t="s">
        <v>244</v>
      </c>
      <c r="EO415" t="s">
        <v>226</v>
      </c>
      <c r="EP415" t="s">
        <v>244</v>
      </c>
      <c r="EQ415" t="s">
        <v>236</v>
      </c>
      <c r="ES415" t="s">
        <v>236</v>
      </c>
      <c r="EU415" t="s">
        <v>236</v>
      </c>
      <c r="EW415" t="s">
        <v>226</v>
      </c>
      <c r="EX415" t="s">
        <v>244</v>
      </c>
      <c r="EY415" t="s">
        <v>236</v>
      </c>
      <c r="FA415" t="s">
        <v>236</v>
      </c>
      <c r="FC415" t="s">
        <v>236</v>
      </c>
      <c r="FE415" t="s">
        <v>236</v>
      </c>
      <c r="FG415" t="s">
        <v>236</v>
      </c>
      <c r="FH415" t="s">
        <v>554</v>
      </c>
      <c r="FI415" t="s">
        <v>265</v>
      </c>
      <c r="FJ415" t="s">
        <v>226</v>
      </c>
      <c r="FK415" t="s">
        <v>245</v>
      </c>
      <c r="FL415" t="s">
        <v>226</v>
      </c>
      <c r="FM415" t="s">
        <v>236</v>
      </c>
      <c r="FW415" t="s">
        <v>236</v>
      </c>
      <c r="FZ415" t="s">
        <v>236</v>
      </c>
      <c r="GC415" t="s">
        <v>236</v>
      </c>
      <c r="GF415" t="s">
        <v>226</v>
      </c>
      <c r="GG415" t="s">
        <v>226</v>
      </c>
      <c r="GH415" t="s">
        <v>266</v>
      </c>
      <c r="GI415" t="s">
        <v>236</v>
      </c>
      <c r="GL415" t="s">
        <v>236</v>
      </c>
      <c r="GO415" t="s">
        <v>226</v>
      </c>
      <c r="GP415" t="s">
        <v>226</v>
      </c>
      <c r="GQ415" t="s">
        <v>267</v>
      </c>
      <c r="GR415" t="s">
        <v>226</v>
      </c>
      <c r="GS415" t="s">
        <v>226</v>
      </c>
      <c r="GT415" t="s">
        <v>266</v>
      </c>
      <c r="GU415" t="s">
        <v>236</v>
      </c>
      <c r="GX415" t="s">
        <v>236</v>
      </c>
      <c r="HB415" t="s">
        <v>452</v>
      </c>
      <c r="HC415" t="s">
        <v>407</v>
      </c>
      <c r="HD415" t="s">
        <v>555</v>
      </c>
      <c r="HE415">
        <v>83412469</v>
      </c>
      <c r="HF415" t="s">
        <v>556</v>
      </c>
      <c r="HG415" s="2">
        <v>45757.633668981478</v>
      </c>
      <c r="HJ415" t="s">
        <v>248</v>
      </c>
      <c r="HL415" t="s">
        <v>282</v>
      </c>
      <c r="HN415">
        <v>413</v>
      </c>
    </row>
    <row r="416" spans="1:222" x14ac:dyDescent="0.25">
      <c r="A416" s="2">
        <v>45757.425421736109</v>
      </c>
      <c r="B416" s="2">
        <v>45757.428775219909</v>
      </c>
      <c r="C416" t="s">
        <v>305</v>
      </c>
      <c r="D416">
        <v>476</v>
      </c>
      <c r="E416" s="2">
        <v>45732</v>
      </c>
      <c r="F416">
        <v>4</v>
      </c>
      <c r="G416" t="s">
        <v>436</v>
      </c>
      <c r="H416" t="s">
        <v>270</v>
      </c>
      <c r="I416">
        <v>49</v>
      </c>
      <c r="J416" t="str">
        <f t="shared" si="6"/>
        <v>de 41 a 55 años</v>
      </c>
      <c r="K416" t="s">
        <v>224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225</v>
      </c>
      <c r="R416" t="s">
        <v>226</v>
      </c>
      <c r="T416" t="s">
        <v>227</v>
      </c>
      <c r="V416" t="s">
        <v>228</v>
      </c>
      <c r="W416" t="s">
        <v>229</v>
      </c>
      <c r="X416" t="s">
        <v>348</v>
      </c>
      <c r="Y416" t="s">
        <v>1760</v>
      </c>
      <c r="Z416" t="s">
        <v>308</v>
      </c>
      <c r="AA416" t="s">
        <v>232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I416" t="s">
        <v>233</v>
      </c>
      <c r="AJ416">
        <v>0</v>
      </c>
      <c r="AK416">
        <v>1</v>
      </c>
      <c r="AL416">
        <v>0</v>
      </c>
      <c r="AM416">
        <v>0</v>
      </c>
      <c r="AN416" t="s">
        <v>300</v>
      </c>
      <c r="AO416" t="s">
        <v>369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1</v>
      </c>
      <c r="AW416" t="s">
        <v>551</v>
      </c>
      <c r="AX416" t="s">
        <v>236</v>
      </c>
      <c r="AZ416" t="s">
        <v>237</v>
      </c>
      <c r="BA416" t="s">
        <v>2079</v>
      </c>
      <c r="BB416" t="s">
        <v>2080</v>
      </c>
      <c r="BC416" t="s">
        <v>438</v>
      </c>
      <c r="BE416" t="s">
        <v>259</v>
      </c>
      <c r="BF416" t="s">
        <v>237</v>
      </c>
      <c r="BG416" t="s">
        <v>259</v>
      </c>
      <c r="BH416" t="s">
        <v>239</v>
      </c>
      <c r="BI416" t="s">
        <v>239</v>
      </c>
      <c r="BJ416" t="s">
        <v>259</v>
      </c>
      <c r="BK416" t="s">
        <v>239</v>
      </c>
      <c r="BL416" t="s">
        <v>262</v>
      </c>
      <c r="BM416" t="s">
        <v>1752</v>
      </c>
      <c r="BN416">
        <v>0</v>
      </c>
      <c r="BO416">
        <v>1</v>
      </c>
      <c r="BP416">
        <v>0</v>
      </c>
      <c r="BQ416">
        <v>0</v>
      </c>
      <c r="BR416">
        <v>0</v>
      </c>
      <c r="BS416">
        <v>1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 t="s">
        <v>264</v>
      </c>
      <c r="CB416" t="s">
        <v>328</v>
      </c>
      <c r="CC416" t="s">
        <v>328</v>
      </c>
      <c r="CD416" t="s">
        <v>236</v>
      </c>
      <c r="CE416" t="s">
        <v>236</v>
      </c>
      <c r="EA416" t="s">
        <v>236</v>
      </c>
      <c r="EC416" t="s">
        <v>236</v>
      </c>
      <c r="EE416" t="s">
        <v>226</v>
      </c>
      <c r="EF416" t="s">
        <v>245</v>
      </c>
      <c r="EG416" t="s">
        <v>226</v>
      </c>
      <c r="EH416" t="s">
        <v>245</v>
      </c>
      <c r="EI416" t="s">
        <v>308</v>
      </c>
      <c r="EK416" t="s">
        <v>226</v>
      </c>
      <c r="EL416" t="s">
        <v>245</v>
      </c>
      <c r="EM416" t="s">
        <v>308</v>
      </c>
      <c r="EO416" t="s">
        <v>226</v>
      </c>
      <c r="EP416" t="s">
        <v>245</v>
      </c>
      <c r="EQ416" t="s">
        <v>236</v>
      </c>
      <c r="ES416" t="s">
        <v>236</v>
      </c>
      <c r="EU416" t="s">
        <v>236</v>
      </c>
      <c r="EW416" t="s">
        <v>236</v>
      </c>
      <c r="EY416" t="s">
        <v>236</v>
      </c>
      <c r="FA416" t="s">
        <v>236</v>
      </c>
      <c r="FC416" t="s">
        <v>236</v>
      </c>
      <c r="FE416" t="s">
        <v>236</v>
      </c>
      <c r="FG416" t="s">
        <v>236</v>
      </c>
      <c r="FJ416" t="s">
        <v>226</v>
      </c>
      <c r="FK416" t="s">
        <v>245</v>
      </c>
      <c r="FL416" t="s">
        <v>236</v>
      </c>
      <c r="FM416" t="s">
        <v>236</v>
      </c>
      <c r="FW416" t="s">
        <v>236</v>
      </c>
      <c r="FZ416" t="s">
        <v>236</v>
      </c>
      <c r="GC416" t="s">
        <v>236</v>
      </c>
      <c r="GF416" t="s">
        <v>226</v>
      </c>
      <c r="GG416" t="s">
        <v>226</v>
      </c>
      <c r="GH416" t="s">
        <v>266</v>
      </c>
      <c r="GI416" t="s">
        <v>236</v>
      </c>
      <c r="GL416" t="s">
        <v>236</v>
      </c>
      <c r="GO416" t="s">
        <v>226</v>
      </c>
      <c r="GP416" t="s">
        <v>226</v>
      </c>
      <c r="GQ416" t="s">
        <v>266</v>
      </c>
      <c r="GR416" t="s">
        <v>226</v>
      </c>
      <c r="GS416" t="s">
        <v>226</v>
      </c>
      <c r="GT416" t="s">
        <v>266</v>
      </c>
      <c r="GU416" t="s">
        <v>236</v>
      </c>
      <c r="GX416" t="s">
        <v>236</v>
      </c>
      <c r="HB416" t="s">
        <v>1192</v>
      </c>
      <c r="HC416" t="s">
        <v>2081</v>
      </c>
      <c r="HE416">
        <v>83412866</v>
      </c>
      <c r="HF416" t="s">
        <v>2082</v>
      </c>
      <c r="HG416" s="2">
        <v>45757.637025462973</v>
      </c>
      <c r="HJ416" t="s">
        <v>248</v>
      </c>
      <c r="HL416" t="s">
        <v>282</v>
      </c>
      <c r="HN416">
        <v>415</v>
      </c>
    </row>
    <row r="417" spans="1:222" x14ac:dyDescent="0.25">
      <c r="A417" s="2">
        <v>45757.427732592587</v>
      </c>
      <c r="B417" s="2">
        <v>45757.433953356478</v>
      </c>
      <c r="C417" t="s">
        <v>270</v>
      </c>
      <c r="D417">
        <v>265</v>
      </c>
      <c r="E417" s="2">
        <v>45730</v>
      </c>
      <c r="F417">
        <v>5</v>
      </c>
      <c r="G417" t="s">
        <v>380</v>
      </c>
      <c r="H417" t="s">
        <v>1418</v>
      </c>
      <c r="I417">
        <v>37</v>
      </c>
      <c r="J417" t="str">
        <f t="shared" si="6"/>
        <v>de 26 a 40 años</v>
      </c>
      <c r="K417" t="s">
        <v>224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225</v>
      </c>
      <c r="R417" t="s">
        <v>226</v>
      </c>
      <c r="T417" t="s">
        <v>227</v>
      </c>
      <c r="V417" t="s">
        <v>252</v>
      </c>
      <c r="W417" t="s">
        <v>229</v>
      </c>
      <c r="X417" t="s">
        <v>230</v>
      </c>
      <c r="Z417" t="s">
        <v>254</v>
      </c>
      <c r="AA417" t="s">
        <v>376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I417" t="s">
        <v>233</v>
      </c>
      <c r="AJ417">
        <v>0</v>
      </c>
      <c r="AK417">
        <v>1</v>
      </c>
      <c r="AL417">
        <v>0</v>
      </c>
      <c r="AM417">
        <v>0</v>
      </c>
      <c r="AN417" t="s">
        <v>274</v>
      </c>
      <c r="AO417" t="s">
        <v>382</v>
      </c>
      <c r="AP417">
        <v>0</v>
      </c>
      <c r="AQ417">
        <v>0</v>
      </c>
      <c r="AR417">
        <v>1</v>
      </c>
      <c r="AS417">
        <v>0</v>
      </c>
      <c r="AT417">
        <v>0</v>
      </c>
      <c r="AU417">
        <v>0</v>
      </c>
      <c r="AV417">
        <v>0</v>
      </c>
      <c r="AX417" t="s">
        <v>236</v>
      </c>
      <c r="AZ417" t="s">
        <v>237</v>
      </c>
      <c r="BA417" t="s">
        <v>1419</v>
      </c>
      <c r="BE417" t="s">
        <v>259</v>
      </c>
      <c r="BF417" t="s">
        <v>237</v>
      </c>
      <c r="BG417" t="s">
        <v>259</v>
      </c>
      <c r="BH417" t="s">
        <v>259</v>
      </c>
      <c r="BI417" t="s">
        <v>237</v>
      </c>
      <c r="BJ417" t="s">
        <v>259</v>
      </c>
      <c r="BK417" t="s">
        <v>261</v>
      </c>
      <c r="BL417" t="s">
        <v>240</v>
      </c>
      <c r="BM417" t="s">
        <v>372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1</v>
      </c>
      <c r="CA417" t="s">
        <v>264</v>
      </c>
      <c r="CB417" t="s">
        <v>243</v>
      </c>
      <c r="CC417" t="s">
        <v>264</v>
      </c>
      <c r="CD417" t="s">
        <v>236</v>
      </c>
      <c r="CE417" t="s">
        <v>236</v>
      </c>
      <c r="EA417" t="s">
        <v>226</v>
      </c>
      <c r="EB417" t="s">
        <v>245</v>
      </c>
      <c r="EC417" t="s">
        <v>226</v>
      </c>
      <c r="ED417" t="s">
        <v>245</v>
      </c>
      <c r="EE417" t="s">
        <v>226</v>
      </c>
      <c r="EF417" t="s">
        <v>265</v>
      </c>
      <c r="EG417" t="s">
        <v>226</v>
      </c>
      <c r="EH417" t="s">
        <v>245</v>
      </c>
      <c r="EI417" t="s">
        <v>226</v>
      </c>
      <c r="EJ417" t="s">
        <v>244</v>
      </c>
      <c r="EK417" t="s">
        <v>226</v>
      </c>
      <c r="EL417" t="s">
        <v>245</v>
      </c>
      <c r="EM417" t="s">
        <v>226</v>
      </c>
      <c r="EN417" t="s">
        <v>244</v>
      </c>
      <c r="EO417" t="s">
        <v>226</v>
      </c>
      <c r="EP417" t="s">
        <v>245</v>
      </c>
      <c r="EQ417" t="s">
        <v>236</v>
      </c>
      <c r="ES417" t="s">
        <v>226</v>
      </c>
      <c r="ET417" t="s">
        <v>245</v>
      </c>
      <c r="EU417" t="s">
        <v>226</v>
      </c>
      <c r="EV417" t="s">
        <v>245</v>
      </c>
      <c r="EW417" t="s">
        <v>226</v>
      </c>
      <c r="EX417" t="s">
        <v>244</v>
      </c>
      <c r="EY417" t="s">
        <v>236</v>
      </c>
      <c r="FA417" t="s">
        <v>226</v>
      </c>
      <c r="FB417" t="s">
        <v>244</v>
      </c>
      <c r="FC417" t="s">
        <v>308</v>
      </c>
      <c r="FE417" t="s">
        <v>226</v>
      </c>
      <c r="FF417" t="s">
        <v>245</v>
      </c>
      <c r="FG417" t="s">
        <v>236</v>
      </c>
      <c r="FJ417" t="s">
        <v>226</v>
      </c>
      <c r="FK417" t="s">
        <v>265</v>
      </c>
      <c r="FL417" t="s">
        <v>226</v>
      </c>
      <c r="FM417" t="s">
        <v>226</v>
      </c>
      <c r="FN417" t="s">
        <v>1420</v>
      </c>
      <c r="FO417">
        <v>0</v>
      </c>
      <c r="FP417">
        <v>1</v>
      </c>
      <c r="FQ417">
        <v>0</v>
      </c>
      <c r="FR417">
        <v>0</v>
      </c>
      <c r="FS417">
        <v>1</v>
      </c>
      <c r="FT417" t="s">
        <v>1421</v>
      </c>
      <c r="FU417" t="s">
        <v>226</v>
      </c>
      <c r="FW417" t="s">
        <v>236</v>
      </c>
      <c r="FZ417" t="s">
        <v>236</v>
      </c>
      <c r="GC417" t="s">
        <v>236</v>
      </c>
      <c r="GF417" t="s">
        <v>226</v>
      </c>
      <c r="GG417" t="s">
        <v>226</v>
      </c>
      <c r="GH417" t="s">
        <v>570</v>
      </c>
      <c r="GI417" t="s">
        <v>236</v>
      </c>
      <c r="GL417" t="s">
        <v>226</v>
      </c>
      <c r="GM417" t="s">
        <v>226</v>
      </c>
      <c r="GN417" t="s">
        <v>266</v>
      </c>
      <c r="GO417" t="s">
        <v>226</v>
      </c>
      <c r="GP417" t="s">
        <v>226</v>
      </c>
      <c r="GQ417" t="s">
        <v>267</v>
      </c>
      <c r="GR417" t="s">
        <v>226</v>
      </c>
      <c r="GS417" t="s">
        <v>226</v>
      </c>
      <c r="GT417" t="s">
        <v>266</v>
      </c>
      <c r="GU417" t="s">
        <v>236</v>
      </c>
      <c r="GX417" t="s">
        <v>236</v>
      </c>
      <c r="HB417" t="s">
        <v>1422</v>
      </c>
      <c r="HE417">
        <v>83413636</v>
      </c>
      <c r="HF417" t="s">
        <v>1423</v>
      </c>
      <c r="HG417" s="2">
        <v>45757.642280092587</v>
      </c>
      <c r="HJ417" t="s">
        <v>248</v>
      </c>
      <c r="HL417" t="s">
        <v>282</v>
      </c>
      <c r="HN417">
        <v>417</v>
      </c>
    </row>
    <row r="418" spans="1:222" x14ac:dyDescent="0.25">
      <c r="A418" s="2">
        <v>45757.428775960638</v>
      </c>
      <c r="B418" s="2">
        <v>45757.431301180557</v>
      </c>
      <c r="C418" t="s">
        <v>305</v>
      </c>
      <c r="D418">
        <v>480</v>
      </c>
      <c r="E418" s="2">
        <v>45732</v>
      </c>
      <c r="F418">
        <v>4</v>
      </c>
      <c r="G418" t="s">
        <v>450</v>
      </c>
      <c r="H418" t="s">
        <v>270</v>
      </c>
      <c r="I418">
        <v>70</v>
      </c>
      <c r="J418" t="str">
        <f t="shared" si="6"/>
        <v>de 56 a más</v>
      </c>
      <c r="K418" t="s">
        <v>341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225</v>
      </c>
      <c r="R418" t="s">
        <v>226</v>
      </c>
      <c r="T418" t="s">
        <v>227</v>
      </c>
      <c r="V418" t="s">
        <v>272</v>
      </c>
      <c r="W418" t="s">
        <v>229</v>
      </c>
      <c r="X418" t="s">
        <v>368</v>
      </c>
      <c r="Z418" t="s">
        <v>231</v>
      </c>
      <c r="AA418" t="s">
        <v>293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I418" t="s">
        <v>233</v>
      </c>
      <c r="AJ418">
        <v>0</v>
      </c>
      <c r="AK418">
        <v>1</v>
      </c>
      <c r="AL418">
        <v>0</v>
      </c>
      <c r="AM418">
        <v>0</v>
      </c>
      <c r="AN418" t="s">
        <v>234</v>
      </c>
      <c r="AO418" t="s">
        <v>275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</v>
      </c>
      <c r="AV418">
        <v>0</v>
      </c>
      <c r="AX418" t="s">
        <v>226</v>
      </c>
      <c r="AY418" t="s">
        <v>226</v>
      </c>
      <c r="AZ418" t="s">
        <v>237</v>
      </c>
      <c r="BA418" t="s">
        <v>2089</v>
      </c>
      <c r="BB418" t="s">
        <v>276</v>
      </c>
      <c r="BE418" t="s">
        <v>237</v>
      </c>
      <c r="BF418" t="s">
        <v>237</v>
      </c>
      <c r="BG418" t="s">
        <v>237</v>
      </c>
      <c r="BH418" t="s">
        <v>237</v>
      </c>
      <c r="BI418" t="s">
        <v>239</v>
      </c>
      <c r="BJ418" t="s">
        <v>237</v>
      </c>
      <c r="BK418" t="s">
        <v>239</v>
      </c>
      <c r="BL418" t="s">
        <v>240</v>
      </c>
      <c r="BM418" t="s">
        <v>372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1</v>
      </c>
      <c r="CA418" t="s">
        <v>243</v>
      </c>
      <c r="CB418" t="s">
        <v>328</v>
      </c>
      <c r="CC418" t="s">
        <v>328</v>
      </c>
      <c r="CD418" t="s">
        <v>236</v>
      </c>
      <c r="CE418" t="s">
        <v>236</v>
      </c>
      <c r="EA418" t="s">
        <v>236</v>
      </c>
      <c r="EC418" t="s">
        <v>236</v>
      </c>
      <c r="EE418" t="s">
        <v>236</v>
      </c>
      <c r="EG418" t="s">
        <v>226</v>
      </c>
      <c r="EH418" t="s">
        <v>245</v>
      </c>
      <c r="EI418" t="s">
        <v>236</v>
      </c>
      <c r="EK418" t="s">
        <v>236</v>
      </c>
      <c r="EM418" t="s">
        <v>236</v>
      </c>
      <c r="EO418" t="s">
        <v>236</v>
      </c>
      <c r="EQ418" t="s">
        <v>236</v>
      </c>
      <c r="ES418" t="s">
        <v>236</v>
      </c>
      <c r="EU418" t="s">
        <v>236</v>
      </c>
      <c r="EW418" t="s">
        <v>236</v>
      </c>
      <c r="EY418" t="s">
        <v>236</v>
      </c>
      <c r="FA418" t="s">
        <v>226</v>
      </c>
      <c r="FB418" t="s">
        <v>245</v>
      </c>
      <c r="FC418" t="s">
        <v>236</v>
      </c>
      <c r="FE418" t="s">
        <v>226</v>
      </c>
      <c r="FF418" t="s">
        <v>245</v>
      </c>
      <c r="FG418" t="s">
        <v>236</v>
      </c>
      <c r="FJ418" t="s">
        <v>226</v>
      </c>
      <c r="FK418" t="s">
        <v>245</v>
      </c>
      <c r="FL418" t="s">
        <v>236</v>
      </c>
      <c r="FM418" t="s">
        <v>236</v>
      </c>
      <c r="FW418" t="s">
        <v>226</v>
      </c>
      <c r="FX418" t="s">
        <v>226</v>
      </c>
      <c r="FY418" t="s">
        <v>266</v>
      </c>
      <c r="FZ418" t="s">
        <v>236</v>
      </c>
      <c r="GC418" t="s">
        <v>236</v>
      </c>
      <c r="GF418" t="s">
        <v>236</v>
      </c>
      <c r="GI418" t="s">
        <v>236</v>
      </c>
      <c r="GL418" t="s">
        <v>236</v>
      </c>
      <c r="GO418" t="s">
        <v>236</v>
      </c>
      <c r="GR418" t="s">
        <v>226</v>
      </c>
      <c r="GS418" t="s">
        <v>236</v>
      </c>
      <c r="GU418" t="s">
        <v>236</v>
      </c>
      <c r="GX418" t="s">
        <v>236</v>
      </c>
      <c r="HB418" t="s">
        <v>318</v>
      </c>
      <c r="HC418" t="s">
        <v>280</v>
      </c>
      <c r="HE418">
        <v>83413150</v>
      </c>
      <c r="HF418" t="s">
        <v>2090</v>
      </c>
      <c r="HG418" s="2">
        <v>45757.639560185176</v>
      </c>
      <c r="HJ418" t="s">
        <v>248</v>
      </c>
      <c r="HL418" t="s">
        <v>282</v>
      </c>
      <c r="HN418">
        <v>416</v>
      </c>
    </row>
    <row r="419" spans="1:222" x14ac:dyDescent="0.25">
      <c r="A419" s="2">
        <v>45757.431301631943</v>
      </c>
      <c r="B419" s="2">
        <v>45757.434156076393</v>
      </c>
      <c r="C419" t="s">
        <v>305</v>
      </c>
      <c r="D419">
        <v>47</v>
      </c>
      <c r="E419" s="2">
        <v>45732</v>
      </c>
      <c r="F419">
        <v>5</v>
      </c>
      <c r="G419" t="s">
        <v>662</v>
      </c>
      <c r="H419" t="s">
        <v>223</v>
      </c>
      <c r="I419">
        <v>25</v>
      </c>
      <c r="J419" t="str">
        <f t="shared" si="6"/>
        <v>de 18 a 25 años</v>
      </c>
      <c r="K419" t="s">
        <v>224</v>
      </c>
      <c r="L419">
        <v>4</v>
      </c>
      <c r="M419">
        <v>0</v>
      </c>
      <c r="N419">
        <v>0</v>
      </c>
      <c r="O419">
        <v>0</v>
      </c>
      <c r="P419">
        <v>0</v>
      </c>
      <c r="Q419" t="s">
        <v>291</v>
      </c>
      <c r="R419" t="s">
        <v>226</v>
      </c>
      <c r="T419" t="s">
        <v>227</v>
      </c>
      <c r="V419" t="s">
        <v>612</v>
      </c>
      <c r="W419" t="s">
        <v>229</v>
      </c>
      <c r="X419" t="s">
        <v>230</v>
      </c>
      <c r="Z419" t="s">
        <v>254</v>
      </c>
      <c r="AA419" t="s">
        <v>255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0</v>
      </c>
      <c r="AI419" t="s">
        <v>311</v>
      </c>
      <c r="AJ419">
        <v>0</v>
      </c>
      <c r="AK419">
        <v>1</v>
      </c>
      <c r="AL419">
        <v>1</v>
      </c>
      <c r="AM419">
        <v>0</v>
      </c>
      <c r="AN419" t="s">
        <v>274</v>
      </c>
      <c r="AO419" t="s">
        <v>275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</v>
      </c>
      <c r="AV419">
        <v>0</v>
      </c>
      <c r="AX419" t="s">
        <v>226</v>
      </c>
      <c r="AY419" t="s">
        <v>226</v>
      </c>
      <c r="AZ419" t="s">
        <v>261</v>
      </c>
      <c r="BA419" t="s">
        <v>691</v>
      </c>
      <c r="BE419" t="s">
        <v>237</v>
      </c>
      <c r="BF419" t="s">
        <v>237</v>
      </c>
      <c r="BG419" t="s">
        <v>239</v>
      </c>
      <c r="BH419" t="s">
        <v>237</v>
      </c>
      <c r="BI419" t="s">
        <v>237</v>
      </c>
      <c r="BJ419" t="s">
        <v>259</v>
      </c>
      <c r="BK419" t="s">
        <v>261</v>
      </c>
      <c r="BL419" t="s">
        <v>313</v>
      </c>
      <c r="BM419" t="s">
        <v>518</v>
      </c>
      <c r="BN419">
        <v>0</v>
      </c>
      <c r="BO419">
        <v>0</v>
      </c>
      <c r="BP419">
        <v>1</v>
      </c>
      <c r="BQ419">
        <v>0</v>
      </c>
      <c r="BR419">
        <v>1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 t="s">
        <v>264</v>
      </c>
      <c r="CB419" t="s">
        <v>243</v>
      </c>
      <c r="CC419" t="s">
        <v>264</v>
      </c>
      <c r="CD419" t="s">
        <v>236</v>
      </c>
      <c r="CE419" t="s">
        <v>236</v>
      </c>
      <c r="EA419" t="s">
        <v>226</v>
      </c>
      <c r="EB419" t="s">
        <v>244</v>
      </c>
      <c r="EC419" t="s">
        <v>236</v>
      </c>
      <c r="EE419" t="s">
        <v>226</v>
      </c>
      <c r="EF419" t="s">
        <v>244</v>
      </c>
      <c r="EG419" t="s">
        <v>226</v>
      </c>
      <c r="EH419" t="s">
        <v>245</v>
      </c>
      <c r="EI419" t="s">
        <v>226</v>
      </c>
      <c r="EJ419" t="s">
        <v>245</v>
      </c>
      <c r="EK419" t="s">
        <v>236</v>
      </c>
      <c r="EM419" t="s">
        <v>226</v>
      </c>
      <c r="EN419" t="s">
        <v>245</v>
      </c>
      <c r="EO419" t="s">
        <v>236</v>
      </c>
      <c r="EQ419" t="s">
        <v>236</v>
      </c>
      <c r="ES419" t="s">
        <v>226</v>
      </c>
      <c r="ET419" t="s">
        <v>245</v>
      </c>
      <c r="EU419" t="s">
        <v>236</v>
      </c>
      <c r="EW419" t="s">
        <v>226</v>
      </c>
      <c r="EX419" t="s">
        <v>244</v>
      </c>
      <c r="EY419" t="s">
        <v>226</v>
      </c>
      <c r="EZ419" t="s">
        <v>244</v>
      </c>
      <c r="FA419" t="s">
        <v>226</v>
      </c>
      <c r="FB419" t="s">
        <v>245</v>
      </c>
      <c r="FC419" t="s">
        <v>236</v>
      </c>
      <c r="FE419" t="s">
        <v>226</v>
      </c>
      <c r="FF419" t="s">
        <v>244</v>
      </c>
      <c r="FG419" t="s">
        <v>236</v>
      </c>
      <c r="FJ419" t="s">
        <v>226</v>
      </c>
      <c r="FK419" t="s">
        <v>265</v>
      </c>
      <c r="FL419" t="s">
        <v>226</v>
      </c>
      <c r="FM419" t="s">
        <v>236</v>
      </c>
      <c r="FW419" t="s">
        <v>226</v>
      </c>
      <c r="FX419" t="s">
        <v>236</v>
      </c>
      <c r="FZ419" t="s">
        <v>236</v>
      </c>
      <c r="GC419" t="s">
        <v>236</v>
      </c>
      <c r="GF419" t="s">
        <v>236</v>
      </c>
      <c r="GI419" t="s">
        <v>236</v>
      </c>
      <c r="GL419" t="s">
        <v>226</v>
      </c>
      <c r="GM419" t="s">
        <v>236</v>
      </c>
      <c r="GO419" t="s">
        <v>226</v>
      </c>
      <c r="GP419" t="s">
        <v>226</v>
      </c>
      <c r="GQ419" t="s">
        <v>266</v>
      </c>
      <c r="GR419" t="s">
        <v>236</v>
      </c>
      <c r="GU419" t="s">
        <v>236</v>
      </c>
      <c r="GX419" t="s">
        <v>236</v>
      </c>
      <c r="HB419" t="s">
        <v>692</v>
      </c>
      <c r="HE419">
        <v>83413647</v>
      </c>
      <c r="HF419" t="s">
        <v>693</v>
      </c>
      <c r="HG419" s="2">
        <v>45757.642395833333</v>
      </c>
      <c r="HJ419" t="s">
        <v>248</v>
      </c>
      <c r="HL419" t="s">
        <v>282</v>
      </c>
      <c r="HN419">
        <v>418</v>
      </c>
    </row>
    <row r="420" spans="1:222" x14ac:dyDescent="0.25">
      <c r="A420" s="2">
        <v>45757.433954201391</v>
      </c>
      <c r="B420" s="2">
        <v>45757.439776770843</v>
      </c>
      <c r="C420" t="s">
        <v>270</v>
      </c>
      <c r="D420">
        <v>266</v>
      </c>
      <c r="E420" s="2">
        <v>45730</v>
      </c>
      <c r="F420">
        <v>5</v>
      </c>
      <c r="G420" t="s">
        <v>380</v>
      </c>
      <c r="H420" t="s">
        <v>223</v>
      </c>
      <c r="I420">
        <v>35</v>
      </c>
      <c r="J420" t="str">
        <f t="shared" si="6"/>
        <v>de 26 a 40 años</v>
      </c>
      <c r="K420" t="s">
        <v>251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291</v>
      </c>
      <c r="R420" t="s">
        <v>226</v>
      </c>
      <c r="T420" t="s">
        <v>284</v>
      </c>
      <c r="V420" t="s">
        <v>612</v>
      </c>
      <c r="W420" t="s">
        <v>229</v>
      </c>
      <c r="X420" t="s">
        <v>230</v>
      </c>
      <c r="Z420" t="s">
        <v>254</v>
      </c>
      <c r="AA420" t="s">
        <v>616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 t="s">
        <v>1424</v>
      </c>
      <c r="AI420" t="s">
        <v>256</v>
      </c>
      <c r="AJ420">
        <v>0</v>
      </c>
      <c r="AK420">
        <v>0</v>
      </c>
      <c r="AL420">
        <v>1</v>
      </c>
      <c r="AM420">
        <v>0</v>
      </c>
      <c r="AN420" t="s">
        <v>234</v>
      </c>
      <c r="AO420" t="s">
        <v>382</v>
      </c>
      <c r="AP420">
        <v>0</v>
      </c>
      <c r="AQ420">
        <v>0</v>
      </c>
      <c r="AR420">
        <v>1</v>
      </c>
      <c r="AS420">
        <v>0</v>
      </c>
      <c r="AT420">
        <v>0</v>
      </c>
      <c r="AU420">
        <v>0</v>
      </c>
      <c r="AV420">
        <v>0</v>
      </c>
      <c r="AX420" t="s">
        <v>236</v>
      </c>
      <c r="AZ420" t="s">
        <v>259</v>
      </c>
      <c r="BA420" t="s">
        <v>1425</v>
      </c>
      <c r="BE420" t="s">
        <v>259</v>
      </c>
      <c r="BF420" t="s">
        <v>237</v>
      </c>
      <c r="BG420" t="s">
        <v>259</v>
      </c>
      <c r="BH420" t="s">
        <v>237</v>
      </c>
      <c r="BI420" t="s">
        <v>237</v>
      </c>
      <c r="BJ420" t="s">
        <v>259</v>
      </c>
      <c r="BK420" t="s">
        <v>259</v>
      </c>
      <c r="BL420" t="s">
        <v>262</v>
      </c>
      <c r="BM420" t="s">
        <v>278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 t="s">
        <v>264</v>
      </c>
      <c r="CB420" t="s">
        <v>243</v>
      </c>
      <c r="CC420" t="s">
        <v>243</v>
      </c>
      <c r="CD420" t="s">
        <v>236</v>
      </c>
      <c r="CE420" t="s">
        <v>236</v>
      </c>
      <c r="EA420" t="s">
        <v>236</v>
      </c>
      <c r="EC420" t="s">
        <v>226</v>
      </c>
      <c r="ED420" t="s">
        <v>245</v>
      </c>
      <c r="EE420" t="s">
        <v>226</v>
      </c>
      <c r="EF420" t="s">
        <v>245</v>
      </c>
      <c r="EG420" t="s">
        <v>236</v>
      </c>
      <c r="EI420" t="s">
        <v>236</v>
      </c>
      <c r="EK420" t="s">
        <v>236</v>
      </c>
      <c r="EM420" t="s">
        <v>226</v>
      </c>
      <c r="EN420" t="s">
        <v>245</v>
      </c>
      <c r="EO420" t="s">
        <v>226</v>
      </c>
      <c r="EP420" t="s">
        <v>245</v>
      </c>
      <c r="EQ420" t="s">
        <v>236</v>
      </c>
      <c r="ES420" t="s">
        <v>226</v>
      </c>
      <c r="ET420" t="s">
        <v>245</v>
      </c>
      <c r="EU420" t="s">
        <v>236</v>
      </c>
      <c r="EW420" t="s">
        <v>236</v>
      </c>
      <c r="EY420" t="s">
        <v>236</v>
      </c>
      <c r="FA420" t="s">
        <v>236</v>
      </c>
      <c r="FC420" t="s">
        <v>236</v>
      </c>
      <c r="FE420" t="s">
        <v>226</v>
      </c>
      <c r="FF420" t="s">
        <v>245</v>
      </c>
      <c r="FG420" t="s">
        <v>236</v>
      </c>
      <c r="FJ420" t="s">
        <v>226</v>
      </c>
      <c r="FK420" t="s">
        <v>245</v>
      </c>
      <c r="FL420" t="s">
        <v>236</v>
      </c>
      <c r="FM420" t="s">
        <v>236</v>
      </c>
      <c r="FW420" t="s">
        <v>226</v>
      </c>
      <c r="FX420" t="s">
        <v>226</v>
      </c>
      <c r="FY420" t="s">
        <v>266</v>
      </c>
      <c r="FZ420" t="s">
        <v>226</v>
      </c>
      <c r="GA420" t="s">
        <v>226</v>
      </c>
      <c r="GB420" t="s">
        <v>266</v>
      </c>
      <c r="GC420" t="s">
        <v>236</v>
      </c>
      <c r="GF420" t="s">
        <v>236</v>
      </c>
      <c r="GI420" t="s">
        <v>236</v>
      </c>
      <c r="GL420" t="s">
        <v>226</v>
      </c>
      <c r="GM420" t="s">
        <v>226</v>
      </c>
      <c r="GN420" t="s">
        <v>266</v>
      </c>
      <c r="GO420" t="s">
        <v>226</v>
      </c>
      <c r="GP420" t="s">
        <v>226</v>
      </c>
      <c r="GQ420" t="s">
        <v>267</v>
      </c>
      <c r="GR420" t="s">
        <v>226</v>
      </c>
      <c r="GS420" t="s">
        <v>226</v>
      </c>
      <c r="GT420" t="s">
        <v>267</v>
      </c>
      <c r="GU420" t="s">
        <v>236</v>
      </c>
      <c r="GX420" t="s">
        <v>236</v>
      </c>
      <c r="HB420" t="s">
        <v>1426</v>
      </c>
      <c r="HE420">
        <v>83414255</v>
      </c>
      <c r="HF420" t="s">
        <v>1427</v>
      </c>
      <c r="HG420" s="2">
        <v>45757.648101851853</v>
      </c>
      <c r="HJ420" t="s">
        <v>248</v>
      </c>
      <c r="HL420" t="s">
        <v>282</v>
      </c>
      <c r="HN420">
        <v>421</v>
      </c>
    </row>
    <row r="421" spans="1:222" x14ac:dyDescent="0.25">
      <c r="A421" s="2">
        <v>45757.434156701391</v>
      </c>
      <c r="B421" s="2">
        <v>45757.436843148149</v>
      </c>
      <c r="C421" t="s">
        <v>305</v>
      </c>
      <c r="D421">
        <v>45</v>
      </c>
      <c r="E421" s="2">
        <v>45732</v>
      </c>
      <c r="F421">
        <v>5</v>
      </c>
      <c r="G421" t="s">
        <v>271</v>
      </c>
      <c r="H421" t="s">
        <v>223</v>
      </c>
      <c r="I421">
        <v>28</v>
      </c>
      <c r="J421" t="str">
        <f t="shared" si="6"/>
        <v>de 26 a 40 años</v>
      </c>
      <c r="K421" t="s">
        <v>224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291</v>
      </c>
      <c r="R421" t="s">
        <v>226</v>
      </c>
      <c r="T421" t="s">
        <v>392</v>
      </c>
      <c r="V421" t="s">
        <v>321</v>
      </c>
      <c r="W421" t="s">
        <v>229</v>
      </c>
      <c r="X421" t="s">
        <v>230</v>
      </c>
      <c r="Z421" t="s">
        <v>231</v>
      </c>
      <c r="AA421" t="s">
        <v>232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I421" t="s">
        <v>256</v>
      </c>
      <c r="AJ421">
        <v>0</v>
      </c>
      <c r="AK421">
        <v>0</v>
      </c>
      <c r="AL421">
        <v>1</v>
      </c>
      <c r="AM421">
        <v>0</v>
      </c>
      <c r="AN421" t="s">
        <v>300</v>
      </c>
      <c r="AO421" t="s">
        <v>294</v>
      </c>
      <c r="AP421">
        <v>1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X421" t="s">
        <v>226</v>
      </c>
      <c r="AY421" t="s">
        <v>236</v>
      </c>
      <c r="AZ421" t="s">
        <v>237</v>
      </c>
      <c r="BA421" t="s">
        <v>687</v>
      </c>
      <c r="BB421" t="s">
        <v>276</v>
      </c>
      <c r="BE421" t="s">
        <v>259</v>
      </c>
      <c r="BF421" t="s">
        <v>259</v>
      </c>
      <c r="BG421" t="s">
        <v>259</v>
      </c>
      <c r="BH421" t="s">
        <v>259</v>
      </c>
      <c r="BI421" t="s">
        <v>259</v>
      </c>
      <c r="BJ421" t="s">
        <v>259</v>
      </c>
      <c r="BK421" t="s">
        <v>259</v>
      </c>
      <c r="BL421" t="s">
        <v>262</v>
      </c>
      <c r="BM421" t="s">
        <v>451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 t="s">
        <v>264</v>
      </c>
      <c r="CB421" t="s">
        <v>264</v>
      </c>
      <c r="CC421" t="s">
        <v>264</v>
      </c>
      <c r="CD421" t="s">
        <v>236</v>
      </c>
      <c r="CE421" t="s">
        <v>236</v>
      </c>
      <c r="EA421" t="s">
        <v>236</v>
      </c>
      <c r="EC421" t="s">
        <v>236</v>
      </c>
      <c r="EE421" t="s">
        <v>236</v>
      </c>
      <c r="EG421" t="s">
        <v>236</v>
      </c>
      <c r="EI421" t="s">
        <v>236</v>
      </c>
      <c r="EK421" t="s">
        <v>236</v>
      </c>
      <c r="EM421" t="s">
        <v>236</v>
      </c>
      <c r="EO421" t="s">
        <v>236</v>
      </c>
      <c r="EQ421" t="s">
        <v>236</v>
      </c>
      <c r="ES421" t="s">
        <v>236</v>
      </c>
      <c r="EU421" t="s">
        <v>236</v>
      </c>
      <c r="EW421" t="s">
        <v>236</v>
      </c>
      <c r="EY421" t="s">
        <v>236</v>
      </c>
      <c r="FA421" t="s">
        <v>236</v>
      </c>
      <c r="FC421" t="s">
        <v>236</v>
      </c>
      <c r="FE421" t="s">
        <v>236</v>
      </c>
      <c r="FG421" t="s">
        <v>236</v>
      </c>
      <c r="FJ421" t="s">
        <v>236</v>
      </c>
      <c r="FM421" t="s">
        <v>236</v>
      </c>
      <c r="FW421" t="s">
        <v>236</v>
      </c>
      <c r="FZ421" t="s">
        <v>236</v>
      </c>
      <c r="GC421" t="s">
        <v>236</v>
      </c>
      <c r="GF421" t="s">
        <v>226</v>
      </c>
      <c r="GG421" t="s">
        <v>236</v>
      </c>
      <c r="GI421" t="s">
        <v>226</v>
      </c>
      <c r="GJ421" t="s">
        <v>236</v>
      </c>
      <c r="GL421" t="s">
        <v>236</v>
      </c>
      <c r="GO421" t="s">
        <v>226</v>
      </c>
      <c r="GP421" t="s">
        <v>236</v>
      </c>
      <c r="GR421" t="s">
        <v>226</v>
      </c>
      <c r="GS421" t="s">
        <v>236</v>
      </c>
      <c r="GU421" t="s">
        <v>236</v>
      </c>
      <c r="GX421" t="s">
        <v>236</v>
      </c>
      <c r="HB421" t="s">
        <v>279</v>
      </c>
      <c r="HC421" t="s">
        <v>303</v>
      </c>
      <c r="HE421">
        <v>83413873</v>
      </c>
      <c r="HF421" t="s">
        <v>688</v>
      </c>
      <c r="HG421" s="2">
        <v>45757.645092592589</v>
      </c>
      <c r="HJ421" t="s">
        <v>248</v>
      </c>
      <c r="HL421" t="s">
        <v>282</v>
      </c>
      <c r="HN421">
        <v>419</v>
      </c>
    </row>
    <row r="422" spans="1:222" x14ac:dyDescent="0.25">
      <c r="A422" s="2">
        <v>45757.436843611111</v>
      </c>
      <c r="B422" s="2">
        <v>45757.438983402782</v>
      </c>
      <c r="C422" t="s">
        <v>305</v>
      </c>
      <c r="D422">
        <v>46</v>
      </c>
      <c r="E422" s="2">
        <v>45732</v>
      </c>
      <c r="F422">
        <v>5</v>
      </c>
      <c r="G422" t="s">
        <v>271</v>
      </c>
      <c r="H422" t="s">
        <v>223</v>
      </c>
      <c r="I422">
        <v>32</v>
      </c>
      <c r="J422" t="str">
        <f t="shared" si="6"/>
        <v>de 26 a 40 años</v>
      </c>
      <c r="K422" t="s">
        <v>251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291</v>
      </c>
      <c r="R422" t="s">
        <v>226</v>
      </c>
      <c r="T422" t="s">
        <v>284</v>
      </c>
      <c r="V422" t="s">
        <v>252</v>
      </c>
      <c r="W422" t="s">
        <v>229</v>
      </c>
      <c r="X422" t="s">
        <v>230</v>
      </c>
      <c r="Z422" t="s">
        <v>254</v>
      </c>
      <c r="AA422" t="s">
        <v>255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I422" t="s">
        <v>256</v>
      </c>
      <c r="AJ422">
        <v>0</v>
      </c>
      <c r="AK422">
        <v>0</v>
      </c>
      <c r="AL422">
        <v>1</v>
      </c>
      <c r="AM422">
        <v>0</v>
      </c>
      <c r="AN422" t="s">
        <v>274</v>
      </c>
      <c r="AO422" t="s">
        <v>294</v>
      </c>
      <c r="AP422">
        <v>1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X422" t="s">
        <v>226</v>
      </c>
      <c r="AY422" t="s">
        <v>236</v>
      </c>
      <c r="AZ422" t="s">
        <v>237</v>
      </c>
      <c r="BA422" t="s">
        <v>276</v>
      </c>
      <c r="BB422" t="s">
        <v>277</v>
      </c>
      <c r="BE422" t="s">
        <v>259</v>
      </c>
      <c r="BF422" t="s">
        <v>259</v>
      </c>
      <c r="BG422" t="s">
        <v>259</v>
      </c>
      <c r="BH422" t="s">
        <v>259</v>
      </c>
      <c r="BI422" t="s">
        <v>259</v>
      </c>
      <c r="BJ422" t="s">
        <v>259</v>
      </c>
      <c r="BK422" t="s">
        <v>259</v>
      </c>
      <c r="BL422" t="s">
        <v>262</v>
      </c>
      <c r="BM422" t="s">
        <v>689</v>
      </c>
      <c r="BN422">
        <v>1</v>
      </c>
      <c r="BO422">
        <v>0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0</v>
      </c>
      <c r="BW422">
        <v>0</v>
      </c>
      <c r="BX422">
        <v>0</v>
      </c>
      <c r="BY422">
        <v>0</v>
      </c>
      <c r="BZ422">
        <v>0</v>
      </c>
      <c r="CA422" t="s">
        <v>264</v>
      </c>
      <c r="CB422" t="s">
        <v>264</v>
      </c>
      <c r="CC422" t="s">
        <v>264</v>
      </c>
      <c r="CD422" t="s">
        <v>236</v>
      </c>
      <c r="CE422" t="s">
        <v>236</v>
      </c>
      <c r="EA422" t="s">
        <v>236</v>
      </c>
      <c r="EC422" t="s">
        <v>236</v>
      </c>
      <c r="EE422" t="s">
        <v>236</v>
      </c>
      <c r="EG422" t="s">
        <v>236</v>
      </c>
      <c r="EI422" t="s">
        <v>236</v>
      </c>
      <c r="EK422" t="s">
        <v>236</v>
      </c>
      <c r="EM422" t="s">
        <v>236</v>
      </c>
      <c r="EO422" t="s">
        <v>236</v>
      </c>
      <c r="EQ422" t="s">
        <v>236</v>
      </c>
      <c r="ES422" t="s">
        <v>236</v>
      </c>
      <c r="EU422" t="s">
        <v>236</v>
      </c>
      <c r="EW422" t="s">
        <v>236</v>
      </c>
      <c r="EY422" t="s">
        <v>236</v>
      </c>
      <c r="FA422" t="s">
        <v>236</v>
      </c>
      <c r="FC422" t="s">
        <v>236</v>
      </c>
      <c r="FE422" t="s">
        <v>236</v>
      </c>
      <c r="FG422" t="s">
        <v>236</v>
      </c>
      <c r="FJ422" t="s">
        <v>226</v>
      </c>
      <c r="FK422" t="s">
        <v>244</v>
      </c>
      <c r="FL422" t="s">
        <v>236</v>
      </c>
      <c r="FM422" t="s">
        <v>236</v>
      </c>
      <c r="FW422" t="s">
        <v>236</v>
      </c>
      <c r="FZ422" t="s">
        <v>236</v>
      </c>
      <c r="GC422" t="s">
        <v>236</v>
      </c>
      <c r="GF422" t="s">
        <v>226</v>
      </c>
      <c r="GG422" t="s">
        <v>236</v>
      </c>
      <c r="GI422" t="s">
        <v>236</v>
      </c>
      <c r="GL422" t="s">
        <v>236</v>
      </c>
      <c r="GO422" t="s">
        <v>236</v>
      </c>
      <c r="GR422" t="s">
        <v>226</v>
      </c>
      <c r="GS422" t="s">
        <v>236</v>
      </c>
      <c r="GU422" t="s">
        <v>236</v>
      </c>
      <c r="GX422" t="s">
        <v>236</v>
      </c>
      <c r="HB422" t="s">
        <v>303</v>
      </c>
      <c r="HC422" t="s">
        <v>279</v>
      </c>
      <c r="HE422">
        <v>83414138</v>
      </c>
      <c r="HF422" t="s">
        <v>690</v>
      </c>
      <c r="HG422" s="2">
        <v>45757.647233796299</v>
      </c>
      <c r="HJ422" t="s">
        <v>248</v>
      </c>
      <c r="HL422" t="s">
        <v>282</v>
      </c>
      <c r="HN422">
        <v>420</v>
      </c>
    </row>
    <row r="423" spans="1:222" x14ac:dyDescent="0.25">
      <c r="A423" s="2">
        <v>45757.438983981483</v>
      </c>
      <c r="B423" s="2">
        <v>45757.443121689823</v>
      </c>
      <c r="C423" t="s">
        <v>305</v>
      </c>
      <c r="D423">
        <v>55</v>
      </c>
      <c r="E423" s="2">
        <v>45731</v>
      </c>
      <c r="F423">
        <v>2</v>
      </c>
      <c r="G423" t="s">
        <v>710</v>
      </c>
      <c r="H423" t="s">
        <v>391</v>
      </c>
      <c r="I423">
        <v>26</v>
      </c>
      <c r="J423" t="str">
        <f t="shared" si="6"/>
        <v>de 26 a 40 años</v>
      </c>
      <c r="K423" t="s">
        <v>224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225</v>
      </c>
      <c r="R423" t="s">
        <v>226</v>
      </c>
      <c r="T423" t="s">
        <v>227</v>
      </c>
      <c r="V423" t="s">
        <v>228</v>
      </c>
      <c r="W423" t="s">
        <v>229</v>
      </c>
      <c r="X423" t="s">
        <v>253</v>
      </c>
      <c r="Z423" t="s">
        <v>254</v>
      </c>
      <c r="AA423" t="s">
        <v>232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I423" t="s">
        <v>233</v>
      </c>
      <c r="AJ423">
        <v>0</v>
      </c>
      <c r="AK423">
        <v>1</v>
      </c>
      <c r="AL423">
        <v>0</v>
      </c>
      <c r="AM423">
        <v>0</v>
      </c>
      <c r="AN423" t="s">
        <v>300</v>
      </c>
      <c r="AO423" t="s">
        <v>294</v>
      </c>
      <c r="AP423">
        <v>1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X423" t="s">
        <v>226</v>
      </c>
      <c r="AY423" t="s">
        <v>236</v>
      </c>
      <c r="AZ423" t="s">
        <v>259</v>
      </c>
      <c r="BA423" t="s">
        <v>711</v>
      </c>
      <c r="BB423" t="s">
        <v>712</v>
      </c>
      <c r="BE423" t="s">
        <v>261</v>
      </c>
      <c r="BF423" t="s">
        <v>261</v>
      </c>
      <c r="BG423" t="s">
        <v>259</v>
      </c>
      <c r="BH423" t="s">
        <v>261</v>
      </c>
      <c r="BI423" t="s">
        <v>259</v>
      </c>
      <c r="BJ423" t="s">
        <v>261</v>
      </c>
      <c r="BK423" t="s">
        <v>261</v>
      </c>
      <c r="BL423" t="s">
        <v>313</v>
      </c>
      <c r="BM423" t="s">
        <v>365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 t="s">
        <v>264</v>
      </c>
      <c r="CB423" t="s">
        <v>243</v>
      </c>
      <c r="CC423" t="s">
        <v>328</v>
      </c>
      <c r="CD423" t="s">
        <v>236</v>
      </c>
      <c r="CE423" t="s">
        <v>226</v>
      </c>
      <c r="CF423" t="s">
        <v>574</v>
      </c>
      <c r="CG423">
        <v>0</v>
      </c>
      <c r="CH423">
        <v>1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T423" t="s">
        <v>236</v>
      </c>
      <c r="DF423" t="s">
        <v>520</v>
      </c>
      <c r="EA423" t="s">
        <v>236</v>
      </c>
      <c r="EC423" t="s">
        <v>226</v>
      </c>
      <c r="ED423" t="s">
        <v>245</v>
      </c>
      <c r="EE423" t="s">
        <v>226</v>
      </c>
      <c r="EF423" t="s">
        <v>245</v>
      </c>
      <c r="EG423" t="s">
        <v>226</v>
      </c>
      <c r="EH423" t="s">
        <v>245</v>
      </c>
      <c r="EI423" t="s">
        <v>226</v>
      </c>
      <c r="EJ423" t="s">
        <v>244</v>
      </c>
      <c r="EK423" t="s">
        <v>308</v>
      </c>
      <c r="EM423" t="s">
        <v>226</v>
      </c>
      <c r="EN423" t="s">
        <v>244</v>
      </c>
      <c r="EO423" t="s">
        <v>236</v>
      </c>
      <c r="EQ423" t="s">
        <v>236</v>
      </c>
      <c r="ES423" t="s">
        <v>226</v>
      </c>
      <c r="ET423" t="s">
        <v>245</v>
      </c>
      <c r="EU423" t="s">
        <v>226</v>
      </c>
      <c r="EV423" t="s">
        <v>244</v>
      </c>
      <c r="EW423" t="s">
        <v>236</v>
      </c>
      <c r="EY423" t="s">
        <v>236</v>
      </c>
      <c r="FA423" t="s">
        <v>226</v>
      </c>
      <c r="FB423" t="s">
        <v>245</v>
      </c>
      <c r="FC423" t="s">
        <v>236</v>
      </c>
      <c r="FE423" t="s">
        <v>236</v>
      </c>
      <c r="FG423" t="s">
        <v>236</v>
      </c>
      <c r="FJ423" t="s">
        <v>226</v>
      </c>
      <c r="FK423" t="s">
        <v>245</v>
      </c>
      <c r="FL423" t="s">
        <v>226</v>
      </c>
      <c r="FM423" t="s">
        <v>236</v>
      </c>
      <c r="FW423" t="s">
        <v>236</v>
      </c>
      <c r="FZ423" t="s">
        <v>236</v>
      </c>
      <c r="GC423" t="s">
        <v>236</v>
      </c>
      <c r="GF423" t="s">
        <v>236</v>
      </c>
      <c r="GI423" t="s">
        <v>236</v>
      </c>
      <c r="GL423" t="s">
        <v>236</v>
      </c>
      <c r="GO423" t="s">
        <v>226</v>
      </c>
      <c r="GP423" t="s">
        <v>226</v>
      </c>
      <c r="GQ423" t="s">
        <v>570</v>
      </c>
      <c r="GR423" t="s">
        <v>226</v>
      </c>
      <c r="GS423" t="s">
        <v>226</v>
      </c>
      <c r="GT423" t="s">
        <v>266</v>
      </c>
      <c r="GU423" t="s">
        <v>236</v>
      </c>
      <c r="GX423" t="s">
        <v>236</v>
      </c>
      <c r="HB423" t="s">
        <v>358</v>
      </c>
      <c r="HC423" t="s">
        <v>713</v>
      </c>
      <c r="HE423">
        <v>83414394</v>
      </c>
      <c r="HF423" t="s">
        <v>714</v>
      </c>
      <c r="HG423" s="2">
        <v>45757.651377314818</v>
      </c>
      <c r="HJ423" t="s">
        <v>248</v>
      </c>
      <c r="HL423" t="s">
        <v>282</v>
      </c>
      <c r="HN423">
        <v>422</v>
      </c>
    </row>
    <row r="424" spans="1:222" x14ac:dyDescent="0.25">
      <c r="A424" s="2">
        <v>45757.439777569452</v>
      </c>
      <c r="B424" s="2">
        <v>45757.444166539353</v>
      </c>
      <c r="C424" t="s">
        <v>270</v>
      </c>
      <c r="D424">
        <v>274</v>
      </c>
      <c r="E424" s="2">
        <v>45730</v>
      </c>
      <c r="F424">
        <v>5</v>
      </c>
      <c r="G424" t="s">
        <v>380</v>
      </c>
      <c r="H424" t="s">
        <v>223</v>
      </c>
      <c r="I424">
        <v>20</v>
      </c>
      <c r="J424" t="str">
        <f t="shared" si="6"/>
        <v>de 18 a 25 años</v>
      </c>
      <c r="K424" t="s">
        <v>251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291</v>
      </c>
      <c r="R424" t="s">
        <v>226</v>
      </c>
      <c r="T424" t="s">
        <v>227</v>
      </c>
      <c r="V424" t="s">
        <v>321</v>
      </c>
      <c r="W424" t="s">
        <v>229</v>
      </c>
      <c r="X424" t="s">
        <v>253</v>
      </c>
      <c r="Z424" t="s">
        <v>254</v>
      </c>
      <c r="AA424" t="s">
        <v>381</v>
      </c>
      <c r="AB424">
        <v>0</v>
      </c>
      <c r="AC424">
        <v>0</v>
      </c>
      <c r="AD424">
        <v>1</v>
      </c>
      <c r="AE424">
        <v>0</v>
      </c>
      <c r="AF424">
        <v>0</v>
      </c>
      <c r="AG424">
        <v>0</v>
      </c>
      <c r="AI424" t="s">
        <v>256</v>
      </c>
      <c r="AJ424">
        <v>0</v>
      </c>
      <c r="AK424">
        <v>0</v>
      </c>
      <c r="AL424">
        <v>1</v>
      </c>
      <c r="AM424">
        <v>0</v>
      </c>
      <c r="AN424" t="s">
        <v>257</v>
      </c>
      <c r="AO424" t="s">
        <v>275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X424" t="s">
        <v>236</v>
      </c>
      <c r="AZ424" t="s">
        <v>237</v>
      </c>
      <c r="BA424" t="s">
        <v>1443</v>
      </c>
      <c r="BE424" t="s">
        <v>259</v>
      </c>
      <c r="BF424" t="s">
        <v>259</v>
      </c>
      <c r="BG424" t="s">
        <v>237</v>
      </c>
      <c r="BH424" t="s">
        <v>237</v>
      </c>
      <c r="BI424" t="s">
        <v>237</v>
      </c>
      <c r="BJ424" t="s">
        <v>237</v>
      </c>
      <c r="BK424" t="s">
        <v>259</v>
      </c>
      <c r="BL424" t="s">
        <v>262</v>
      </c>
      <c r="BM424" t="s">
        <v>278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 t="s">
        <v>264</v>
      </c>
      <c r="CB424" t="s">
        <v>243</v>
      </c>
      <c r="CC424" t="s">
        <v>264</v>
      </c>
      <c r="CD424" t="s">
        <v>236</v>
      </c>
      <c r="CE424" t="s">
        <v>236</v>
      </c>
      <c r="EA424" t="s">
        <v>236</v>
      </c>
      <c r="EC424" t="s">
        <v>236</v>
      </c>
      <c r="EE424" t="s">
        <v>236</v>
      </c>
      <c r="EG424" t="s">
        <v>226</v>
      </c>
      <c r="EH424" t="s">
        <v>245</v>
      </c>
      <c r="EI424" t="s">
        <v>236</v>
      </c>
      <c r="EK424" t="s">
        <v>226</v>
      </c>
      <c r="EL424" t="s">
        <v>245</v>
      </c>
      <c r="EM424" t="s">
        <v>226</v>
      </c>
      <c r="EN424" t="s">
        <v>245</v>
      </c>
      <c r="EO424" t="s">
        <v>226</v>
      </c>
      <c r="EP424" t="s">
        <v>245</v>
      </c>
      <c r="EQ424" t="s">
        <v>236</v>
      </c>
      <c r="ES424" t="s">
        <v>226</v>
      </c>
      <c r="ET424" t="s">
        <v>245</v>
      </c>
      <c r="EU424" t="s">
        <v>236</v>
      </c>
      <c r="EW424" t="s">
        <v>236</v>
      </c>
      <c r="EY424" t="s">
        <v>236</v>
      </c>
      <c r="FA424" t="s">
        <v>226</v>
      </c>
      <c r="FB424" t="s">
        <v>245</v>
      </c>
      <c r="FC424" t="s">
        <v>236</v>
      </c>
      <c r="FE424" t="s">
        <v>236</v>
      </c>
      <c r="FG424" t="s">
        <v>236</v>
      </c>
      <c r="FJ424" t="s">
        <v>226</v>
      </c>
      <c r="FK424" t="s">
        <v>245</v>
      </c>
      <c r="FL424" t="s">
        <v>236</v>
      </c>
      <c r="FM424" t="s">
        <v>236</v>
      </c>
      <c r="FW424" t="s">
        <v>226</v>
      </c>
      <c r="FX424" t="s">
        <v>226</v>
      </c>
      <c r="FY424" t="s">
        <v>267</v>
      </c>
      <c r="FZ424" t="s">
        <v>236</v>
      </c>
      <c r="GC424" t="s">
        <v>236</v>
      </c>
      <c r="GF424" t="s">
        <v>236</v>
      </c>
      <c r="GI424" t="s">
        <v>236</v>
      </c>
      <c r="GL424" t="s">
        <v>226</v>
      </c>
      <c r="GM424" t="s">
        <v>226</v>
      </c>
      <c r="GN424" t="s">
        <v>267</v>
      </c>
      <c r="GO424" t="s">
        <v>226</v>
      </c>
      <c r="GP424" t="s">
        <v>226</v>
      </c>
      <c r="GQ424" t="s">
        <v>267</v>
      </c>
      <c r="GR424" t="s">
        <v>226</v>
      </c>
      <c r="GS424" t="s">
        <v>226</v>
      </c>
      <c r="GT424" t="s">
        <v>267</v>
      </c>
      <c r="GU424" t="s">
        <v>236</v>
      </c>
      <c r="GX424" t="s">
        <v>236</v>
      </c>
      <c r="HB424" t="s">
        <v>1444</v>
      </c>
      <c r="HE424">
        <v>83414547</v>
      </c>
      <c r="HF424" t="s">
        <v>1445</v>
      </c>
      <c r="HG424" s="2">
        <v>45757.652488425927</v>
      </c>
      <c r="HJ424" t="s">
        <v>248</v>
      </c>
      <c r="HL424" t="s">
        <v>282</v>
      </c>
      <c r="HN424">
        <v>423</v>
      </c>
    </row>
    <row r="425" spans="1:222" x14ac:dyDescent="0.25">
      <c r="A425" s="2">
        <v>45757.443122291668</v>
      </c>
      <c r="B425" s="2">
        <v>45757.445414907408</v>
      </c>
      <c r="C425" t="s">
        <v>305</v>
      </c>
      <c r="D425">
        <v>41</v>
      </c>
      <c r="E425" s="2">
        <v>45732</v>
      </c>
      <c r="F425">
        <v>5</v>
      </c>
      <c r="G425" t="s">
        <v>290</v>
      </c>
      <c r="H425" t="s">
        <v>223</v>
      </c>
      <c r="I425">
        <v>40</v>
      </c>
      <c r="J425" t="str">
        <f t="shared" si="6"/>
        <v>de 26 a 40 años</v>
      </c>
      <c r="K425" t="s">
        <v>251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291</v>
      </c>
      <c r="R425" t="s">
        <v>226</v>
      </c>
      <c r="T425" t="s">
        <v>659</v>
      </c>
      <c r="V425" t="s">
        <v>252</v>
      </c>
      <c r="W425" t="s">
        <v>229</v>
      </c>
      <c r="X425" t="s">
        <v>230</v>
      </c>
      <c r="Z425" t="s">
        <v>231</v>
      </c>
      <c r="AA425" t="s">
        <v>293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I425" t="s">
        <v>233</v>
      </c>
      <c r="AJ425">
        <v>0</v>
      </c>
      <c r="AK425">
        <v>1</v>
      </c>
      <c r="AL425">
        <v>0</v>
      </c>
      <c r="AM425">
        <v>0</v>
      </c>
      <c r="AN425" t="s">
        <v>234</v>
      </c>
      <c r="AO425" t="s">
        <v>275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X425" t="s">
        <v>226</v>
      </c>
      <c r="AY425" t="s">
        <v>236</v>
      </c>
      <c r="AZ425" t="s">
        <v>237</v>
      </c>
      <c r="BA425" t="s">
        <v>674</v>
      </c>
      <c r="BE425" t="s">
        <v>259</v>
      </c>
      <c r="BF425" t="s">
        <v>237</v>
      </c>
      <c r="BG425" t="s">
        <v>259</v>
      </c>
      <c r="BH425" t="s">
        <v>259</v>
      </c>
      <c r="BI425" t="s">
        <v>259</v>
      </c>
      <c r="BJ425" t="s">
        <v>237</v>
      </c>
      <c r="BK425" t="s">
        <v>259</v>
      </c>
      <c r="BL425" t="s">
        <v>240</v>
      </c>
      <c r="BM425" t="s">
        <v>389</v>
      </c>
      <c r="BN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 t="s">
        <v>264</v>
      </c>
      <c r="CB425" t="s">
        <v>264</v>
      </c>
      <c r="CC425" t="s">
        <v>243</v>
      </c>
      <c r="CD425" t="s">
        <v>226</v>
      </c>
      <c r="CE425" t="s">
        <v>236</v>
      </c>
      <c r="EA425" t="s">
        <v>236</v>
      </c>
      <c r="EC425" t="s">
        <v>236</v>
      </c>
      <c r="EE425" t="s">
        <v>226</v>
      </c>
      <c r="EF425" t="s">
        <v>245</v>
      </c>
      <c r="EG425" t="s">
        <v>226</v>
      </c>
      <c r="EH425" t="s">
        <v>245</v>
      </c>
      <c r="EI425" t="s">
        <v>236</v>
      </c>
      <c r="EK425" t="s">
        <v>236</v>
      </c>
      <c r="EM425" t="s">
        <v>226</v>
      </c>
      <c r="EN425" t="s">
        <v>244</v>
      </c>
      <c r="EO425" t="s">
        <v>226</v>
      </c>
      <c r="EP425" t="s">
        <v>244</v>
      </c>
      <c r="EQ425" t="s">
        <v>236</v>
      </c>
      <c r="ES425" t="s">
        <v>236</v>
      </c>
      <c r="EU425" t="s">
        <v>236</v>
      </c>
      <c r="EW425" t="s">
        <v>236</v>
      </c>
      <c r="EY425" t="s">
        <v>226</v>
      </c>
      <c r="EZ425" t="s">
        <v>245</v>
      </c>
      <c r="FA425" t="s">
        <v>236</v>
      </c>
      <c r="FC425" t="s">
        <v>236</v>
      </c>
      <c r="FE425" t="s">
        <v>236</v>
      </c>
      <c r="FG425" t="s">
        <v>236</v>
      </c>
      <c r="FJ425" t="s">
        <v>226</v>
      </c>
      <c r="FK425" t="s">
        <v>265</v>
      </c>
      <c r="FL425" t="s">
        <v>236</v>
      </c>
      <c r="FM425" t="s">
        <v>236</v>
      </c>
      <c r="FW425" t="s">
        <v>236</v>
      </c>
      <c r="FZ425" t="s">
        <v>236</v>
      </c>
      <c r="GC425" t="s">
        <v>236</v>
      </c>
      <c r="GF425" t="s">
        <v>226</v>
      </c>
      <c r="GG425" t="s">
        <v>226</v>
      </c>
      <c r="GH425" t="s">
        <v>267</v>
      </c>
      <c r="GI425" t="s">
        <v>236</v>
      </c>
      <c r="GL425" t="s">
        <v>236</v>
      </c>
      <c r="GO425" t="s">
        <v>226</v>
      </c>
      <c r="GP425" t="s">
        <v>236</v>
      </c>
      <c r="GR425" t="s">
        <v>226</v>
      </c>
      <c r="GS425" t="s">
        <v>226</v>
      </c>
      <c r="GT425" t="s">
        <v>266</v>
      </c>
      <c r="GU425" t="s">
        <v>236</v>
      </c>
      <c r="GX425" t="s">
        <v>236</v>
      </c>
      <c r="HB425" t="s">
        <v>675</v>
      </c>
      <c r="HE425">
        <v>83414617</v>
      </c>
      <c r="HF425" t="s">
        <v>676</v>
      </c>
      <c r="HG425" s="2">
        <v>45757.653657407413</v>
      </c>
      <c r="HJ425" t="s">
        <v>248</v>
      </c>
      <c r="HL425" t="s">
        <v>282</v>
      </c>
      <c r="HN425">
        <v>424</v>
      </c>
    </row>
    <row r="426" spans="1:222" x14ac:dyDescent="0.25">
      <c r="A426" s="2">
        <v>45757.444167650458</v>
      </c>
      <c r="B426" s="2">
        <v>45757.485352719908</v>
      </c>
      <c r="C426" t="s">
        <v>270</v>
      </c>
      <c r="D426">
        <v>276</v>
      </c>
      <c r="E426" s="2">
        <v>45730</v>
      </c>
      <c r="F426">
        <v>1</v>
      </c>
      <c r="G426" t="s">
        <v>507</v>
      </c>
      <c r="H426" t="s">
        <v>375</v>
      </c>
      <c r="I426">
        <v>42</v>
      </c>
      <c r="J426" t="str">
        <f t="shared" si="6"/>
        <v>de 41 a 55 años</v>
      </c>
      <c r="K426" t="s">
        <v>224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291</v>
      </c>
      <c r="R426" t="s">
        <v>226</v>
      </c>
      <c r="T426" t="s">
        <v>227</v>
      </c>
      <c r="V426" t="s">
        <v>321</v>
      </c>
      <c r="W426" t="s">
        <v>229</v>
      </c>
      <c r="X426" t="s">
        <v>230</v>
      </c>
      <c r="Z426" t="s">
        <v>231</v>
      </c>
      <c r="AA426" t="s">
        <v>255</v>
      </c>
      <c r="AB426">
        <v>0</v>
      </c>
      <c r="AC426">
        <v>0</v>
      </c>
      <c r="AD426">
        <v>0</v>
      </c>
      <c r="AE426">
        <v>1</v>
      </c>
      <c r="AF426">
        <v>0</v>
      </c>
      <c r="AG426">
        <v>0</v>
      </c>
      <c r="AI426" t="s">
        <v>233</v>
      </c>
      <c r="AJ426">
        <v>0</v>
      </c>
      <c r="AK426">
        <v>1</v>
      </c>
      <c r="AL426">
        <v>0</v>
      </c>
      <c r="AM426">
        <v>0</v>
      </c>
      <c r="AN426" t="s">
        <v>257</v>
      </c>
      <c r="AO426" t="s">
        <v>382</v>
      </c>
      <c r="AP426">
        <v>0</v>
      </c>
      <c r="AQ426">
        <v>0</v>
      </c>
      <c r="AR426">
        <v>1</v>
      </c>
      <c r="AS426">
        <v>0</v>
      </c>
      <c r="AT426">
        <v>0</v>
      </c>
      <c r="AU426">
        <v>0</v>
      </c>
      <c r="AV426">
        <v>0</v>
      </c>
      <c r="AX426" t="s">
        <v>236</v>
      </c>
      <c r="AZ426" t="s">
        <v>237</v>
      </c>
      <c r="BA426" t="s">
        <v>1449</v>
      </c>
      <c r="BB426" t="s">
        <v>1450</v>
      </c>
      <c r="BE426" t="s">
        <v>237</v>
      </c>
      <c r="BF426" t="s">
        <v>259</v>
      </c>
      <c r="BG426" t="s">
        <v>237</v>
      </c>
      <c r="BH426" t="s">
        <v>237</v>
      </c>
      <c r="BI426" t="s">
        <v>259</v>
      </c>
      <c r="BJ426" t="s">
        <v>237</v>
      </c>
      <c r="BK426" t="s">
        <v>259</v>
      </c>
      <c r="BL426" t="s">
        <v>262</v>
      </c>
      <c r="BM426" t="s">
        <v>451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 t="s">
        <v>242</v>
      </c>
      <c r="CB426" t="s">
        <v>243</v>
      </c>
      <c r="CC426" t="s">
        <v>264</v>
      </c>
      <c r="CD426" t="s">
        <v>236</v>
      </c>
      <c r="CE426" t="s">
        <v>236</v>
      </c>
      <c r="EA426" t="s">
        <v>236</v>
      </c>
      <c r="EC426" t="s">
        <v>236</v>
      </c>
      <c r="EE426" t="s">
        <v>226</v>
      </c>
      <c r="EF426" t="s">
        <v>245</v>
      </c>
      <c r="EG426" t="s">
        <v>226</v>
      </c>
      <c r="EH426" t="s">
        <v>245</v>
      </c>
      <c r="EI426" t="s">
        <v>236</v>
      </c>
      <c r="EK426" t="s">
        <v>236</v>
      </c>
      <c r="EM426" t="s">
        <v>236</v>
      </c>
      <c r="EO426" t="s">
        <v>226</v>
      </c>
      <c r="EP426" t="s">
        <v>244</v>
      </c>
      <c r="EQ426" t="s">
        <v>236</v>
      </c>
      <c r="ES426" t="s">
        <v>226</v>
      </c>
      <c r="ET426" t="s">
        <v>245</v>
      </c>
      <c r="EU426" t="s">
        <v>236</v>
      </c>
      <c r="EW426" t="s">
        <v>236</v>
      </c>
      <c r="EY426" t="s">
        <v>236</v>
      </c>
      <c r="FA426" t="s">
        <v>236</v>
      </c>
      <c r="FC426" t="s">
        <v>236</v>
      </c>
      <c r="FE426" t="s">
        <v>226</v>
      </c>
      <c r="FF426" t="s">
        <v>245</v>
      </c>
      <c r="FG426" t="s">
        <v>236</v>
      </c>
      <c r="FJ426" t="s">
        <v>236</v>
      </c>
      <c r="FM426" t="s">
        <v>236</v>
      </c>
      <c r="FW426" t="s">
        <v>236</v>
      </c>
      <c r="FZ426" t="s">
        <v>236</v>
      </c>
      <c r="GC426" t="s">
        <v>236</v>
      </c>
      <c r="GF426" t="s">
        <v>226</v>
      </c>
      <c r="GG426" t="s">
        <v>236</v>
      </c>
      <c r="GI426" t="s">
        <v>236</v>
      </c>
      <c r="GL426" t="s">
        <v>236</v>
      </c>
      <c r="GO426" t="s">
        <v>236</v>
      </c>
      <c r="GR426" t="s">
        <v>236</v>
      </c>
      <c r="GU426" t="s">
        <v>236</v>
      </c>
      <c r="GX426" t="s">
        <v>236</v>
      </c>
      <c r="HB426" t="s">
        <v>510</v>
      </c>
      <c r="HC426" t="s">
        <v>338</v>
      </c>
      <c r="HE426">
        <v>83422496</v>
      </c>
      <c r="HF426" t="s">
        <v>1451</v>
      </c>
      <c r="HG426" s="2">
        <v>45757.693680555552</v>
      </c>
      <c r="HJ426" t="s">
        <v>248</v>
      </c>
      <c r="HL426" t="s">
        <v>282</v>
      </c>
      <c r="HN426">
        <v>437</v>
      </c>
    </row>
    <row r="427" spans="1:222" x14ac:dyDescent="0.25">
      <c r="A427" s="2">
        <v>45757.445415532413</v>
      </c>
      <c r="B427" s="2">
        <v>45757.450169189811</v>
      </c>
      <c r="C427" t="s">
        <v>305</v>
      </c>
      <c r="D427">
        <v>42</v>
      </c>
      <c r="E427" s="2">
        <v>45732</v>
      </c>
      <c r="F427">
        <v>5</v>
      </c>
      <c r="G427" t="s">
        <v>290</v>
      </c>
      <c r="H427" t="s">
        <v>223</v>
      </c>
      <c r="I427">
        <v>31</v>
      </c>
      <c r="J427" t="str">
        <f t="shared" si="6"/>
        <v>de 26 a 40 años</v>
      </c>
      <c r="K427" t="s">
        <v>224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291</v>
      </c>
      <c r="R427" t="s">
        <v>226</v>
      </c>
      <c r="T427" t="s">
        <v>227</v>
      </c>
      <c r="V427" t="s">
        <v>272</v>
      </c>
      <c r="W427" t="s">
        <v>229</v>
      </c>
      <c r="X427" t="s">
        <v>230</v>
      </c>
      <c r="Z427" t="s">
        <v>351</v>
      </c>
      <c r="AA427" t="s">
        <v>232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I427" t="s">
        <v>233</v>
      </c>
      <c r="AJ427">
        <v>0</v>
      </c>
      <c r="AK427">
        <v>1</v>
      </c>
      <c r="AL427">
        <v>0</v>
      </c>
      <c r="AM427">
        <v>0</v>
      </c>
      <c r="AN427" t="s">
        <v>257</v>
      </c>
      <c r="AO427" t="s">
        <v>235</v>
      </c>
      <c r="AP427">
        <v>0</v>
      </c>
      <c r="AQ427">
        <v>0</v>
      </c>
      <c r="AR427">
        <v>0</v>
      </c>
      <c r="AS427">
        <v>1</v>
      </c>
      <c r="AT427">
        <v>0</v>
      </c>
      <c r="AU427">
        <v>0</v>
      </c>
      <c r="AV427">
        <v>0</v>
      </c>
      <c r="AX427" t="s">
        <v>226</v>
      </c>
      <c r="AY427" t="s">
        <v>226</v>
      </c>
      <c r="AZ427" t="s">
        <v>237</v>
      </c>
      <c r="BA427" t="s">
        <v>677</v>
      </c>
      <c r="BB427" t="s">
        <v>678</v>
      </c>
      <c r="BE427" t="s">
        <v>261</v>
      </c>
      <c r="BF427" t="s">
        <v>237</v>
      </c>
      <c r="BG427" t="s">
        <v>259</v>
      </c>
      <c r="BH427" t="s">
        <v>237</v>
      </c>
      <c r="BI427" t="s">
        <v>237</v>
      </c>
      <c r="BJ427" t="s">
        <v>237</v>
      </c>
      <c r="BK427" t="s">
        <v>259</v>
      </c>
      <c r="BL427" t="s">
        <v>262</v>
      </c>
      <c r="BM427" t="s">
        <v>278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 t="s">
        <v>264</v>
      </c>
      <c r="CB427" t="s">
        <v>243</v>
      </c>
      <c r="CC427" t="s">
        <v>264</v>
      </c>
      <c r="CD427" t="s">
        <v>226</v>
      </c>
      <c r="CE427" t="s">
        <v>236</v>
      </c>
      <c r="EA427" t="s">
        <v>226</v>
      </c>
      <c r="EB427" t="s">
        <v>244</v>
      </c>
      <c r="EC427" t="s">
        <v>236</v>
      </c>
      <c r="EE427" t="s">
        <v>226</v>
      </c>
      <c r="EF427" t="s">
        <v>265</v>
      </c>
      <c r="EG427" t="s">
        <v>226</v>
      </c>
      <c r="EH427" t="s">
        <v>265</v>
      </c>
      <c r="EI427" t="s">
        <v>236</v>
      </c>
      <c r="EK427" t="s">
        <v>236</v>
      </c>
      <c r="EM427" t="s">
        <v>226</v>
      </c>
      <c r="EN427" t="s">
        <v>265</v>
      </c>
      <c r="EO427" t="s">
        <v>236</v>
      </c>
      <c r="EQ427" t="s">
        <v>236</v>
      </c>
      <c r="ES427" t="s">
        <v>236</v>
      </c>
      <c r="EU427" t="s">
        <v>236</v>
      </c>
      <c r="EW427" t="s">
        <v>236</v>
      </c>
      <c r="EY427" t="s">
        <v>226</v>
      </c>
      <c r="EZ427" t="s">
        <v>244</v>
      </c>
      <c r="FA427" t="s">
        <v>236</v>
      </c>
      <c r="FC427" t="s">
        <v>236</v>
      </c>
      <c r="FE427" t="s">
        <v>236</v>
      </c>
      <c r="FG427" t="s">
        <v>236</v>
      </c>
      <c r="FJ427" t="s">
        <v>226</v>
      </c>
      <c r="FK427" t="s">
        <v>245</v>
      </c>
      <c r="FL427" t="s">
        <v>226</v>
      </c>
      <c r="FM427" t="s">
        <v>236</v>
      </c>
      <c r="FW427" t="s">
        <v>226</v>
      </c>
      <c r="FX427" t="s">
        <v>236</v>
      </c>
      <c r="FZ427" t="s">
        <v>236</v>
      </c>
      <c r="GC427" t="s">
        <v>236</v>
      </c>
      <c r="GF427" t="s">
        <v>226</v>
      </c>
      <c r="GG427" t="s">
        <v>236</v>
      </c>
      <c r="GI427" t="s">
        <v>236</v>
      </c>
      <c r="GL427" t="s">
        <v>226</v>
      </c>
      <c r="GM427" t="s">
        <v>236</v>
      </c>
      <c r="GO427" t="s">
        <v>236</v>
      </c>
      <c r="GR427" t="s">
        <v>226</v>
      </c>
      <c r="GS427" t="s">
        <v>236</v>
      </c>
      <c r="GU427" t="s">
        <v>236</v>
      </c>
      <c r="GX427" t="s">
        <v>236</v>
      </c>
      <c r="HB427" t="s">
        <v>679</v>
      </c>
      <c r="HE427">
        <v>83414867</v>
      </c>
      <c r="HF427" t="s">
        <v>680</v>
      </c>
      <c r="HG427" s="2">
        <v>45757.658414351848</v>
      </c>
      <c r="HJ427" t="s">
        <v>248</v>
      </c>
      <c r="HL427" t="s">
        <v>282</v>
      </c>
      <c r="HN427">
        <v>425</v>
      </c>
    </row>
    <row r="428" spans="1:222" x14ac:dyDescent="0.25">
      <c r="A428" s="2">
        <v>45757.450169780102</v>
      </c>
      <c r="B428" s="2">
        <v>45757.457265092591</v>
      </c>
      <c r="C428" t="s">
        <v>305</v>
      </c>
      <c r="D428">
        <v>50</v>
      </c>
      <c r="E428" s="2">
        <v>45731</v>
      </c>
      <c r="F428">
        <v>2</v>
      </c>
      <c r="G428" t="s">
        <v>290</v>
      </c>
      <c r="H428" t="s">
        <v>391</v>
      </c>
      <c r="I428">
        <v>33</v>
      </c>
      <c r="J428" t="str">
        <f t="shared" si="6"/>
        <v>de 26 a 40 años</v>
      </c>
      <c r="K428" t="s">
        <v>224</v>
      </c>
      <c r="L428">
        <v>1</v>
      </c>
      <c r="M428">
        <v>0</v>
      </c>
      <c r="N428">
        <v>0</v>
      </c>
      <c r="O428">
        <v>0</v>
      </c>
      <c r="P428">
        <v>0</v>
      </c>
      <c r="Q428" t="s">
        <v>225</v>
      </c>
      <c r="R428" t="s">
        <v>226</v>
      </c>
      <c r="T428" t="s">
        <v>227</v>
      </c>
      <c r="V428" t="s">
        <v>228</v>
      </c>
      <c r="W428" t="s">
        <v>229</v>
      </c>
      <c r="X428" t="s">
        <v>230</v>
      </c>
      <c r="Z428" t="s">
        <v>231</v>
      </c>
      <c r="AA428" t="s">
        <v>232</v>
      </c>
      <c r="AB428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I428" t="s">
        <v>233</v>
      </c>
      <c r="AJ428">
        <v>0</v>
      </c>
      <c r="AK428">
        <v>1</v>
      </c>
      <c r="AL428">
        <v>0</v>
      </c>
      <c r="AM428">
        <v>0</v>
      </c>
      <c r="AN428" t="s">
        <v>234</v>
      </c>
      <c r="AO428" t="s">
        <v>235</v>
      </c>
      <c r="AP428">
        <v>0</v>
      </c>
      <c r="AQ428">
        <v>0</v>
      </c>
      <c r="AR428">
        <v>0</v>
      </c>
      <c r="AS428">
        <v>1</v>
      </c>
      <c r="AT428">
        <v>0</v>
      </c>
      <c r="AU428">
        <v>0</v>
      </c>
      <c r="AV428">
        <v>0</v>
      </c>
      <c r="AX428" t="s">
        <v>226</v>
      </c>
      <c r="AY428" t="s">
        <v>226</v>
      </c>
      <c r="AZ428" t="s">
        <v>237</v>
      </c>
      <c r="BA428" t="s">
        <v>698</v>
      </c>
      <c r="BE428" t="s">
        <v>239</v>
      </c>
      <c r="BF428" t="s">
        <v>239</v>
      </c>
      <c r="BG428" t="s">
        <v>239</v>
      </c>
      <c r="BH428" t="s">
        <v>261</v>
      </c>
      <c r="BI428" t="s">
        <v>237</v>
      </c>
      <c r="BJ428" t="s">
        <v>237</v>
      </c>
      <c r="BK428" t="s">
        <v>259</v>
      </c>
      <c r="BL428" t="s">
        <v>262</v>
      </c>
      <c r="BM428" t="s">
        <v>278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1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 t="s">
        <v>264</v>
      </c>
      <c r="CB428" t="s">
        <v>243</v>
      </c>
      <c r="CC428" t="s">
        <v>264</v>
      </c>
      <c r="CD428" t="s">
        <v>236</v>
      </c>
      <c r="CE428" t="s">
        <v>236</v>
      </c>
      <c r="EA428" t="s">
        <v>236</v>
      </c>
      <c r="EC428" t="s">
        <v>236</v>
      </c>
      <c r="EE428" t="s">
        <v>226</v>
      </c>
      <c r="EF428" t="s">
        <v>244</v>
      </c>
      <c r="EG428" t="s">
        <v>226</v>
      </c>
      <c r="EH428" t="s">
        <v>244</v>
      </c>
      <c r="EI428" t="s">
        <v>236</v>
      </c>
      <c r="EK428" t="s">
        <v>236</v>
      </c>
      <c r="EM428" t="s">
        <v>226</v>
      </c>
      <c r="EN428" t="s">
        <v>244</v>
      </c>
      <c r="EO428" t="s">
        <v>236</v>
      </c>
      <c r="EQ428" t="s">
        <v>236</v>
      </c>
      <c r="ES428" t="s">
        <v>236</v>
      </c>
      <c r="EU428" t="s">
        <v>236</v>
      </c>
      <c r="EW428" t="s">
        <v>236</v>
      </c>
      <c r="EY428" t="s">
        <v>226</v>
      </c>
      <c r="EZ428" t="s">
        <v>244</v>
      </c>
      <c r="FA428" t="s">
        <v>226</v>
      </c>
      <c r="FB428" t="s">
        <v>244</v>
      </c>
      <c r="FC428" t="s">
        <v>236</v>
      </c>
      <c r="FE428" t="s">
        <v>236</v>
      </c>
      <c r="FG428" t="s">
        <v>236</v>
      </c>
      <c r="FJ428" t="s">
        <v>236</v>
      </c>
      <c r="FM428" t="s">
        <v>236</v>
      </c>
      <c r="FW428" t="s">
        <v>236</v>
      </c>
      <c r="FZ428" t="s">
        <v>236</v>
      </c>
      <c r="GC428" t="s">
        <v>236</v>
      </c>
      <c r="GF428" t="s">
        <v>226</v>
      </c>
      <c r="GG428" t="s">
        <v>236</v>
      </c>
      <c r="GI428" t="s">
        <v>236</v>
      </c>
      <c r="GL428" t="s">
        <v>226</v>
      </c>
      <c r="GM428" t="s">
        <v>236</v>
      </c>
      <c r="GO428" t="s">
        <v>236</v>
      </c>
      <c r="GR428" t="s">
        <v>226</v>
      </c>
      <c r="GS428" t="s">
        <v>236</v>
      </c>
      <c r="GU428" t="s">
        <v>236</v>
      </c>
      <c r="GX428" t="s">
        <v>236</v>
      </c>
      <c r="HB428" t="s">
        <v>699</v>
      </c>
      <c r="HE428">
        <v>83415274</v>
      </c>
      <c r="HF428" t="s">
        <v>700</v>
      </c>
      <c r="HG428" s="2">
        <v>45757.665520833332</v>
      </c>
      <c r="HJ428" t="s">
        <v>248</v>
      </c>
      <c r="HL428" t="s">
        <v>282</v>
      </c>
      <c r="HN428">
        <v>426</v>
      </c>
    </row>
    <row r="429" spans="1:222" x14ac:dyDescent="0.25">
      <c r="A429" s="2">
        <v>45757.457265555553</v>
      </c>
      <c r="B429" s="2">
        <v>45757.460641724538</v>
      </c>
      <c r="C429" t="s">
        <v>305</v>
      </c>
      <c r="D429">
        <v>53</v>
      </c>
      <c r="E429" s="2">
        <v>45731</v>
      </c>
      <c r="F429">
        <v>2</v>
      </c>
      <c r="G429" t="s">
        <v>290</v>
      </c>
      <c r="H429" t="s">
        <v>391</v>
      </c>
      <c r="I429">
        <v>67</v>
      </c>
      <c r="J429" t="str">
        <f t="shared" si="6"/>
        <v>de 56 a más</v>
      </c>
      <c r="K429" t="s">
        <v>251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291</v>
      </c>
      <c r="R429" t="s">
        <v>226</v>
      </c>
      <c r="T429" t="s">
        <v>227</v>
      </c>
      <c r="V429" t="s">
        <v>252</v>
      </c>
      <c r="W429" t="s">
        <v>229</v>
      </c>
      <c r="X429" t="s">
        <v>368</v>
      </c>
      <c r="Z429" t="s">
        <v>231</v>
      </c>
      <c r="AA429" t="s">
        <v>293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I429" t="s">
        <v>233</v>
      </c>
      <c r="AJ429">
        <v>0</v>
      </c>
      <c r="AK429">
        <v>1</v>
      </c>
      <c r="AL429">
        <v>0</v>
      </c>
      <c r="AM429">
        <v>0</v>
      </c>
      <c r="AN429" t="s">
        <v>234</v>
      </c>
      <c r="AO429" t="s">
        <v>235</v>
      </c>
      <c r="AP429">
        <v>0</v>
      </c>
      <c r="AQ429">
        <v>0</v>
      </c>
      <c r="AR429">
        <v>0</v>
      </c>
      <c r="AS429">
        <v>1</v>
      </c>
      <c r="AT429">
        <v>0</v>
      </c>
      <c r="AU429">
        <v>0</v>
      </c>
      <c r="AV429">
        <v>0</v>
      </c>
      <c r="AX429" t="s">
        <v>226</v>
      </c>
      <c r="AY429" t="s">
        <v>226</v>
      </c>
      <c r="AZ429" t="s">
        <v>237</v>
      </c>
      <c r="BA429" t="s">
        <v>705</v>
      </c>
      <c r="BE429" t="s">
        <v>259</v>
      </c>
      <c r="BF429" t="s">
        <v>237</v>
      </c>
      <c r="BG429" t="s">
        <v>259</v>
      </c>
      <c r="BH429" t="s">
        <v>259</v>
      </c>
      <c r="BI429" t="s">
        <v>259</v>
      </c>
      <c r="BJ429" t="s">
        <v>237</v>
      </c>
      <c r="BK429" t="s">
        <v>259</v>
      </c>
      <c r="BL429" t="s">
        <v>262</v>
      </c>
      <c r="BM429" t="s">
        <v>365</v>
      </c>
      <c r="BN429">
        <v>0</v>
      </c>
      <c r="BO429">
        <v>1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 t="s">
        <v>264</v>
      </c>
      <c r="CB429" t="s">
        <v>243</v>
      </c>
      <c r="CC429" t="s">
        <v>243</v>
      </c>
      <c r="CD429" t="s">
        <v>236</v>
      </c>
      <c r="CE429" t="s">
        <v>236</v>
      </c>
      <c r="EA429" t="s">
        <v>236</v>
      </c>
      <c r="EC429" t="s">
        <v>236</v>
      </c>
      <c r="EE429" t="s">
        <v>226</v>
      </c>
      <c r="EF429" t="s">
        <v>244</v>
      </c>
      <c r="EG429" t="s">
        <v>226</v>
      </c>
      <c r="EH429" t="s">
        <v>244</v>
      </c>
      <c r="EI429" t="s">
        <v>236</v>
      </c>
      <c r="EK429" t="s">
        <v>236</v>
      </c>
      <c r="EM429" t="s">
        <v>226</v>
      </c>
      <c r="EN429" t="s">
        <v>244</v>
      </c>
      <c r="EO429" t="s">
        <v>236</v>
      </c>
      <c r="EQ429" t="s">
        <v>236</v>
      </c>
      <c r="ES429" t="s">
        <v>236</v>
      </c>
      <c r="EU429" t="s">
        <v>236</v>
      </c>
      <c r="EW429" t="s">
        <v>236</v>
      </c>
      <c r="EY429" t="s">
        <v>236</v>
      </c>
      <c r="FA429" t="s">
        <v>226</v>
      </c>
      <c r="FB429" t="s">
        <v>244</v>
      </c>
      <c r="FC429" t="s">
        <v>236</v>
      </c>
      <c r="FE429" t="s">
        <v>236</v>
      </c>
      <c r="FG429" t="s">
        <v>236</v>
      </c>
      <c r="FJ429" t="s">
        <v>226</v>
      </c>
      <c r="FK429" t="s">
        <v>245</v>
      </c>
      <c r="FL429" t="s">
        <v>236</v>
      </c>
      <c r="FM429" t="s">
        <v>236</v>
      </c>
      <c r="FW429" t="s">
        <v>236</v>
      </c>
      <c r="FZ429" t="s">
        <v>236</v>
      </c>
      <c r="GC429" t="s">
        <v>236</v>
      </c>
      <c r="GF429" t="s">
        <v>236</v>
      </c>
      <c r="GI429" t="s">
        <v>236</v>
      </c>
      <c r="GL429" t="s">
        <v>236</v>
      </c>
      <c r="GO429" t="s">
        <v>236</v>
      </c>
      <c r="GR429" t="s">
        <v>236</v>
      </c>
      <c r="GU429" t="s">
        <v>236</v>
      </c>
      <c r="GX429" t="s">
        <v>236</v>
      </c>
      <c r="HB429" t="s">
        <v>706</v>
      </c>
      <c r="HE429">
        <v>83417141</v>
      </c>
      <c r="HF429" t="s">
        <v>707</v>
      </c>
      <c r="HG429" s="2">
        <v>45757.668888888889</v>
      </c>
      <c r="HJ429" t="s">
        <v>248</v>
      </c>
      <c r="HL429" t="s">
        <v>282</v>
      </c>
      <c r="HN429">
        <v>427</v>
      </c>
    </row>
    <row r="430" spans="1:222" x14ac:dyDescent="0.25">
      <c r="A430" s="2">
        <v>45757.460642164348</v>
      </c>
      <c r="B430" s="2">
        <v>45757.464962962957</v>
      </c>
      <c r="C430" t="s">
        <v>305</v>
      </c>
      <c r="D430">
        <v>56</v>
      </c>
      <c r="E430" s="2">
        <v>45731</v>
      </c>
      <c r="F430">
        <v>2</v>
      </c>
      <c r="G430" t="s">
        <v>290</v>
      </c>
      <c r="H430" t="s">
        <v>391</v>
      </c>
      <c r="I430">
        <v>44</v>
      </c>
      <c r="J430" t="str">
        <f t="shared" si="6"/>
        <v>de 41 a 55 años</v>
      </c>
      <c r="K430" t="s">
        <v>251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225</v>
      </c>
      <c r="R430" t="s">
        <v>226</v>
      </c>
      <c r="T430" t="s">
        <v>227</v>
      </c>
      <c r="V430" t="s">
        <v>252</v>
      </c>
      <c r="W430" t="s">
        <v>229</v>
      </c>
      <c r="X430" t="s">
        <v>230</v>
      </c>
      <c r="Z430" t="s">
        <v>231</v>
      </c>
      <c r="AA430" t="s">
        <v>232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I430" t="s">
        <v>233</v>
      </c>
      <c r="AJ430">
        <v>0</v>
      </c>
      <c r="AK430">
        <v>1</v>
      </c>
      <c r="AL430">
        <v>0</v>
      </c>
      <c r="AM430">
        <v>0</v>
      </c>
      <c r="AN430" t="s">
        <v>234</v>
      </c>
      <c r="AO430" t="s">
        <v>294</v>
      </c>
      <c r="AP430">
        <v>1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X430" t="s">
        <v>226</v>
      </c>
      <c r="AY430" t="s">
        <v>226</v>
      </c>
      <c r="AZ430" t="s">
        <v>237</v>
      </c>
      <c r="BA430" t="s">
        <v>715</v>
      </c>
      <c r="BE430" t="s">
        <v>259</v>
      </c>
      <c r="BF430" t="s">
        <v>259</v>
      </c>
      <c r="BG430" t="s">
        <v>259</v>
      </c>
      <c r="BH430" t="s">
        <v>259</v>
      </c>
      <c r="BI430" t="s">
        <v>259</v>
      </c>
      <c r="BJ430" t="s">
        <v>237</v>
      </c>
      <c r="BK430" t="s">
        <v>259</v>
      </c>
      <c r="BL430" t="s">
        <v>262</v>
      </c>
      <c r="BM430" t="s">
        <v>278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1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 t="s">
        <v>264</v>
      </c>
      <c r="CB430" t="s">
        <v>264</v>
      </c>
      <c r="CC430" t="s">
        <v>264</v>
      </c>
      <c r="CD430" t="s">
        <v>236</v>
      </c>
      <c r="CE430" t="s">
        <v>236</v>
      </c>
      <c r="EA430" t="s">
        <v>236</v>
      </c>
      <c r="EC430" t="s">
        <v>236</v>
      </c>
      <c r="EE430" t="s">
        <v>226</v>
      </c>
      <c r="EF430" t="s">
        <v>244</v>
      </c>
      <c r="EG430" t="s">
        <v>226</v>
      </c>
      <c r="EH430" t="s">
        <v>245</v>
      </c>
      <c r="EI430" t="s">
        <v>236</v>
      </c>
      <c r="EK430" t="s">
        <v>236</v>
      </c>
      <c r="EM430" t="s">
        <v>236</v>
      </c>
      <c r="EO430" t="s">
        <v>236</v>
      </c>
      <c r="EQ430" t="s">
        <v>236</v>
      </c>
      <c r="ES430" t="s">
        <v>236</v>
      </c>
      <c r="EU430" t="s">
        <v>236</v>
      </c>
      <c r="EW430" t="s">
        <v>236</v>
      </c>
      <c r="EY430" t="s">
        <v>236</v>
      </c>
      <c r="FA430" t="s">
        <v>226</v>
      </c>
      <c r="FB430" t="s">
        <v>244</v>
      </c>
      <c r="FC430" t="s">
        <v>236</v>
      </c>
      <c r="FE430" t="s">
        <v>236</v>
      </c>
      <c r="FG430" t="s">
        <v>236</v>
      </c>
      <c r="FJ430" t="s">
        <v>226</v>
      </c>
      <c r="FK430" t="s">
        <v>245</v>
      </c>
      <c r="FL430" t="s">
        <v>236</v>
      </c>
      <c r="FM430" t="s">
        <v>236</v>
      </c>
      <c r="FW430" t="s">
        <v>236</v>
      </c>
      <c r="FZ430" t="s">
        <v>236</v>
      </c>
      <c r="GC430" t="s">
        <v>236</v>
      </c>
      <c r="GF430" t="s">
        <v>226</v>
      </c>
      <c r="GG430" t="s">
        <v>236</v>
      </c>
      <c r="GI430" t="s">
        <v>236</v>
      </c>
      <c r="GL430" t="s">
        <v>236</v>
      </c>
      <c r="GO430" t="s">
        <v>226</v>
      </c>
      <c r="GP430" t="s">
        <v>236</v>
      </c>
      <c r="GR430" t="s">
        <v>236</v>
      </c>
      <c r="GU430" t="s">
        <v>236</v>
      </c>
      <c r="GX430" t="s">
        <v>236</v>
      </c>
      <c r="HB430" t="s">
        <v>716</v>
      </c>
      <c r="HE430">
        <v>83419235</v>
      </c>
      <c r="HF430" t="s">
        <v>717</v>
      </c>
      <c r="HG430" s="2">
        <v>45757.673206018517</v>
      </c>
      <c r="HJ430" t="s">
        <v>248</v>
      </c>
      <c r="HL430" t="s">
        <v>282</v>
      </c>
      <c r="HN430">
        <v>428</v>
      </c>
    </row>
    <row r="431" spans="1:222" x14ac:dyDescent="0.25">
      <c r="A431" s="2">
        <v>45757.464963402781</v>
      </c>
      <c r="B431" s="2">
        <v>45757.470139259261</v>
      </c>
      <c r="C431" t="s">
        <v>305</v>
      </c>
      <c r="D431">
        <v>58</v>
      </c>
      <c r="E431" s="2">
        <v>45730</v>
      </c>
      <c r="F431">
        <v>2</v>
      </c>
      <c r="G431" t="s">
        <v>290</v>
      </c>
      <c r="H431" t="s">
        <v>391</v>
      </c>
      <c r="I431">
        <v>26</v>
      </c>
      <c r="J431" t="str">
        <f t="shared" si="6"/>
        <v>de 26 a 40 años</v>
      </c>
      <c r="K431" t="s">
        <v>224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225</v>
      </c>
      <c r="R431" t="s">
        <v>226</v>
      </c>
      <c r="T431" t="s">
        <v>227</v>
      </c>
      <c r="V431" t="s">
        <v>321</v>
      </c>
      <c r="W431" t="s">
        <v>229</v>
      </c>
      <c r="X431" t="s">
        <v>230</v>
      </c>
      <c r="Z431" t="s">
        <v>351</v>
      </c>
      <c r="AA431" t="s">
        <v>232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I431" t="s">
        <v>719</v>
      </c>
      <c r="AJ431">
        <v>1</v>
      </c>
      <c r="AK431">
        <v>0</v>
      </c>
      <c r="AL431">
        <v>1</v>
      </c>
      <c r="AM431">
        <v>0</v>
      </c>
      <c r="AN431" t="s">
        <v>274</v>
      </c>
      <c r="AO431" t="s">
        <v>294</v>
      </c>
      <c r="AP431">
        <v>1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X431" t="s">
        <v>226</v>
      </c>
      <c r="AY431" t="s">
        <v>226</v>
      </c>
      <c r="AZ431" t="s">
        <v>259</v>
      </c>
      <c r="BA431" t="s">
        <v>720</v>
      </c>
      <c r="BE431" t="s">
        <v>259</v>
      </c>
      <c r="BF431" t="s">
        <v>259</v>
      </c>
      <c r="BG431" t="s">
        <v>237</v>
      </c>
      <c r="BH431" t="s">
        <v>259</v>
      </c>
      <c r="BI431" t="s">
        <v>237</v>
      </c>
      <c r="BJ431" t="s">
        <v>237</v>
      </c>
      <c r="BK431" t="s">
        <v>259</v>
      </c>
      <c r="BL431" t="s">
        <v>262</v>
      </c>
      <c r="BM431" t="s">
        <v>296</v>
      </c>
      <c r="BN431">
        <v>0</v>
      </c>
      <c r="BO431">
        <v>0</v>
      </c>
      <c r="BP431">
        <v>0</v>
      </c>
      <c r="BQ431">
        <v>0</v>
      </c>
      <c r="BR431">
        <v>1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 t="s">
        <v>264</v>
      </c>
      <c r="CB431" t="s">
        <v>264</v>
      </c>
      <c r="CC431" t="s">
        <v>264</v>
      </c>
      <c r="CD431" t="s">
        <v>236</v>
      </c>
      <c r="CE431" t="s">
        <v>236</v>
      </c>
      <c r="EA431" t="s">
        <v>236</v>
      </c>
      <c r="EC431" t="s">
        <v>236</v>
      </c>
      <c r="EE431" t="s">
        <v>236</v>
      </c>
      <c r="EG431" t="s">
        <v>226</v>
      </c>
      <c r="EH431" t="s">
        <v>244</v>
      </c>
      <c r="EI431" t="s">
        <v>236</v>
      </c>
      <c r="EK431" t="s">
        <v>236</v>
      </c>
      <c r="EM431" t="s">
        <v>236</v>
      </c>
      <c r="EO431" t="s">
        <v>236</v>
      </c>
      <c r="EQ431" t="s">
        <v>236</v>
      </c>
      <c r="ES431" t="s">
        <v>236</v>
      </c>
      <c r="EU431" t="s">
        <v>236</v>
      </c>
      <c r="EW431" t="s">
        <v>236</v>
      </c>
      <c r="EY431" t="s">
        <v>236</v>
      </c>
      <c r="FA431" t="s">
        <v>226</v>
      </c>
      <c r="FB431" t="s">
        <v>245</v>
      </c>
      <c r="FC431" t="s">
        <v>236</v>
      </c>
      <c r="FE431" t="s">
        <v>236</v>
      </c>
      <c r="FG431" t="s">
        <v>236</v>
      </c>
      <c r="FJ431" t="s">
        <v>226</v>
      </c>
      <c r="FK431" t="s">
        <v>245</v>
      </c>
      <c r="FL431" t="s">
        <v>236</v>
      </c>
      <c r="FM431" t="s">
        <v>236</v>
      </c>
      <c r="FW431" t="s">
        <v>236</v>
      </c>
      <c r="FZ431" t="s">
        <v>236</v>
      </c>
      <c r="GC431" t="s">
        <v>236</v>
      </c>
      <c r="GF431" t="s">
        <v>226</v>
      </c>
      <c r="GG431" t="s">
        <v>226</v>
      </c>
      <c r="GH431" t="s">
        <v>267</v>
      </c>
      <c r="GI431" t="s">
        <v>236</v>
      </c>
      <c r="GL431" t="s">
        <v>236</v>
      </c>
      <c r="GO431" t="s">
        <v>226</v>
      </c>
      <c r="GP431" t="s">
        <v>236</v>
      </c>
      <c r="GR431" t="s">
        <v>226</v>
      </c>
      <c r="GS431" t="s">
        <v>226</v>
      </c>
      <c r="GT431" t="s">
        <v>266</v>
      </c>
      <c r="GU431" t="s">
        <v>236</v>
      </c>
      <c r="GX431" t="s">
        <v>236</v>
      </c>
      <c r="HB431" t="s">
        <v>721</v>
      </c>
      <c r="HE431">
        <v>83419975</v>
      </c>
      <c r="HF431" t="s">
        <v>722</v>
      </c>
      <c r="HG431" s="2">
        <v>45757.678391203714</v>
      </c>
      <c r="HJ431" t="s">
        <v>248</v>
      </c>
      <c r="HL431" t="s">
        <v>282</v>
      </c>
      <c r="HN431">
        <v>429</v>
      </c>
    </row>
    <row r="432" spans="1:222" x14ac:dyDescent="0.25">
      <c r="A432" s="2">
        <v>45757.467920462957</v>
      </c>
      <c r="B432" s="2">
        <v>45757.472478206022</v>
      </c>
      <c r="C432" t="s">
        <v>221</v>
      </c>
      <c r="D432">
        <v>74</v>
      </c>
      <c r="E432" s="2">
        <v>45730</v>
      </c>
      <c r="F432">
        <v>2</v>
      </c>
      <c r="G432" t="s">
        <v>290</v>
      </c>
      <c r="H432" t="s">
        <v>391</v>
      </c>
      <c r="I432">
        <v>52</v>
      </c>
      <c r="J432" t="str">
        <f t="shared" si="6"/>
        <v>de 41 a 55 años</v>
      </c>
      <c r="K432" t="s">
        <v>251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291</v>
      </c>
      <c r="R432" t="s">
        <v>226</v>
      </c>
      <c r="T432" t="s">
        <v>392</v>
      </c>
      <c r="V432" t="s">
        <v>252</v>
      </c>
      <c r="W432" t="s">
        <v>229</v>
      </c>
      <c r="X432" t="s">
        <v>299</v>
      </c>
      <c r="Z432" t="s">
        <v>308</v>
      </c>
      <c r="AA432" t="s">
        <v>293</v>
      </c>
      <c r="AB432">
        <v>0</v>
      </c>
      <c r="AC432">
        <v>0</v>
      </c>
      <c r="AD432">
        <v>0</v>
      </c>
      <c r="AE432">
        <v>0</v>
      </c>
      <c r="AF432">
        <v>1</v>
      </c>
      <c r="AG432">
        <v>0</v>
      </c>
      <c r="AI432" t="s">
        <v>233</v>
      </c>
      <c r="AJ432">
        <v>0</v>
      </c>
      <c r="AK432">
        <v>1</v>
      </c>
      <c r="AL432">
        <v>0</v>
      </c>
      <c r="AM432">
        <v>0</v>
      </c>
      <c r="AN432" t="s">
        <v>300</v>
      </c>
      <c r="AO432" t="s">
        <v>353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0</v>
      </c>
      <c r="AV432">
        <v>0</v>
      </c>
      <c r="AX432" t="s">
        <v>226</v>
      </c>
      <c r="AY432" t="s">
        <v>236</v>
      </c>
      <c r="AZ432" t="s">
        <v>237</v>
      </c>
      <c r="BA432" t="s">
        <v>766</v>
      </c>
      <c r="BE432" t="s">
        <v>259</v>
      </c>
      <c r="BF432" t="s">
        <v>362</v>
      </c>
      <c r="BG432" t="s">
        <v>362</v>
      </c>
      <c r="BH432" t="s">
        <v>259</v>
      </c>
      <c r="BI432" t="s">
        <v>237</v>
      </c>
      <c r="BJ432" t="s">
        <v>237</v>
      </c>
      <c r="BK432" t="s">
        <v>261</v>
      </c>
      <c r="BL432" t="s">
        <v>262</v>
      </c>
      <c r="BM432" t="s">
        <v>296</v>
      </c>
      <c r="BN432">
        <v>0</v>
      </c>
      <c r="BO432">
        <v>0</v>
      </c>
      <c r="BP432">
        <v>0</v>
      </c>
      <c r="BQ432">
        <v>0</v>
      </c>
      <c r="BR432">
        <v>1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 t="s">
        <v>264</v>
      </c>
      <c r="CB432" t="s">
        <v>264</v>
      </c>
      <c r="CC432" t="s">
        <v>264</v>
      </c>
      <c r="CD432" t="s">
        <v>226</v>
      </c>
      <c r="CE432" t="s">
        <v>236</v>
      </c>
      <c r="EA432" t="s">
        <v>236</v>
      </c>
      <c r="EC432" t="s">
        <v>236</v>
      </c>
      <c r="EE432" t="s">
        <v>236</v>
      </c>
      <c r="EG432" t="s">
        <v>226</v>
      </c>
      <c r="EH432" t="s">
        <v>245</v>
      </c>
      <c r="EI432" t="s">
        <v>236</v>
      </c>
      <c r="EK432" t="s">
        <v>236</v>
      </c>
      <c r="EM432" t="s">
        <v>236</v>
      </c>
      <c r="EO432" t="s">
        <v>236</v>
      </c>
      <c r="EQ432" t="s">
        <v>236</v>
      </c>
      <c r="ES432" t="s">
        <v>236</v>
      </c>
      <c r="EU432" t="s">
        <v>236</v>
      </c>
      <c r="EW432" t="s">
        <v>236</v>
      </c>
      <c r="EY432" t="s">
        <v>226</v>
      </c>
      <c r="EZ432" t="s">
        <v>244</v>
      </c>
      <c r="FA432" t="s">
        <v>226</v>
      </c>
      <c r="FB432" t="s">
        <v>245</v>
      </c>
      <c r="FC432" t="s">
        <v>236</v>
      </c>
      <c r="FE432" t="s">
        <v>236</v>
      </c>
      <c r="FG432" t="s">
        <v>226</v>
      </c>
      <c r="FH432" t="s">
        <v>767</v>
      </c>
      <c r="FI432" t="s">
        <v>265</v>
      </c>
      <c r="FJ432" t="s">
        <v>226</v>
      </c>
      <c r="FK432" t="s">
        <v>265</v>
      </c>
      <c r="FL432" t="s">
        <v>236</v>
      </c>
      <c r="FM432" t="s">
        <v>236</v>
      </c>
      <c r="FW432" t="s">
        <v>236</v>
      </c>
      <c r="FZ432" t="s">
        <v>236</v>
      </c>
      <c r="GC432" t="s">
        <v>236</v>
      </c>
      <c r="GF432" t="s">
        <v>226</v>
      </c>
      <c r="GG432" t="s">
        <v>226</v>
      </c>
      <c r="GH432" t="s">
        <v>266</v>
      </c>
      <c r="GI432" t="s">
        <v>236</v>
      </c>
      <c r="GL432" t="s">
        <v>236</v>
      </c>
      <c r="GO432" t="s">
        <v>226</v>
      </c>
      <c r="GP432" t="s">
        <v>236</v>
      </c>
      <c r="GR432" t="s">
        <v>236</v>
      </c>
      <c r="GU432" t="s">
        <v>236</v>
      </c>
      <c r="GX432" t="s">
        <v>236</v>
      </c>
      <c r="HB432" t="s">
        <v>768</v>
      </c>
      <c r="HE432">
        <v>83420166</v>
      </c>
      <c r="HF432" t="s">
        <v>769</v>
      </c>
      <c r="HG432" s="2">
        <v>45757.68072916667</v>
      </c>
      <c r="HJ432" t="s">
        <v>248</v>
      </c>
      <c r="HL432" t="s">
        <v>282</v>
      </c>
      <c r="HN432">
        <v>431</v>
      </c>
    </row>
    <row r="433" spans="1:222" x14ac:dyDescent="0.25">
      <c r="A433" s="2">
        <v>45757.470139733799</v>
      </c>
      <c r="B433" s="2">
        <v>45757.472157384262</v>
      </c>
      <c r="C433" t="s">
        <v>305</v>
      </c>
      <c r="D433">
        <v>61</v>
      </c>
      <c r="E433" s="2">
        <v>45730</v>
      </c>
      <c r="F433">
        <v>2</v>
      </c>
      <c r="G433" t="s">
        <v>290</v>
      </c>
      <c r="H433" t="s">
        <v>391</v>
      </c>
      <c r="I433">
        <v>28</v>
      </c>
      <c r="J433" t="str">
        <f t="shared" si="6"/>
        <v>de 26 a 40 años</v>
      </c>
      <c r="K433" t="s">
        <v>251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225</v>
      </c>
      <c r="R433" t="s">
        <v>226</v>
      </c>
      <c r="T433" t="s">
        <v>227</v>
      </c>
      <c r="V433" t="s">
        <v>252</v>
      </c>
      <c r="W433" t="s">
        <v>229</v>
      </c>
      <c r="X433" t="s">
        <v>230</v>
      </c>
      <c r="Z433" t="s">
        <v>231</v>
      </c>
      <c r="AA433" t="s">
        <v>232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I433" t="s">
        <v>233</v>
      </c>
      <c r="AJ433">
        <v>0</v>
      </c>
      <c r="AK433">
        <v>1</v>
      </c>
      <c r="AL433">
        <v>0</v>
      </c>
      <c r="AM433">
        <v>0</v>
      </c>
      <c r="AN433" t="s">
        <v>234</v>
      </c>
      <c r="AO433" t="s">
        <v>275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</v>
      </c>
      <c r="AV433">
        <v>0</v>
      </c>
      <c r="AX433" t="s">
        <v>226</v>
      </c>
      <c r="AY433" t="s">
        <v>226</v>
      </c>
      <c r="AZ433" t="s">
        <v>237</v>
      </c>
      <c r="BA433" t="s">
        <v>728</v>
      </c>
      <c r="BE433" t="s">
        <v>259</v>
      </c>
      <c r="BF433" t="s">
        <v>259</v>
      </c>
      <c r="BG433" t="s">
        <v>237</v>
      </c>
      <c r="BH433" t="s">
        <v>259</v>
      </c>
      <c r="BI433" t="s">
        <v>237</v>
      </c>
      <c r="BJ433" t="s">
        <v>237</v>
      </c>
      <c r="BK433" t="s">
        <v>259</v>
      </c>
      <c r="BL433" t="s">
        <v>262</v>
      </c>
      <c r="BM433" t="s">
        <v>451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 t="s">
        <v>264</v>
      </c>
      <c r="CB433" t="s">
        <v>243</v>
      </c>
      <c r="CC433" t="s">
        <v>264</v>
      </c>
      <c r="CD433" t="s">
        <v>236</v>
      </c>
      <c r="CE433" t="s">
        <v>236</v>
      </c>
      <c r="EA433" t="s">
        <v>236</v>
      </c>
      <c r="EC433" t="s">
        <v>236</v>
      </c>
      <c r="EE433" t="s">
        <v>236</v>
      </c>
      <c r="EG433" t="s">
        <v>226</v>
      </c>
      <c r="EH433" t="s">
        <v>244</v>
      </c>
      <c r="EI433" t="s">
        <v>236</v>
      </c>
      <c r="EK433" t="s">
        <v>236</v>
      </c>
      <c r="EM433" t="s">
        <v>236</v>
      </c>
      <c r="EO433" t="s">
        <v>226</v>
      </c>
      <c r="EP433" t="s">
        <v>244</v>
      </c>
      <c r="EQ433" t="s">
        <v>236</v>
      </c>
      <c r="ES433" t="s">
        <v>236</v>
      </c>
      <c r="EU433" t="s">
        <v>236</v>
      </c>
      <c r="EW433" t="s">
        <v>236</v>
      </c>
      <c r="EY433" t="s">
        <v>226</v>
      </c>
      <c r="EZ433" t="s">
        <v>244</v>
      </c>
      <c r="FA433" t="s">
        <v>236</v>
      </c>
      <c r="FC433" t="s">
        <v>236</v>
      </c>
      <c r="FE433" t="s">
        <v>236</v>
      </c>
      <c r="FG433" t="s">
        <v>236</v>
      </c>
      <c r="FJ433" t="s">
        <v>226</v>
      </c>
      <c r="FK433" t="s">
        <v>245</v>
      </c>
      <c r="FL433" t="s">
        <v>236</v>
      </c>
      <c r="FM433" t="s">
        <v>236</v>
      </c>
      <c r="FW433" t="s">
        <v>236</v>
      </c>
      <c r="FZ433" t="s">
        <v>236</v>
      </c>
      <c r="GC433" t="s">
        <v>236</v>
      </c>
      <c r="GF433" t="s">
        <v>226</v>
      </c>
      <c r="GG433" t="s">
        <v>236</v>
      </c>
      <c r="GI433" t="s">
        <v>236</v>
      </c>
      <c r="GL433" t="s">
        <v>236</v>
      </c>
      <c r="GO433" t="s">
        <v>226</v>
      </c>
      <c r="GP433" t="s">
        <v>236</v>
      </c>
      <c r="GR433" t="s">
        <v>226</v>
      </c>
      <c r="GS433" t="s">
        <v>226</v>
      </c>
      <c r="GT433" t="s">
        <v>266</v>
      </c>
      <c r="GU433" t="s">
        <v>226</v>
      </c>
      <c r="GV433" t="s">
        <v>226</v>
      </c>
      <c r="GW433" t="s">
        <v>570</v>
      </c>
      <c r="GX433" t="s">
        <v>236</v>
      </c>
      <c r="HB433" t="s">
        <v>729</v>
      </c>
      <c r="HE433">
        <v>83420141</v>
      </c>
      <c r="HF433" t="s">
        <v>730</v>
      </c>
      <c r="HG433" s="2">
        <v>45757.680405092593</v>
      </c>
      <c r="HJ433" t="s">
        <v>248</v>
      </c>
      <c r="HL433" t="s">
        <v>282</v>
      </c>
      <c r="HN433">
        <v>430</v>
      </c>
    </row>
    <row r="434" spans="1:222" x14ac:dyDescent="0.25">
      <c r="A434" s="2">
        <v>45757.4721578588</v>
      </c>
      <c r="B434" s="2">
        <v>45757.477567048612</v>
      </c>
      <c r="C434" t="s">
        <v>305</v>
      </c>
      <c r="D434">
        <v>66</v>
      </c>
      <c r="E434" s="2">
        <v>45730</v>
      </c>
      <c r="F434">
        <v>2</v>
      </c>
      <c r="G434" t="s">
        <v>290</v>
      </c>
      <c r="H434" t="s">
        <v>391</v>
      </c>
      <c r="I434">
        <v>34</v>
      </c>
      <c r="J434" t="str">
        <f t="shared" si="6"/>
        <v>de 26 a 40 años</v>
      </c>
      <c r="K434" t="s">
        <v>251</v>
      </c>
      <c r="L434">
        <v>2</v>
      </c>
      <c r="M434">
        <v>0</v>
      </c>
      <c r="N434">
        <v>0</v>
      </c>
      <c r="O434">
        <v>0</v>
      </c>
      <c r="P434">
        <v>0</v>
      </c>
      <c r="Q434" t="s">
        <v>225</v>
      </c>
      <c r="R434" t="s">
        <v>226</v>
      </c>
      <c r="T434" t="s">
        <v>227</v>
      </c>
      <c r="V434" t="s">
        <v>228</v>
      </c>
      <c r="W434" t="s">
        <v>229</v>
      </c>
      <c r="X434" t="s">
        <v>230</v>
      </c>
      <c r="Z434" t="s">
        <v>351</v>
      </c>
      <c r="AA434" t="s">
        <v>232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I434" t="s">
        <v>233</v>
      </c>
      <c r="AJ434">
        <v>0</v>
      </c>
      <c r="AK434">
        <v>1</v>
      </c>
      <c r="AL434">
        <v>0</v>
      </c>
      <c r="AM434">
        <v>0</v>
      </c>
      <c r="AN434" t="s">
        <v>234</v>
      </c>
      <c r="AO434" t="s">
        <v>235</v>
      </c>
      <c r="AP434">
        <v>0</v>
      </c>
      <c r="AQ434">
        <v>0</v>
      </c>
      <c r="AR434">
        <v>0</v>
      </c>
      <c r="AS434">
        <v>1</v>
      </c>
      <c r="AT434">
        <v>0</v>
      </c>
      <c r="AU434">
        <v>0</v>
      </c>
      <c r="AV434">
        <v>0</v>
      </c>
      <c r="AX434" t="s">
        <v>226</v>
      </c>
      <c r="AY434" t="s">
        <v>226</v>
      </c>
      <c r="AZ434" t="s">
        <v>237</v>
      </c>
      <c r="BA434" t="s">
        <v>715</v>
      </c>
      <c r="BE434" t="s">
        <v>259</v>
      </c>
      <c r="BF434" t="s">
        <v>237</v>
      </c>
      <c r="BG434" t="s">
        <v>259</v>
      </c>
      <c r="BH434" t="s">
        <v>259</v>
      </c>
      <c r="BI434" t="s">
        <v>259</v>
      </c>
      <c r="BJ434" t="s">
        <v>237</v>
      </c>
      <c r="BK434" t="s">
        <v>259</v>
      </c>
      <c r="BL434" t="s">
        <v>262</v>
      </c>
      <c r="BM434" t="s">
        <v>314</v>
      </c>
      <c r="BN434">
        <v>0</v>
      </c>
      <c r="BO434">
        <v>0</v>
      </c>
      <c r="BP434">
        <v>0</v>
      </c>
      <c r="BQ434">
        <v>1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 t="s">
        <v>264</v>
      </c>
      <c r="CB434" t="s">
        <v>264</v>
      </c>
      <c r="CC434" t="s">
        <v>264</v>
      </c>
      <c r="CD434" t="s">
        <v>236</v>
      </c>
      <c r="CE434" t="s">
        <v>236</v>
      </c>
      <c r="EA434" t="s">
        <v>236</v>
      </c>
      <c r="EC434" t="s">
        <v>236</v>
      </c>
      <c r="EE434" t="s">
        <v>226</v>
      </c>
      <c r="EF434" t="s">
        <v>244</v>
      </c>
      <c r="EG434" t="s">
        <v>226</v>
      </c>
      <c r="EH434" t="s">
        <v>244</v>
      </c>
      <c r="EI434" t="s">
        <v>308</v>
      </c>
      <c r="EK434" t="s">
        <v>308</v>
      </c>
      <c r="EM434" t="s">
        <v>308</v>
      </c>
      <c r="EO434" t="s">
        <v>226</v>
      </c>
      <c r="EP434" t="s">
        <v>244</v>
      </c>
      <c r="EQ434" t="s">
        <v>226</v>
      </c>
      <c r="ER434" t="s">
        <v>244</v>
      </c>
      <c r="ES434" t="s">
        <v>226</v>
      </c>
      <c r="ET434" t="s">
        <v>244</v>
      </c>
      <c r="EU434" t="s">
        <v>226</v>
      </c>
      <c r="EV434" t="s">
        <v>244</v>
      </c>
      <c r="EW434" t="s">
        <v>226</v>
      </c>
      <c r="EX434" t="s">
        <v>244</v>
      </c>
      <c r="EY434" t="s">
        <v>236</v>
      </c>
      <c r="FA434" t="s">
        <v>236</v>
      </c>
      <c r="FC434" t="s">
        <v>236</v>
      </c>
      <c r="FE434" t="s">
        <v>236</v>
      </c>
      <c r="FG434" t="s">
        <v>236</v>
      </c>
      <c r="FJ434" t="s">
        <v>226</v>
      </c>
      <c r="FK434" t="s">
        <v>245</v>
      </c>
      <c r="FL434" t="s">
        <v>226</v>
      </c>
      <c r="FM434" t="s">
        <v>236</v>
      </c>
      <c r="FW434" t="s">
        <v>226</v>
      </c>
      <c r="FX434" t="s">
        <v>236</v>
      </c>
      <c r="FZ434" t="s">
        <v>236</v>
      </c>
      <c r="GC434" t="s">
        <v>236</v>
      </c>
      <c r="GF434" t="s">
        <v>226</v>
      </c>
      <c r="GG434" t="s">
        <v>236</v>
      </c>
      <c r="GI434" t="s">
        <v>236</v>
      </c>
      <c r="GL434" t="s">
        <v>226</v>
      </c>
      <c r="GM434" t="s">
        <v>236</v>
      </c>
      <c r="GO434" t="s">
        <v>226</v>
      </c>
      <c r="GP434" t="s">
        <v>236</v>
      </c>
      <c r="GR434" t="s">
        <v>226</v>
      </c>
      <c r="GS434" t="s">
        <v>236</v>
      </c>
      <c r="GU434" t="s">
        <v>226</v>
      </c>
      <c r="GV434" t="s">
        <v>236</v>
      </c>
      <c r="GX434" t="s">
        <v>236</v>
      </c>
      <c r="HB434" t="s">
        <v>744</v>
      </c>
      <c r="HE434">
        <v>83421215</v>
      </c>
      <c r="HF434" t="s">
        <v>745</v>
      </c>
      <c r="HG434" s="2">
        <v>45757.685810185183</v>
      </c>
      <c r="HJ434" t="s">
        <v>248</v>
      </c>
      <c r="HL434" t="s">
        <v>282</v>
      </c>
      <c r="HN434">
        <v>433</v>
      </c>
    </row>
    <row r="435" spans="1:222" x14ac:dyDescent="0.25">
      <c r="A435" s="2">
        <v>45757.472478692129</v>
      </c>
      <c r="B435" s="2">
        <v>45757.477377384261</v>
      </c>
      <c r="C435" t="s">
        <v>221</v>
      </c>
      <c r="D435">
        <v>76</v>
      </c>
      <c r="E435" s="2">
        <v>45730</v>
      </c>
      <c r="F435">
        <v>2</v>
      </c>
      <c r="G435" t="s">
        <v>290</v>
      </c>
      <c r="H435" t="s">
        <v>391</v>
      </c>
      <c r="I435">
        <v>26</v>
      </c>
      <c r="J435" t="str">
        <f t="shared" si="6"/>
        <v>de 26 a 40 años</v>
      </c>
      <c r="K435" t="s">
        <v>251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291</v>
      </c>
      <c r="R435" t="s">
        <v>236</v>
      </c>
      <c r="S435" t="s">
        <v>771</v>
      </c>
      <c r="T435" t="s">
        <v>659</v>
      </c>
      <c r="V435" t="s">
        <v>252</v>
      </c>
      <c r="W435" t="s">
        <v>229</v>
      </c>
      <c r="X435" t="s">
        <v>230</v>
      </c>
      <c r="Z435" t="s">
        <v>231</v>
      </c>
      <c r="AA435" t="s">
        <v>255</v>
      </c>
      <c r="AB435">
        <v>0</v>
      </c>
      <c r="AC435">
        <v>0</v>
      </c>
      <c r="AD435">
        <v>0</v>
      </c>
      <c r="AE435">
        <v>1</v>
      </c>
      <c r="AF435">
        <v>0</v>
      </c>
      <c r="AG435">
        <v>0</v>
      </c>
      <c r="AI435" t="s">
        <v>256</v>
      </c>
      <c r="AJ435">
        <v>0</v>
      </c>
      <c r="AK435">
        <v>0</v>
      </c>
      <c r="AL435">
        <v>1</v>
      </c>
      <c r="AM435">
        <v>0</v>
      </c>
      <c r="AN435" t="s">
        <v>234</v>
      </c>
      <c r="AO435" t="s">
        <v>275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</v>
      </c>
      <c r="AV435">
        <v>0</v>
      </c>
      <c r="AX435" t="s">
        <v>226</v>
      </c>
      <c r="AY435" t="s">
        <v>236</v>
      </c>
      <c r="AZ435" t="s">
        <v>237</v>
      </c>
      <c r="BA435" t="s">
        <v>580</v>
      </c>
      <c r="BE435" t="s">
        <v>239</v>
      </c>
      <c r="BF435" t="s">
        <v>237</v>
      </c>
      <c r="BG435" t="s">
        <v>237</v>
      </c>
      <c r="BH435" t="s">
        <v>259</v>
      </c>
      <c r="BI435" t="s">
        <v>237</v>
      </c>
      <c r="BJ435" t="s">
        <v>237</v>
      </c>
      <c r="BK435" t="s">
        <v>261</v>
      </c>
      <c r="BL435" t="s">
        <v>262</v>
      </c>
      <c r="BM435" t="s">
        <v>296</v>
      </c>
      <c r="BN435">
        <v>0</v>
      </c>
      <c r="BO435">
        <v>0</v>
      </c>
      <c r="BP435">
        <v>0</v>
      </c>
      <c r="BQ435">
        <v>0</v>
      </c>
      <c r="BR435">
        <v>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 t="s">
        <v>264</v>
      </c>
      <c r="CB435" t="s">
        <v>264</v>
      </c>
      <c r="CC435" t="s">
        <v>264</v>
      </c>
      <c r="CD435" t="s">
        <v>236</v>
      </c>
      <c r="CE435" t="s">
        <v>236</v>
      </c>
      <c r="EA435" t="s">
        <v>226</v>
      </c>
      <c r="EB435" t="s">
        <v>245</v>
      </c>
      <c r="EC435" t="s">
        <v>226</v>
      </c>
      <c r="ED435" t="s">
        <v>245</v>
      </c>
      <c r="EE435" t="s">
        <v>226</v>
      </c>
      <c r="EF435" t="s">
        <v>244</v>
      </c>
      <c r="EG435" t="s">
        <v>236</v>
      </c>
      <c r="EI435" t="s">
        <v>236</v>
      </c>
      <c r="EK435" t="s">
        <v>236</v>
      </c>
      <c r="EM435" t="s">
        <v>236</v>
      </c>
      <c r="EO435" t="s">
        <v>236</v>
      </c>
      <c r="EQ435" t="s">
        <v>236</v>
      </c>
      <c r="ES435" t="s">
        <v>236</v>
      </c>
      <c r="EU435" t="s">
        <v>226</v>
      </c>
      <c r="EV435" t="s">
        <v>244</v>
      </c>
      <c r="EW435" t="s">
        <v>226</v>
      </c>
      <c r="EX435" t="s">
        <v>265</v>
      </c>
      <c r="EY435" t="s">
        <v>236</v>
      </c>
      <c r="FA435" t="s">
        <v>236</v>
      </c>
      <c r="FC435" t="s">
        <v>308</v>
      </c>
      <c r="FE435" t="s">
        <v>236</v>
      </c>
      <c r="FG435" t="s">
        <v>236</v>
      </c>
      <c r="FJ435" t="s">
        <v>226</v>
      </c>
      <c r="FK435" t="s">
        <v>245</v>
      </c>
      <c r="FL435" t="s">
        <v>236</v>
      </c>
      <c r="FM435" t="s">
        <v>236</v>
      </c>
      <c r="FW435" t="s">
        <v>236</v>
      </c>
      <c r="FZ435" t="s">
        <v>236</v>
      </c>
      <c r="GC435" t="s">
        <v>236</v>
      </c>
      <c r="GF435" t="s">
        <v>226</v>
      </c>
      <c r="GG435" t="s">
        <v>236</v>
      </c>
      <c r="GI435" t="s">
        <v>236</v>
      </c>
      <c r="GL435" t="s">
        <v>236</v>
      </c>
      <c r="GO435" t="s">
        <v>226</v>
      </c>
      <c r="GP435" t="s">
        <v>226</v>
      </c>
      <c r="GQ435" t="s">
        <v>266</v>
      </c>
      <c r="GR435" t="s">
        <v>226</v>
      </c>
      <c r="GS435" t="s">
        <v>226</v>
      </c>
      <c r="GT435" t="s">
        <v>267</v>
      </c>
      <c r="GU435" t="s">
        <v>236</v>
      </c>
      <c r="GX435" t="s">
        <v>236</v>
      </c>
      <c r="HB435" t="s">
        <v>772</v>
      </c>
      <c r="HE435">
        <v>83421190</v>
      </c>
      <c r="HF435" t="s">
        <v>773</v>
      </c>
      <c r="HG435" s="2">
        <v>45757.685636574082</v>
      </c>
      <c r="HJ435" t="s">
        <v>248</v>
      </c>
      <c r="HL435" t="s">
        <v>282</v>
      </c>
      <c r="HN435">
        <v>432</v>
      </c>
    </row>
    <row r="436" spans="1:222" x14ac:dyDescent="0.25">
      <c r="A436" s="2">
        <v>45757.47737792824</v>
      </c>
      <c r="B436" s="2">
        <v>45757.4835771875</v>
      </c>
      <c r="C436" t="s">
        <v>221</v>
      </c>
      <c r="D436">
        <v>77</v>
      </c>
      <c r="E436" s="2">
        <v>45730</v>
      </c>
      <c r="F436">
        <v>2</v>
      </c>
      <c r="G436" t="s">
        <v>290</v>
      </c>
      <c r="H436" t="s">
        <v>391</v>
      </c>
      <c r="I436">
        <v>25</v>
      </c>
      <c r="J436" t="str">
        <f t="shared" si="6"/>
        <v>de 18 a 25 años</v>
      </c>
      <c r="K436" t="s">
        <v>251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225</v>
      </c>
      <c r="R436" t="s">
        <v>226</v>
      </c>
      <c r="T436" t="s">
        <v>227</v>
      </c>
      <c r="V436" t="s">
        <v>228</v>
      </c>
      <c r="W436" t="s">
        <v>229</v>
      </c>
      <c r="X436" t="s">
        <v>230</v>
      </c>
      <c r="Z436" t="s">
        <v>351</v>
      </c>
      <c r="AA436" t="s">
        <v>293</v>
      </c>
      <c r="AB436">
        <v>0</v>
      </c>
      <c r="AC436">
        <v>0</v>
      </c>
      <c r="AD436">
        <v>0</v>
      </c>
      <c r="AE436">
        <v>0</v>
      </c>
      <c r="AF436">
        <v>1</v>
      </c>
      <c r="AG436">
        <v>0</v>
      </c>
      <c r="AI436" t="s">
        <v>256</v>
      </c>
      <c r="AJ436">
        <v>0</v>
      </c>
      <c r="AK436">
        <v>0</v>
      </c>
      <c r="AL436">
        <v>1</v>
      </c>
      <c r="AM436">
        <v>0</v>
      </c>
      <c r="AN436" t="s">
        <v>300</v>
      </c>
      <c r="AO436" t="s">
        <v>275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0</v>
      </c>
      <c r="AX436" t="s">
        <v>226</v>
      </c>
      <c r="AY436" t="s">
        <v>226</v>
      </c>
      <c r="AZ436" t="s">
        <v>237</v>
      </c>
      <c r="BA436" t="s">
        <v>774</v>
      </c>
      <c r="BE436" t="s">
        <v>259</v>
      </c>
      <c r="BF436" t="s">
        <v>237</v>
      </c>
      <c r="BG436" t="s">
        <v>237</v>
      </c>
      <c r="BH436" t="s">
        <v>261</v>
      </c>
      <c r="BI436" t="s">
        <v>237</v>
      </c>
      <c r="BJ436" t="s">
        <v>237</v>
      </c>
      <c r="BK436" t="s">
        <v>261</v>
      </c>
      <c r="BL436" t="s">
        <v>313</v>
      </c>
      <c r="BM436" t="s">
        <v>296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 t="s">
        <v>264</v>
      </c>
      <c r="CB436" t="s">
        <v>243</v>
      </c>
      <c r="CC436" t="s">
        <v>243</v>
      </c>
      <c r="CD436" t="s">
        <v>226</v>
      </c>
      <c r="CE436" t="s">
        <v>236</v>
      </c>
      <c r="EA436" t="s">
        <v>236</v>
      </c>
      <c r="EC436" t="s">
        <v>236</v>
      </c>
      <c r="EE436" t="s">
        <v>236</v>
      </c>
      <c r="EG436" t="s">
        <v>226</v>
      </c>
      <c r="EH436" t="s">
        <v>245</v>
      </c>
      <c r="EI436" t="s">
        <v>236</v>
      </c>
      <c r="EK436" t="s">
        <v>236</v>
      </c>
      <c r="EM436" t="s">
        <v>236</v>
      </c>
      <c r="EO436" t="s">
        <v>236</v>
      </c>
      <c r="EQ436" t="s">
        <v>236</v>
      </c>
      <c r="ES436" t="s">
        <v>236</v>
      </c>
      <c r="EU436" t="s">
        <v>236</v>
      </c>
      <c r="EW436" t="s">
        <v>236</v>
      </c>
      <c r="EY436" t="s">
        <v>226</v>
      </c>
      <c r="EZ436" t="s">
        <v>244</v>
      </c>
      <c r="FA436" t="s">
        <v>236</v>
      </c>
      <c r="FC436" t="s">
        <v>236</v>
      </c>
      <c r="FE436" t="s">
        <v>236</v>
      </c>
      <c r="FG436" t="s">
        <v>236</v>
      </c>
      <c r="FJ436" t="s">
        <v>226</v>
      </c>
      <c r="FK436" t="s">
        <v>245</v>
      </c>
      <c r="FL436" t="s">
        <v>236</v>
      </c>
      <c r="FM436" t="s">
        <v>236</v>
      </c>
      <c r="FW436" t="s">
        <v>226</v>
      </c>
      <c r="FX436" t="s">
        <v>236</v>
      </c>
      <c r="FZ436" t="s">
        <v>236</v>
      </c>
      <c r="GC436" t="s">
        <v>236</v>
      </c>
      <c r="GF436" t="s">
        <v>226</v>
      </c>
      <c r="GG436" t="s">
        <v>236</v>
      </c>
      <c r="GI436" t="s">
        <v>236</v>
      </c>
      <c r="GL436" t="s">
        <v>226</v>
      </c>
      <c r="GM436" t="s">
        <v>236</v>
      </c>
      <c r="GO436" t="s">
        <v>226</v>
      </c>
      <c r="GP436" t="s">
        <v>236</v>
      </c>
      <c r="GR436" t="s">
        <v>226</v>
      </c>
      <c r="GS436" t="s">
        <v>236</v>
      </c>
      <c r="GU436" t="s">
        <v>236</v>
      </c>
      <c r="GX436" t="s">
        <v>236</v>
      </c>
      <c r="HB436" t="s">
        <v>775</v>
      </c>
      <c r="HE436">
        <v>83422063</v>
      </c>
      <c r="HF436" t="s">
        <v>776</v>
      </c>
      <c r="HG436" s="2">
        <v>45757.691828703697</v>
      </c>
      <c r="HJ436" t="s">
        <v>248</v>
      </c>
      <c r="HL436" t="s">
        <v>282</v>
      </c>
      <c r="HN436">
        <v>436</v>
      </c>
    </row>
    <row r="437" spans="1:222" x14ac:dyDescent="0.25">
      <c r="A437" s="2">
        <v>45757.477567708331</v>
      </c>
      <c r="B437" s="2">
        <v>45757.47957596065</v>
      </c>
      <c r="C437" t="s">
        <v>305</v>
      </c>
      <c r="D437">
        <v>68</v>
      </c>
      <c r="E437" s="2">
        <v>45730</v>
      </c>
      <c r="F437">
        <v>2</v>
      </c>
      <c r="G437" t="s">
        <v>290</v>
      </c>
      <c r="H437" t="s">
        <v>391</v>
      </c>
      <c r="I437">
        <v>27</v>
      </c>
      <c r="J437" t="str">
        <f t="shared" si="6"/>
        <v>de 26 a 40 años</v>
      </c>
      <c r="K437" t="s">
        <v>224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291</v>
      </c>
      <c r="R437" t="s">
        <v>226</v>
      </c>
      <c r="T437" t="s">
        <v>227</v>
      </c>
      <c r="V437" t="s">
        <v>321</v>
      </c>
      <c r="W437" t="s">
        <v>229</v>
      </c>
      <c r="X437" t="s">
        <v>230</v>
      </c>
      <c r="Z437" t="s">
        <v>351</v>
      </c>
      <c r="AA437" t="s">
        <v>293</v>
      </c>
      <c r="AB437">
        <v>0</v>
      </c>
      <c r="AC437">
        <v>0</v>
      </c>
      <c r="AD437">
        <v>0</v>
      </c>
      <c r="AE437">
        <v>0</v>
      </c>
      <c r="AF437">
        <v>1</v>
      </c>
      <c r="AG437">
        <v>0</v>
      </c>
      <c r="AI437" t="s">
        <v>233</v>
      </c>
      <c r="AJ437">
        <v>0</v>
      </c>
      <c r="AK437">
        <v>1</v>
      </c>
      <c r="AL437">
        <v>0</v>
      </c>
      <c r="AM437">
        <v>0</v>
      </c>
      <c r="AN437" t="s">
        <v>300</v>
      </c>
      <c r="AO437" t="s">
        <v>275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</v>
      </c>
      <c r="AV437">
        <v>0</v>
      </c>
      <c r="AX437" t="s">
        <v>226</v>
      </c>
      <c r="AY437" t="s">
        <v>236</v>
      </c>
      <c r="AZ437" t="s">
        <v>237</v>
      </c>
      <c r="BA437" t="s">
        <v>748</v>
      </c>
      <c r="BE437" t="s">
        <v>259</v>
      </c>
      <c r="BF437" t="s">
        <v>259</v>
      </c>
      <c r="BG437" t="s">
        <v>237</v>
      </c>
      <c r="BH437" t="s">
        <v>259</v>
      </c>
      <c r="BI437" t="s">
        <v>259</v>
      </c>
      <c r="BJ437" t="s">
        <v>259</v>
      </c>
      <c r="BK437" t="s">
        <v>259</v>
      </c>
      <c r="BL437" t="s">
        <v>262</v>
      </c>
      <c r="BM437" t="s">
        <v>278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 t="s">
        <v>242</v>
      </c>
      <c r="CB437" t="s">
        <v>243</v>
      </c>
      <c r="CC437" t="s">
        <v>243</v>
      </c>
      <c r="CD437" t="s">
        <v>236</v>
      </c>
      <c r="CE437" t="s">
        <v>236</v>
      </c>
      <c r="EA437" t="s">
        <v>236</v>
      </c>
      <c r="EC437" t="s">
        <v>236</v>
      </c>
      <c r="EE437" t="s">
        <v>236</v>
      </c>
      <c r="EG437" t="s">
        <v>226</v>
      </c>
      <c r="EH437" t="s">
        <v>245</v>
      </c>
      <c r="EI437" t="s">
        <v>236</v>
      </c>
      <c r="EK437" t="s">
        <v>236</v>
      </c>
      <c r="EM437" t="s">
        <v>236</v>
      </c>
      <c r="EO437" t="s">
        <v>226</v>
      </c>
      <c r="EP437" t="s">
        <v>244</v>
      </c>
      <c r="EQ437" t="s">
        <v>236</v>
      </c>
      <c r="ES437" t="s">
        <v>236</v>
      </c>
      <c r="EU437" t="s">
        <v>236</v>
      </c>
      <c r="EW437" t="s">
        <v>236</v>
      </c>
      <c r="EY437" t="s">
        <v>226</v>
      </c>
      <c r="EZ437" t="s">
        <v>244</v>
      </c>
      <c r="FA437" t="s">
        <v>236</v>
      </c>
      <c r="FC437" t="s">
        <v>236</v>
      </c>
      <c r="FE437" t="s">
        <v>236</v>
      </c>
      <c r="FG437" t="s">
        <v>236</v>
      </c>
      <c r="FJ437" t="s">
        <v>226</v>
      </c>
      <c r="FK437" t="s">
        <v>245</v>
      </c>
      <c r="FL437" t="s">
        <v>236</v>
      </c>
      <c r="FM437" t="s">
        <v>236</v>
      </c>
      <c r="FW437" t="s">
        <v>226</v>
      </c>
      <c r="FX437" t="s">
        <v>236</v>
      </c>
      <c r="FZ437" t="s">
        <v>236</v>
      </c>
      <c r="GC437" t="s">
        <v>236</v>
      </c>
      <c r="GF437" t="s">
        <v>236</v>
      </c>
      <c r="GI437" t="s">
        <v>236</v>
      </c>
      <c r="GL437" t="s">
        <v>236</v>
      </c>
      <c r="GO437" t="s">
        <v>226</v>
      </c>
      <c r="GP437" t="s">
        <v>226</v>
      </c>
      <c r="GQ437" t="s">
        <v>266</v>
      </c>
      <c r="GR437" t="s">
        <v>236</v>
      </c>
      <c r="GU437" t="s">
        <v>236</v>
      </c>
      <c r="GX437" t="s">
        <v>236</v>
      </c>
      <c r="HB437" t="s">
        <v>749</v>
      </c>
      <c r="HE437">
        <v>83421457</v>
      </c>
      <c r="HF437" t="s">
        <v>750</v>
      </c>
      <c r="HG437" s="2">
        <v>45757.687824074077</v>
      </c>
      <c r="HJ437" t="s">
        <v>248</v>
      </c>
      <c r="HL437" t="s">
        <v>282</v>
      </c>
      <c r="HN437">
        <v>434</v>
      </c>
    </row>
    <row r="438" spans="1:222" x14ac:dyDescent="0.25">
      <c r="A438" s="2">
        <v>45757.479576412043</v>
      </c>
      <c r="B438" s="2">
        <v>45757.481551111108</v>
      </c>
      <c r="C438" t="s">
        <v>305</v>
      </c>
      <c r="D438">
        <v>71</v>
      </c>
      <c r="E438" s="2">
        <v>45730</v>
      </c>
      <c r="F438">
        <v>2</v>
      </c>
      <c r="G438" t="s">
        <v>290</v>
      </c>
      <c r="H438" t="s">
        <v>391</v>
      </c>
      <c r="I438">
        <v>37</v>
      </c>
      <c r="J438" t="str">
        <f t="shared" si="6"/>
        <v>de 26 a 40 años</v>
      </c>
      <c r="K438" t="s">
        <v>251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291</v>
      </c>
      <c r="R438" t="s">
        <v>226</v>
      </c>
      <c r="T438" t="s">
        <v>227</v>
      </c>
      <c r="V438" t="s">
        <v>228</v>
      </c>
      <c r="W438" t="s">
        <v>229</v>
      </c>
      <c r="X438" t="s">
        <v>230</v>
      </c>
      <c r="Z438" t="s">
        <v>351</v>
      </c>
      <c r="AA438" t="s">
        <v>232</v>
      </c>
      <c r="AB438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I438" t="s">
        <v>233</v>
      </c>
      <c r="AJ438">
        <v>0</v>
      </c>
      <c r="AK438">
        <v>1</v>
      </c>
      <c r="AL438">
        <v>0</v>
      </c>
      <c r="AM438">
        <v>0</v>
      </c>
      <c r="AN438" t="s">
        <v>300</v>
      </c>
      <c r="AO438" t="s">
        <v>294</v>
      </c>
      <c r="AP438">
        <v>1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X438" t="s">
        <v>226</v>
      </c>
      <c r="AY438" t="s">
        <v>236</v>
      </c>
      <c r="AZ438" t="s">
        <v>237</v>
      </c>
      <c r="BA438" t="s">
        <v>758</v>
      </c>
      <c r="BE438" t="s">
        <v>259</v>
      </c>
      <c r="BF438" t="s">
        <v>259</v>
      </c>
      <c r="BG438" t="s">
        <v>259</v>
      </c>
      <c r="BH438" t="s">
        <v>259</v>
      </c>
      <c r="BI438" t="s">
        <v>237</v>
      </c>
      <c r="BJ438" t="s">
        <v>237</v>
      </c>
      <c r="BK438" t="s">
        <v>259</v>
      </c>
      <c r="BL438" t="s">
        <v>262</v>
      </c>
      <c r="BM438" t="s">
        <v>389</v>
      </c>
      <c r="BN438">
        <v>0</v>
      </c>
      <c r="BO438">
        <v>0</v>
      </c>
      <c r="BP438">
        <v>1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 t="s">
        <v>264</v>
      </c>
      <c r="CB438" t="s">
        <v>243</v>
      </c>
      <c r="CC438" t="s">
        <v>242</v>
      </c>
      <c r="CD438" t="s">
        <v>236</v>
      </c>
      <c r="CE438" t="s">
        <v>236</v>
      </c>
      <c r="EA438" t="s">
        <v>236</v>
      </c>
      <c r="EC438" t="s">
        <v>236</v>
      </c>
      <c r="EE438" t="s">
        <v>236</v>
      </c>
      <c r="EG438" t="s">
        <v>226</v>
      </c>
      <c r="EH438" t="s">
        <v>245</v>
      </c>
      <c r="EI438" t="s">
        <v>236</v>
      </c>
      <c r="EK438" t="s">
        <v>226</v>
      </c>
      <c r="EL438" t="s">
        <v>244</v>
      </c>
      <c r="EM438" t="s">
        <v>236</v>
      </c>
      <c r="EO438" t="s">
        <v>236</v>
      </c>
      <c r="EQ438" t="s">
        <v>236</v>
      </c>
      <c r="ES438" t="s">
        <v>236</v>
      </c>
      <c r="EU438" t="s">
        <v>236</v>
      </c>
      <c r="EW438" t="s">
        <v>236</v>
      </c>
      <c r="EY438" t="s">
        <v>226</v>
      </c>
      <c r="EZ438" t="s">
        <v>244</v>
      </c>
      <c r="FA438" t="s">
        <v>236</v>
      </c>
      <c r="FC438" t="s">
        <v>236</v>
      </c>
      <c r="FE438" t="s">
        <v>236</v>
      </c>
      <c r="FG438" t="s">
        <v>236</v>
      </c>
      <c r="FJ438" t="s">
        <v>226</v>
      </c>
      <c r="FK438" t="s">
        <v>245</v>
      </c>
      <c r="FL438" t="s">
        <v>236</v>
      </c>
      <c r="FM438" t="s">
        <v>236</v>
      </c>
      <c r="FW438" t="s">
        <v>226</v>
      </c>
      <c r="FX438" t="s">
        <v>236</v>
      </c>
      <c r="FZ438" t="s">
        <v>226</v>
      </c>
      <c r="GA438" t="s">
        <v>236</v>
      </c>
      <c r="GC438" t="s">
        <v>236</v>
      </c>
      <c r="GF438" t="s">
        <v>226</v>
      </c>
      <c r="GG438" t="s">
        <v>236</v>
      </c>
      <c r="GI438" t="s">
        <v>236</v>
      </c>
      <c r="GL438" t="s">
        <v>236</v>
      </c>
      <c r="GO438" t="s">
        <v>226</v>
      </c>
      <c r="GP438" t="s">
        <v>236</v>
      </c>
      <c r="GR438" t="s">
        <v>226</v>
      </c>
      <c r="GS438" t="s">
        <v>236</v>
      </c>
      <c r="GU438" t="s">
        <v>236</v>
      </c>
      <c r="GX438" t="s">
        <v>236</v>
      </c>
      <c r="HB438" t="s">
        <v>759</v>
      </c>
      <c r="HE438">
        <v>83421781</v>
      </c>
      <c r="HF438" t="s">
        <v>760</v>
      </c>
      <c r="HG438" s="2">
        <v>45757.689791666657</v>
      </c>
      <c r="HJ438" t="s">
        <v>248</v>
      </c>
      <c r="HL438" t="s">
        <v>282</v>
      </c>
      <c r="HN438">
        <v>435</v>
      </c>
    </row>
    <row r="439" spans="1:222" x14ac:dyDescent="0.25">
      <c r="A439" s="2">
        <v>45757.48357773148</v>
      </c>
      <c r="B439" s="2">
        <v>45757.513537511571</v>
      </c>
      <c r="C439" t="s">
        <v>221</v>
      </c>
      <c r="D439">
        <v>80</v>
      </c>
      <c r="E439" s="2">
        <v>45730</v>
      </c>
      <c r="F439">
        <v>2</v>
      </c>
      <c r="G439" t="s">
        <v>290</v>
      </c>
      <c r="H439" t="s">
        <v>391</v>
      </c>
      <c r="I439">
        <v>65</v>
      </c>
      <c r="J439" t="str">
        <f t="shared" si="6"/>
        <v>de 56 a más</v>
      </c>
      <c r="K439" t="s">
        <v>251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291</v>
      </c>
      <c r="R439" t="s">
        <v>226</v>
      </c>
      <c r="T439" t="s">
        <v>227</v>
      </c>
      <c r="V439" t="s">
        <v>252</v>
      </c>
      <c r="W439" t="s">
        <v>229</v>
      </c>
      <c r="X439" t="s">
        <v>230</v>
      </c>
      <c r="Z439" t="s">
        <v>254</v>
      </c>
      <c r="AA439" t="s">
        <v>232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I439" t="s">
        <v>256</v>
      </c>
      <c r="AJ439">
        <v>0</v>
      </c>
      <c r="AK439">
        <v>0</v>
      </c>
      <c r="AL439">
        <v>1</v>
      </c>
      <c r="AM439">
        <v>0</v>
      </c>
      <c r="AN439" t="s">
        <v>300</v>
      </c>
      <c r="AO439" t="s">
        <v>275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</v>
      </c>
      <c r="AV439">
        <v>0</v>
      </c>
      <c r="AX439" t="s">
        <v>226</v>
      </c>
      <c r="AY439" t="s">
        <v>226</v>
      </c>
      <c r="AZ439" t="s">
        <v>259</v>
      </c>
      <c r="BA439" t="s">
        <v>783</v>
      </c>
      <c r="BE439" t="s">
        <v>239</v>
      </c>
      <c r="BF439" t="s">
        <v>237</v>
      </c>
      <c r="BG439" t="s">
        <v>237</v>
      </c>
      <c r="BH439" t="s">
        <v>239</v>
      </c>
      <c r="BI439" t="s">
        <v>239</v>
      </c>
      <c r="BJ439" t="s">
        <v>237</v>
      </c>
      <c r="BK439" t="s">
        <v>261</v>
      </c>
      <c r="BL439" t="s">
        <v>262</v>
      </c>
      <c r="BM439" t="s">
        <v>296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 t="s">
        <v>264</v>
      </c>
      <c r="CB439" t="s">
        <v>264</v>
      </c>
      <c r="CC439" t="s">
        <v>264</v>
      </c>
      <c r="CD439" t="s">
        <v>236</v>
      </c>
      <c r="CE439" t="s">
        <v>236</v>
      </c>
      <c r="EA439" t="s">
        <v>226</v>
      </c>
      <c r="EB439" t="s">
        <v>265</v>
      </c>
      <c r="EC439" t="s">
        <v>226</v>
      </c>
      <c r="ED439" t="s">
        <v>265</v>
      </c>
      <c r="EE439" t="s">
        <v>226</v>
      </c>
      <c r="EF439" t="s">
        <v>245</v>
      </c>
      <c r="EG439" t="s">
        <v>236</v>
      </c>
      <c r="EI439" t="s">
        <v>226</v>
      </c>
      <c r="EJ439" t="s">
        <v>244</v>
      </c>
      <c r="EK439" t="s">
        <v>226</v>
      </c>
      <c r="EL439" t="s">
        <v>244</v>
      </c>
      <c r="EM439" t="s">
        <v>226</v>
      </c>
      <c r="EN439" t="s">
        <v>245</v>
      </c>
      <c r="EO439" t="s">
        <v>226</v>
      </c>
      <c r="EP439" t="s">
        <v>245</v>
      </c>
      <c r="EQ439" t="s">
        <v>226</v>
      </c>
      <c r="ER439" t="s">
        <v>245</v>
      </c>
      <c r="ES439" t="s">
        <v>226</v>
      </c>
      <c r="ET439" t="s">
        <v>244</v>
      </c>
      <c r="EU439" t="s">
        <v>236</v>
      </c>
      <c r="EW439" t="s">
        <v>308</v>
      </c>
      <c r="EY439" t="s">
        <v>308</v>
      </c>
      <c r="FA439" t="s">
        <v>236</v>
      </c>
      <c r="FC439" t="s">
        <v>308</v>
      </c>
      <c r="FE439" t="s">
        <v>308</v>
      </c>
      <c r="FG439" t="s">
        <v>236</v>
      </c>
      <c r="FJ439" t="s">
        <v>226</v>
      </c>
      <c r="FK439" t="s">
        <v>244</v>
      </c>
      <c r="FL439" t="s">
        <v>236</v>
      </c>
      <c r="FM439" t="s">
        <v>236</v>
      </c>
      <c r="FW439" t="s">
        <v>236</v>
      </c>
      <c r="FZ439" t="s">
        <v>236</v>
      </c>
      <c r="GC439" t="s">
        <v>236</v>
      </c>
      <c r="GF439" t="s">
        <v>226</v>
      </c>
      <c r="GG439" t="s">
        <v>236</v>
      </c>
      <c r="GI439" t="s">
        <v>236</v>
      </c>
      <c r="GL439" t="s">
        <v>236</v>
      </c>
      <c r="GO439" t="s">
        <v>226</v>
      </c>
      <c r="GP439" t="s">
        <v>236</v>
      </c>
      <c r="GR439" t="s">
        <v>226</v>
      </c>
      <c r="GS439" t="s">
        <v>236</v>
      </c>
      <c r="GU439" t="s">
        <v>236</v>
      </c>
      <c r="GX439" t="s">
        <v>236</v>
      </c>
      <c r="HB439" t="s">
        <v>784</v>
      </c>
      <c r="HE439">
        <v>83425526</v>
      </c>
      <c r="HF439" t="s">
        <v>785</v>
      </c>
      <c r="HG439" s="2">
        <v>45757.72179398148</v>
      </c>
      <c r="HJ439" t="s">
        <v>248</v>
      </c>
      <c r="HL439" t="s">
        <v>282</v>
      </c>
      <c r="HN439">
        <v>443</v>
      </c>
    </row>
    <row r="440" spans="1:222" x14ac:dyDescent="0.25">
      <c r="A440" s="2">
        <v>45757.48535383102</v>
      </c>
      <c r="B440" s="2">
        <v>45757.488253692129</v>
      </c>
      <c r="C440" t="s">
        <v>270</v>
      </c>
      <c r="D440">
        <v>367</v>
      </c>
      <c r="E440" s="2">
        <v>45731</v>
      </c>
      <c r="F440">
        <v>4</v>
      </c>
      <c r="G440" t="s">
        <v>367</v>
      </c>
      <c r="H440" t="s">
        <v>270</v>
      </c>
      <c r="I440">
        <v>23</v>
      </c>
      <c r="J440" t="str">
        <f t="shared" si="6"/>
        <v>de 18 a 25 años</v>
      </c>
      <c r="K440" t="s">
        <v>224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291</v>
      </c>
      <c r="R440" t="s">
        <v>226</v>
      </c>
      <c r="T440" t="s">
        <v>227</v>
      </c>
      <c r="V440" t="s">
        <v>228</v>
      </c>
      <c r="W440" t="s">
        <v>229</v>
      </c>
      <c r="X440" t="s">
        <v>230</v>
      </c>
      <c r="Z440" t="s">
        <v>231</v>
      </c>
      <c r="AA440" t="s">
        <v>232</v>
      </c>
      <c r="AB440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I440" t="s">
        <v>233</v>
      </c>
      <c r="AJ440">
        <v>0</v>
      </c>
      <c r="AK440">
        <v>1</v>
      </c>
      <c r="AL440">
        <v>0</v>
      </c>
      <c r="AM440">
        <v>0</v>
      </c>
      <c r="AN440" t="s">
        <v>300</v>
      </c>
      <c r="AO440" t="s">
        <v>235</v>
      </c>
      <c r="AP440">
        <v>0</v>
      </c>
      <c r="AQ440">
        <v>0</v>
      </c>
      <c r="AR440">
        <v>0</v>
      </c>
      <c r="AS440">
        <v>1</v>
      </c>
      <c r="AT440">
        <v>0</v>
      </c>
      <c r="AU440">
        <v>0</v>
      </c>
      <c r="AV440">
        <v>0</v>
      </c>
      <c r="AX440" t="s">
        <v>236</v>
      </c>
      <c r="AZ440" t="s">
        <v>237</v>
      </c>
      <c r="BA440" t="s">
        <v>1723</v>
      </c>
      <c r="BE440" t="s">
        <v>261</v>
      </c>
      <c r="BF440" t="s">
        <v>259</v>
      </c>
      <c r="BG440" t="s">
        <v>259</v>
      </c>
      <c r="BH440" t="s">
        <v>237</v>
      </c>
      <c r="BI440" t="s">
        <v>237</v>
      </c>
      <c r="BJ440" t="s">
        <v>259</v>
      </c>
      <c r="BK440" t="s">
        <v>261</v>
      </c>
      <c r="BL440" t="s">
        <v>262</v>
      </c>
      <c r="BM440" t="s">
        <v>733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0</v>
      </c>
      <c r="CA440" t="s">
        <v>243</v>
      </c>
      <c r="CB440" t="s">
        <v>264</v>
      </c>
      <c r="CC440" t="s">
        <v>264</v>
      </c>
      <c r="CD440" t="s">
        <v>226</v>
      </c>
      <c r="CE440" t="s">
        <v>226</v>
      </c>
      <c r="CF440" t="s">
        <v>1724</v>
      </c>
      <c r="CG440">
        <v>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1</v>
      </c>
      <c r="CQ440">
        <v>0</v>
      </c>
      <c r="EA440" t="s">
        <v>236</v>
      </c>
      <c r="EC440" t="s">
        <v>226</v>
      </c>
      <c r="ED440" t="s">
        <v>245</v>
      </c>
      <c r="EE440" t="s">
        <v>226</v>
      </c>
      <c r="EF440" t="s">
        <v>244</v>
      </c>
      <c r="EG440" t="s">
        <v>236</v>
      </c>
      <c r="EI440" t="s">
        <v>226</v>
      </c>
      <c r="EJ440" t="s">
        <v>245</v>
      </c>
      <c r="EK440" t="s">
        <v>236</v>
      </c>
      <c r="EM440" t="s">
        <v>226</v>
      </c>
      <c r="EN440" t="s">
        <v>245</v>
      </c>
      <c r="EO440" t="s">
        <v>236</v>
      </c>
      <c r="EQ440" t="s">
        <v>236</v>
      </c>
      <c r="ES440" t="s">
        <v>236</v>
      </c>
      <c r="EU440" t="s">
        <v>236</v>
      </c>
      <c r="EW440" t="s">
        <v>226</v>
      </c>
      <c r="EX440" t="s">
        <v>245</v>
      </c>
      <c r="EY440" t="s">
        <v>236</v>
      </c>
      <c r="FA440" t="s">
        <v>226</v>
      </c>
      <c r="FB440" t="s">
        <v>265</v>
      </c>
      <c r="FC440" t="s">
        <v>236</v>
      </c>
      <c r="FE440" t="s">
        <v>236</v>
      </c>
      <c r="FG440" t="s">
        <v>236</v>
      </c>
      <c r="FJ440" t="s">
        <v>226</v>
      </c>
      <c r="FK440" t="s">
        <v>245</v>
      </c>
      <c r="FL440" t="s">
        <v>226</v>
      </c>
      <c r="FM440" t="s">
        <v>236</v>
      </c>
      <c r="FW440" t="s">
        <v>226</v>
      </c>
      <c r="FX440" t="s">
        <v>236</v>
      </c>
      <c r="FZ440" t="s">
        <v>236</v>
      </c>
      <c r="GC440" t="s">
        <v>236</v>
      </c>
      <c r="GF440" t="s">
        <v>236</v>
      </c>
      <c r="GI440" t="s">
        <v>236</v>
      </c>
      <c r="GL440" t="s">
        <v>236</v>
      </c>
      <c r="GO440" t="s">
        <v>236</v>
      </c>
      <c r="GR440" t="s">
        <v>226</v>
      </c>
      <c r="GS440" t="s">
        <v>236</v>
      </c>
      <c r="GU440" t="s">
        <v>236</v>
      </c>
      <c r="GX440" t="s">
        <v>236</v>
      </c>
      <c r="HB440" t="s">
        <v>734</v>
      </c>
      <c r="HE440">
        <v>83423057</v>
      </c>
      <c r="HF440" t="s">
        <v>1725</v>
      </c>
      <c r="HG440" s="2">
        <v>45757.696574074071</v>
      </c>
      <c r="HJ440" t="s">
        <v>248</v>
      </c>
      <c r="HL440" t="s">
        <v>282</v>
      </c>
      <c r="HN440">
        <v>438</v>
      </c>
    </row>
    <row r="441" spans="1:222" x14ac:dyDescent="0.25">
      <c r="A441" s="2">
        <v>45757.488254502307</v>
      </c>
      <c r="B441" s="2">
        <v>45757.49208423611</v>
      </c>
      <c r="C441" t="s">
        <v>270</v>
      </c>
      <c r="D441">
        <v>368</v>
      </c>
      <c r="E441" s="2">
        <v>45731</v>
      </c>
      <c r="F441">
        <v>4</v>
      </c>
      <c r="G441" t="s">
        <v>528</v>
      </c>
      <c r="H441" t="s">
        <v>270</v>
      </c>
      <c r="I441">
        <v>49</v>
      </c>
      <c r="J441" t="str">
        <f t="shared" si="6"/>
        <v>de 41 a 55 años</v>
      </c>
      <c r="K441" t="s">
        <v>224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225</v>
      </c>
      <c r="R441" t="s">
        <v>226</v>
      </c>
      <c r="T441" t="s">
        <v>284</v>
      </c>
      <c r="V441" t="s">
        <v>252</v>
      </c>
      <c r="W441" t="s">
        <v>229</v>
      </c>
      <c r="X441" t="s">
        <v>230</v>
      </c>
      <c r="Z441" t="s">
        <v>231</v>
      </c>
      <c r="AA441" t="s">
        <v>1726</v>
      </c>
      <c r="AB441">
        <v>0</v>
      </c>
      <c r="AC441">
        <v>1</v>
      </c>
      <c r="AD441">
        <v>0</v>
      </c>
      <c r="AE441">
        <v>0</v>
      </c>
      <c r="AF441">
        <v>1</v>
      </c>
      <c r="AG441">
        <v>1</v>
      </c>
      <c r="AH441" t="s">
        <v>1424</v>
      </c>
      <c r="AI441" t="s">
        <v>311</v>
      </c>
      <c r="AJ441">
        <v>0</v>
      </c>
      <c r="AK441">
        <v>1</v>
      </c>
      <c r="AL441">
        <v>1</v>
      </c>
      <c r="AM441">
        <v>0</v>
      </c>
      <c r="AN441" t="s">
        <v>274</v>
      </c>
      <c r="AO441" t="s">
        <v>382</v>
      </c>
      <c r="AP441">
        <v>0</v>
      </c>
      <c r="AQ441">
        <v>0</v>
      </c>
      <c r="AR441">
        <v>1</v>
      </c>
      <c r="AS441">
        <v>0</v>
      </c>
      <c r="AT441">
        <v>0</v>
      </c>
      <c r="AU441">
        <v>0</v>
      </c>
      <c r="AV441">
        <v>0</v>
      </c>
      <c r="AX441" t="s">
        <v>236</v>
      </c>
      <c r="AZ441" t="s">
        <v>237</v>
      </c>
      <c r="BA441" t="s">
        <v>708</v>
      </c>
      <c r="BB441" t="s">
        <v>1727</v>
      </c>
      <c r="BE441" t="s">
        <v>259</v>
      </c>
      <c r="BF441" t="s">
        <v>259</v>
      </c>
      <c r="BG441" t="s">
        <v>259</v>
      </c>
      <c r="BH441" t="s">
        <v>239</v>
      </c>
      <c r="BI441" t="s">
        <v>237</v>
      </c>
      <c r="BJ441" t="s">
        <v>237</v>
      </c>
      <c r="BK441" t="s">
        <v>237</v>
      </c>
      <c r="BL441" t="s">
        <v>262</v>
      </c>
      <c r="BM441" t="s">
        <v>415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 t="s">
        <v>264</v>
      </c>
      <c r="CB441" t="s">
        <v>264</v>
      </c>
      <c r="CC441" t="s">
        <v>264</v>
      </c>
      <c r="CD441" t="s">
        <v>226</v>
      </c>
      <c r="CE441" t="s">
        <v>236</v>
      </c>
      <c r="EA441" t="s">
        <v>226</v>
      </c>
      <c r="EB441" t="s">
        <v>245</v>
      </c>
      <c r="EC441" t="s">
        <v>236</v>
      </c>
      <c r="EE441" t="s">
        <v>226</v>
      </c>
      <c r="EF441" t="s">
        <v>245</v>
      </c>
      <c r="EG441" t="s">
        <v>236</v>
      </c>
      <c r="EI441" t="s">
        <v>236</v>
      </c>
      <c r="EK441" t="s">
        <v>226</v>
      </c>
      <c r="EL441" t="s">
        <v>245</v>
      </c>
      <c r="EM441" t="s">
        <v>226</v>
      </c>
      <c r="EN441" t="s">
        <v>265</v>
      </c>
      <c r="EO441" t="s">
        <v>236</v>
      </c>
      <c r="EQ441" t="s">
        <v>236</v>
      </c>
      <c r="ES441" t="s">
        <v>236</v>
      </c>
      <c r="EU441" t="s">
        <v>236</v>
      </c>
      <c r="EW441" t="s">
        <v>226</v>
      </c>
      <c r="EX441" t="s">
        <v>245</v>
      </c>
      <c r="EY441" t="s">
        <v>226</v>
      </c>
      <c r="EZ441" t="s">
        <v>245</v>
      </c>
      <c r="FA441" t="s">
        <v>236</v>
      </c>
      <c r="FC441" t="s">
        <v>236</v>
      </c>
      <c r="FE441" t="s">
        <v>226</v>
      </c>
      <c r="FF441" t="s">
        <v>265</v>
      </c>
      <c r="FG441" t="s">
        <v>236</v>
      </c>
      <c r="FJ441" t="s">
        <v>226</v>
      </c>
      <c r="FK441" t="s">
        <v>265</v>
      </c>
      <c r="FL441" t="s">
        <v>226</v>
      </c>
      <c r="FM441" t="s">
        <v>226</v>
      </c>
      <c r="FN441" t="s">
        <v>416</v>
      </c>
      <c r="FO441">
        <v>0</v>
      </c>
      <c r="FP441">
        <v>1</v>
      </c>
      <c r="FQ441">
        <v>0</v>
      </c>
      <c r="FR441">
        <v>0</v>
      </c>
      <c r="FS441">
        <v>0</v>
      </c>
      <c r="FU441" t="s">
        <v>226</v>
      </c>
      <c r="FW441" t="s">
        <v>236</v>
      </c>
      <c r="FZ441" t="s">
        <v>236</v>
      </c>
      <c r="GC441" t="s">
        <v>236</v>
      </c>
      <c r="GF441" t="s">
        <v>226</v>
      </c>
      <c r="GG441" t="s">
        <v>236</v>
      </c>
      <c r="GI441" t="s">
        <v>236</v>
      </c>
      <c r="GL441" t="s">
        <v>236</v>
      </c>
      <c r="GO441" t="s">
        <v>226</v>
      </c>
      <c r="GP441" t="s">
        <v>226</v>
      </c>
      <c r="GQ441" t="s">
        <v>267</v>
      </c>
      <c r="GR441" t="s">
        <v>236</v>
      </c>
      <c r="GU441" t="s">
        <v>236</v>
      </c>
      <c r="GX441" t="s">
        <v>236</v>
      </c>
      <c r="HB441" t="s">
        <v>268</v>
      </c>
      <c r="HC441" t="s">
        <v>1728</v>
      </c>
      <c r="HD441" t="s">
        <v>1729</v>
      </c>
      <c r="HE441">
        <v>83423639</v>
      </c>
      <c r="HF441" t="s">
        <v>1730</v>
      </c>
      <c r="HG441" s="2">
        <v>45757.70040509259</v>
      </c>
      <c r="HJ441" t="s">
        <v>248</v>
      </c>
      <c r="HL441" t="s">
        <v>282</v>
      </c>
      <c r="HN441">
        <v>439</v>
      </c>
    </row>
    <row r="442" spans="1:222" x14ac:dyDescent="0.25">
      <c r="A442" s="2">
        <v>45757.492085127313</v>
      </c>
      <c r="B442" s="2">
        <v>45757.497990115742</v>
      </c>
      <c r="C442" t="s">
        <v>270</v>
      </c>
      <c r="D442">
        <v>371</v>
      </c>
      <c r="E442" s="2">
        <v>45731</v>
      </c>
      <c r="F442">
        <v>4</v>
      </c>
      <c r="G442" t="s">
        <v>528</v>
      </c>
      <c r="H442" t="s">
        <v>270</v>
      </c>
      <c r="I442">
        <v>48</v>
      </c>
      <c r="J442" t="str">
        <f t="shared" si="6"/>
        <v>de 41 a 55 años</v>
      </c>
      <c r="K442" t="s">
        <v>251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225</v>
      </c>
      <c r="R442" t="s">
        <v>226</v>
      </c>
      <c r="T442" t="s">
        <v>227</v>
      </c>
      <c r="V442" t="s">
        <v>252</v>
      </c>
      <c r="W442" t="s">
        <v>229</v>
      </c>
      <c r="X442" t="s">
        <v>230</v>
      </c>
      <c r="Z442" t="s">
        <v>231</v>
      </c>
      <c r="AA442" t="s">
        <v>293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0</v>
      </c>
      <c r="AI442" t="s">
        <v>256</v>
      </c>
      <c r="AJ442">
        <v>0</v>
      </c>
      <c r="AK442">
        <v>0</v>
      </c>
      <c r="AL442">
        <v>1</v>
      </c>
      <c r="AM442">
        <v>0</v>
      </c>
      <c r="AN442" t="s">
        <v>300</v>
      </c>
      <c r="AO442" t="s">
        <v>275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X442" t="s">
        <v>226</v>
      </c>
      <c r="AY442" t="s">
        <v>226</v>
      </c>
      <c r="AZ442" t="s">
        <v>259</v>
      </c>
      <c r="BA442" t="s">
        <v>1740</v>
      </c>
      <c r="BB442" t="s">
        <v>1741</v>
      </c>
      <c r="BE442" t="s">
        <v>259</v>
      </c>
      <c r="BF442" t="s">
        <v>259</v>
      </c>
      <c r="BG442" t="s">
        <v>259</v>
      </c>
      <c r="BH442" t="s">
        <v>237</v>
      </c>
      <c r="BI442" t="s">
        <v>259</v>
      </c>
      <c r="BJ442" t="s">
        <v>259</v>
      </c>
      <c r="BK442" t="s">
        <v>259</v>
      </c>
      <c r="BL442" t="s">
        <v>262</v>
      </c>
      <c r="BM442" t="s">
        <v>365</v>
      </c>
      <c r="BN442">
        <v>0</v>
      </c>
      <c r="BO442">
        <v>1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 t="s">
        <v>243</v>
      </c>
      <c r="CB442" t="s">
        <v>264</v>
      </c>
      <c r="CC442" t="s">
        <v>243</v>
      </c>
      <c r="CD442" t="s">
        <v>226</v>
      </c>
      <c r="CE442" t="s">
        <v>236</v>
      </c>
      <c r="EA442" t="s">
        <v>236</v>
      </c>
      <c r="EC442" t="s">
        <v>236</v>
      </c>
      <c r="EE442" t="s">
        <v>226</v>
      </c>
      <c r="EF442" t="s">
        <v>245</v>
      </c>
      <c r="EG442" t="s">
        <v>226</v>
      </c>
      <c r="EH442" t="s">
        <v>245</v>
      </c>
      <c r="EI442" t="s">
        <v>236</v>
      </c>
      <c r="EK442" t="s">
        <v>236</v>
      </c>
      <c r="EM442" t="s">
        <v>226</v>
      </c>
      <c r="EN442" t="s">
        <v>245</v>
      </c>
      <c r="EO442" t="s">
        <v>226</v>
      </c>
      <c r="EP442" t="s">
        <v>245</v>
      </c>
      <c r="EQ442" t="s">
        <v>236</v>
      </c>
      <c r="ES442" t="s">
        <v>236</v>
      </c>
      <c r="EU442" t="s">
        <v>236</v>
      </c>
      <c r="EW442" t="s">
        <v>226</v>
      </c>
      <c r="EX442" t="s">
        <v>245</v>
      </c>
      <c r="EY442" t="s">
        <v>236</v>
      </c>
      <c r="FA442" t="s">
        <v>236</v>
      </c>
      <c r="FC442" t="s">
        <v>236</v>
      </c>
      <c r="FE442" t="s">
        <v>236</v>
      </c>
      <c r="FG442" t="s">
        <v>236</v>
      </c>
      <c r="FJ442" t="s">
        <v>226</v>
      </c>
      <c r="FK442" t="s">
        <v>245</v>
      </c>
      <c r="FL442" t="s">
        <v>236</v>
      </c>
      <c r="FM442" t="s">
        <v>236</v>
      </c>
      <c r="FW442" t="s">
        <v>226</v>
      </c>
      <c r="FX442" t="s">
        <v>226</v>
      </c>
      <c r="FY442" t="s">
        <v>266</v>
      </c>
      <c r="FZ442" t="s">
        <v>226</v>
      </c>
      <c r="GA442" t="s">
        <v>226</v>
      </c>
      <c r="GB442" t="s">
        <v>266</v>
      </c>
      <c r="GC442" t="s">
        <v>236</v>
      </c>
      <c r="GF442" t="s">
        <v>226</v>
      </c>
      <c r="GG442" t="s">
        <v>236</v>
      </c>
      <c r="GI442" t="s">
        <v>226</v>
      </c>
      <c r="GJ442" t="s">
        <v>226</v>
      </c>
      <c r="GK442" t="s">
        <v>266</v>
      </c>
      <c r="GL442" t="s">
        <v>236</v>
      </c>
      <c r="GO442" t="s">
        <v>226</v>
      </c>
      <c r="GP442" t="s">
        <v>226</v>
      </c>
      <c r="GQ442" t="s">
        <v>266</v>
      </c>
      <c r="GR442" t="s">
        <v>236</v>
      </c>
      <c r="GU442" t="s">
        <v>236</v>
      </c>
      <c r="GX442" t="s">
        <v>236</v>
      </c>
      <c r="HB442" t="s">
        <v>1742</v>
      </c>
      <c r="HC442" t="s">
        <v>1743</v>
      </c>
      <c r="HD442" t="s">
        <v>1744</v>
      </c>
      <c r="HE442">
        <v>83424424</v>
      </c>
      <c r="HF442" t="s">
        <v>1745</v>
      </c>
      <c r="HG442" s="2">
        <v>45757.706319444442</v>
      </c>
      <c r="HJ442" t="s">
        <v>248</v>
      </c>
      <c r="HL442" t="s">
        <v>282</v>
      </c>
      <c r="HN442">
        <v>440</v>
      </c>
    </row>
    <row r="443" spans="1:222" x14ac:dyDescent="0.25">
      <c r="A443" s="2">
        <v>45757.497991006952</v>
      </c>
      <c r="B443" s="2">
        <v>45757.501914155087</v>
      </c>
      <c r="C443" t="s">
        <v>270</v>
      </c>
      <c r="D443">
        <v>374</v>
      </c>
      <c r="E443" s="2">
        <v>45731</v>
      </c>
      <c r="F443">
        <v>4</v>
      </c>
      <c r="G443" t="s">
        <v>528</v>
      </c>
      <c r="H443" t="s">
        <v>270</v>
      </c>
      <c r="I443">
        <v>33</v>
      </c>
      <c r="J443" t="str">
        <f t="shared" si="6"/>
        <v>de 26 a 40 años</v>
      </c>
      <c r="K443" t="s">
        <v>251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225</v>
      </c>
      <c r="R443" t="s">
        <v>226</v>
      </c>
      <c r="T443" t="s">
        <v>227</v>
      </c>
      <c r="V443" t="s">
        <v>228</v>
      </c>
      <c r="W443" t="s">
        <v>229</v>
      </c>
      <c r="X443" t="s">
        <v>253</v>
      </c>
      <c r="Z443" t="s">
        <v>231</v>
      </c>
      <c r="AA443" t="s">
        <v>293</v>
      </c>
      <c r="AB443">
        <v>0</v>
      </c>
      <c r="AC443">
        <v>0</v>
      </c>
      <c r="AD443">
        <v>0</v>
      </c>
      <c r="AE443">
        <v>0</v>
      </c>
      <c r="AF443">
        <v>1</v>
      </c>
      <c r="AG443">
        <v>0</v>
      </c>
      <c r="AI443" t="s">
        <v>311</v>
      </c>
      <c r="AJ443">
        <v>0</v>
      </c>
      <c r="AK443">
        <v>1</v>
      </c>
      <c r="AL443">
        <v>0</v>
      </c>
      <c r="AM443">
        <v>0</v>
      </c>
      <c r="AN443" t="s">
        <v>300</v>
      </c>
      <c r="AO443" t="s">
        <v>275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X443" t="s">
        <v>226</v>
      </c>
      <c r="AY443" t="s">
        <v>226</v>
      </c>
      <c r="AZ443" t="s">
        <v>237</v>
      </c>
      <c r="BA443" t="s">
        <v>438</v>
      </c>
      <c r="BB443" t="s">
        <v>529</v>
      </c>
      <c r="BE443" t="s">
        <v>237</v>
      </c>
      <c r="BF443" t="s">
        <v>237</v>
      </c>
      <c r="BG443" t="s">
        <v>237</v>
      </c>
      <c r="BH443" t="s">
        <v>237</v>
      </c>
      <c r="BI443" t="s">
        <v>237</v>
      </c>
      <c r="BJ443" t="s">
        <v>259</v>
      </c>
      <c r="BK443" t="s">
        <v>259</v>
      </c>
      <c r="BL443" t="s">
        <v>262</v>
      </c>
      <c r="BM443" t="s">
        <v>372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1</v>
      </c>
      <c r="CA443" t="s">
        <v>264</v>
      </c>
      <c r="CB443" t="s">
        <v>264</v>
      </c>
      <c r="CC443" t="s">
        <v>264</v>
      </c>
      <c r="CD443" t="s">
        <v>236</v>
      </c>
      <c r="CE443" t="s">
        <v>236</v>
      </c>
      <c r="EA443" t="s">
        <v>236</v>
      </c>
      <c r="EC443" t="s">
        <v>236</v>
      </c>
      <c r="EE443" t="s">
        <v>236</v>
      </c>
      <c r="EG443" t="s">
        <v>226</v>
      </c>
      <c r="EH443" t="s">
        <v>244</v>
      </c>
      <c r="EI443" t="s">
        <v>236</v>
      </c>
      <c r="EK443" t="s">
        <v>236</v>
      </c>
      <c r="EM443" t="s">
        <v>236</v>
      </c>
      <c r="EO443" t="s">
        <v>236</v>
      </c>
      <c r="EQ443" t="s">
        <v>236</v>
      </c>
      <c r="ES443" t="s">
        <v>236</v>
      </c>
      <c r="EU443" t="s">
        <v>236</v>
      </c>
      <c r="EW443" t="s">
        <v>236</v>
      </c>
      <c r="EY443" t="s">
        <v>236</v>
      </c>
      <c r="FA443" t="s">
        <v>236</v>
      </c>
      <c r="FC443" t="s">
        <v>236</v>
      </c>
      <c r="FE443" t="s">
        <v>226</v>
      </c>
      <c r="FF443" t="s">
        <v>244</v>
      </c>
      <c r="FG443" t="s">
        <v>236</v>
      </c>
      <c r="FJ443" t="s">
        <v>226</v>
      </c>
      <c r="FK443" t="s">
        <v>244</v>
      </c>
      <c r="FL443" t="s">
        <v>236</v>
      </c>
      <c r="FM443" t="s">
        <v>236</v>
      </c>
      <c r="FW443" t="s">
        <v>236</v>
      </c>
      <c r="FZ443" t="s">
        <v>236</v>
      </c>
      <c r="GC443" t="s">
        <v>236</v>
      </c>
      <c r="GF443" t="s">
        <v>226</v>
      </c>
      <c r="GG443" t="s">
        <v>236</v>
      </c>
      <c r="GI443" t="s">
        <v>236</v>
      </c>
      <c r="GL443" t="s">
        <v>236</v>
      </c>
      <c r="GO443" t="s">
        <v>226</v>
      </c>
      <c r="GP443" t="s">
        <v>226</v>
      </c>
      <c r="GQ443" t="s">
        <v>267</v>
      </c>
      <c r="GR443" t="s">
        <v>226</v>
      </c>
      <c r="GS443" t="s">
        <v>226</v>
      </c>
      <c r="GT443" t="s">
        <v>267</v>
      </c>
      <c r="GU443" t="s">
        <v>226</v>
      </c>
      <c r="GV443" t="s">
        <v>226</v>
      </c>
      <c r="GW443" t="s">
        <v>267</v>
      </c>
      <c r="GX443" t="s">
        <v>236</v>
      </c>
      <c r="HB443" t="s">
        <v>280</v>
      </c>
      <c r="HC443" t="s">
        <v>530</v>
      </c>
      <c r="HD443" t="s">
        <v>408</v>
      </c>
      <c r="HE443">
        <v>83424696</v>
      </c>
      <c r="HF443" t="s">
        <v>531</v>
      </c>
      <c r="HG443" s="2">
        <v>45757.710243055553</v>
      </c>
      <c r="HJ443" t="s">
        <v>248</v>
      </c>
      <c r="HL443" t="s">
        <v>282</v>
      </c>
      <c r="HN443">
        <v>441</v>
      </c>
    </row>
    <row r="444" spans="1:222" x14ac:dyDescent="0.25">
      <c r="A444" s="2">
        <v>45757.501914884262</v>
      </c>
      <c r="B444" s="2">
        <v>45757.510268611113</v>
      </c>
      <c r="C444" t="s">
        <v>270</v>
      </c>
      <c r="D444">
        <v>281</v>
      </c>
      <c r="E444" s="2">
        <v>45730</v>
      </c>
      <c r="F444">
        <v>1</v>
      </c>
      <c r="G444" t="s">
        <v>507</v>
      </c>
      <c r="H444" t="s">
        <v>375</v>
      </c>
      <c r="I444">
        <v>39</v>
      </c>
      <c r="J444" t="str">
        <f t="shared" si="6"/>
        <v>de 26 a 40 años</v>
      </c>
      <c r="K444" t="s">
        <v>251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225</v>
      </c>
      <c r="R444" t="s">
        <v>226</v>
      </c>
      <c r="T444" t="s">
        <v>227</v>
      </c>
      <c r="V444" t="s">
        <v>228</v>
      </c>
      <c r="W444" t="s">
        <v>229</v>
      </c>
      <c r="X444" t="s">
        <v>350</v>
      </c>
      <c r="Z444" t="s">
        <v>231</v>
      </c>
      <c r="AA444" t="s">
        <v>1460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I444" t="s">
        <v>233</v>
      </c>
      <c r="AJ444">
        <v>0</v>
      </c>
      <c r="AK444">
        <v>1</v>
      </c>
      <c r="AL444">
        <v>0</v>
      </c>
      <c r="AM444">
        <v>0</v>
      </c>
      <c r="AN444" t="s">
        <v>274</v>
      </c>
      <c r="AO444" t="s">
        <v>898</v>
      </c>
      <c r="AP444">
        <v>1</v>
      </c>
      <c r="AQ444">
        <v>0</v>
      </c>
      <c r="AR444">
        <v>1</v>
      </c>
      <c r="AS444">
        <v>1</v>
      </c>
      <c r="AT444">
        <v>0</v>
      </c>
      <c r="AU444">
        <v>0</v>
      </c>
      <c r="AV444">
        <v>0</v>
      </c>
      <c r="AX444" t="s">
        <v>226</v>
      </c>
      <c r="AY444" t="s">
        <v>226</v>
      </c>
      <c r="AZ444" t="s">
        <v>237</v>
      </c>
      <c r="BA444" t="s">
        <v>1461</v>
      </c>
      <c r="BB444" t="s">
        <v>1462</v>
      </c>
      <c r="BE444" t="s">
        <v>259</v>
      </c>
      <c r="BF444" t="s">
        <v>259</v>
      </c>
      <c r="BG444" t="s">
        <v>259</v>
      </c>
      <c r="BH444" t="s">
        <v>308</v>
      </c>
      <c r="BI444" t="s">
        <v>237</v>
      </c>
      <c r="BJ444" t="s">
        <v>237</v>
      </c>
      <c r="BK444" t="s">
        <v>259</v>
      </c>
      <c r="BL444" t="s">
        <v>313</v>
      </c>
      <c r="BM444" t="s">
        <v>278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 t="s">
        <v>243</v>
      </c>
      <c r="CB444" t="s">
        <v>243</v>
      </c>
      <c r="CC444" t="s">
        <v>243</v>
      </c>
      <c r="CD444" t="s">
        <v>226</v>
      </c>
      <c r="CE444" t="s">
        <v>236</v>
      </c>
      <c r="EA444" t="s">
        <v>236</v>
      </c>
      <c r="EC444" t="s">
        <v>236</v>
      </c>
      <c r="EE444" t="s">
        <v>226</v>
      </c>
      <c r="EF444" t="s">
        <v>245</v>
      </c>
      <c r="EG444" t="s">
        <v>226</v>
      </c>
      <c r="EH444" t="s">
        <v>245</v>
      </c>
      <c r="EI444" t="s">
        <v>226</v>
      </c>
      <c r="EJ444" t="s">
        <v>245</v>
      </c>
      <c r="EK444" t="s">
        <v>236</v>
      </c>
      <c r="EM444" t="s">
        <v>226</v>
      </c>
      <c r="EN444" t="s">
        <v>245</v>
      </c>
      <c r="EO444" t="s">
        <v>226</v>
      </c>
      <c r="EP444" t="s">
        <v>265</v>
      </c>
      <c r="EQ444" t="s">
        <v>236</v>
      </c>
      <c r="ES444" t="s">
        <v>226</v>
      </c>
      <c r="ET444" t="s">
        <v>245</v>
      </c>
      <c r="EU444" t="s">
        <v>236</v>
      </c>
      <c r="EW444" t="s">
        <v>236</v>
      </c>
      <c r="EY444" t="s">
        <v>236</v>
      </c>
      <c r="FA444" t="s">
        <v>226</v>
      </c>
      <c r="FB444" t="s">
        <v>244</v>
      </c>
      <c r="FC444" t="s">
        <v>236</v>
      </c>
      <c r="FE444" t="s">
        <v>236</v>
      </c>
      <c r="FG444" t="s">
        <v>236</v>
      </c>
      <c r="FJ444" t="s">
        <v>226</v>
      </c>
      <c r="FK444" t="s">
        <v>245</v>
      </c>
      <c r="FL444" t="s">
        <v>236</v>
      </c>
      <c r="FM444" t="s">
        <v>236</v>
      </c>
      <c r="FW444" t="s">
        <v>236</v>
      </c>
      <c r="FZ444" t="s">
        <v>236</v>
      </c>
      <c r="GC444" t="s">
        <v>236</v>
      </c>
      <c r="GF444" t="s">
        <v>226</v>
      </c>
      <c r="GG444" t="s">
        <v>236</v>
      </c>
      <c r="GI444" t="s">
        <v>236</v>
      </c>
      <c r="GL444" t="s">
        <v>236</v>
      </c>
      <c r="GO444" t="s">
        <v>226</v>
      </c>
      <c r="GP444" t="s">
        <v>226</v>
      </c>
      <c r="GQ444" t="s">
        <v>266</v>
      </c>
      <c r="GR444" t="s">
        <v>236</v>
      </c>
      <c r="GU444" t="s">
        <v>236</v>
      </c>
      <c r="GX444" t="s">
        <v>236</v>
      </c>
      <c r="HB444" t="s">
        <v>1181</v>
      </c>
      <c r="HC444" t="s">
        <v>358</v>
      </c>
      <c r="HE444">
        <v>83425352</v>
      </c>
      <c r="HF444" t="s">
        <v>1463</v>
      </c>
      <c r="HG444" s="2">
        <v>45757.718599537038</v>
      </c>
      <c r="HJ444" t="s">
        <v>248</v>
      </c>
      <c r="HL444" t="s">
        <v>282</v>
      </c>
      <c r="HN444">
        <v>442</v>
      </c>
    </row>
    <row r="445" spans="1:222" x14ac:dyDescent="0.25">
      <c r="A445" s="2">
        <v>45757.510269814811</v>
      </c>
      <c r="B445" s="2">
        <v>45757.517895983787</v>
      </c>
      <c r="C445" t="s">
        <v>270</v>
      </c>
      <c r="D445">
        <v>284</v>
      </c>
      <c r="E445" s="2">
        <v>45730</v>
      </c>
      <c r="F445">
        <v>1</v>
      </c>
      <c r="G445" t="s">
        <v>507</v>
      </c>
      <c r="H445" t="s">
        <v>375</v>
      </c>
      <c r="I445">
        <v>23</v>
      </c>
      <c r="J445" t="str">
        <f t="shared" si="6"/>
        <v>de 18 a 25 años</v>
      </c>
      <c r="K445" t="s">
        <v>251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225</v>
      </c>
      <c r="R445" t="s">
        <v>226</v>
      </c>
      <c r="T445" t="s">
        <v>227</v>
      </c>
      <c r="V445" t="s">
        <v>252</v>
      </c>
      <c r="W445" t="s">
        <v>229</v>
      </c>
      <c r="X445" t="s">
        <v>480</v>
      </c>
      <c r="Z445" t="s">
        <v>254</v>
      </c>
      <c r="AA445" t="s">
        <v>255</v>
      </c>
      <c r="AB445">
        <v>0</v>
      </c>
      <c r="AC445">
        <v>0</v>
      </c>
      <c r="AD445">
        <v>0</v>
      </c>
      <c r="AE445">
        <v>1</v>
      </c>
      <c r="AF445">
        <v>0</v>
      </c>
      <c r="AG445">
        <v>0</v>
      </c>
      <c r="AI445" t="s">
        <v>233</v>
      </c>
      <c r="AJ445">
        <v>0</v>
      </c>
      <c r="AK445">
        <v>1</v>
      </c>
      <c r="AL445">
        <v>0</v>
      </c>
      <c r="AM445">
        <v>0</v>
      </c>
      <c r="AN445" t="s">
        <v>300</v>
      </c>
      <c r="AO445" t="s">
        <v>275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X445" t="s">
        <v>236</v>
      </c>
      <c r="AZ445" t="s">
        <v>237</v>
      </c>
      <c r="BA445" t="s">
        <v>825</v>
      </c>
      <c r="BB445" t="s">
        <v>512</v>
      </c>
      <c r="BE445" t="s">
        <v>237</v>
      </c>
      <c r="BF445" t="s">
        <v>237</v>
      </c>
      <c r="BG445" t="s">
        <v>237</v>
      </c>
      <c r="BH445" t="s">
        <v>259</v>
      </c>
      <c r="BI445" t="s">
        <v>237</v>
      </c>
      <c r="BJ445" t="s">
        <v>259</v>
      </c>
      <c r="BK445" t="s">
        <v>259</v>
      </c>
      <c r="BL445" t="s">
        <v>262</v>
      </c>
      <c r="BM445" t="s">
        <v>389</v>
      </c>
      <c r="BN445">
        <v>0</v>
      </c>
      <c r="BO445">
        <v>0</v>
      </c>
      <c r="BP445">
        <v>1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 t="s">
        <v>264</v>
      </c>
      <c r="CB445" t="s">
        <v>264</v>
      </c>
      <c r="CC445" t="s">
        <v>243</v>
      </c>
      <c r="CD445" t="s">
        <v>236</v>
      </c>
      <c r="CE445" t="s">
        <v>236</v>
      </c>
      <c r="EA445" t="s">
        <v>236</v>
      </c>
      <c r="EC445" t="s">
        <v>236</v>
      </c>
      <c r="EE445" t="s">
        <v>236</v>
      </c>
      <c r="EG445" t="s">
        <v>226</v>
      </c>
      <c r="EH445" t="s">
        <v>245</v>
      </c>
      <c r="EI445" t="s">
        <v>236</v>
      </c>
      <c r="EK445" t="s">
        <v>236</v>
      </c>
      <c r="EM445" t="s">
        <v>226</v>
      </c>
      <c r="EN445" t="s">
        <v>244</v>
      </c>
      <c r="EO445" t="s">
        <v>236</v>
      </c>
      <c r="EQ445" t="s">
        <v>236</v>
      </c>
      <c r="ES445" t="s">
        <v>236</v>
      </c>
      <c r="EU445" t="s">
        <v>236</v>
      </c>
      <c r="EW445" t="s">
        <v>236</v>
      </c>
      <c r="EY445" t="s">
        <v>236</v>
      </c>
      <c r="FA445" t="s">
        <v>226</v>
      </c>
      <c r="FB445" t="s">
        <v>244</v>
      </c>
      <c r="FC445" t="s">
        <v>236</v>
      </c>
      <c r="FE445" t="s">
        <v>226</v>
      </c>
      <c r="FF445" t="s">
        <v>245</v>
      </c>
      <c r="FG445" t="s">
        <v>236</v>
      </c>
      <c r="FJ445" t="s">
        <v>226</v>
      </c>
      <c r="FK445" t="s">
        <v>245</v>
      </c>
      <c r="FL445" t="s">
        <v>236</v>
      </c>
      <c r="FM445" t="s">
        <v>236</v>
      </c>
      <c r="FW445" t="s">
        <v>236</v>
      </c>
      <c r="FZ445" t="s">
        <v>236</v>
      </c>
      <c r="GC445" t="s">
        <v>236</v>
      </c>
      <c r="GF445" t="s">
        <v>226</v>
      </c>
      <c r="GG445" t="s">
        <v>236</v>
      </c>
      <c r="GI445" t="s">
        <v>236</v>
      </c>
      <c r="GL445" t="s">
        <v>236</v>
      </c>
      <c r="GO445" t="s">
        <v>226</v>
      </c>
      <c r="GP445" t="s">
        <v>236</v>
      </c>
      <c r="GR445" t="s">
        <v>226</v>
      </c>
      <c r="GS445" t="s">
        <v>236</v>
      </c>
      <c r="GU445" t="s">
        <v>236</v>
      </c>
      <c r="GX445" t="s">
        <v>236</v>
      </c>
      <c r="HB445" t="s">
        <v>338</v>
      </c>
      <c r="HC445" t="s">
        <v>1467</v>
      </c>
      <c r="HD445" t="s">
        <v>512</v>
      </c>
      <c r="HE445">
        <v>83425978</v>
      </c>
      <c r="HF445" t="s">
        <v>1468</v>
      </c>
      <c r="HG445" s="2">
        <v>45757.726226851853</v>
      </c>
      <c r="HJ445" t="s">
        <v>248</v>
      </c>
      <c r="HL445" t="s">
        <v>282</v>
      </c>
      <c r="HN445">
        <v>444</v>
      </c>
    </row>
    <row r="446" spans="1:222" x14ac:dyDescent="0.25">
      <c r="A446" s="2">
        <v>45757.513537939813</v>
      </c>
      <c r="B446" s="2">
        <v>45757.526072777779</v>
      </c>
      <c r="C446" t="s">
        <v>221</v>
      </c>
      <c r="D446">
        <v>184</v>
      </c>
      <c r="E446" s="2">
        <v>45730</v>
      </c>
      <c r="F446">
        <v>4</v>
      </c>
      <c r="G446" t="s">
        <v>413</v>
      </c>
      <c r="H446" t="s">
        <v>270</v>
      </c>
      <c r="I446">
        <v>26</v>
      </c>
      <c r="J446" t="str">
        <f t="shared" si="6"/>
        <v>de 26 a 40 años</v>
      </c>
      <c r="K446" t="s">
        <v>341</v>
      </c>
      <c r="L446">
        <v>1</v>
      </c>
      <c r="M446">
        <v>0</v>
      </c>
      <c r="N446">
        <v>0</v>
      </c>
      <c r="O446">
        <v>0</v>
      </c>
      <c r="P446">
        <v>0</v>
      </c>
      <c r="Q446" t="s">
        <v>291</v>
      </c>
      <c r="R446" t="s">
        <v>226</v>
      </c>
      <c r="T446" t="s">
        <v>227</v>
      </c>
      <c r="V446" t="s">
        <v>228</v>
      </c>
      <c r="W446" t="s">
        <v>229</v>
      </c>
      <c r="X446" t="s">
        <v>230</v>
      </c>
      <c r="Z446" t="s">
        <v>254</v>
      </c>
      <c r="AA446" t="s">
        <v>232</v>
      </c>
      <c r="AB446">
        <v>1</v>
      </c>
      <c r="AC446">
        <v>0</v>
      </c>
      <c r="AD446">
        <v>0</v>
      </c>
      <c r="AE446">
        <v>0</v>
      </c>
      <c r="AF446">
        <v>0</v>
      </c>
      <c r="AG446">
        <v>0</v>
      </c>
      <c r="AI446" t="s">
        <v>233</v>
      </c>
      <c r="AJ446">
        <v>0</v>
      </c>
      <c r="AK446">
        <v>1</v>
      </c>
      <c r="AL446">
        <v>0</v>
      </c>
      <c r="AM446">
        <v>0</v>
      </c>
      <c r="AN446" t="s">
        <v>300</v>
      </c>
      <c r="AO446" t="s">
        <v>353</v>
      </c>
      <c r="AP446">
        <v>0</v>
      </c>
      <c r="AQ446">
        <v>0</v>
      </c>
      <c r="AR446">
        <v>0</v>
      </c>
      <c r="AS446">
        <v>0</v>
      </c>
      <c r="AT446">
        <v>1</v>
      </c>
      <c r="AU446">
        <v>0</v>
      </c>
      <c r="AV446">
        <v>0</v>
      </c>
      <c r="AX446" t="s">
        <v>226</v>
      </c>
      <c r="AY446" t="s">
        <v>226</v>
      </c>
      <c r="AZ446" t="s">
        <v>237</v>
      </c>
      <c r="BA446" t="s">
        <v>1176</v>
      </c>
      <c r="BB446" t="s">
        <v>1177</v>
      </c>
      <c r="BE446" t="s">
        <v>237</v>
      </c>
      <c r="BF446" t="s">
        <v>237</v>
      </c>
      <c r="BG446" t="s">
        <v>237</v>
      </c>
      <c r="BH446" t="s">
        <v>308</v>
      </c>
      <c r="BI446" t="s">
        <v>308</v>
      </c>
      <c r="BJ446" t="s">
        <v>237</v>
      </c>
      <c r="BK446" t="s">
        <v>237</v>
      </c>
      <c r="BL446" t="s">
        <v>262</v>
      </c>
      <c r="BM446" t="s">
        <v>451</v>
      </c>
      <c r="BN446">
        <v>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 t="s">
        <v>264</v>
      </c>
      <c r="CB446" t="s">
        <v>243</v>
      </c>
      <c r="CC446" t="s">
        <v>328</v>
      </c>
      <c r="CD446" t="s">
        <v>236</v>
      </c>
      <c r="CE446" t="s">
        <v>236</v>
      </c>
      <c r="EA446" t="s">
        <v>236</v>
      </c>
      <c r="EC446" t="s">
        <v>236</v>
      </c>
      <c r="EE446" t="s">
        <v>236</v>
      </c>
      <c r="EG446" t="s">
        <v>226</v>
      </c>
      <c r="EH446" t="s">
        <v>244</v>
      </c>
      <c r="EI446" t="s">
        <v>226</v>
      </c>
      <c r="EJ446" t="s">
        <v>245</v>
      </c>
      <c r="EK446" t="s">
        <v>226</v>
      </c>
      <c r="EL446" t="s">
        <v>245</v>
      </c>
      <c r="EM446" t="s">
        <v>226</v>
      </c>
      <c r="EN446" t="s">
        <v>245</v>
      </c>
      <c r="EO446" t="s">
        <v>226</v>
      </c>
      <c r="EP446" t="s">
        <v>245</v>
      </c>
      <c r="EQ446" t="s">
        <v>236</v>
      </c>
      <c r="ES446" t="s">
        <v>226</v>
      </c>
      <c r="ET446" t="s">
        <v>245</v>
      </c>
      <c r="EU446" t="s">
        <v>226</v>
      </c>
      <c r="EV446" t="s">
        <v>245</v>
      </c>
      <c r="EW446" t="s">
        <v>236</v>
      </c>
      <c r="EY446" t="s">
        <v>236</v>
      </c>
      <c r="FA446" t="s">
        <v>226</v>
      </c>
      <c r="FB446" t="s">
        <v>244</v>
      </c>
      <c r="FC446" t="s">
        <v>226</v>
      </c>
      <c r="FD446" t="s">
        <v>244</v>
      </c>
      <c r="FE446" t="s">
        <v>226</v>
      </c>
      <c r="FF446" t="s">
        <v>244</v>
      </c>
      <c r="FG446" t="s">
        <v>236</v>
      </c>
      <c r="FJ446" t="s">
        <v>236</v>
      </c>
      <c r="FM446" t="s">
        <v>236</v>
      </c>
      <c r="FW446" t="s">
        <v>226</v>
      </c>
      <c r="FX446" t="s">
        <v>236</v>
      </c>
      <c r="FZ446" t="s">
        <v>226</v>
      </c>
      <c r="GA446" t="s">
        <v>236</v>
      </c>
      <c r="GC446" t="s">
        <v>236</v>
      </c>
      <c r="GF446" t="s">
        <v>226</v>
      </c>
      <c r="GG446" t="s">
        <v>236</v>
      </c>
      <c r="GI446" t="s">
        <v>236</v>
      </c>
      <c r="GL446" t="s">
        <v>226</v>
      </c>
      <c r="GM446" t="s">
        <v>236</v>
      </c>
      <c r="GO446" t="s">
        <v>226</v>
      </c>
      <c r="GP446" t="s">
        <v>226</v>
      </c>
      <c r="GQ446" t="s">
        <v>266</v>
      </c>
      <c r="GR446" t="s">
        <v>226</v>
      </c>
      <c r="GS446" t="s">
        <v>226</v>
      </c>
      <c r="GT446" t="s">
        <v>266</v>
      </c>
      <c r="GU446" t="s">
        <v>236</v>
      </c>
      <c r="GX446" t="s">
        <v>236</v>
      </c>
      <c r="HB446" t="s">
        <v>338</v>
      </c>
      <c r="HC446" t="s">
        <v>339</v>
      </c>
      <c r="HE446">
        <v>83426854</v>
      </c>
      <c r="HF446" t="s">
        <v>1178</v>
      </c>
      <c r="HG446" s="2">
        <v>45757.7343287037</v>
      </c>
      <c r="HJ446" t="s">
        <v>248</v>
      </c>
      <c r="HL446" t="s">
        <v>282</v>
      </c>
      <c r="HN446">
        <v>446</v>
      </c>
    </row>
    <row r="447" spans="1:222" x14ac:dyDescent="0.25">
      <c r="A447" s="2">
        <v>45757.51789732639</v>
      </c>
      <c r="B447" s="2">
        <v>45757.522347662038</v>
      </c>
      <c r="C447" t="s">
        <v>270</v>
      </c>
      <c r="D447">
        <v>302</v>
      </c>
      <c r="E447" s="2">
        <v>45730</v>
      </c>
      <c r="F447">
        <v>1</v>
      </c>
      <c r="G447" t="s">
        <v>1514</v>
      </c>
      <c r="H447" t="s">
        <v>375</v>
      </c>
      <c r="I447">
        <v>25</v>
      </c>
      <c r="J447" t="str">
        <f t="shared" si="6"/>
        <v>de 18 a 25 años</v>
      </c>
      <c r="K447" t="s">
        <v>341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225</v>
      </c>
      <c r="R447" t="s">
        <v>226</v>
      </c>
      <c r="T447" t="s">
        <v>227</v>
      </c>
      <c r="V447" t="s">
        <v>228</v>
      </c>
      <c r="W447" t="s">
        <v>229</v>
      </c>
      <c r="X447" t="s">
        <v>253</v>
      </c>
      <c r="Z447" t="s">
        <v>308</v>
      </c>
      <c r="AA447" t="s">
        <v>232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I447" t="s">
        <v>233</v>
      </c>
      <c r="AJ447">
        <v>0</v>
      </c>
      <c r="AK447">
        <v>1</v>
      </c>
      <c r="AL447">
        <v>0</v>
      </c>
      <c r="AM447">
        <v>0</v>
      </c>
      <c r="AN447" t="s">
        <v>257</v>
      </c>
      <c r="AO447" t="s">
        <v>1507</v>
      </c>
      <c r="AP447">
        <v>1</v>
      </c>
      <c r="AQ447">
        <v>0</v>
      </c>
      <c r="AR447">
        <v>0</v>
      </c>
      <c r="AS447">
        <v>0</v>
      </c>
      <c r="AT447">
        <v>1</v>
      </c>
      <c r="AU447">
        <v>0</v>
      </c>
      <c r="AV447">
        <v>0</v>
      </c>
      <c r="AX447" t="s">
        <v>226</v>
      </c>
      <c r="AY447" t="s">
        <v>226</v>
      </c>
      <c r="AZ447" t="s">
        <v>237</v>
      </c>
      <c r="BA447" t="s">
        <v>1528</v>
      </c>
      <c r="BE447" t="s">
        <v>259</v>
      </c>
      <c r="BF447" t="s">
        <v>259</v>
      </c>
      <c r="BG447" t="s">
        <v>259</v>
      </c>
      <c r="BH447" t="s">
        <v>259</v>
      </c>
      <c r="BI447" t="s">
        <v>237</v>
      </c>
      <c r="BJ447" t="s">
        <v>259</v>
      </c>
      <c r="BK447" t="s">
        <v>259</v>
      </c>
      <c r="BL447" t="s">
        <v>262</v>
      </c>
      <c r="BM447" t="s">
        <v>733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1</v>
      </c>
      <c r="BY447">
        <v>0</v>
      </c>
      <c r="BZ447">
        <v>0</v>
      </c>
      <c r="CA447" t="s">
        <v>264</v>
      </c>
      <c r="CB447" t="s">
        <v>243</v>
      </c>
      <c r="CC447" t="s">
        <v>264</v>
      </c>
      <c r="CD447" t="s">
        <v>236</v>
      </c>
      <c r="CE447" t="s">
        <v>236</v>
      </c>
      <c r="EA447" t="s">
        <v>226</v>
      </c>
      <c r="EB447" t="s">
        <v>245</v>
      </c>
      <c r="EC447" t="s">
        <v>236</v>
      </c>
      <c r="EE447" t="s">
        <v>226</v>
      </c>
      <c r="EF447" t="s">
        <v>265</v>
      </c>
      <c r="EG447" t="s">
        <v>226</v>
      </c>
      <c r="EH447" t="s">
        <v>245</v>
      </c>
      <c r="EI447" t="s">
        <v>226</v>
      </c>
      <c r="EJ447" t="s">
        <v>245</v>
      </c>
      <c r="EK447" t="s">
        <v>236</v>
      </c>
      <c r="EM447" t="s">
        <v>226</v>
      </c>
      <c r="EN447" t="s">
        <v>245</v>
      </c>
      <c r="EO447" t="s">
        <v>236</v>
      </c>
      <c r="EQ447" t="s">
        <v>236</v>
      </c>
      <c r="ES447" t="s">
        <v>236</v>
      </c>
      <c r="EU447" t="s">
        <v>236</v>
      </c>
      <c r="EW447" t="s">
        <v>236</v>
      </c>
      <c r="EY447" t="s">
        <v>226</v>
      </c>
      <c r="EZ447" t="s">
        <v>245</v>
      </c>
      <c r="FA447" t="s">
        <v>226</v>
      </c>
      <c r="FB447" t="s">
        <v>245</v>
      </c>
      <c r="FC447" t="s">
        <v>308</v>
      </c>
      <c r="FE447" t="s">
        <v>236</v>
      </c>
      <c r="FG447" t="s">
        <v>236</v>
      </c>
      <c r="FJ447" t="s">
        <v>226</v>
      </c>
      <c r="FK447" t="s">
        <v>245</v>
      </c>
      <c r="FL447" t="s">
        <v>236</v>
      </c>
      <c r="FM447" t="s">
        <v>236</v>
      </c>
      <c r="FW447" t="s">
        <v>236</v>
      </c>
      <c r="FZ447" t="s">
        <v>236</v>
      </c>
      <c r="GC447" t="s">
        <v>236</v>
      </c>
      <c r="GF447" t="s">
        <v>236</v>
      </c>
      <c r="GI447" t="s">
        <v>236</v>
      </c>
      <c r="GL447" t="s">
        <v>236</v>
      </c>
      <c r="GO447" t="s">
        <v>226</v>
      </c>
      <c r="GP447" t="s">
        <v>226</v>
      </c>
      <c r="GQ447" t="s">
        <v>267</v>
      </c>
      <c r="GR447" t="s">
        <v>226</v>
      </c>
      <c r="GS447" t="s">
        <v>236</v>
      </c>
      <c r="GU447" t="s">
        <v>236</v>
      </c>
      <c r="GX447" t="s">
        <v>236</v>
      </c>
      <c r="HB447" t="s">
        <v>1529</v>
      </c>
      <c r="HC447" t="s">
        <v>510</v>
      </c>
      <c r="HE447">
        <v>83426479</v>
      </c>
      <c r="HF447" t="s">
        <v>1530</v>
      </c>
      <c r="HG447" s="2">
        <v>45757.730671296304</v>
      </c>
      <c r="HJ447" t="s">
        <v>248</v>
      </c>
      <c r="HL447" t="s">
        <v>282</v>
      </c>
      <c r="HN447">
        <v>445</v>
      </c>
    </row>
    <row r="448" spans="1:222" x14ac:dyDescent="0.25">
      <c r="A448" s="2">
        <v>45757.52234891204</v>
      </c>
      <c r="B448" s="2">
        <v>45757.529618877314</v>
      </c>
      <c r="C448" t="s">
        <v>270</v>
      </c>
      <c r="D448">
        <v>305</v>
      </c>
      <c r="E448" s="2">
        <v>45730</v>
      </c>
      <c r="F448">
        <v>1</v>
      </c>
      <c r="G448" t="s">
        <v>1268</v>
      </c>
      <c r="H448" t="s">
        <v>375</v>
      </c>
      <c r="I448">
        <v>59</v>
      </c>
      <c r="J448" t="str">
        <f t="shared" si="6"/>
        <v>de 56 a más</v>
      </c>
      <c r="K448" t="s">
        <v>224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225</v>
      </c>
      <c r="R448" t="s">
        <v>226</v>
      </c>
      <c r="T448" t="s">
        <v>227</v>
      </c>
      <c r="V448" t="s">
        <v>228</v>
      </c>
      <c r="W448" t="s">
        <v>229</v>
      </c>
      <c r="X448" t="s">
        <v>230</v>
      </c>
      <c r="Z448" t="s">
        <v>231</v>
      </c>
      <c r="AA448" t="s">
        <v>232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I448" t="s">
        <v>233</v>
      </c>
      <c r="AJ448">
        <v>0</v>
      </c>
      <c r="AK448">
        <v>1</v>
      </c>
      <c r="AL448">
        <v>0</v>
      </c>
      <c r="AM448">
        <v>0</v>
      </c>
      <c r="AN448" t="s">
        <v>300</v>
      </c>
      <c r="AO448" t="s">
        <v>275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0</v>
      </c>
      <c r="AX448" t="s">
        <v>236</v>
      </c>
      <c r="AZ448" t="s">
        <v>237</v>
      </c>
      <c r="BA448" t="s">
        <v>1536</v>
      </c>
      <c r="BB448" t="s">
        <v>1537</v>
      </c>
      <c r="BE448" t="s">
        <v>237</v>
      </c>
      <c r="BF448" t="s">
        <v>237</v>
      </c>
      <c r="BG448" t="s">
        <v>237</v>
      </c>
      <c r="BH448" t="s">
        <v>259</v>
      </c>
      <c r="BI448" t="s">
        <v>237</v>
      </c>
      <c r="BJ448" t="s">
        <v>237</v>
      </c>
      <c r="BK448" t="s">
        <v>259</v>
      </c>
      <c r="BL448" t="s">
        <v>262</v>
      </c>
      <c r="BM448" t="s">
        <v>365</v>
      </c>
      <c r="BN448">
        <v>0</v>
      </c>
      <c r="BO448">
        <v>1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 t="s">
        <v>264</v>
      </c>
      <c r="CB448" t="s">
        <v>243</v>
      </c>
      <c r="CC448" t="s">
        <v>264</v>
      </c>
      <c r="CD448" t="s">
        <v>236</v>
      </c>
      <c r="CE448" t="s">
        <v>236</v>
      </c>
      <c r="EA448" t="s">
        <v>236</v>
      </c>
      <c r="EC448" t="s">
        <v>226</v>
      </c>
      <c r="ED448" t="s">
        <v>245</v>
      </c>
      <c r="EE448" t="s">
        <v>226</v>
      </c>
      <c r="EF448" t="s">
        <v>265</v>
      </c>
      <c r="EG448" t="s">
        <v>226</v>
      </c>
      <c r="EH448" t="s">
        <v>265</v>
      </c>
      <c r="EI448" t="s">
        <v>226</v>
      </c>
      <c r="EJ448" t="s">
        <v>245</v>
      </c>
      <c r="EK448" t="s">
        <v>236</v>
      </c>
      <c r="EM448" t="s">
        <v>226</v>
      </c>
      <c r="EN448" t="s">
        <v>265</v>
      </c>
      <c r="EO448" t="s">
        <v>236</v>
      </c>
      <c r="EQ448" t="s">
        <v>236</v>
      </c>
      <c r="ES448" t="s">
        <v>226</v>
      </c>
      <c r="ET448" t="s">
        <v>245</v>
      </c>
      <c r="EU448" t="s">
        <v>236</v>
      </c>
      <c r="EW448" t="s">
        <v>236</v>
      </c>
      <c r="EY448" t="s">
        <v>236</v>
      </c>
      <c r="FA448" t="s">
        <v>236</v>
      </c>
      <c r="FC448" t="s">
        <v>236</v>
      </c>
      <c r="FE448" t="s">
        <v>226</v>
      </c>
      <c r="FF448" t="s">
        <v>265</v>
      </c>
      <c r="FG448" t="s">
        <v>226</v>
      </c>
      <c r="FH448" t="s">
        <v>1538</v>
      </c>
      <c r="FI448" t="s">
        <v>265</v>
      </c>
      <c r="FJ448" t="s">
        <v>226</v>
      </c>
      <c r="FK448" t="s">
        <v>265</v>
      </c>
      <c r="FL448" t="s">
        <v>236</v>
      </c>
      <c r="FM448" t="s">
        <v>236</v>
      </c>
      <c r="FW448" t="s">
        <v>236</v>
      </c>
      <c r="FZ448" t="s">
        <v>236</v>
      </c>
      <c r="GC448" t="s">
        <v>236</v>
      </c>
      <c r="GF448" t="s">
        <v>226</v>
      </c>
      <c r="GG448" t="s">
        <v>226</v>
      </c>
      <c r="GH448" t="s">
        <v>267</v>
      </c>
      <c r="GI448" t="s">
        <v>236</v>
      </c>
      <c r="GL448" t="s">
        <v>226</v>
      </c>
      <c r="GM448" t="s">
        <v>236</v>
      </c>
      <c r="GO448" t="s">
        <v>226</v>
      </c>
      <c r="GP448" t="s">
        <v>226</v>
      </c>
      <c r="GQ448" t="s">
        <v>267</v>
      </c>
      <c r="GR448" t="s">
        <v>226</v>
      </c>
      <c r="GS448" t="s">
        <v>226</v>
      </c>
      <c r="GT448" t="s">
        <v>267</v>
      </c>
      <c r="GU448" t="s">
        <v>236</v>
      </c>
      <c r="GX448" t="s">
        <v>236</v>
      </c>
      <c r="HB448" t="s">
        <v>358</v>
      </c>
      <c r="HC448" t="s">
        <v>1539</v>
      </c>
      <c r="HE448">
        <v>83427319</v>
      </c>
      <c r="HF448" t="s">
        <v>1540</v>
      </c>
      <c r="HG448" s="2">
        <v>45757.737951388888</v>
      </c>
      <c r="HJ448" t="s">
        <v>248</v>
      </c>
      <c r="HL448" t="s">
        <v>282</v>
      </c>
      <c r="HN448">
        <v>447</v>
      </c>
    </row>
    <row r="449" spans="1:222" x14ac:dyDescent="0.25">
      <c r="A449" s="2">
        <v>45757.526073275461</v>
      </c>
      <c r="B449" s="2">
        <v>45757.533258460651</v>
      </c>
      <c r="C449" t="s">
        <v>221</v>
      </c>
      <c r="D449">
        <v>187</v>
      </c>
      <c r="E449" s="2">
        <v>45730</v>
      </c>
      <c r="F449">
        <v>4</v>
      </c>
      <c r="G449" t="s">
        <v>436</v>
      </c>
      <c r="H449" t="s">
        <v>270</v>
      </c>
      <c r="I449">
        <v>50</v>
      </c>
      <c r="J449" t="str">
        <f t="shared" si="6"/>
        <v>de 41 a 55 años</v>
      </c>
      <c r="K449" t="s">
        <v>224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291</v>
      </c>
      <c r="R449" t="s">
        <v>226</v>
      </c>
      <c r="T449" t="s">
        <v>227</v>
      </c>
      <c r="V449" t="s">
        <v>228</v>
      </c>
      <c r="W449" t="s">
        <v>229</v>
      </c>
      <c r="X449" t="s">
        <v>230</v>
      </c>
      <c r="Z449" t="s">
        <v>308</v>
      </c>
      <c r="AA449" t="s">
        <v>823</v>
      </c>
      <c r="AB449">
        <v>1</v>
      </c>
      <c r="AC449">
        <v>0</v>
      </c>
      <c r="AD449">
        <v>0</v>
      </c>
      <c r="AE449">
        <v>1</v>
      </c>
      <c r="AF449">
        <v>0</v>
      </c>
      <c r="AG449">
        <v>0</v>
      </c>
      <c r="AI449" t="s">
        <v>233</v>
      </c>
      <c r="AJ449">
        <v>0</v>
      </c>
      <c r="AK449">
        <v>1</v>
      </c>
      <c r="AL449">
        <v>0</v>
      </c>
      <c r="AM449">
        <v>0</v>
      </c>
      <c r="AN449" t="s">
        <v>300</v>
      </c>
      <c r="AO449" t="s">
        <v>275</v>
      </c>
      <c r="AX449" t="s">
        <v>226</v>
      </c>
      <c r="AY449" t="s">
        <v>226</v>
      </c>
      <c r="AZ449" t="s">
        <v>259</v>
      </c>
      <c r="BA449" t="s">
        <v>1189</v>
      </c>
      <c r="BB449" t="s">
        <v>301</v>
      </c>
      <c r="BC449" t="s">
        <v>909</v>
      </c>
      <c r="BE449" t="s">
        <v>259</v>
      </c>
      <c r="BF449" t="s">
        <v>237</v>
      </c>
      <c r="BG449" t="s">
        <v>259</v>
      </c>
      <c r="BH449" t="s">
        <v>259</v>
      </c>
      <c r="BI449" t="s">
        <v>237</v>
      </c>
      <c r="BJ449" t="s">
        <v>239</v>
      </c>
      <c r="BK449" t="s">
        <v>239</v>
      </c>
      <c r="BL449" t="s">
        <v>262</v>
      </c>
      <c r="BM449" t="s">
        <v>1190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 t="s">
        <v>264</v>
      </c>
      <c r="CB449" t="s">
        <v>264</v>
      </c>
      <c r="CC449" t="s">
        <v>264</v>
      </c>
      <c r="CD449" t="s">
        <v>236</v>
      </c>
      <c r="CE449" t="s">
        <v>236</v>
      </c>
      <c r="EA449" t="s">
        <v>226</v>
      </c>
      <c r="EB449" t="s">
        <v>245</v>
      </c>
      <c r="EC449" t="s">
        <v>226</v>
      </c>
      <c r="ED449" t="s">
        <v>245</v>
      </c>
      <c r="EE449" t="s">
        <v>226</v>
      </c>
      <c r="EF449" t="s">
        <v>245</v>
      </c>
      <c r="EG449" t="s">
        <v>226</v>
      </c>
      <c r="EH449" t="s">
        <v>245</v>
      </c>
      <c r="EI449" t="s">
        <v>226</v>
      </c>
      <c r="EJ449" t="s">
        <v>245</v>
      </c>
      <c r="EK449" t="s">
        <v>236</v>
      </c>
      <c r="EM449" t="s">
        <v>226</v>
      </c>
      <c r="EN449" t="s">
        <v>244</v>
      </c>
      <c r="EO449" t="s">
        <v>226</v>
      </c>
      <c r="EP449" t="s">
        <v>245</v>
      </c>
      <c r="EQ449" t="s">
        <v>226</v>
      </c>
      <c r="ER449" t="s">
        <v>245</v>
      </c>
      <c r="ES449" t="s">
        <v>226</v>
      </c>
      <c r="ET449" t="s">
        <v>245</v>
      </c>
      <c r="EU449" t="s">
        <v>226</v>
      </c>
      <c r="EV449" t="s">
        <v>245</v>
      </c>
      <c r="EW449" t="s">
        <v>226</v>
      </c>
      <c r="EX449" t="s">
        <v>244</v>
      </c>
      <c r="EY449" t="s">
        <v>226</v>
      </c>
      <c r="EZ449" t="s">
        <v>245</v>
      </c>
      <c r="FA449" t="s">
        <v>226</v>
      </c>
      <c r="FB449" t="s">
        <v>245</v>
      </c>
      <c r="FC449" t="s">
        <v>226</v>
      </c>
      <c r="FD449" t="s">
        <v>245</v>
      </c>
      <c r="FE449" t="s">
        <v>226</v>
      </c>
      <c r="FF449" t="s">
        <v>244</v>
      </c>
      <c r="FG449" t="s">
        <v>226</v>
      </c>
      <c r="FH449" t="s">
        <v>1191</v>
      </c>
      <c r="FI449" t="s">
        <v>245</v>
      </c>
      <c r="FJ449" t="s">
        <v>226</v>
      </c>
      <c r="FK449" t="s">
        <v>244</v>
      </c>
      <c r="FL449" t="s">
        <v>236</v>
      </c>
      <c r="FM449" t="s">
        <v>236</v>
      </c>
      <c r="FW449" t="s">
        <v>236</v>
      </c>
      <c r="FZ449" t="s">
        <v>236</v>
      </c>
      <c r="GC449" t="s">
        <v>236</v>
      </c>
      <c r="GF449" t="s">
        <v>236</v>
      </c>
      <c r="GI449" t="s">
        <v>236</v>
      </c>
      <c r="GL449" t="s">
        <v>236</v>
      </c>
      <c r="GO449" t="s">
        <v>226</v>
      </c>
      <c r="GP449" t="s">
        <v>226</v>
      </c>
      <c r="GQ449" t="s">
        <v>266</v>
      </c>
      <c r="GR449" t="s">
        <v>226</v>
      </c>
      <c r="GS449" t="s">
        <v>226</v>
      </c>
      <c r="GT449" t="s">
        <v>570</v>
      </c>
      <c r="GU449" t="s">
        <v>236</v>
      </c>
      <c r="GX449" t="s">
        <v>236</v>
      </c>
      <c r="HB449" t="s">
        <v>268</v>
      </c>
      <c r="HC449" t="s">
        <v>1192</v>
      </c>
      <c r="HE449">
        <v>83427556</v>
      </c>
      <c r="HF449" t="s">
        <v>1193</v>
      </c>
      <c r="HG449" s="2">
        <v>45757.741516203707</v>
      </c>
      <c r="HJ449" t="s">
        <v>248</v>
      </c>
      <c r="HL449" t="s">
        <v>282</v>
      </c>
      <c r="HN449">
        <v>448</v>
      </c>
    </row>
    <row r="450" spans="1:222" x14ac:dyDescent="0.25">
      <c r="A450" s="2">
        <v>45757.529619618057</v>
      </c>
      <c r="B450" s="2">
        <v>45757.588195219912</v>
      </c>
      <c r="C450" t="s">
        <v>270</v>
      </c>
      <c r="D450">
        <v>308</v>
      </c>
      <c r="E450" s="2">
        <v>45730</v>
      </c>
      <c r="F450">
        <v>1</v>
      </c>
      <c r="G450" t="s">
        <v>1268</v>
      </c>
      <c r="I450">
        <v>65</v>
      </c>
      <c r="J450" t="str">
        <f t="shared" ref="J450:J507" si="7">IF(AND(I450&gt;=18,I450&lt;=25), "de 18 a 25 años",IF(AND(I450&gt;=26,I450&lt;=40),"de 26 a 40 años",IF(AND(I450&gt;=41,I450&lt;=55),"de 41 a 55 años","de 56 a más")))</f>
        <v>de 56 a más</v>
      </c>
      <c r="K450" t="s">
        <v>341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291</v>
      </c>
      <c r="R450" t="s">
        <v>226</v>
      </c>
      <c r="T450" t="s">
        <v>227</v>
      </c>
      <c r="V450" t="s">
        <v>321</v>
      </c>
      <c r="W450" t="s">
        <v>229</v>
      </c>
      <c r="X450" t="s">
        <v>368</v>
      </c>
      <c r="Z450" t="s">
        <v>351</v>
      </c>
      <c r="AA450" t="s">
        <v>352</v>
      </c>
      <c r="AB450">
        <v>1</v>
      </c>
      <c r="AC450">
        <v>0</v>
      </c>
      <c r="AD450">
        <v>0</v>
      </c>
      <c r="AE450">
        <v>0</v>
      </c>
      <c r="AF450">
        <v>1</v>
      </c>
      <c r="AG450">
        <v>0</v>
      </c>
      <c r="AI450" t="s">
        <v>233</v>
      </c>
      <c r="AJ450">
        <v>0</v>
      </c>
      <c r="AK450">
        <v>1</v>
      </c>
      <c r="AL450">
        <v>0</v>
      </c>
      <c r="AM450">
        <v>0</v>
      </c>
      <c r="AN450" t="s">
        <v>300</v>
      </c>
      <c r="AO450" t="s">
        <v>382</v>
      </c>
      <c r="AP450">
        <v>0</v>
      </c>
      <c r="AQ450">
        <v>0</v>
      </c>
      <c r="AR450">
        <v>1</v>
      </c>
      <c r="AS450">
        <v>0</v>
      </c>
      <c r="AT450">
        <v>0</v>
      </c>
      <c r="AU450">
        <v>0</v>
      </c>
      <c r="AV450">
        <v>0</v>
      </c>
      <c r="AX450" t="s">
        <v>236</v>
      </c>
      <c r="AZ450" t="s">
        <v>259</v>
      </c>
      <c r="BA450" t="s">
        <v>1551</v>
      </c>
      <c r="BB450" t="s">
        <v>1552</v>
      </c>
      <c r="BE450" t="s">
        <v>259</v>
      </c>
      <c r="BF450" t="s">
        <v>259</v>
      </c>
      <c r="BG450" t="s">
        <v>259</v>
      </c>
      <c r="BH450" t="s">
        <v>259</v>
      </c>
      <c r="BI450" t="s">
        <v>259</v>
      </c>
      <c r="BJ450" t="s">
        <v>237</v>
      </c>
      <c r="BK450" t="s">
        <v>259</v>
      </c>
      <c r="BL450" t="s">
        <v>262</v>
      </c>
      <c r="BM450" t="s">
        <v>415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 t="s">
        <v>264</v>
      </c>
      <c r="CB450" t="s">
        <v>264</v>
      </c>
      <c r="CC450" t="s">
        <v>243</v>
      </c>
      <c r="CD450" t="s">
        <v>226</v>
      </c>
      <c r="CE450" t="s">
        <v>236</v>
      </c>
      <c r="EA450" t="s">
        <v>226</v>
      </c>
      <c r="EB450" t="s">
        <v>265</v>
      </c>
      <c r="EC450" t="s">
        <v>236</v>
      </c>
      <c r="EE450" t="s">
        <v>236</v>
      </c>
      <c r="EG450" t="s">
        <v>226</v>
      </c>
      <c r="EH450" t="s">
        <v>245</v>
      </c>
      <c r="EI450" t="s">
        <v>236</v>
      </c>
      <c r="EK450" t="s">
        <v>236</v>
      </c>
      <c r="EM450" t="s">
        <v>236</v>
      </c>
      <c r="EO450" t="s">
        <v>236</v>
      </c>
      <c r="EQ450" t="s">
        <v>236</v>
      </c>
      <c r="ES450" t="s">
        <v>226</v>
      </c>
      <c r="ET450" t="s">
        <v>245</v>
      </c>
      <c r="EU450" t="s">
        <v>236</v>
      </c>
      <c r="EW450" t="s">
        <v>236</v>
      </c>
      <c r="EY450" t="s">
        <v>236</v>
      </c>
      <c r="FA450" t="s">
        <v>236</v>
      </c>
      <c r="FC450" t="s">
        <v>236</v>
      </c>
      <c r="FE450" t="s">
        <v>226</v>
      </c>
      <c r="FF450" t="s">
        <v>245</v>
      </c>
      <c r="FG450" t="s">
        <v>226</v>
      </c>
      <c r="FH450" t="s">
        <v>1553</v>
      </c>
      <c r="FI450" t="s">
        <v>245</v>
      </c>
      <c r="FJ450" t="s">
        <v>226</v>
      </c>
      <c r="FK450" t="s">
        <v>244</v>
      </c>
      <c r="FL450" t="s">
        <v>226</v>
      </c>
      <c r="FM450" t="s">
        <v>236</v>
      </c>
      <c r="FW450" t="s">
        <v>236</v>
      </c>
      <c r="FZ450" t="s">
        <v>236</v>
      </c>
      <c r="GC450" t="s">
        <v>236</v>
      </c>
      <c r="GF450" t="s">
        <v>236</v>
      </c>
      <c r="GI450" t="s">
        <v>226</v>
      </c>
      <c r="GJ450" t="s">
        <v>236</v>
      </c>
      <c r="GL450" t="s">
        <v>236</v>
      </c>
      <c r="GO450" t="s">
        <v>226</v>
      </c>
      <c r="GP450" t="s">
        <v>236</v>
      </c>
      <c r="GR450" t="s">
        <v>236</v>
      </c>
      <c r="GU450" t="s">
        <v>236</v>
      </c>
      <c r="GX450" t="s">
        <v>236</v>
      </c>
      <c r="HB450" t="s">
        <v>345</v>
      </c>
      <c r="HC450" t="s">
        <v>288</v>
      </c>
      <c r="HE450">
        <v>83434175</v>
      </c>
      <c r="HF450" t="s">
        <v>1554</v>
      </c>
      <c r="HG450" s="2">
        <v>45757.796527777777</v>
      </c>
      <c r="HJ450" t="s">
        <v>248</v>
      </c>
      <c r="HL450" t="s">
        <v>282</v>
      </c>
      <c r="HN450">
        <v>450</v>
      </c>
    </row>
    <row r="451" spans="1:222" x14ac:dyDescent="0.25">
      <c r="A451" s="2">
        <v>45757.533259004631</v>
      </c>
      <c r="B451" s="2">
        <v>45757.536914236109</v>
      </c>
      <c r="C451" t="s">
        <v>221</v>
      </c>
      <c r="D451">
        <v>188</v>
      </c>
      <c r="E451" s="2">
        <v>45730</v>
      </c>
      <c r="F451">
        <v>4</v>
      </c>
      <c r="G451" t="s">
        <v>413</v>
      </c>
      <c r="H451" t="s">
        <v>270</v>
      </c>
      <c r="I451">
        <v>38</v>
      </c>
      <c r="J451" t="str">
        <f t="shared" si="7"/>
        <v>de 26 a 40 años</v>
      </c>
      <c r="K451" t="s">
        <v>251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225</v>
      </c>
      <c r="R451" t="s">
        <v>236</v>
      </c>
      <c r="S451" t="s">
        <v>2162</v>
      </c>
      <c r="T451" t="s">
        <v>284</v>
      </c>
      <c r="V451" t="s">
        <v>612</v>
      </c>
      <c r="W451" t="s">
        <v>229</v>
      </c>
      <c r="X451" t="s">
        <v>348</v>
      </c>
      <c r="Y451" t="s">
        <v>761</v>
      </c>
      <c r="Z451" t="s">
        <v>308</v>
      </c>
      <c r="AA451" t="s">
        <v>232</v>
      </c>
      <c r="AB451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I451" t="s">
        <v>233</v>
      </c>
      <c r="AJ451">
        <v>0</v>
      </c>
      <c r="AK451">
        <v>1</v>
      </c>
      <c r="AL451">
        <v>0</v>
      </c>
      <c r="AM451">
        <v>0</v>
      </c>
      <c r="AN451" t="s">
        <v>257</v>
      </c>
      <c r="AO451" t="s">
        <v>294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X451" t="s">
        <v>226</v>
      </c>
      <c r="AY451" t="s">
        <v>226</v>
      </c>
      <c r="AZ451" t="s">
        <v>237</v>
      </c>
      <c r="BA451" t="s">
        <v>1194</v>
      </c>
      <c r="BE451" t="s">
        <v>237</v>
      </c>
      <c r="BF451" t="s">
        <v>237</v>
      </c>
      <c r="BG451" t="s">
        <v>237</v>
      </c>
      <c r="BH451" t="s">
        <v>308</v>
      </c>
      <c r="BI451" t="s">
        <v>308</v>
      </c>
      <c r="BJ451" t="s">
        <v>237</v>
      </c>
      <c r="BK451" t="s">
        <v>237</v>
      </c>
      <c r="BL451" t="s">
        <v>240</v>
      </c>
      <c r="BM451" t="s">
        <v>372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1</v>
      </c>
      <c r="CA451" t="s">
        <v>264</v>
      </c>
      <c r="CB451" t="s">
        <v>328</v>
      </c>
      <c r="CC451" t="s">
        <v>328</v>
      </c>
      <c r="CD451" t="s">
        <v>236</v>
      </c>
      <c r="CE451" t="s">
        <v>236</v>
      </c>
      <c r="EA451" t="s">
        <v>236</v>
      </c>
      <c r="EC451" t="s">
        <v>226</v>
      </c>
      <c r="ED451" t="s">
        <v>244</v>
      </c>
      <c r="EE451" t="s">
        <v>236</v>
      </c>
      <c r="EG451" t="s">
        <v>226</v>
      </c>
      <c r="EH451" t="s">
        <v>244</v>
      </c>
      <c r="EI451" t="s">
        <v>236</v>
      </c>
      <c r="EK451" t="s">
        <v>236</v>
      </c>
      <c r="EM451" t="s">
        <v>236</v>
      </c>
      <c r="EO451" t="s">
        <v>236</v>
      </c>
      <c r="EQ451" t="s">
        <v>236</v>
      </c>
      <c r="ES451" t="s">
        <v>236</v>
      </c>
      <c r="EU451" t="s">
        <v>236</v>
      </c>
      <c r="EW451" t="s">
        <v>236</v>
      </c>
      <c r="EY451" t="s">
        <v>236</v>
      </c>
      <c r="FA451" t="s">
        <v>236</v>
      </c>
      <c r="FC451" t="s">
        <v>236</v>
      </c>
      <c r="FE451" t="s">
        <v>236</v>
      </c>
      <c r="FG451" t="s">
        <v>236</v>
      </c>
      <c r="FJ451" t="s">
        <v>236</v>
      </c>
      <c r="FM451" t="s">
        <v>236</v>
      </c>
      <c r="FW451" t="s">
        <v>236</v>
      </c>
      <c r="FZ451" t="s">
        <v>236</v>
      </c>
      <c r="GC451" t="s">
        <v>236</v>
      </c>
      <c r="GF451" t="s">
        <v>236</v>
      </c>
      <c r="GI451" t="s">
        <v>236</v>
      </c>
      <c r="GL451" t="s">
        <v>226</v>
      </c>
      <c r="GM451" t="s">
        <v>236</v>
      </c>
      <c r="GO451" t="s">
        <v>236</v>
      </c>
      <c r="GR451" t="s">
        <v>226</v>
      </c>
      <c r="GS451" t="s">
        <v>226</v>
      </c>
      <c r="GT451" t="s">
        <v>266</v>
      </c>
      <c r="GU451" t="s">
        <v>226</v>
      </c>
      <c r="GV451" t="s">
        <v>226</v>
      </c>
      <c r="GW451" t="s">
        <v>266</v>
      </c>
      <c r="GX451" t="s">
        <v>236</v>
      </c>
      <c r="HB451" t="s">
        <v>1195</v>
      </c>
      <c r="HC451" t="s">
        <v>1196</v>
      </c>
      <c r="HE451">
        <v>83427976</v>
      </c>
      <c r="HF451" t="s">
        <v>1197</v>
      </c>
      <c r="HG451" s="2">
        <v>45757.745173611111</v>
      </c>
      <c r="HJ451" t="s">
        <v>248</v>
      </c>
      <c r="HL451" t="s">
        <v>282</v>
      </c>
      <c r="HN451">
        <v>449</v>
      </c>
    </row>
    <row r="452" spans="1:222" x14ac:dyDescent="0.25">
      <c r="A452" s="2">
        <v>45757.536914675933</v>
      </c>
      <c r="B452" s="2">
        <v>45757.66335949074</v>
      </c>
      <c r="C452" t="s">
        <v>221</v>
      </c>
      <c r="D452">
        <v>169</v>
      </c>
      <c r="E452" s="2">
        <v>45730</v>
      </c>
      <c r="F452">
        <v>4</v>
      </c>
      <c r="G452" t="s">
        <v>361</v>
      </c>
      <c r="H452" t="s">
        <v>270</v>
      </c>
      <c r="I452">
        <v>38</v>
      </c>
      <c r="J452" t="str">
        <f t="shared" si="7"/>
        <v>de 26 a 40 años</v>
      </c>
      <c r="K452" t="s">
        <v>224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291</v>
      </c>
      <c r="R452" t="s">
        <v>226</v>
      </c>
      <c r="T452" t="s">
        <v>227</v>
      </c>
      <c r="V452" t="s">
        <v>321</v>
      </c>
      <c r="W452" t="s">
        <v>229</v>
      </c>
      <c r="X452" t="s">
        <v>230</v>
      </c>
      <c r="Z452" t="s">
        <v>231</v>
      </c>
      <c r="AA452" t="s">
        <v>255</v>
      </c>
      <c r="AB452">
        <v>0</v>
      </c>
      <c r="AC452">
        <v>0</v>
      </c>
      <c r="AD452">
        <v>0</v>
      </c>
      <c r="AE452">
        <v>1</v>
      </c>
      <c r="AF452">
        <v>0</v>
      </c>
      <c r="AG452">
        <v>0</v>
      </c>
      <c r="AI452" t="s">
        <v>233</v>
      </c>
      <c r="AJ452">
        <v>0</v>
      </c>
      <c r="AK452">
        <v>1</v>
      </c>
      <c r="AL452">
        <v>0</v>
      </c>
      <c r="AM452">
        <v>0</v>
      </c>
      <c r="AN452" t="s">
        <v>257</v>
      </c>
      <c r="AO452" t="s">
        <v>382</v>
      </c>
      <c r="AP452">
        <v>0</v>
      </c>
      <c r="AQ452">
        <v>0</v>
      </c>
      <c r="AR452">
        <v>1</v>
      </c>
      <c r="AS452">
        <v>0</v>
      </c>
      <c r="AT452">
        <v>0</v>
      </c>
      <c r="AU452">
        <v>0</v>
      </c>
      <c r="AV452">
        <v>0</v>
      </c>
      <c r="AX452" t="s">
        <v>236</v>
      </c>
      <c r="AZ452" t="s">
        <v>237</v>
      </c>
      <c r="BA452" t="s">
        <v>904</v>
      </c>
      <c r="BB452" t="s">
        <v>1126</v>
      </c>
      <c r="BE452" t="s">
        <v>261</v>
      </c>
      <c r="BF452" t="s">
        <v>261</v>
      </c>
      <c r="BG452" t="s">
        <v>261</v>
      </c>
      <c r="BH452" t="s">
        <v>261</v>
      </c>
      <c r="BI452" t="s">
        <v>237</v>
      </c>
      <c r="BJ452" t="s">
        <v>237</v>
      </c>
      <c r="BK452" t="s">
        <v>261</v>
      </c>
      <c r="BL452" t="s">
        <v>262</v>
      </c>
      <c r="BM452" t="s">
        <v>614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1</v>
      </c>
      <c r="BX452">
        <v>0</v>
      </c>
      <c r="BY452">
        <v>0</v>
      </c>
      <c r="BZ452">
        <v>0</v>
      </c>
      <c r="CA452" t="s">
        <v>264</v>
      </c>
      <c r="CB452" t="s">
        <v>264</v>
      </c>
      <c r="CC452" t="s">
        <v>264</v>
      </c>
      <c r="CD452" t="s">
        <v>226</v>
      </c>
      <c r="CE452" t="s">
        <v>236</v>
      </c>
      <c r="EA452" t="s">
        <v>236</v>
      </c>
      <c r="EC452" t="s">
        <v>236</v>
      </c>
      <c r="EE452" t="s">
        <v>226</v>
      </c>
      <c r="EF452" t="s">
        <v>244</v>
      </c>
      <c r="EG452" t="s">
        <v>226</v>
      </c>
      <c r="EH452" t="s">
        <v>244</v>
      </c>
      <c r="EI452" t="s">
        <v>236</v>
      </c>
      <c r="EK452" t="s">
        <v>236</v>
      </c>
      <c r="EM452" t="s">
        <v>226</v>
      </c>
      <c r="EN452" t="s">
        <v>245</v>
      </c>
      <c r="EO452" t="s">
        <v>236</v>
      </c>
      <c r="EQ452" t="s">
        <v>236</v>
      </c>
      <c r="ES452" t="s">
        <v>236</v>
      </c>
      <c r="EU452" t="s">
        <v>236</v>
      </c>
      <c r="EW452" t="s">
        <v>236</v>
      </c>
      <c r="EY452" t="s">
        <v>236</v>
      </c>
      <c r="FA452" t="s">
        <v>226</v>
      </c>
      <c r="FB452" t="s">
        <v>244</v>
      </c>
      <c r="FC452" t="s">
        <v>236</v>
      </c>
      <c r="FE452" t="s">
        <v>236</v>
      </c>
      <c r="FG452" t="s">
        <v>236</v>
      </c>
      <c r="FJ452" t="s">
        <v>226</v>
      </c>
      <c r="FK452" t="s">
        <v>245</v>
      </c>
      <c r="FL452" t="s">
        <v>226</v>
      </c>
      <c r="FM452" t="s">
        <v>236</v>
      </c>
      <c r="FW452" t="s">
        <v>226</v>
      </c>
      <c r="FX452" t="s">
        <v>226</v>
      </c>
      <c r="FY452" t="s">
        <v>266</v>
      </c>
      <c r="FZ452" t="s">
        <v>226</v>
      </c>
      <c r="GA452" t="s">
        <v>226</v>
      </c>
      <c r="GB452" t="s">
        <v>266</v>
      </c>
      <c r="GC452" t="s">
        <v>236</v>
      </c>
      <c r="GF452" t="s">
        <v>226</v>
      </c>
      <c r="GG452" t="s">
        <v>226</v>
      </c>
      <c r="GH452" t="s">
        <v>266</v>
      </c>
      <c r="GI452" t="s">
        <v>236</v>
      </c>
      <c r="GL452" t="s">
        <v>236</v>
      </c>
      <c r="GO452" t="s">
        <v>226</v>
      </c>
      <c r="GP452" t="s">
        <v>226</v>
      </c>
      <c r="GQ452" t="s">
        <v>267</v>
      </c>
      <c r="GR452" t="s">
        <v>226</v>
      </c>
      <c r="GS452" t="s">
        <v>226</v>
      </c>
      <c r="GT452" t="s">
        <v>266</v>
      </c>
      <c r="GU452" t="s">
        <v>226</v>
      </c>
      <c r="GV452" t="s">
        <v>226</v>
      </c>
      <c r="GW452" t="s">
        <v>267</v>
      </c>
      <c r="GX452" t="s">
        <v>226</v>
      </c>
      <c r="GY452" t="s">
        <v>236</v>
      </c>
      <c r="HB452" t="s">
        <v>338</v>
      </c>
      <c r="HE452">
        <v>83441416</v>
      </c>
      <c r="HF452" t="s">
        <v>1127</v>
      </c>
      <c r="HG452" s="2">
        <v>45757.871608796297</v>
      </c>
      <c r="HJ452" t="s">
        <v>248</v>
      </c>
      <c r="HL452" t="s">
        <v>282</v>
      </c>
      <c r="HN452">
        <v>453</v>
      </c>
    </row>
    <row r="453" spans="1:222" x14ac:dyDescent="0.25">
      <c r="A453" s="2">
        <v>45757.58819613426</v>
      </c>
      <c r="B453" s="2">
        <v>45757.591338854167</v>
      </c>
      <c r="C453" t="s">
        <v>270</v>
      </c>
      <c r="D453">
        <v>309</v>
      </c>
      <c r="E453" s="2">
        <v>45730</v>
      </c>
      <c r="F453">
        <v>1</v>
      </c>
      <c r="G453" t="s">
        <v>1268</v>
      </c>
      <c r="H453" t="s">
        <v>375</v>
      </c>
      <c r="I453">
        <v>59</v>
      </c>
      <c r="J453" t="str">
        <f t="shared" si="7"/>
        <v>de 56 a más</v>
      </c>
      <c r="K453" t="s">
        <v>341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225</v>
      </c>
      <c r="R453" t="s">
        <v>226</v>
      </c>
      <c r="T453" t="s">
        <v>227</v>
      </c>
      <c r="V453" t="s">
        <v>228</v>
      </c>
      <c r="W453" t="s">
        <v>229</v>
      </c>
      <c r="X453" t="s">
        <v>230</v>
      </c>
      <c r="Z453" t="s">
        <v>351</v>
      </c>
      <c r="AA453" t="s">
        <v>293</v>
      </c>
      <c r="AB453">
        <v>0</v>
      </c>
      <c r="AC453">
        <v>0</v>
      </c>
      <c r="AD453">
        <v>0</v>
      </c>
      <c r="AE453">
        <v>0</v>
      </c>
      <c r="AF453">
        <v>1</v>
      </c>
      <c r="AG453">
        <v>0</v>
      </c>
      <c r="AI453" t="s">
        <v>233</v>
      </c>
      <c r="AJ453">
        <v>0</v>
      </c>
      <c r="AK453">
        <v>1</v>
      </c>
      <c r="AL453">
        <v>0</v>
      </c>
      <c r="AM453">
        <v>0</v>
      </c>
      <c r="AN453" t="s">
        <v>257</v>
      </c>
      <c r="AO453" t="s">
        <v>382</v>
      </c>
      <c r="AP453">
        <v>0</v>
      </c>
      <c r="AQ453">
        <v>0</v>
      </c>
      <c r="AR453">
        <v>1</v>
      </c>
      <c r="AS453">
        <v>0</v>
      </c>
      <c r="AT453">
        <v>0</v>
      </c>
      <c r="AU453">
        <v>0</v>
      </c>
      <c r="AV453">
        <v>0</v>
      </c>
      <c r="AX453" t="s">
        <v>236</v>
      </c>
      <c r="AZ453" t="s">
        <v>237</v>
      </c>
      <c r="BA453" t="s">
        <v>1555</v>
      </c>
      <c r="BB453" t="s">
        <v>1556</v>
      </c>
      <c r="BE453" t="s">
        <v>237</v>
      </c>
      <c r="BF453" t="s">
        <v>237</v>
      </c>
      <c r="BG453" t="s">
        <v>259</v>
      </c>
      <c r="BH453" t="s">
        <v>259</v>
      </c>
      <c r="BI453" t="s">
        <v>237</v>
      </c>
      <c r="BJ453" t="s">
        <v>259</v>
      </c>
      <c r="BK453" t="s">
        <v>259</v>
      </c>
      <c r="BL453" t="s">
        <v>262</v>
      </c>
      <c r="BM453" t="s">
        <v>365</v>
      </c>
      <c r="BN453">
        <v>0</v>
      </c>
      <c r="BO453">
        <v>1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 t="s">
        <v>264</v>
      </c>
      <c r="CB453" t="s">
        <v>264</v>
      </c>
      <c r="CC453" t="s">
        <v>243</v>
      </c>
      <c r="CD453" t="s">
        <v>236</v>
      </c>
      <c r="CE453" t="s">
        <v>236</v>
      </c>
      <c r="EA453" t="s">
        <v>226</v>
      </c>
      <c r="EB453" t="s">
        <v>244</v>
      </c>
      <c r="EC453" t="s">
        <v>236</v>
      </c>
      <c r="EE453" t="s">
        <v>226</v>
      </c>
      <c r="EF453" t="s">
        <v>244</v>
      </c>
      <c r="EG453" t="s">
        <v>226</v>
      </c>
      <c r="EH453" t="s">
        <v>245</v>
      </c>
      <c r="EI453" t="s">
        <v>226</v>
      </c>
      <c r="EJ453" t="s">
        <v>245</v>
      </c>
      <c r="EK453" t="s">
        <v>236</v>
      </c>
      <c r="EM453" t="s">
        <v>226</v>
      </c>
      <c r="EN453" t="s">
        <v>265</v>
      </c>
      <c r="EO453" t="s">
        <v>226</v>
      </c>
      <c r="EP453" t="s">
        <v>244</v>
      </c>
      <c r="EQ453" t="s">
        <v>236</v>
      </c>
      <c r="ES453" t="s">
        <v>226</v>
      </c>
      <c r="ET453" t="s">
        <v>245</v>
      </c>
      <c r="EU453" t="s">
        <v>236</v>
      </c>
      <c r="EW453" t="s">
        <v>236</v>
      </c>
      <c r="EY453" t="s">
        <v>236</v>
      </c>
      <c r="FA453" t="s">
        <v>226</v>
      </c>
      <c r="FB453" t="s">
        <v>245</v>
      </c>
      <c r="FC453" t="s">
        <v>236</v>
      </c>
      <c r="FE453" t="s">
        <v>226</v>
      </c>
      <c r="FF453" t="s">
        <v>245</v>
      </c>
      <c r="FG453" t="s">
        <v>236</v>
      </c>
      <c r="FJ453" t="s">
        <v>226</v>
      </c>
      <c r="FK453" t="s">
        <v>265</v>
      </c>
      <c r="FL453" t="s">
        <v>236</v>
      </c>
      <c r="FM453" t="s">
        <v>236</v>
      </c>
      <c r="FW453" t="s">
        <v>236</v>
      </c>
      <c r="FZ453" t="s">
        <v>236</v>
      </c>
      <c r="GC453" t="s">
        <v>236</v>
      </c>
      <c r="GF453" t="s">
        <v>226</v>
      </c>
      <c r="GG453" t="s">
        <v>236</v>
      </c>
      <c r="GI453" t="s">
        <v>236</v>
      </c>
      <c r="GL453" t="s">
        <v>236</v>
      </c>
      <c r="GO453" t="s">
        <v>236</v>
      </c>
      <c r="GR453" t="s">
        <v>236</v>
      </c>
      <c r="GU453" t="s">
        <v>236</v>
      </c>
      <c r="GX453" t="s">
        <v>236</v>
      </c>
      <c r="HB453" t="s">
        <v>338</v>
      </c>
      <c r="HC453" t="s">
        <v>575</v>
      </c>
      <c r="HE453">
        <v>83434391</v>
      </c>
      <c r="HF453" t="s">
        <v>1557</v>
      </c>
      <c r="HG453" s="2">
        <v>45757.799664351849</v>
      </c>
      <c r="HJ453" t="s">
        <v>248</v>
      </c>
      <c r="HL453" t="s">
        <v>282</v>
      </c>
      <c r="HN453">
        <v>451</v>
      </c>
    </row>
    <row r="454" spans="1:222" x14ac:dyDescent="0.25">
      <c r="A454" s="2">
        <v>45757.591339641207</v>
      </c>
      <c r="B454" s="2">
        <v>45757.594730393517</v>
      </c>
      <c r="C454" t="s">
        <v>270</v>
      </c>
      <c r="D454">
        <v>441</v>
      </c>
      <c r="E454" s="2">
        <v>45738</v>
      </c>
      <c r="F454">
        <v>3</v>
      </c>
      <c r="G454" t="s">
        <v>290</v>
      </c>
      <c r="H454" t="s">
        <v>335</v>
      </c>
      <c r="I454">
        <v>64</v>
      </c>
      <c r="J454" t="str">
        <f t="shared" si="7"/>
        <v>de 56 a más</v>
      </c>
      <c r="K454" t="s">
        <v>251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291</v>
      </c>
      <c r="R454" t="s">
        <v>226</v>
      </c>
      <c r="T454" t="s">
        <v>227</v>
      </c>
      <c r="V454" t="s">
        <v>252</v>
      </c>
      <c r="W454" t="s">
        <v>229</v>
      </c>
      <c r="X454" t="s">
        <v>368</v>
      </c>
      <c r="Z454" t="s">
        <v>254</v>
      </c>
      <c r="AA454" t="s">
        <v>293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0</v>
      </c>
      <c r="AI454" t="s">
        <v>233</v>
      </c>
      <c r="AJ454">
        <v>0</v>
      </c>
      <c r="AK454">
        <v>1</v>
      </c>
      <c r="AL454">
        <v>0</v>
      </c>
      <c r="AM454">
        <v>0</v>
      </c>
      <c r="AN454" t="s">
        <v>257</v>
      </c>
      <c r="AO454" t="s">
        <v>606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1</v>
      </c>
      <c r="AV454">
        <v>0</v>
      </c>
      <c r="AX454" t="s">
        <v>226</v>
      </c>
      <c r="AY454" t="s">
        <v>226</v>
      </c>
      <c r="AZ454" t="s">
        <v>237</v>
      </c>
      <c r="BA454" t="s">
        <v>845</v>
      </c>
      <c r="BB454" t="s">
        <v>1957</v>
      </c>
      <c r="BC454" t="s">
        <v>1958</v>
      </c>
      <c r="BE454" t="s">
        <v>259</v>
      </c>
      <c r="BF454" t="s">
        <v>237</v>
      </c>
      <c r="BG454" t="s">
        <v>237</v>
      </c>
      <c r="BH454" t="s">
        <v>259</v>
      </c>
      <c r="BI454" t="s">
        <v>259</v>
      </c>
      <c r="BJ454" t="s">
        <v>237</v>
      </c>
      <c r="BK454" t="s">
        <v>259</v>
      </c>
      <c r="BL454" t="s">
        <v>262</v>
      </c>
      <c r="BM454" t="s">
        <v>650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1</v>
      </c>
      <c r="BW454">
        <v>0</v>
      </c>
      <c r="BX454">
        <v>0</v>
      </c>
      <c r="BY454">
        <v>0</v>
      </c>
      <c r="BZ454">
        <v>0</v>
      </c>
      <c r="CA454" t="s">
        <v>264</v>
      </c>
      <c r="CB454" t="s">
        <v>264</v>
      </c>
      <c r="CC454" t="s">
        <v>264</v>
      </c>
      <c r="CD454" t="s">
        <v>236</v>
      </c>
      <c r="CE454" t="s">
        <v>236</v>
      </c>
      <c r="EA454" t="s">
        <v>236</v>
      </c>
      <c r="EC454" t="s">
        <v>236</v>
      </c>
      <c r="EE454" t="s">
        <v>236</v>
      </c>
      <c r="EG454" t="s">
        <v>236</v>
      </c>
      <c r="EI454" t="s">
        <v>236</v>
      </c>
      <c r="EK454" t="s">
        <v>226</v>
      </c>
      <c r="EL454" t="s">
        <v>244</v>
      </c>
      <c r="EM454" t="s">
        <v>226</v>
      </c>
      <c r="EN454" t="s">
        <v>245</v>
      </c>
      <c r="EO454" t="s">
        <v>236</v>
      </c>
      <c r="EQ454" t="s">
        <v>236</v>
      </c>
      <c r="ES454" t="s">
        <v>236</v>
      </c>
      <c r="EU454" t="s">
        <v>236</v>
      </c>
      <c r="EW454" t="s">
        <v>236</v>
      </c>
      <c r="EY454" t="s">
        <v>236</v>
      </c>
      <c r="FA454" t="s">
        <v>236</v>
      </c>
      <c r="FC454" t="s">
        <v>236</v>
      </c>
      <c r="FE454" t="s">
        <v>236</v>
      </c>
      <c r="FG454" t="s">
        <v>236</v>
      </c>
      <c r="FJ454" t="s">
        <v>226</v>
      </c>
      <c r="FK454" t="s">
        <v>265</v>
      </c>
      <c r="FL454" t="s">
        <v>236</v>
      </c>
      <c r="FM454" t="s">
        <v>236</v>
      </c>
      <c r="FW454" t="s">
        <v>236</v>
      </c>
      <c r="FZ454" t="s">
        <v>236</v>
      </c>
      <c r="GC454" t="s">
        <v>236</v>
      </c>
      <c r="GF454" t="s">
        <v>226</v>
      </c>
      <c r="GG454" t="s">
        <v>226</v>
      </c>
      <c r="GH454" t="s">
        <v>266</v>
      </c>
      <c r="GI454" t="s">
        <v>236</v>
      </c>
      <c r="GL454" t="s">
        <v>236</v>
      </c>
      <c r="GO454" t="s">
        <v>226</v>
      </c>
      <c r="GP454" t="s">
        <v>236</v>
      </c>
      <c r="GR454" t="s">
        <v>226</v>
      </c>
      <c r="GS454" t="s">
        <v>226</v>
      </c>
      <c r="GT454" t="s">
        <v>267</v>
      </c>
      <c r="GU454" t="s">
        <v>236</v>
      </c>
      <c r="GX454" t="s">
        <v>236</v>
      </c>
      <c r="HB454" t="s">
        <v>1959</v>
      </c>
      <c r="HC454" t="s">
        <v>1960</v>
      </c>
      <c r="HE454">
        <v>83434601</v>
      </c>
      <c r="HF454" t="s">
        <v>1961</v>
      </c>
      <c r="HG454" s="2">
        <v>45757.803055555552</v>
      </c>
      <c r="HJ454" t="s">
        <v>248</v>
      </c>
      <c r="HL454" t="s">
        <v>282</v>
      </c>
      <c r="HN454">
        <v>452</v>
      </c>
    </row>
    <row r="455" spans="1:222" x14ac:dyDescent="0.25">
      <c r="A455" s="2">
        <v>45757.66336017361</v>
      </c>
      <c r="B455" s="2">
        <v>45757.668938854164</v>
      </c>
      <c r="C455" t="s">
        <v>221</v>
      </c>
      <c r="D455">
        <v>176</v>
      </c>
      <c r="E455" s="2">
        <v>45730</v>
      </c>
      <c r="F455">
        <v>4</v>
      </c>
      <c r="G455" t="s">
        <v>361</v>
      </c>
      <c r="H455" t="s">
        <v>270</v>
      </c>
      <c r="I455">
        <v>20</v>
      </c>
      <c r="J455" t="str">
        <f t="shared" si="7"/>
        <v>de 18 a 25 años</v>
      </c>
      <c r="K455" t="s">
        <v>224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291</v>
      </c>
      <c r="R455" t="s">
        <v>226</v>
      </c>
      <c r="T455" t="s">
        <v>227</v>
      </c>
      <c r="V455" t="s">
        <v>252</v>
      </c>
      <c r="W455" t="s">
        <v>229</v>
      </c>
      <c r="X455" t="s">
        <v>253</v>
      </c>
      <c r="Z455" t="s">
        <v>231</v>
      </c>
      <c r="AA455" t="s">
        <v>232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0</v>
      </c>
      <c r="AI455" t="s">
        <v>233</v>
      </c>
      <c r="AJ455">
        <v>0</v>
      </c>
      <c r="AK455">
        <v>1</v>
      </c>
      <c r="AL455">
        <v>0</v>
      </c>
      <c r="AM455">
        <v>0</v>
      </c>
      <c r="AN455" t="s">
        <v>300</v>
      </c>
      <c r="AO455" t="s">
        <v>235</v>
      </c>
      <c r="AP455">
        <v>0</v>
      </c>
      <c r="AQ455">
        <v>0</v>
      </c>
      <c r="AR455">
        <v>0</v>
      </c>
      <c r="AS455">
        <v>1</v>
      </c>
      <c r="AT455">
        <v>0</v>
      </c>
      <c r="AU455">
        <v>0</v>
      </c>
      <c r="AV455">
        <v>0</v>
      </c>
      <c r="AX455" t="s">
        <v>226</v>
      </c>
      <c r="AY455" t="s">
        <v>236</v>
      </c>
      <c r="AZ455" t="s">
        <v>362</v>
      </c>
      <c r="BA455" t="s">
        <v>363</v>
      </c>
      <c r="BB455" t="s">
        <v>364</v>
      </c>
      <c r="BE455" t="s">
        <v>261</v>
      </c>
      <c r="BF455" t="s">
        <v>237</v>
      </c>
      <c r="BG455" t="s">
        <v>259</v>
      </c>
      <c r="BH455" t="s">
        <v>362</v>
      </c>
      <c r="BI455" t="s">
        <v>237</v>
      </c>
      <c r="BJ455" t="s">
        <v>237</v>
      </c>
      <c r="BK455" t="s">
        <v>237</v>
      </c>
      <c r="BL455" t="s">
        <v>240</v>
      </c>
      <c r="BM455" t="s">
        <v>365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 t="s">
        <v>264</v>
      </c>
      <c r="CB455" t="s">
        <v>242</v>
      </c>
      <c r="CC455" t="s">
        <v>264</v>
      </c>
      <c r="CD455" t="s">
        <v>236</v>
      </c>
      <c r="CE455" t="s">
        <v>236</v>
      </c>
      <c r="EA455" t="s">
        <v>236</v>
      </c>
      <c r="EC455" t="s">
        <v>226</v>
      </c>
      <c r="ED455" t="s">
        <v>244</v>
      </c>
      <c r="EE455" t="s">
        <v>226</v>
      </c>
      <c r="EF455" t="s">
        <v>245</v>
      </c>
      <c r="EG455" t="s">
        <v>226</v>
      </c>
      <c r="EH455" t="s">
        <v>245</v>
      </c>
      <c r="EI455" t="s">
        <v>226</v>
      </c>
      <c r="EJ455" t="s">
        <v>244</v>
      </c>
      <c r="EK455" t="s">
        <v>226</v>
      </c>
      <c r="EL455" t="s">
        <v>244</v>
      </c>
      <c r="EM455" t="s">
        <v>226</v>
      </c>
      <c r="EN455" t="s">
        <v>244</v>
      </c>
      <c r="EO455" t="s">
        <v>226</v>
      </c>
      <c r="EP455" t="s">
        <v>244</v>
      </c>
      <c r="EQ455" t="s">
        <v>226</v>
      </c>
      <c r="ER455" t="s">
        <v>245</v>
      </c>
      <c r="ES455" t="s">
        <v>226</v>
      </c>
      <c r="ET455" t="s">
        <v>265</v>
      </c>
      <c r="EU455" t="s">
        <v>226</v>
      </c>
      <c r="EV455" t="s">
        <v>245</v>
      </c>
      <c r="EW455" t="s">
        <v>226</v>
      </c>
      <c r="EX455" t="s">
        <v>245</v>
      </c>
      <c r="EY455" t="s">
        <v>226</v>
      </c>
      <c r="EZ455" t="s">
        <v>245</v>
      </c>
      <c r="FA455" t="s">
        <v>226</v>
      </c>
      <c r="FB455" t="s">
        <v>245</v>
      </c>
      <c r="FC455" t="s">
        <v>226</v>
      </c>
      <c r="FD455" t="s">
        <v>245</v>
      </c>
      <c r="FE455" t="s">
        <v>236</v>
      </c>
      <c r="FG455" t="s">
        <v>236</v>
      </c>
      <c r="FJ455" t="s">
        <v>226</v>
      </c>
      <c r="FK455" t="s">
        <v>245</v>
      </c>
      <c r="FL455" t="s">
        <v>236</v>
      </c>
      <c r="FM455" t="s">
        <v>236</v>
      </c>
      <c r="FW455" t="s">
        <v>226</v>
      </c>
      <c r="FX455" t="s">
        <v>236</v>
      </c>
      <c r="FZ455" t="s">
        <v>236</v>
      </c>
      <c r="GC455" t="s">
        <v>236</v>
      </c>
      <c r="GF455" t="s">
        <v>226</v>
      </c>
      <c r="GG455" t="s">
        <v>236</v>
      </c>
      <c r="GI455" t="s">
        <v>236</v>
      </c>
      <c r="GL455" t="s">
        <v>236</v>
      </c>
      <c r="GO455" t="s">
        <v>236</v>
      </c>
      <c r="GR455" t="s">
        <v>226</v>
      </c>
      <c r="GS455" t="s">
        <v>236</v>
      </c>
      <c r="GU455" t="s">
        <v>226</v>
      </c>
      <c r="GV455" t="s">
        <v>236</v>
      </c>
      <c r="GX455" t="s">
        <v>236</v>
      </c>
      <c r="HB455" t="s">
        <v>339</v>
      </c>
      <c r="HE455">
        <v>83441740</v>
      </c>
      <c r="HF455" t="s">
        <v>366</v>
      </c>
      <c r="HG455" s="2">
        <v>45757.877199074072</v>
      </c>
      <c r="HJ455" t="s">
        <v>248</v>
      </c>
      <c r="HL455" t="s">
        <v>282</v>
      </c>
      <c r="HN455">
        <v>454</v>
      </c>
    </row>
    <row r="456" spans="1:222" x14ac:dyDescent="0.25">
      <c r="A456" s="2">
        <v>45757.668939421303</v>
      </c>
      <c r="B456" s="2">
        <v>45757.673924282397</v>
      </c>
      <c r="C456" t="s">
        <v>221</v>
      </c>
      <c r="D456">
        <v>186</v>
      </c>
      <c r="E456" s="2">
        <v>45730</v>
      </c>
      <c r="F456">
        <v>4</v>
      </c>
      <c r="G456" t="s">
        <v>361</v>
      </c>
      <c r="H456" t="s">
        <v>270</v>
      </c>
      <c r="I456">
        <v>30</v>
      </c>
      <c r="J456" t="str">
        <f t="shared" si="7"/>
        <v>de 26 a 40 años</v>
      </c>
      <c r="K456" t="s">
        <v>224</v>
      </c>
      <c r="L456">
        <v>5</v>
      </c>
      <c r="M456">
        <v>0</v>
      </c>
      <c r="N456">
        <v>0</v>
      </c>
      <c r="O456">
        <v>0</v>
      </c>
      <c r="P456">
        <v>0</v>
      </c>
      <c r="Q456" t="s">
        <v>225</v>
      </c>
      <c r="R456" t="s">
        <v>226</v>
      </c>
      <c r="T456" t="s">
        <v>227</v>
      </c>
      <c r="V456" t="s">
        <v>321</v>
      </c>
      <c r="W456" t="s">
        <v>229</v>
      </c>
      <c r="X456" t="s">
        <v>230</v>
      </c>
      <c r="Z456" t="s">
        <v>231</v>
      </c>
      <c r="AA456" t="s">
        <v>232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I456" t="s">
        <v>233</v>
      </c>
      <c r="AJ456">
        <v>0</v>
      </c>
      <c r="AK456">
        <v>1</v>
      </c>
      <c r="AL456">
        <v>0</v>
      </c>
      <c r="AM456">
        <v>0</v>
      </c>
      <c r="AN456" t="s">
        <v>300</v>
      </c>
      <c r="AO456" t="s">
        <v>235</v>
      </c>
      <c r="AP456">
        <v>0</v>
      </c>
      <c r="AQ456">
        <v>0</v>
      </c>
      <c r="AR456">
        <v>0</v>
      </c>
      <c r="AS456">
        <v>1</v>
      </c>
      <c r="AT456">
        <v>0</v>
      </c>
      <c r="AU456">
        <v>0</v>
      </c>
      <c r="AV456">
        <v>0</v>
      </c>
      <c r="AX456" t="s">
        <v>226</v>
      </c>
      <c r="AY456" t="s">
        <v>226</v>
      </c>
      <c r="AZ456" t="s">
        <v>237</v>
      </c>
      <c r="BA456" t="s">
        <v>1183</v>
      </c>
      <c r="BB456" t="s">
        <v>1184</v>
      </c>
      <c r="BE456" t="s">
        <v>259</v>
      </c>
      <c r="BF456" t="s">
        <v>259</v>
      </c>
      <c r="BG456" t="s">
        <v>259</v>
      </c>
      <c r="BH456" t="s">
        <v>237</v>
      </c>
      <c r="BI456" t="s">
        <v>237</v>
      </c>
      <c r="BJ456" t="s">
        <v>237</v>
      </c>
      <c r="BK456" t="s">
        <v>261</v>
      </c>
      <c r="BL456" t="s">
        <v>313</v>
      </c>
      <c r="BM456" t="s">
        <v>1185</v>
      </c>
      <c r="BN456">
        <v>0</v>
      </c>
      <c r="BO456">
        <v>0</v>
      </c>
      <c r="BP456">
        <v>0</v>
      </c>
      <c r="BQ456">
        <v>1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 t="s">
        <v>264</v>
      </c>
      <c r="CB456" t="s">
        <v>264</v>
      </c>
      <c r="CC456" t="s">
        <v>264</v>
      </c>
      <c r="CD456" t="s">
        <v>236</v>
      </c>
      <c r="CE456" t="s">
        <v>226</v>
      </c>
      <c r="CF456" t="s">
        <v>599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1</v>
      </c>
      <c r="CR456" t="s">
        <v>1186</v>
      </c>
      <c r="DC456" t="s">
        <v>226</v>
      </c>
      <c r="DX456" t="s">
        <v>520</v>
      </c>
      <c r="EA456" t="s">
        <v>226</v>
      </c>
      <c r="EB456" t="s">
        <v>244</v>
      </c>
      <c r="EC456" t="s">
        <v>236</v>
      </c>
      <c r="EE456" t="s">
        <v>226</v>
      </c>
      <c r="EF456" t="s">
        <v>245</v>
      </c>
      <c r="EG456" t="s">
        <v>226</v>
      </c>
      <c r="EH456" t="s">
        <v>245</v>
      </c>
      <c r="EI456" t="s">
        <v>236</v>
      </c>
      <c r="EK456" t="s">
        <v>236</v>
      </c>
      <c r="EM456" t="s">
        <v>236</v>
      </c>
      <c r="EO456" t="s">
        <v>236</v>
      </c>
      <c r="EQ456" t="s">
        <v>236</v>
      </c>
      <c r="ES456" t="s">
        <v>236</v>
      </c>
      <c r="EU456" t="s">
        <v>236</v>
      </c>
      <c r="EW456" t="s">
        <v>226</v>
      </c>
      <c r="EX456" t="s">
        <v>244</v>
      </c>
      <c r="EY456" t="s">
        <v>226</v>
      </c>
      <c r="EZ456" t="s">
        <v>244</v>
      </c>
      <c r="FA456" t="s">
        <v>226</v>
      </c>
      <c r="FB456" t="s">
        <v>245</v>
      </c>
      <c r="FC456" t="s">
        <v>236</v>
      </c>
      <c r="FE456" t="s">
        <v>236</v>
      </c>
      <c r="FG456" t="s">
        <v>236</v>
      </c>
      <c r="FJ456" t="s">
        <v>226</v>
      </c>
      <c r="FK456" t="s">
        <v>265</v>
      </c>
      <c r="FL456" t="s">
        <v>226</v>
      </c>
      <c r="FM456" t="s">
        <v>236</v>
      </c>
      <c r="FW456" t="s">
        <v>226</v>
      </c>
      <c r="FX456" t="s">
        <v>226</v>
      </c>
      <c r="FY456" t="s">
        <v>266</v>
      </c>
      <c r="FZ456" t="s">
        <v>236</v>
      </c>
      <c r="GC456" t="s">
        <v>236</v>
      </c>
      <c r="GF456" t="s">
        <v>226</v>
      </c>
      <c r="GG456" t="s">
        <v>226</v>
      </c>
      <c r="GH456" t="s">
        <v>267</v>
      </c>
      <c r="GI456" t="s">
        <v>236</v>
      </c>
      <c r="GL456" t="s">
        <v>236</v>
      </c>
      <c r="GO456" t="s">
        <v>236</v>
      </c>
      <c r="GR456" t="s">
        <v>226</v>
      </c>
      <c r="GS456" t="s">
        <v>226</v>
      </c>
      <c r="GT456" t="s">
        <v>266</v>
      </c>
      <c r="GU456" t="s">
        <v>236</v>
      </c>
      <c r="GX456" t="s">
        <v>236</v>
      </c>
      <c r="HB456" t="s">
        <v>1187</v>
      </c>
      <c r="HE456">
        <v>83442224</v>
      </c>
      <c r="HF456" t="s">
        <v>1188</v>
      </c>
      <c r="HG456" s="2">
        <v>45757.882187499999</v>
      </c>
      <c r="HJ456" t="s">
        <v>248</v>
      </c>
      <c r="HL456" t="s">
        <v>282</v>
      </c>
      <c r="HN456">
        <v>456</v>
      </c>
    </row>
    <row r="457" spans="1:222" x14ac:dyDescent="0.25">
      <c r="A457" s="2">
        <v>45757.670587430563</v>
      </c>
      <c r="B457" s="2">
        <v>45757.673097083331</v>
      </c>
      <c r="C457" t="s">
        <v>270</v>
      </c>
      <c r="D457">
        <v>406</v>
      </c>
      <c r="E457" s="2">
        <v>45731</v>
      </c>
      <c r="F457">
        <v>3</v>
      </c>
      <c r="G457" t="s">
        <v>1856</v>
      </c>
      <c r="H457" t="s">
        <v>307</v>
      </c>
      <c r="I457">
        <v>63</v>
      </c>
      <c r="J457" t="str">
        <f t="shared" si="7"/>
        <v>de 56 a más</v>
      </c>
      <c r="K457" t="s">
        <v>224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225</v>
      </c>
      <c r="R457" t="s">
        <v>226</v>
      </c>
      <c r="T457" t="s">
        <v>227</v>
      </c>
      <c r="V457" t="s">
        <v>272</v>
      </c>
      <c r="W457" t="s">
        <v>229</v>
      </c>
      <c r="X457" t="s">
        <v>368</v>
      </c>
      <c r="Z457" t="s">
        <v>273</v>
      </c>
      <c r="AA457" t="s">
        <v>232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I457" t="s">
        <v>233</v>
      </c>
      <c r="AJ457">
        <v>0</v>
      </c>
      <c r="AK457">
        <v>1</v>
      </c>
      <c r="AL457">
        <v>0</v>
      </c>
      <c r="AM457">
        <v>0</v>
      </c>
      <c r="AN457" t="s">
        <v>234</v>
      </c>
      <c r="AO457" t="s">
        <v>382</v>
      </c>
      <c r="AP457">
        <v>0</v>
      </c>
      <c r="AQ457">
        <v>0</v>
      </c>
      <c r="AR457">
        <v>1</v>
      </c>
      <c r="AS457">
        <v>0</v>
      </c>
      <c r="AT457">
        <v>0</v>
      </c>
      <c r="AU457">
        <v>0</v>
      </c>
      <c r="AV457">
        <v>0</v>
      </c>
      <c r="AX457" t="s">
        <v>236</v>
      </c>
      <c r="AZ457" t="s">
        <v>237</v>
      </c>
      <c r="BA457" t="s">
        <v>1857</v>
      </c>
      <c r="BE457" t="s">
        <v>237</v>
      </c>
      <c r="BF457" t="s">
        <v>259</v>
      </c>
      <c r="BG457" t="s">
        <v>239</v>
      </c>
      <c r="BH457" t="s">
        <v>239</v>
      </c>
      <c r="BI457" t="s">
        <v>237</v>
      </c>
      <c r="BJ457" t="s">
        <v>237</v>
      </c>
      <c r="BK457" t="s">
        <v>239</v>
      </c>
      <c r="BL457" t="s">
        <v>262</v>
      </c>
      <c r="BM457" t="s">
        <v>451</v>
      </c>
      <c r="BN457">
        <v>1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 t="s">
        <v>264</v>
      </c>
      <c r="CB457" t="s">
        <v>328</v>
      </c>
      <c r="CC457" t="s">
        <v>264</v>
      </c>
      <c r="CD457" t="s">
        <v>236</v>
      </c>
      <c r="CE457" t="s">
        <v>236</v>
      </c>
      <c r="EA457" t="s">
        <v>236</v>
      </c>
      <c r="EC457" t="s">
        <v>236</v>
      </c>
      <c r="EE457" t="s">
        <v>226</v>
      </c>
      <c r="EF457" t="s">
        <v>244</v>
      </c>
      <c r="EG457" t="s">
        <v>226</v>
      </c>
      <c r="EH457" t="s">
        <v>245</v>
      </c>
      <c r="EI457" t="s">
        <v>236</v>
      </c>
      <c r="EK457" t="s">
        <v>236</v>
      </c>
      <c r="EM457" t="s">
        <v>226</v>
      </c>
      <c r="EN457" t="s">
        <v>245</v>
      </c>
      <c r="EO457" t="s">
        <v>236</v>
      </c>
      <c r="EQ457" t="s">
        <v>236</v>
      </c>
      <c r="ES457" t="s">
        <v>236</v>
      </c>
      <c r="EU457" t="s">
        <v>236</v>
      </c>
      <c r="EW457" t="s">
        <v>236</v>
      </c>
      <c r="EY457" t="s">
        <v>236</v>
      </c>
      <c r="FA457" t="s">
        <v>226</v>
      </c>
      <c r="FB457" t="s">
        <v>244</v>
      </c>
      <c r="FC457" t="s">
        <v>236</v>
      </c>
      <c r="FE457" t="s">
        <v>236</v>
      </c>
      <c r="FG457" t="s">
        <v>236</v>
      </c>
      <c r="FJ457" t="s">
        <v>226</v>
      </c>
      <c r="FK457" t="s">
        <v>245</v>
      </c>
      <c r="FL457" t="s">
        <v>226</v>
      </c>
      <c r="FM457" t="s">
        <v>236</v>
      </c>
      <c r="FW457" t="s">
        <v>226</v>
      </c>
      <c r="FX457" t="s">
        <v>226</v>
      </c>
      <c r="FY457" t="s">
        <v>266</v>
      </c>
      <c r="FZ457" t="s">
        <v>236</v>
      </c>
      <c r="GC457" t="s">
        <v>236</v>
      </c>
      <c r="GF457" t="s">
        <v>226</v>
      </c>
      <c r="GG457" t="s">
        <v>226</v>
      </c>
      <c r="GH457" t="s">
        <v>266</v>
      </c>
      <c r="GI457" t="s">
        <v>236</v>
      </c>
      <c r="GL457" t="s">
        <v>226</v>
      </c>
      <c r="GM457" t="s">
        <v>226</v>
      </c>
      <c r="GN457" t="s">
        <v>266</v>
      </c>
      <c r="GO457" t="s">
        <v>226</v>
      </c>
      <c r="GP457" t="s">
        <v>226</v>
      </c>
      <c r="GQ457" t="s">
        <v>266</v>
      </c>
      <c r="GR457" t="s">
        <v>226</v>
      </c>
      <c r="GS457" t="s">
        <v>226</v>
      </c>
      <c r="GT457" t="s">
        <v>266</v>
      </c>
      <c r="GU457" t="s">
        <v>236</v>
      </c>
      <c r="GX457" t="s">
        <v>236</v>
      </c>
      <c r="HB457" t="s">
        <v>338</v>
      </c>
      <c r="HC457" t="s">
        <v>575</v>
      </c>
      <c r="HE457">
        <v>83442136</v>
      </c>
      <c r="HF457" t="s">
        <v>1858</v>
      </c>
      <c r="HG457" s="2">
        <v>45757.881342592591</v>
      </c>
      <c r="HJ457" t="s">
        <v>248</v>
      </c>
      <c r="HL457" t="s">
        <v>282</v>
      </c>
      <c r="HN457">
        <v>455</v>
      </c>
    </row>
    <row r="458" spans="1:222" x14ac:dyDescent="0.25">
      <c r="A458" s="2">
        <v>45757.673097662038</v>
      </c>
      <c r="B458" s="2">
        <v>45757.675529189823</v>
      </c>
      <c r="C458" t="s">
        <v>270</v>
      </c>
      <c r="D458">
        <v>420</v>
      </c>
      <c r="E458" s="2">
        <v>45731</v>
      </c>
      <c r="F458">
        <v>3</v>
      </c>
      <c r="G458" t="s">
        <v>223</v>
      </c>
      <c r="H458" t="s">
        <v>307</v>
      </c>
      <c r="I458">
        <v>26</v>
      </c>
      <c r="J458" t="str">
        <f t="shared" si="7"/>
        <v>de 26 a 40 años</v>
      </c>
      <c r="K458" t="s">
        <v>224</v>
      </c>
      <c r="L458">
        <v>1</v>
      </c>
      <c r="M458">
        <v>0</v>
      </c>
      <c r="N458">
        <v>0</v>
      </c>
      <c r="O458">
        <v>0</v>
      </c>
      <c r="P458">
        <v>0</v>
      </c>
      <c r="Q458" t="s">
        <v>291</v>
      </c>
      <c r="R458" t="s">
        <v>226</v>
      </c>
      <c r="T458" t="s">
        <v>227</v>
      </c>
      <c r="V458" t="s">
        <v>252</v>
      </c>
      <c r="W458" t="s">
        <v>229</v>
      </c>
      <c r="X458" t="s">
        <v>253</v>
      </c>
      <c r="Z458" t="s">
        <v>351</v>
      </c>
      <c r="AA458" t="s">
        <v>293</v>
      </c>
      <c r="AB458">
        <v>0</v>
      </c>
      <c r="AC458">
        <v>0</v>
      </c>
      <c r="AD458">
        <v>0</v>
      </c>
      <c r="AE458">
        <v>0</v>
      </c>
      <c r="AF458">
        <v>1</v>
      </c>
      <c r="AG458">
        <v>0</v>
      </c>
      <c r="AI458" t="s">
        <v>233</v>
      </c>
      <c r="AJ458">
        <v>0</v>
      </c>
      <c r="AK458">
        <v>1</v>
      </c>
      <c r="AL458">
        <v>0</v>
      </c>
      <c r="AM458">
        <v>0</v>
      </c>
      <c r="AN458" t="s">
        <v>300</v>
      </c>
      <c r="AO458" t="s">
        <v>275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</v>
      </c>
      <c r="AV458">
        <v>0</v>
      </c>
      <c r="AX458" t="s">
        <v>236</v>
      </c>
      <c r="AZ458" t="s">
        <v>237</v>
      </c>
      <c r="BA458" t="s">
        <v>1592</v>
      </c>
      <c r="BE458" t="s">
        <v>259</v>
      </c>
      <c r="BF458" t="s">
        <v>237</v>
      </c>
      <c r="BG458" t="s">
        <v>308</v>
      </c>
      <c r="BH458" t="s">
        <v>237</v>
      </c>
      <c r="BI458" t="s">
        <v>308</v>
      </c>
      <c r="BJ458" t="s">
        <v>237</v>
      </c>
      <c r="BK458" t="s">
        <v>259</v>
      </c>
      <c r="BL458" t="s">
        <v>240</v>
      </c>
      <c r="BM458" t="s">
        <v>365</v>
      </c>
      <c r="BN458">
        <v>0</v>
      </c>
      <c r="BO458">
        <v>1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 t="s">
        <v>264</v>
      </c>
      <c r="CB458" t="s">
        <v>264</v>
      </c>
      <c r="CC458" t="s">
        <v>264</v>
      </c>
      <c r="CD458" t="s">
        <v>236</v>
      </c>
      <c r="CE458" t="s">
        <v>236</v>
      </c>
      <c r="EA458" t="s">
        <v>236</v>
      </c>
      <c r="EC458" t="s">
        <v>236</v>
      </c>
      <c r="EE458" t="s">
        <v>226</v>
      </c>
      <c r="EF458" t="s">
        <v>244</v>
      </c>
      <c r="EG458" t="s">
        <v>226</v>
      </c>
      <c r="EH458" t="s">
        <v>244</v>
      </c>
      <c r="EI458" t="s">
        <v>226</v>
      </c>
      <c r="EJ458" t="s">
        <v>245</v>
      </c>
      <c r="EK458" t="s">
        <v>236</v>
      </c>
      <c r="EM458" t="s">
        <v>226</v>
      </c>
      <c r="EN458" t="s">
        <v>244</v>
      </c>
      <c r="EO458" t="s">
        <v>236</v>
      </c>
      <c r="EQ458" t="s">
        <v>236</v>
      </c>
      <c r="ES458" t="s">
        <v>236</v>
      </c>
      <c r="EU458" t="s">
        <v>236</v>
      </c>
      <c r="EW458" t="s">
        <v>236</v>
      </c>
      <c r="EY458" t="s">
        <v>226</v>
      </c>
      <c r="EZ458" t="s">
        <v>244</v>
      </c>
      <c r="FA458" t="s">
        <v>226</v>
      </c>
      <c r="FB458" t="s">
        <v>244</v>
      </c>
      <c r="FC458" t="s">
        <v>236</v>
      </c>
      <c r="FE458" t="s">
        <v>226</v>
      </c>
      <c r="FF458" t="s">
        <v>245</v>
      </c>
      <c r="FG458" t="s">
        <v>236</v>
      </c>
      <c r="FJ458" t="s">
        <v>226</v>
      </c>
      <c r="FK458" t="s">
        <v>245</v>
      </c>
      <c r="FL458" t="s">
        <v>226</v>
      </c>
      <c r="FM458" t="s">
        <v>236</v>
      </c>
      <c r="FW458" t="s">
        <v>226</v>
      </c>
      <c r="FX458" t="s">
        <v>236</v>
      </c>
      <c r="FZ458" t="s">
        <v>236</v>
      </c>
      <c r="GC458" t="s">
        <v>236</v>
      </c>
      <c r="GF458" t="s">
        <v>226</v>
      </c>
      <c r="GG458" t="s">
        <v>236</v>
      </c>
      <c r="GI458" t="s">
        <v>236</v>
      </c>
      <c r="GL458" t="s">
        <v>236</v>
      </c>
      <c r="GO458" t="s">
        <v>226</v>
      </c>
      <c r="GP458" t="s">
        <v>226</v>
      </c>
      <c r="GQ458" t="s">
        <v>266</v>
      </c>
      <c r="GR458" t="s">
        <v>226</v>
      </c>
      <c r="GS458" t="s">
        <v>226</v>
      </c>
      <c r="GT458" t="s">
        <v>266</v>
      </c>
      <c r="GU458" t="s">
        <v>236</v>
      </c>
      <c r="GX458" t="s">
        <v>236</v>
      </c>
      <c r="HB458" t="s">
        <v>442</v>
      </c>
      <c r="HC458" t="s">
        <v>1039</v>
      </c>
      <c r="HE458">
        <v>83442463</v>
      </c>
      <c r="HF458" t="s">
        <v>1896</v>
      </c>
      <c r="HG458" s="2">
        <v>45757.883773148147</v>
      </c>
      <c r="HJ458" t="s">
        <v>248</v>
      </c>
      <c r="HL458" t="s">
        <v>282</v>
      </c>
      <c r="HN458">
        <v>457</v>
      </c>
    </row>
    <row r="459" spans="1:222" x14ac:dyDescent="0.25">
      <c r="A459" s="2">
        <v>45757.673924733797</v>
      </c>
      <c r="B459" s="2">
        <v>45757.677261446763</v>
      </c>
      <c r="C459" t="s">
        <v>221</v>
      </c>
      <c r="D459">
        <v>190</v>
      </c>
      <c r="E459" s="2">
        <v>45730</v>
      </c>
      <c r="F459">
        <v>4</v>
      </c>
      <c r="G459" t="s">
        <v>361</v>
      </c>
      <c r="H459" t="s">
        <v>270</v>
      </c>
      <c r="I459">
        <v>23</v>
      </c>
      <c r="J459" t="str">
        <f t="shared" si="7"/>
        <v>de 18 a 25 años</v>
      </c>
      <c r="K459" t="s">
        <v>251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225</v>
      </c>
      <c r="R459" t="s">
        <v>226</v>
      </c>
      <c r="T459" t="s">
        <v>227</v>
      </c>
      <c r="V459" t="s">
        <v>252</v>
      </c>
      <c r="W459" t="s">
        <v>229</v>
      </c>
      <c r="X459" t="s">
        <v>253</v>
      </c>
      <c r="Z459" t="s">
        <v>254</v>
      </c>
      <c r="AA459" t="s">
        <v>255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I459" t="s">
        <v>233</v>
      </c>
      <c r="AJ459">
        <v>0</v>
      </c>
      <c r="AK459">
        <v>1</v>
      </c>
      <c r="AL459">
        <v>0</v>
      </c>
      <c r="AM459">
        <v>0</v>
      </c>
      <c r="AN459" t="s">
        <v>300</v>
      </c>
      <c r="AO459" t="s">
        <v>275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0</v>
      </c>
      <c r="AX459" t="s">
        <v>226</v>
      </c>
      <c r="AY459" t="s">
        <v>236</v>
      </c>
      <c r="AZ459" t="s">
        <v>362</v>
      </c>
      <c r="BA459" t="s">
        <v>1198</v>
      </c>
      <c r="BB459" t="s">
        <v>1199</v>
      </c>
      <c r="BE459" t="s">
        <v>237</v>
      </c>
      <c r="BF459" t="s">
        <v>237</v>
      </c>
      <c r="BG459" t="s">
        <v>261</v>
      </c>
      <c r="BH459" t="s">
        <v>237</v>
      </c>
      <c r="BI459" t="s">
        <v>237</v>
      </c>
      <c r="BJ459" t="s">
        <v>237</v>
      </c>
      <c r="BK459" t="s">
        <v>239</v>
      </c>
      <c r="BL459" t="s">
        <v>313</v>
      </c>
      <c r="BM459" t="s">
        <v>415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 t="s">
        <v>264</v>
      </c>
      <c r="CB459" t="s">
        <v>243</v>
      </c>
      <c r="CC459" t="s">
        <v>242</v>
      </c>
      <c r="CD459" t="s">
        <v>236</v>
      </c>
      <c r="CE459" t="s">
        <v>236</v>
      </c>
      <c r="EA459" t="s">
        <v>236</v>
      </c>
      <c r="EC459" t="s">
        <v>236</v>
      </c>
      <c r="EE459" t="s">
        <v>226</v>
      </c>
      <c r="EF459" t="s">
        <v>245</v>
      </c>
      <c r="EG459" t="s">
        <v>226</v>
      </c>
      <c r="EH459" t="s">
        <v>245</v>
      </c>
      <c r="EI459" t="s">
        <v>308</v>
      </c>
      <c r="EK459" t="s">
        <v>236</v>
      </c>
      <c r="EM459" t="s">
        <v>226</v>
      </c>
      <c r="EN459" t="s">
        <v>245</v>
      </c>
      <c r="EO459" t="s">
        <v>226</v>
      </c>
      <c r="EP459" t="s">
        <v>244</v>
      </c>
      <c r="EQ459" t="s">
        <v>236</v>
      </c>
      <c r="ES459" t="s">
        <v>236</v>
      </c>
      <c r="EU459" t="s">
        <v>236</v>
      </c>
      <c r="EW459" t="s">
        <v>236</v>
      </c>
      <c r="EY459" t="s">
        <v>226</v>
      </c>
      <c r="EZ459" t="s">
        <v>245</v>
      </c>
      <c r="FA459" t="s">
        <v>226</v>
      </c>
      <c r="FB459" t="s">
        <v>245</v>
      </c>
      <c r="FC459" t="s">
        <v>236</v>
      </c>
      <c r="FE459" t="s">
        <v>236</v>
      </c>
      <c r="FG459" t="s">
        <v>236</v>
      </c>
      <c r="FJ459" t="s">
        <v>226</v>
      </c>
      <c r="FK459" t="s">
        <v>244</v>
      </c>
      <c r="FL459" t="s">
        <v>236</v>
      </c>
      <c r="FM459" t="s">
        <v>236</v>
      </c>
      <c r="FW459" t="s">
        <v>226</v>
      </c>
      <c r="FX459" t="s">
        <v>236</v>
      </c>
      <c r="FZ459" t="s">
        <v>236</v>
      </c>
      <c r="GC459" t="s">
        <v>236</v>
      </c>
      <c r="GF459" t="s">
        <v>236</v>
      </c>
      <c r="GI459" t="s">
        <v>236</v>
      </c>
      <c r="GL459" t="s">
        <v>226</v>
      </c>
      <c r="GM459" t="s">
        <v>236</v>
      </c>
      <c r="GO459" t="s">
        <v>236</v>
      </c>
      <c r="GR459" t="s">
        <v>226</v>
      </c>
      <c r="GS459" t="s">
        <v>226</v>
      </c>
      <c r="GT459" t="s">
        <v>266</v>
      </c>
      <c r="GU459" t="s">
        <v>236</v>
      </c>
      <c r="GX459" t="s">
        <v>236</v>
      </c>
      <c r="HB459" t="s">
        <v>338</v>
      </c>
      <c r="HC459" t="s">
        <v>288</v>
      </c>
      <c r="HD459" t="s">
        <v>668</v>
      </c>
      <c r="HE459">
        <v>83442732</v>
      </c>
      <c r="HF459" t="s">
        <v>1200</v>
      </c>
      <c r="HG459" s="2">
        <v>45757.885509259257</v>
      </c>
      <c r="HJ459" t="s">
        <v>248</v>
      </c>
      <c r="HL459" t="s">
        <v>282</v>
      </c>
      <c r="HN459">
        <v>458</v>
      </c>
    </row>
    <row r="460" spans="1:222" x14ac:dyDescent="0.25">
      <c r="A460" s="2">
        <v>45757.675529641201</v>
      </c>
      <c r="B460" s="2">
        <v>45757.67827369213</v>
      </c>
      <c r="C460" t="s">
        <v>270</v>
      </c>
      <c r="D460">
        <v>421</v>
      </c>
      <c r="E460" s="2">
        <v>45731</v>
      </c>
      <c r="F460">
        <v>3</v>
      </c>
      <c r="G460" t="s">
        <v>223</v>
      </c>
      <c r="H460" t="s">
        <v>307</v>
      </c>
      <c r="I460">
        <v>60</v>
      </c>
      <c r="J460" t="str">
        <f t="shared" si="7"/>
        <v>de 56 a más</v>
      </c>
      <c r="K460" t="s">
        <v>341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291</v>
      </c>
      <c r="R460" t="s">
        <v>226</v>
      </c>
      <c r="T460" t="s">
        <v>227</v>
      </c>
      <c r="V460" t="s">
        <v>228</v>
      </c>
      <c r="W460" t="s">
        <v>229</v>
      </c>
      <c r="X460" t="s">
        <v>230</v>
      </c>
      <c r="Z460" t="s">
        <v>273</v>
      </c>
      <c r="AA460" t="s">
        <v>232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I460" t="s">
        <v>233</v>
      </c>
      <c r="AJ460">
        <v>0</v>
      </c>
      <c r="AK460">
        <v>1</v>
      </c>
      <c r="AL460">
        <v>0</v>
      </c>
      <c r="AM460">
        <v>0</v>
      </c>
      <c r="AN460" t="s">
        <v>300</v>
      </c>
      <c r="AO460" t="s">
        <v>326</v>
      </c>
      <c r="AP460">
        <v>0</v>
      </c>
      <c r="AQ460">
        <v>0</v>
      </c>
      <c r="AR460">
        <v>1</v>
      </c>
      <c r="AS460">
        <v>1</v>
      </c>
      <c r="AT460">
        <v>0</v>
      </c>
      <c r="AU460">
        <v>0</v>
      </c>
      <c r="AV460">
        <v>0</v>
      </c>
      <c r="AX460" t="s">
        <v>236</v>
      </c>
      <c r="AZ460" t="s">
        <v>259</v>
      </c>
      <c r="BA460" t="s">
        <v>1897</v>
      </c>
      <c r="BB460" t="s">
        <v>1898</v>
      </c>
      <c r="BC460" t="s">
        <v>1899</v>
      </c>
      <c r="BE460" t="s">
        <v>261</v>
      </c>
      <c r="BF460" t="s">
        <v>237</v>
      </c>
      <c r="BG460" t="s">
        <v>237</v>
      </c>
      <c r="BH460" t="s">
        <v>237</v>
      </c>
      <c r="BI460" t="s">
        <v>308</v>
      </c>
      <c r="BJ460" t="s">
        <v>237</v>
      </c>
      <c r="BK460" t="s">
        <v>259</v>
      </c>
      <c r="BL460" t="s">
        <v>240</v>
      </c>
      <c r="BM460" t="s">
        <v>415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 t="s">
        <v>264</v>
      </c>
      <c r="CB460" t="s">
        <v>264</v>
      </c>
      <c r="CC460" t="s">
        <v>264</v>
      </c>
      <c r="CD460" t="s">
        <v>236</v>
      </c>
      <c r="CE460" t="s">
        <v>236</v>
      </c>
      <c r="EA460" t="s">
        <v>236</v>
      </c>
      <c r="EC460" t="s">
        <v>236</v>
      </c>
      <c r="EE460" t="s">
        <v>226</v>
      </c>
      <c r="EF460" t="s">
        <v>265</v>
      </c>
      <c r="EG460" t="s">
        <v>226</v>
      </c>
      <c r="EH460" t="s">
        <v>244</v>
      </c>
      <c r="EI460" t="s">
        <v>236</v>
      </c>
      <c r="EK460" t="s">
        <v>226</v>
      </c>
      <c r="EL460" t="s">
        <v>245</v>
      </c>
      <c r="EM460" t="s">
        <v>226</v>
      </c>
      <c r="EN460" t="s">
        <v>265</v>
      </c>
      <c r="EO460" t="s">
        <v>236</v>
      </c>
      <c r="EQ460" t="s">
        <v>236</v>
      </c>
      <c r="ES460" t="s">
        <v>226</v>
      </c>
      <c r="ET460" t="s">
        <v>245</v>
      </c>
      <c r="EU460" t="s">
        <v>226</v>
      </c>
      <c r="EV460" t="s">
        <v>245</v>
      </c>
      <c r="EW460" t="s">
        <v>226</v>
      </c>
      <c r="EX460" t="s">
        <v>244</v>
      </c>
      <c r="EY460" t="s">
        <v>236</v>
      </c>
      <c r="FA460" t="s">
        <v>226</v>
      </c>
      <c r="FB460" t="s">
        <v>244</v>
      </c>
      <c r="FC460" t="s">
        <v>236</v>
      </c>
      <c r="FE460" t="s">
        <v>226</v>
      </c>
      <c r="FF460" t="s">
        <v>244</v>
      </c>
      <c r="FG460" t="s">
        <v>236</v>
      </c>
      <c r="FJ460" t="s">
        <v>226</v>
      </c>
      <c r="FK460" t="s">
        <v>244</v>
      </c>
      <c r="FL460" t="s">
        <v>226</v>
      </c>
      <c r="FM460" t="s">
        <v>226</v>
      </c>
      <c r="FN460" t="s">
        <v>416</v>
      </c>
      <c r="FO460">
        <v>0</v>
      </c>
      <c r="FP460">
        <v>1</v>
      </c>
      <c r="FQ460">
        <v>0</v>
      </c>
      <c r="FR460">
        <v>0</v>
      </c>
      <c r="FS460">
        <v>0</v>
      </c>
      <c r="FU460" t="s">
        <v>226</v>
      </c>
      <c r="FW460" t="s">
        <v>236</v>
      </c>
      <c r="FZ460" t="s">
        <v>236</v>
      </c>
      <c r="GC460" t="s">
        <v>236</v>
      </c>
      <c r="GF460" t="s">
        <v>226</v>
      </c>
      <c r="GG460" t="s">
        <v>236</v>
      </c>
      <c r="GI460" t="s">
        <v>236</v>
      </c>
      <c r="GL460" t="s">
        <v>236</v>
      </c>
      <c r="GO460" t="s">
        <v>226</v>
      </c>
      <c r="GP460" t="s">
        <v>226</v>
      </c>
      <c r="GQ460" t="s">
        <v>267</v>
      </c>
      <c r="GR460" t="s">
        <v>226</v>
      </c>
      <c r="GS460" t="s">
        <v>236</v>
      </c>
      <c r="GU460" t="s">
        <v>236</v>
      </c>
      <c r="GX460" t="s">
        <v>236</v>
      </c>
      <c r="HB460" t="s">
        <v>288</v>
      </c>
      <c r="HC460" t="s">
        <v>345</v>
      </c>
      <c r="HD460" t="s">
        <v>575</v>
      </c>
      <c r="HE460">
        <v>83442894</v>
      </c>
      <c r="HF460" t="s">
        <v>1900</v>
      </c>
      <c r="HG460" s="2">
        <v>45757.88652777778</v>
      </c>
      <c r="HJ460" t="s">
        <v>248</v>
      </c>
      <c r="HL460" t="s">
        <v>282</v>
      </c>
      <c r="HN460">
        <v>459</v>
      </c>
    </row>
    <row r="461" spans="1:222" x14ac:dyDescent="0.25">
      <c r="A461" s="2">
        <v>45757.677261898149</v>
      </c>
      <c r="B461" s="2">
        <v>45757.680246932869</v>
      </c>
      <c r="C461" t="s">
        <v>221</v>
      </c>
      <c r="D461">
        <v>196</v>
      </c>
      <c r="E461" s="2">
        <v>45730</v>
      </c>
      <c r="F461">
        <v>4</v>
      </c>
      <c r="G461" t="s">
        <v>361</v>
      </c>
      <c r="H461" t="s">
        <v>270</v>
      </c>
      <c r="I461">
        <v>19</v>
      </c>
      <c r="J461" t="str">
        <f t="shared" si="7"/>
        <v>de 18 a 25 años</v>
      </c>
      <c r="K461" t="s">
        <v>341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225</v>
      </c>
      <c r="R461" t="s">
        <v>226</v>
      </c>
      <c r="T461" t="s">
        <v>227</v>
      </c>
      <c r="V461" t="s">
        <v>252</v>
      </c>
      <c r="W461" t="s">
        <v>229</v>
      </c>
      <c r="X461" t="s">
        <v>1101</v>
      </c>
      <c r="Z461" t="s">
        <v>231</v>
      </c>
      <c r="AA461" t="s">
        <v>293</v>
      </c>
      <c r="AB461">
        <v>0</v>
      </c>
      <c r="AC461">
        <v>0</v>
      </c>
      <c r="AD461">
        <v>0</v>
      </c>
      <c r="AE461">
        <v>0</v>
      </c>
      <c r="AF461">
        <v>1</v>
      </c>
      <c r="AG461">
        <v>0</v>
      </c>
      <c r="AI461" t="s">
        <v>850</v>
      </c>
      <c r="AJ461">
        <v>0</v>
      </c>
      <c r="AK461">
        <v>0</v>
      </c>
      <c r="AL461">
        <v>1</v>
      </c>
      <c r="AM461">
        <v>1</v>
      </c>
      <c r="AN461" t="s">
        <v>300</v>
      </c>
      <c r="AO461" t="s">
        <v>275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X461" t="s">
        <v>226</v>
      </c>
      <c r="AY461" t="s">
        <v>226</v>
      </c>
      <c r="AZ461" t="s">
        <v>362</v>
      </c>
      <c r="BA461" t="s">
        <v>1220</v>
      </c>
      <c r="BB461" t="s">
        <v>1221</v>
      </c>
      <c r="BE461" t="s">
        <v>237</v>
      </c>
      <c r="BF461" t="s">
        <v>237</v>
      </c>
      <c r="BG461" t="s">
        <v>237</v>
      </c>
      <c r="BH461" t="s">
        <v>261</v>
      </c>
      <c r="BI461" t="s">
        <v>237</v>
      </c>
      <c r="BJ461" t="s">
        <v>362</v>
      </c>
      <c r="BK461" t="s">
        <v>239</v>
      </c>
      <c r="BL461" t="s">
        <v>240</v>
      </c>
      <c r="BM461" t="s">
        <v>415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 t="s">
        <v>264</v>
      </c>
      <c r="CB461" t="s">
        <v>264</v>
      </c>
      <c r="CC461" t="s">
        <v>243</v>
      </c>
      <c r="CD461" t="s">
        <v>236</v>
      </c>
      <c r="CE461" t="s">
        <v>236</v>
      </c>
      <c r="EA461" t="s">
        <v>236</v>
      </c>
      <c r="EC461" t="s">
        <v>236</v>
      </c>
      <c r="EE461" t="s">
        <v>226</v>
      </c>
      <c r="EF461" t="s">
        <v>244</v>
      </c>
      <c r="EG461" t="s">
        <v>236</v>
      </c>
      <c r="EI461" t="s">
        <v>308</v>
      </c>
      <c r="EK461" t="s">
        <v>236</v>
      </c>
      <c r="EM461" t="s">
        <v>236</v>
      </c>
      <c r="EO461" t="s">
        <v>236</v>
      </c>
      <c r="EQ461" t="s">
        <v>236</v>
      </c>
      <c r="ES461" t="s">
        <v>236</v>
      </c>
      <c r="EU461" t="s">
        <v>236</v>
      </c>
      <c r="EW461" t="s">
        <v>236</v>
      </c>
      <c r="EY461" t="s">
        <v>236</v>
      </c>
      <c r="FA461" t="s">
        <v>236</v>
      </c>
      <c r="FC461" t="s">
        <v>236</v>
      </c>
      <c r="FE461" t="s">
        <v>236</v>
      </c>
      <c r="FG461" t="s">
        <v>236</v>
      </c>
      <c r="FJ461" t="s">
        <v>226</v>
      </c>
      <c r="FK461" t="s">
        <v>244</v>
      </c>
      <c r="FL461" t="s">
        <v>236</v>
      </c>
      <c r="FM461" t="s">
        <v>236</v>
      </c>
      <c r="FW461" t="s">
        <v>236</v>
      </c>
      <c r="FZ461" t="s">
        <v>236</v>
      </c>
      <c r="GC461" t="s">
        <v>236</v>
      </c>
      <c r="GF461" t="s">
        <v>236</v>
      </c>
      <c r="GI461" t="s">
        <v>236</v>
      </c>
      <c r="GL461" t="s">
        <v>236</v>
      </c>
      <c r="GO461" t="s">
        <v>236</v>
      </c>
      <c r="GR461" t="s">
        <v>226</v>
      </c>
      <c r="GS461" t="s">
        <v>226</v>
      </c>
      <c r="GT461" t="s">
        <v>267</v>
      </c>
      <c r="GU461" t="s">
        <v>236</v>
      </c>
      <c r="GX461" t="s">
        <v>236</v>
      </c>
      <c r="HB461" t="s">
        <v>338</v>
      </c>
      <c r="HE461">
        <v>83443186</v>
      </c>
      <c r="HF461" t="s">
        <v>1222</v>
      </c>
      <c r="HG461" s="2">
        <v>45757.888495370367</v>
      </c>
      <c r="HJ461" t="s">
        <v>248</v>
      </c>
      <c r="HL461" t="s">
        <v>282</v>
      </c>
      <c r="HN461">
        <v>460</v>
      </c>
    </row>
    <row r="462" spans="1:222" x14ac:dyDescent="0.25">
      <c r="A462" s="2">
        <v>45757.678274143524</v>
      </c>
      <c r="B462" s="2">
        <v>45757.681329027779</v>
      </c>
      <c r="C462" t="s">
        <v>270</v>
      </c>
      <c r="D462">
        <v>423</v>
      </c>
      <c r="E462" s="2">
        <v>45731</v>
      </c>
      <c r="F462">
        <v>3</v>
      </c>
      <c r="G462" t="s">
        <v>223</v>
      </c>
      <c r="H462" t="s">
        <v>307</v>
      </c>
      <c r="I462">
        <v>36</v>
      </c>
      <c r="J462" t="str">
        <f t="shared" si="7"/>
        <v>de 26 a 40 años</v>
      </c>
      <c r="K462" t="s">
        <v>224</v>
      </c>
      <c r="L462">
        <v>6</v>
      </c>
      <c r="M462">
        <v>0</v>
      </c>
      <c r="N462">
        <v>0</v>
      </c>
      <c r="O462">
        <v>0</v>
      </c>
      <c r="P462">
        <v>0</v>
      </c>
      <c r="Q462" t="s">
        <v>291</v>
      </c>
      <c r="R462" t="s">
        <v>226</v>
      </c>
      <c r="T462" t="s">
        <v>227</v>
      </c>
      <c r="V462" t="s">
        <v>228</v>
      </c>
      <c r="W462" t="s">
        <v>229</v>
      </c>
      <c r="X462" t="s">
        <v>230</v>
      </c>
      <c r="Z462" t="s">
        <v>273</v>
      </c>
      <c r="AA462" t="s">
        <v>565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I462" t="s">
        <v>233</v>
      </c>
      <c r="AJ462">
        <v>0</v>
      </c>
      <c r="AK462">
        <v>1</v>
      </c>
      <c r="AL462">
        <v>0</v>
      </c>
      <c r="AM462">
        <v>0</v>
      </c>
      <c r="AN462" t="s">
        <v>300</v>
      </c>
      <c r="AO462" t="s">
        <v>326</v>
      </c>
      <c r="AP462">
        <v>0</v>
      </c>
      <c r="AQ462">
        <v>0</v>
      </c>
      <c r="AR462">
        <v>1</v>
      </c>
      <c r="AS462">
        <v>1</v>
      </c>
      <c r="AT462">
        <v>0</v>
      </c>
      <c r="AU462">
        <v>0</v>
      </c>
      <c r="AV462">
        <v>0</v>
      </c>
      <c r="AX462" t="s">
        <v>226</v>
      </c>
      <c r="AY462" t="s">
        <v>226</v>
      </c>
      <c r="AZ462" t="s">
        <v>259</v>
      </c>
      <c r="BA462" t="s">
        <v>1906</v>
      </c>
      <c r="BE462" t="s">
        <v>259</v>
      </c>
      <c r="BF462" t="s">
        <v>237</v>
      </c>
      <c r="BG462" t="s">
        <v>259</v>
      </c>
      <c r="BH462" t="s">
        <v>237</v>
      </c>
      <c r="BI462" t="s">
        <v>237</v>
      </c>
      <c r="BJ462" t="s">
        <v>237</v>
      </c>
      <c r="BK462" t="s">
        <v>261</v>
      </c>
      <c r="BL462" t="s">
        <v>313</v>
      </c>
      <c r="BM462" t="s">
        <v>415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 t="s">
        <v>243</v>
      </c>
      <c r="CB462" t="s">
        <v>264</v>
      </c>
      <c r="CC462" t="s">
        <v>264</v>
      </c>
      <c r="CD462" t="s">
        <v>236</v>
      </c>
      <c r="CE462" t="s">
        <v>236</v>
      </c>
      <c r="EA462" t="s">
        <v>226</v>
      </c>
      <c r="EB462" t="s">
        <v>245</v>
      </c>
      <c r="EC462" t="s">
        <v>226</v>
      </c>
      <c r="ED462" t="s">
        <v>245</v>
      </c>
      <c r="EE462" t="s">
        <v>236</v>
      </c>
      <c r="EG462" t="s">
        <v>226</v>
      </c>
      <c r="EH462" t="s">
        <v>245</v>
      </c>
      <c r="EI462" t="s">
        <v>226</v>
      </c>
      <c r="EJ462" t="s">
        <v>245</v>
      </c>
      <c r="EK462" t="s">
        <v>236</v>
      </c>
      <c r="EM462" t="s">
        <v>226</v>
      </c>
      <c r="EN462" t="s">
        <v>244</v>
      </c>
      <c r="EO462" t="s">
        <v>236</v>
      </c>
      <c r="EQ462" t="s">
        <v>236</v>
      </c>
      <c r="ES462" t="s">
        <v>236</v>
      </c>
      <c r="EU462" t="s">
        <v>236</v>
      </c>
      <c r="EW462" t="s">
        <v>236</v>
      </c>
      <c r="EY462" t="s">
        <v>236</v>
      </c>
      <c r="FA462" t="s">
        <v>226</v>
      </c>
      <c r="FB462" t="s">
        <v>245</v>
      </c>
      <c r="FC462" t="s">
        <v>236</v>
      </c>
      <c r="FE462" t="s">
        <v>226</v>
      </c>
      <c r="FF462" t="s">
        <v>245</v>
      </c>
      <c r="FG462" t="s">
        <v>236</v>
      </c>
      <c r="FJ462" t="s">
        <v>226</v>
      </c>
      <c r="FK462" t="s">
        <v>244</v>
      </c>
      <c r="FL462" t="s">
        <v>236</v>
      </c>
      <c r="FM462" t="s">
        <v>236</v>
      </c>
      <c r="FW462" t="s">
        <v>226</v>
      </c>
      <c r="FX462" t="s">
        <v>236</v>
      </c>
      <c r="FZ462" t="s">
        <v>236</v>
      </c>
      <c r="GC462" t="s">
        <v>236</v>
      </c>
      <c r="GF462" t="s">
        <v>226</v>
      </c>
      <c r="GG462" t="s">
        <v>236</v>
      </c>
      <c r="GI462" t="s">
        <v>236</v>
      </c>
      <c r="GL462" t="s">
        <v>226</v>
      </c>
      <c r="GM462" t="s">
        <v>236</v>
      </c>
      <c r="GO462" t="s">
        <v>226</v>
      </c>
      <c r="GP462" t="s">
        <v>226</v>
      </c>
      <c r="GQ462" t="s">
        <v>266</v>
      </c>
      <c r="GR462" t="s">
        <v>236</v>
      </c>
      <c r="GU462" t="s">
        <v>236</v>
      </c>
      <c r="GX462" t="s">
        <v>236</v>
      </c>
      <c r="HB462" t="s">
        <v>559</v>
      </c>
      <c r="HC462" t="s">
        <v>1907</v>
      </c>
      <c r="HD462" t="s">
        <v>1908</v>
      </c>
      <c r="HE462">
        <v>83443274</v>
      </c>
      <c r="HF462" t="s">
        <v>1909</v>
      </c>
      <c r="HG462" s="2">
        <v>45757.88958333333</v>
      </c>
      <c r="HJ462" t="s">
        <v>248</v>
      </c>
      <c r="HL462" t="s">
        <v>282</v>
      </c>
      <c r="HN462">
        <v>461</v>
      </c>
    </row>
    <row r="463" spans="1:222" x14ac:dyDescent="0.25">
      <c r="A463" s="2">
        <v>45757.680247476848</v>
      </c>
      <c r="B463" s="2">
        <v>45757.68294859954</v>
      </c>
      <c r="C463" t="s">
        <v>221</v>
      </c>
      <c r="D463">
        <v>199</v>
      </c>
      <c r="E463" s="2">
        <v>45730</v>
      </c>
      <c r="F463">
        <v>4</v>
      </c>
      <c r="G463" t="s">
        <v>361</v>
      </c>
      <c r="H463" t="s">
        <v>270</v>
      </c>
      <c r="I463">
        <v>42</v>
      </c>
      <c r="J463" t="str">
        <f t="shared" si="7"/>
        <v>de 41 a 55 años</v>
      </c>
      <c r="K463" t="s">
        <v>251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225</v>
      </c>
      <c r="R463" t="s">
        <v>226</v>
      </c>
      <c r="T463" t="s">
        <v>227</v>
      </c>
      <c r="V463" t="s">
        <v>252</v>
      </c>
      <c r="W463" t="s">
        <v>229</v>
      </c>
      <c r="X463" t="s">
        <v>230</v>
      </c>
      <c r="Z463" t="s">
        <v>254</v>
      </c>
      <c r="AA463" t="s">
        <v>255</v>
      </c>
      <c r="AB463">
        <v>0</v>
      </c>
      <c r="AC463">
        <v>0</v>
      </c>
      <c r="AD463">
        <v>0</v>
      </c>
      <c r="AE463">
        <v>1</v>
      </c>
      <c r="AF463">
        <v>0</v>
      </c>
      <c r="AG463">
        <v>0</v>
      </c>
      <c r="AI463" t="s">
        <v>1209</v>
      </c>
      <c r="AJ463">
        <v>0</v>
      </c>
      <c r="AK463">
        <v>0</v>
      </c>
      <c r="AL463">
        <v>0</v>
      </c>
      <c r="AM463">
        <v>1</v>
      </c>
      <c r="AN463" t="s">
        <v>257</v>
      </c>
      <c r="AO463" t="s">
        <v>382</v>
      </c>
      <c r="AP463">
        <v>0</v>
      </c>
      <c r="AQ463">
        <v>0</v>
      </c>
      <c r="AR463">
        <v>1</v>
      </c>
      <c r="AS463">
        <v>0</v>
      </c>
      <c r="AT463">
        <v>0</v>
      </c>
      <c r="AU463">
        <v>0</v>
      </c>
      <c r="AV463">
        <v>0</v>
      </c>
      <c r="AX463" t="s">
        <v>236</v>
      </c>
      <c r="AZ463" t="s">
        <v>237</v>
      </c>
      <c r="BA463" t="s">
        <v>1233</v>
      </c>
      <c r="BE463" t="s">
        <v>237</v>
      </c>
      <c r="BF463" t="s">
        <v>237</v>
      </c>
      <c r="BG463" t="s">
        <v>237</v>
      </c>
      <c r="BH463" t="s">
        <v>239</v>
      </c>
      <c r="BI463" t="s">
        <v>239</v>
      </c>
      <c r="BJ463" t="s">
        <v>237</v>
      </c>
      <c r="BK463" t="s">
        <v>239</v>
      </c>
      <c r="BL463" t="s">
        <v>262</v>
      </c>
      <c r="BM463" t="s">
        <v>733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1</v>
      </c>
      <c r="BY463">
        <v>0</v>
      </c>
      <c r="BZ463">
        <v>0</v>
      </c>
      <c r="CA463" t="s">
        <v>243</v>
      </c>
      <c r="CB463" t="s">
        <v>243</v>
      </c>
      <c r="CC463" t="s">
        <v>328</v>
      </c>
      <c r="CD463" t="s">
        <v>226</v>
      </c>
      <c r="CE463" t="s">
        <v>236</v>
      </c>
      <c r="EA463" t="s">
        <v>236</v>
      </c>
      <c r="EC463" t="s">
        <v>308</v>
      </c>
      <c r="EE463" t="s">
        <v>236</v>
      </c>
      <c r="EG463" t="s">
        <v>236</v>
      </c>
      <c r="EI463" t="s">
        <v>226</v>
      </c>
      <c r="EJ463" t="s">
        <v>245</v>
      </c>
      <c r="EK463" t="s">
        <v>236</v>
      </c>
      <c r="EM463" t="s">
        <v>236</v>
      </c>
      <c r="EO463" t="s">
        <v>236</v>
      </c>
      <c r="EQ463" t="s">
        <v>236</v>
      </c>
      <c r="ES463" t="s">
        <v>236</v>
      </c>
      <c r="EU463" t="s">
        <v>236</v>
      </c>
      <c r="EW463" t="s">
        <v>236</v>
      </c>
      <c r="EY463" t="s">
        <v>236</v>
      </c>
      <c r="FA463" t="s">
        <v>236</v>
      </c>
      <c r="FC463" t="s">
        <v>236</v>
      </c>
      <c r="FE463" t="s">
        <v>236</v>
      </c>
      <c r="FG463" t="s">
        <v>236</v>
      </c>
      <c r="FJ463" t="s">
        <v>236</v>
      </c>
      <c r="FM463" t="s">
        <v>236</v>
      </c>
      <c r="FW463" t="s">
        <v>236</v>
      </c>
      <c r="FZ463" t="s">
        <v>236</v>
      </c>
      <c r="GC463" t="s">
        <v>236</v>
      </c>
      <c r="GF463" t="s">
        <v>236</v>
      </c>
      <c r="GI463" t="s">
        <v>236</v>
      </c>
      <c r="GL463" t="s">
        <v>236</v>
      </c>
      <c r="GO463" t="s">
        <v>226</v>
      </c>
      <c r="GP463" t="s">
        <v>226</v>
      </c>
      <c r="GQ463" t="s">
        <v>267</v>
      </c>
      <c r="GR463" t="s">
        <v>236</v>
      </c>
      <c r="GU463" t="s">
        <v>236</v>
      </c>
      <c r="GX463" t="s">
        <v>226</v>
      </c>
      <c r="GY463" t="s">
        <v>236</v>
      </c>
      <c r="HB463" t="s">
        <v>1234</v>
      </c>
      <c r="HE463">
        <v>83443448</v>
      </c>
      <c r="HF463" t="s">
        <v>1235</v>
      </c>
      <c r="HG463" s="2">
        <v>45757.891203703701</v>
      </c>
      <c r="HJ463" t="s">
        <v>248</v>
      </c>
      <c r="HL463" t="s">
        <v>282</v>
      </c>
      <c r="HN463">
        <v>462</v>
      </c>
    </row>
    <row r="464" spans="1:222" x14ac:dyDescent="0.25">
      <c r="A464" s="2">
        <v>45757.681329606479</v>
      </c>
      <c r="B464" s="2">
        <v>45757.684427893517</v>
      </c>
      <c r="C464" t="s">
        <v>270</v>
      </c>
      <c r="D464">
        <v>425</v>
      </c>
      <c r="E464" s="2">
        <v>45731</v>
      </c>
      <c r="F464">
        <v>3</v>
      </c>
      <c r="G464" t="s">
        <v>223</v>
      </c>
      <c r="H464" t="s">
        <v>307</v>
      </c>
      <c r="I464">
        <v>31</v>
      </c>
      <c r="J464" t="str">
        <f t="shared" si="7"/>
        <v>de 26 a 40 años</v>
      </c>
      <c r="K464" t="s">
        <v>341</v>
      </c>
      <c r="L464">
        <v>1</v>
      </c>
      <c r="M464">
        <v>0</v>
      </c>
      <c r="N464">
        <v>0</v>
      </c>
      <c r="O464">
        <v>0</v>
      </c>
      <c r="P464">
        <v>0</v>
      </c>
      <c r="Q464" t="s">
        <v>291</v>
      </c>
      <c r="R464" t="s">
        <v>226</v>
      </c>
      <c r="T464" t="s">
        <v>227</v>
      </c>
      <c r="V464" t="s">
        <v>272</v>
      </c>
      <c r="W464" t="s">
        <v>229</v>
      </c>
      <c r="X464" t="s">
        <v>230</v>
      </c>
      <c r="Z464" t="s">
        <v>351</v>
      </c>
      <c r="AA464" t="s">
        <v>352</v>
      </c>
      <c r="AB464">
        <v>1</v>
      </c>
      <c r="AC464">
        <v>0</v>
      </c>
      <c r="AD464">
        <v>0</v>
      </c>
      <c r="AE464">
        <v>0</v>
      </c>
      <c r="AF464">
        <v>1</v>
      </c>
      <c r="AG464">
        <v>0</v>
      </c>
      <c r="AI464" t="s">
        <v>233</v>
      </c>
      <c r="AJ464">
        <v>0</v>
      </c>
      <c r="AK464">
        <v>1</v>
      </c>
      <c r="AL464">
        <v>0</v>
      </c>
      <c r="AM464">
        <v>0</v>
      </c>
      <c r="AN464" t="s">
        <v>257</v>
      </c>
      <c r="AO464" t="s">
        <v>1491</v>
      </c>
      <c r="AP464">
        <v>0</v>
      </c>
      <c r="AQ464">
        <v>0</v>
      </c>
      <c r="AR464">
        <v>1</v>
      </c>
      <c r="AS464">
        <v>0</v>
      </c>
      <c r="AT464">
        <v>0</v>
      </c>
      <c r="AU464">
        <v>0</v>
      </c>
      <c r="AV464">
        <v>1</v>
      </c>
      <c r="AW464" t="s">
        <v>1913</v>
      </c>
      <c r="AX464" t="s">
        <v>236</v>
      </c>
      <c r="AZ464" t="s">
        <v>237</v>
      </c>
      <c r="BA464" t="s">
        <v>1914</v>
      </c>
      <c r="BB464" t="s">
        <v>1915</v>
      </c>
      <c r="BC464" t="s">
        <v>1916</v>
      </c>
      <c r="BE464" t="s">
        <v>259</v>
      </c>
      <c r="BF464" t="s">
        <v>259</v>
      </c>
      <c r="BG464" t="s">
        <v>239</v>
      </c>
      <c r="BH464" t="s">
        <v>259</v>
      </c>
      <c r="BI464" t="s">
        <v>239</v>
      </c>
      <c r="BJ464" t="s">
        <v>237</v>
      </c>
      <c r="BK464" t="s">
        <v>259</v>
      </c>
      <c r="BL464" t="s">
        <v>262</v>
      </c>
      <c r="BM464" t="s">
        <v>389</v>
      </c>
      <c r="BN464">
        <v>0</v>
      </c>
      <c r="BO464">
        <v>0</v>
      </c>
      <c r="BP464">
        <v>1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 t="s">
        <v>264</v>
      </c>
      <c r="CB464" t="s">
        <v>328</v>
      </c>
      <c r="CC464" t="s">
        <v>264</v>
      </c>
      <c r="CD464" t="s">
        <v>226</v>
      </c>
      <c r="CE464" t="s">
        <v>236</v>
      </c>
      <c r="EA464" t="s">
        <v>236</v>
      </c>
      <c r="EC464" t="s">
        <v>226</v>
      </c>
      <c r="ED464" t="s">
        <v>244</v>
      </c>
      <c r="EE464" t="s">
        <v>226</v>
      </c>
      <c r="EF464" t="s">
        <v>245</v>
      </c>
      <c r="EG464" t="s">
        <v>226</v>
      </c>
      <c r="EH464" t="s">
        <v>244</v>
      </c>
      <c r="EI464" t="s">
        <v>236</v>
      </c>
      <c r="EK464" t="s">
        <v>226</v>
      </c>
      <c r="EL464" t="s">
        <v>244</v>
      </c>
      <c r="EM464" t="s">
        <v>226</v>
      </c>
      <c r="EN464" t="s">
        <v>244</v>
      </c>
      <c r="EO464" t="s">
        <v>236</v>
      </c>
      <c r="EQ464" t="s">
        <v>236</v>
      </c>
      <c r="ES464" t="s">
        <v>226</v>
      </c>
      <c r="ET464" t="s">
        <v>245</v>
      </c>
      <c r="EU464" t="s">
        <v>236</v>
      </c>
      <c r="EW464" t="s">
        <v>226</v>
      </c>
      <c r="EX464" t="s">
        <v>244</v>
      </c>
      <c r="EY464" t="s">
        <v>226</v>
      </c>
      <c r="EZ464" t="s">
        <v>245</v>
      </c>
      <c r="FA464" t="s">
        <v>226</v>
      </c>
      <c r="FB464" t="s">
        <v>244</v>
      </c>
      <c r="FC464" t="s">
        <v>236</v>
      </c>
      <c r="FE464" t="s">
        <v>236</v>
      </c>
      <c r="FG464" t="s">
        <v>236</v>
      </c>
      <c r="FJ464" t="s">
        <v>226</v>
      </c>
      <c r="FK464" t="s">
        <v>245</v>
      </c>
      <c r="FL464" t="s">
        <v>236</v>
      </c>
      <c r="FM464" t="s">
        <v>236</v>
      </c>
      <c r="FW464" t="s">
        <v>226</v>
      </c>
      <c r="FX464" t="s">
        <v>226</v>
      </c>
      <c r="FY464" t="s">
        <v>266</v>
      </c>
      <c r="FZ464" t="s">
        <v>236</v>
      </c>
      <c r="GC464" t="s">
        <v>236</v>
      </c>
      <c r="GF464" t="s">
        <v>226</v>
      </c>
      <c r="GG464" t="s">
        <v>236</v>
      </c>
      <c r="GI464" t="s">
        <v>236</v>
      </c>
      <c r="GL464" t="s">
        <v>226</v>
      </c>
      <c r="GM464" t="s">
        <v>236</v>
      </c>
      <c r="GO464" t="s">
        <v>226</v>
      </c>
      <c r="GP464" t="s">
        <v>236</v>
      </c>
      <c r="GR464" t="s">
        <v>226</v>
      </c>
      <c r="GS464" t="s">
        <v>236</v>
      </c>
      <c r="GU464" t="s">
        <v>226</v>
      </c>
      <c r="GV464" t="s">
        <v>236</v>
      </c>
      <c r="GX464" t="s">
        <v>226</v>
      </c>
      <c r="GY464" t="s">
        <v>226</v>
      </c>
      <c r="GZ464" t="s">
        <v>266</v>
      </c>
      <c r="HB464" t="s">
        <v>575</v>
      </c>
      <c r="HC464" t="s">
        <v>338</v>
      </c>
      <c r="HE464">
        <v>83443582</v>
      </c>
      <c r="HF464" t="s">
        <v>1917</v>
      </c>
      <c r="HG464" s="2">
        <v>45757.892685185187</v>
      </c>
      <c r="HJ464" t="s">
        <v>248</v>
      </c>
      <c r="HL464" t="s">
        <v>282</v>
      </c>
      <c r="HN464">
        <v>463</v>
      </c>
    </row>
    <row r="465" spans="1:222" x14ac:dyDescent="0.25">
      <c r="A465" s="2">
        <v>45757.682949050934</v>
      </c>
      <c r="B465" s="2">
        <v>45757.685792141201</v>
      </c>
      <c r="C465" t="s">
        <v>221</v>
      </c>
      <c r="D465">
        <v>322</v>
      </c>
      <c r="E465" s="2">
        <v>45730</v>
      </c>
      <c r="F465">
        <v>2</v>
      </c>
      <c r="G465" t="s">
        <v>827</v>
      </c>
      <c r="H465" t="s">
        <v>391</v>
      </c>
      <c r="I465">
        <v>77</v>
      </c>
      <c r="J465" t="str">
        <f t="shared" si="7"/>
        <v>de 56 a más</v>
      </c>
      <c r="K465" t="s">
        <v>224</v>
      </c>
      <c r="L465">
        <v>3</v>
      </c>
      <c r="M465">
        <v>0</v>
      </c>
      <c r="N465">
        <v>0</v>
      </c>
      <c r="O465">
        <v>0</v>
      </c>
      <c r="P465">
        <v>0</v>
      </c>
      <c r="Q465" t="s">
        <v>225</v>
      </c>
      <c r="R465" t="s">
        <v>226</v>
      </c>
      <c r="T465" t="s">
        <v>392</v>
      </c>
      <c r="V465" t="s">
        <v>228</v>
      </c>
      <c r="W465" t="s">
        <v>229</v>
      </c>
      <c r="X465" t="s">
        <v>368</v>
      </c>
      <c r="Z465" t="s">
        <v>351</v>
      </c>
      <c r="AA465" t="s">
        <v>232</v>
      </c>
      <c r="AB465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I465" t="s">
        <v>233</v>
      </c>
      <c r="AJ465">
        <v>0</v>
      </c>
      <c r="AK465">
        <v>1</v>
      </c>
      <c r="AL465">
        <v>0</v>
      </c>
      <c r="AM465">
        <v>0</v>
      </c>
      <c r="AN465" t="s">
        <v>300</v>
      </c>
      <c r="AO465" t="s">
        <v>235</v>
      </c>
      <c r="AP465">
        <v>0</v>
      </c>
      <c r="AQ465">
        <v>0</v>
      </c>
      <c r="AR465">
        <v>0</v>
      </c>
      <c r="AS465">
        <v>1</v>
      </c>
      <c r="AT465">
        <v>0</v>
      </c>
      <c r="AU465">
        <v>0</v>
      </c>
      <c r="AV465">
        <v>0</v>
      </c>
      <c r="AX465" t="s">
        <v>236</v>
      </c>
      <c r="AZ465" t="s">
        <v>362</v>
      </c>
      <c r="BA465" t="s">
        <v>1596</v>
      </c>
      <c r="BE465" t="s">
        <v>239</v>
      </c>
      <c r="BF465" t="s">
        <v>239</v>
      </c>
      <c r="BG465" t="s">
        <v>239</v>
      </c>
      <c r="BH465" t="s">
        <v>239</v>
      </c>
      <c r="BI465" t="s">
        <v>239</v>
      </c>
      <c r="BJ465" t="s">
        <v>237</v>
      </c>
      <c r="BK465" t="s">
        <v>259</v>
      </c>
      <c r="BL465" t="s">
        <v>262</v>
      </c>
      <c r="BM465" t="s">
        <v>296</v>
      </c>
      <c r="BN465">
        <v>0</v>
      </c>
      <c r="BO465">
        <v>0</v>
      </c>
      <c r="BP465">
        <v>0</v>
      </c>
      <c r="BQ465">
        <v>0</v>
      </c>
      <c r="BR465">
        <v>1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 t="s">
        <v>264</v>
      </c>
      <c r="CB465" t="s">
        <v>264</v>
      </c>
      <c r="CC465" t="s">
        <v>243</v>
      </c>
      <c r="CD465" t="s">
        <v>236</v>
      </c>
      <c r="CE465" t="s">
        <v>236</v>
      </c>
      <c r="EA465" t="s">
        <v>236</v>
      </c>
      <c r="EC465" t="s">
        <v>236</v>
      </c>
      <c r="EE465" t="s">
        <v>226</v>
      </c>
      <c r="EF465" t="s">
        <v>244</v>
      </c>
      <c r="EG465" t="s">
        <v>226</v>
      </c>
      <c r="EH465" t="s">
        <v>244</v>
      </c>
      <c r="EI465" t="s">
        <v>236</v>
      </c>
      <c r="EK465" t="s">
        <v>236</v>
      </c>
      <c r="EM465" t="s">
        <v>236</v>
      </c>
      <c r="EO465" t="s">
        <v>236</v>
      </c>
      <c r="EQ465" t="s">
        <v>236</v>
      </c>
      <c r="ES465" t="s">
        <v>226</v>
      </c>
      <c r="ET465" t="s">
        <v>244</v>
      </c>
      <c r="EU465" t="s">
        <v>236</v>
      </c>
      <c r="EW465" t="s">
        <v>236</v>
      </c>
      <c r="EY465" t="s">
        <v>236</v>
      </c>
      <c r="FA465" t="s">
        <v>236</v>
      </c>
      <c r="FC465" t="s">
        <v>236</v>
      </c>
      <c r="FE465" t="s">
        <v>236</v>
      </c>
      <c r="FG465" t="s">
        <v>236</v>
      </c>
      <c r="FJ465" t="s">
        <v>226</v>
      </c>
      <c r="FK465" t="s">
        <v>245</v>
      </c>
      <c r="FL465" t="s">
        <v>236</v>
      </c>
      <c r="FM465" t="s">
        <v>236</v>
      </c>
      <c r="FW465" t="s">
        <v>236</v>
      </c>
      <c r="FZ465" t="s">
        <v>236</v>
      </c>
      <c r="GC465" t="s">
        <v>236</v>
      </c>
      <c r="GF465" t="s">
        <v>226</v>
      </c>
      <c r="GG465" t="s">
        <v>236</v>
      </c>
      <c r="GI465" t="s">
        <v>236</v>
      </c>
      <c r="GL465" t="s">
        <v>236</v>
      </c>
      <c r="GO465" t="s">
        <v>226</v>
      </c>
      <c r="GP465" t="s">
        <v>226</v>
      </c>
      <c r="GQ465" t="s">
        <v>267</v>
      </c>
      <c r="GR465" t="s">
        <v>226</v>
      </c>
      <c r="GS465" t="s">
        <v>236</v>
      </c>
      <c r="GU465" t="s">
        <v>236</v>
      </c>
      <c r="GX465" t="s">
        <v>236</v>
      </c>
      <c r="HB465" t="s">
        <v>1597</v>
      </c>
      <c r="HE465">
        <v>83443662</v>
      </c>
      <c r="HF465" t="s">
        <v>1598</v>
      </c>
      <c r="HG465" s="2">
        <v>45757.89403935185</v>
      </c>
      <c r="HJ465" t="s">
        <v>248</v>
      </c>
      <c r="HL465" t="s">
        <v>282</v>
      </c>
      <c r="HN465">
        <v>464</v>
      </c>
    </row>
    <row r="466" spans="1:222" x14ac:dyDescent="0.25">
      <c r="A466" s="2">
        <v>45757.684428437497</v>
      </c>
      <c r="B466" s="2">
        <v>45758.317717905091</v>
      </c>
      <c r="C466" t="s">
        <v>270</v>
      </c>
      <c r="D466">
        <v>436</v>
      </c>
      <c r="E466" s="2">
        <v>45738</v>
      </c>
      <c r="F466">
        <v>3</v>
      </c>
      <c r="G466" t="s">
        <v>271</v>
      </c>
      <c r="H466" t="s">
        <v>335</v>
      </c>
      <c r="I466">
        <v>50</v>
      </c>
      <c r="J466" t="str">
        <f t="shared" si="7"/>
        <v>de 41 a 55 años</v>
      </c>
      <c r="K466" t="s">
        <v>224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225</v>
      </c>
      <c r="R466" t="s">
        <v>226</v>
      </c>
      <c r="T466" t="s">
        <v>227</v>
      </c>
      <c r="V466" t="s">
        <v>228</v>
      </c>
      <c r="W466" t="s">
        <v>229</v>
      </c>
      <c r="X466" t="s">
        <v>230</v>
      </c>
      <c r="Z466" t="s">
        <v>231</v>
      </c>
      <c r="AA466" t="s">
        <v>376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I466" t="s">
        <v>233</v>
      </c>
      <c r="AJ466">
        <v>0</v>
      </c>
      <c r="AK466">
        <v>1</v>
      </c>
      <c r="AL466">
        <v>0</v>
      </c>
      <c r="AM466">
        <v>0</v>
      </c>
      <c r="AN466" t="s">
        <v>257</v>
      </c>
      <c r="AO466" t="s">
        <v>275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0</v>
      </c>
      <c r="AX466" t="s">
        <v>236</v>
      </c>
      <c r="AZ466" t="s">
        <v>237</v>
      </c>
      <c r="BA466" t="s">
        <v>336</v>
      </c>
      <c r="BB466" t="s">
        <v>276</v>
      </c>
      <c r="BC466" t="s">
        <v>339</v>
      </c>
      <c r="BE466" t="s">
        <v>237</v>
      </c>
      <c r="BF466" t="s">
        <v>237</v>
      </c>
      <c r="BG466" t="s">
        <v>237</v>
      </c>
      <c r="BH466" t="s">
        <v>237</v>
      </c>
      <c r="BI466" t="s">
        <v>237</v>
      </c>
      <c r="BJ466" t="s">
        <v>237</v>
      </c>
      <c r="BK466" t="s">
        <v>237</v>
      </c>
      <c r="BL466" t="s">
        <v>262</v>
      </c>
      <c r="BM466" t="s">
        <v>451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 t="s">
        <v>264</v>
      </c>
      <c r="CB466" t="s">
        <v>264</v>
      </c>
      <c r="CC466" t="s">
        <v>264</v>
      </c>
      <c r="CD466" t="s">
        <v>236</v>
      </c>
      <c r="CE466" t="s">
        <v>236</v>
      </c>
      <c r="EA466" t="s">
        <v>236</v>
      </c>
      <c r="EC466" t="s">
        <v>236</v>
      </c>
      <c r="EE466" t="s">
        <v>236</v>
      </c>
      <c r="EG466" t="s">
        <v>236</v>
      </c>
      <c r="EI466" t="s">
        <v>236</v>
      </c>
      <c r="EK466" t="s">
        <v>236</v>
      </c>
      <c r="EM466" t="s">
        <v>236</v>
      </c>
      <c r="EO466" t="s">
        <v>236</v>
      </c>
      <c r="EQ466" t="s">
        <v>236</v>
      </c>
      <c r="ES466" t="s">
        <v>236</v>
      </c>
      <c r="EU466" t="s">
        <v>236</v>
      </c>
      <c r="EW466" t="s">
        <v>236</v>
      </c>
      <c r="EY466" t="s">
        <v>236</v>
      </c>
      <c r="FA466" t="s">
        <v>236</v>
      </c>
      <c r="FC466" t="s">
        <v>236</v>
      </c>
      <c r="FE466" t="s">
        <v>236</v>
      </c>
      <c r="FG466" t="s">
        <v>236</v>
      </c>
      <c r="FJ466" t="s">
        <v>236</v>
      </c>
      <c r="FM466" t="s">
        <v>236</v>
      </c>
      <c r="FW466" t="s">
        <v>236</v>
      </c>
      <c r="FZ466" t="s">
        <v>236</v>
      </c>
      <c r="GC466" t="s">
        <v>236</v>
      </c>
      <c r="GF466" t="s">
        <v>226</v>
      </c>
      <c r="GG466" t="s">
        <v>226</v>
      </c>
      <c r="GH466" t="s">
        <v>267</v>
      </c>
      <c r="GI466" t="s">
        <v>226</v>
      </c>
      <c r="GJ466" t="s">
        <v>226</v>
      </c>
      <c r="GK466" t="s">
        <v>267</v>
      </c>
      <c r="GL466" t="s">
        <v>236</v>
      </c>
      <c r="GO466" t="s">
        <v>236</v>
      </c>
      <c r="GR466" t="s">
        <v>226</v>
      </c>
      <c r="GS466" t="s">
        <v>226</v>
      </c>
      <c r="GT466" t="s">
        <v>266</v>
      </c>
      <c r="GU466" t="s">
        <v>226</v>
      </c>
      <c r="GV466" t="s">
        <v>236</v>
      </c>
      <c r="GX466" t="s">
        <v>236</v>
      </c>
      <c r="HB466" t="s">
        <v>279</v>
      </c>
      <c r="HC466" t="s">
        <v>288</v>
      </c>
      <c r="HD466" t="s">
        <v>338</v>
      </c>
      <c r="HE466">
        <v>83507961</v>
      </c>
      <c r="HF466" t="s">
        <v>1944</v>
      </c>
      <c r="HG466" s="2">
        <v>45758.526064814818</v>
      </c>
      <c r="HJ466" t="s">
        <v>248</v>
      </c>
      <c r="HL466" t="s">
        <v>282</v>
      </c>
      <c r="HN466">
        <v>465</v>
      </c>
    </row>
    <row r="467" spans="1:222" x14ac:dyDescent="0.25">
      <c r="A467" s="2">
        <v>45758.317718460647</v>
      </c>
      <c r="B467" s="2">
        <v>45758.322925046297</v>
      </c>
      <c r="C467" t="s">
        <v>270</v>
      </c>
      <c r="D467">
        <v>440</v>
      </c>
      <c r="E467" s="2">
        <v>45738</v>
      </c>
      <c r="F467">
        <v>3</v>
      </c>
      <c r="G467" t="s">
        <v>290</v>
      </c>
      <c r="H467" t="s">
        <v>335</v>
      </c>
      <c r="I467">
        <v>58</v>
      </c>
      <c r="J467" t="str">
        <f t="shared" si="7"/>
        <v>de 56 a más</v>
      </c>
      <c r="K467" t="s">
        <v>251</v>
      </c>
      <c r="L467">
        <v>1</v>
      </c>
      <c r="M467">
        <v>1</v>
      </c>
      <c r="N467">
        <v>0</v>
      </c>
      <c r="O467">
        <v>0</v>
      </c>
      <c r="P467">
        <v>0</v>
      </c>
      <c r="Q467" t="s">
        <v>291</v>
      </c>
      <c r="R467" t="s">
        <v>226</v>
      </c>
      <c r="T467" t="s">
        <v>227</v>
      </c>
      <c r="V467" t="s">
        <v>612</v>
      </c>
      <c r="W467" t="s">
        <v>229</v>
      </c>
      <c r="X467" t="s">
        <v>230</v>
      </c>
      <c r="Z467" t="s">
        <v>254</v>
      </c>
      <c r="AA467" t="s">
        <v>381</v>
      </c>
      <c r="AB467">
        <v>0</v>
      </c>
      <c r="AC467">
        <v>0</v>
      </c>
      <c r="AD467">
        <v>1</v>
      </c>
      <c r="AE467">
        <v>0</v>
      </c>
      <c r="AF467">
        <v>0</v>
      </c>
      <c r="AG467">
        <v>0</v>
      </c>
      <c r="AI467" t="s">
        <v>233</v>
      </c>
      <c r="AJ467">
        <v>0</v>
      </c>
      <c r="AK467">
        <v>1</v>
      </c>
      <c r="AL467">
        <v>0</v>
      </c>
      <c r="AM467">
        <v>0</v>
      </c>
      <c r="AN467" t="s">
        <v>234</v>
      </c>
      <c r="AO467" t="s">
        <v>235</v>
      </c>
      <c r="AP467">
        <v>0</v>
      </c>
      <c r="AQ467">
        <v>0</v>
      </c>
      <c r="AR467">
        <v>0</v>
      </c>
      <c r="AS467">
        <v>1</v>
      </c>
      <c r="AT467">
        <v>0</v>
      </c>
      <c r="AU467">
        <v>0</v>
      </c>
      <c r="AV467">
        <v>0</v>
      </c>
      <c r="AX467" t="s">
        <v>226</v>
      </c>
      <c r="AY467" t="s">
        <v>226</v>
      </c>
      <c r="AZ467" t="s">
        <v>237</v>
      </c>
      <c r="BA467" t="s">
        <v>1953</v>
      </c>
      <c r="BB467" t="s">
        <v>868</v>
      </c>
      <c r="BE467" t="s">
        <v>259</v>
      </c>
      <c r="BF467" t="s">
        <v>259</v>
      </c>
      <c r="BG467" t="s">
        <v>259</v>
      </c>
      <c r="BH467" t="s">
        <v>259</v>
      </c>
      <c r="BI467" t="s">
        <v>237</v>
      </c>
      <c r="BJ467" t="s">
        <v>259</v>
      </c>
      <c r="BK467" t="s">
        <v>259</v>
      </c>
      <c r="BL467" t="s">
        <v>262</v>
      </c>
      <c r="BM467" t="s">
        <v>296</v>
      </c>
      <c r="BN467">
        <v>0</v>
      </c>
      <c r="BO467">
        <v>0</v>
      </c>
      <c r="BP467">
        <v>0</v>
      </c>
      <c r="BQ467">
        <v>0</v>
      </c>
      <c r="BR467">
        <v>1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 t="s">
        <v>264</v>
      </c>
      <c r="CB467" t="s">
        <v>264</v>
      </c>
      <c r="CC467" t="s">
        <v>243</v>
      </c>
      <c r="CD467" t="s">
        <v>236</v>
      </c>
      <c r="CE467" t="s">
        <v>236</v>
      </c>
      <c r="EA467" t="s">
        <v>236</v>
      </c>
      <c r="EC467" t="s">
        <v>236</v>
      </c>
      <c r="EE467" t="s">
        <v>226</v>
      </c>
      <c r="EF467" t="s">
        <v>244</v>
      </c>
      <c r="EG467" t="s">
        <v>236</v>
      </c>
      <c r="EI467" t="s">
        <v>236</v>
      </c>
      <c r="EK467" t="s">
        <v>236</v>
      </c>
      <c r="EM467" t="s">
        <v>236</v>
      </c>
      <c r="EO467" t="s">
        <v>236</v>
      </c>
      <c r="EQ467" t="s">
        <v>236</v>
      </c>
      <c r="ES467" t="s">
        <v>236</v>
      </c>
      <c r="EU467" t="s">
        <v>236</v>
      </c>
      <c r="EW467" t="s">
        <v>236</v>
      </c>
      <c r="EY467" t="s">
        <v>236</v>
      </c>
      <c r="FA467" t="s">
        <v>236</v>
      </c>
      <c r="FC467" t="s">
        <v>236</v>
      </c>
      <c r="FE467" t="s">
        <v>236</v>
      </c>
      <c r="FG467" t="s">
        <v>236</v>
      </c>
      <c r="FJ467" t="s">
        <v>226</v>
      </c>
      <c r="FK467" t="s">
        <v>245</v>
      </c>
      <c r="FL467" t="s">
        <v>236</v>
      </c>
      <c r="FM467" t="s">
        <v>236</v>
      </c>
      <c r="FW467" t="s">
        <v>236</v>
      </c>
      <c r="FZ467" t="s">
        <v>236</v>
      </c>
      <c r="GC467" t="s">
        <v>236</v>
      </c>
      <c r="GF467" t="s">
        <v>226</v>
      </c>
      <c r="GG467" t="s">
        <v>236</v>
      </c>
      <c r="GI467" t="s">
        <v>236</v>
      </c>
      <c r="GL467" t="s">
        <v>236</v>
      </c>
      <c r="GO467" t="s">
        <v>226</v>
      </c>
      <c r="GP467" t="s">
        <v>236</v>
      </c>
      <c r="GR467" t="s">
        <v>236</v>
      </c>
      <c r="GU467" t="s">
        <v>236</v>
      </c>
      <c r="GX467" t="s">
        <v>236</v>
      </c>
      <c r="HB467" t="s">
        <v>1954</v>
      </c>
      <c r="HC467" t="s">
        <v>1955</v>
      </c>
      <c r="HE467">
        <v>83508427</v>
      </c>
      <c r="HF467" t="s">
        <v>1956</v>
      </c>
      <c r="HG467" s="2">
        <v>45758.531261574077</v>
      </c>
      <c r="HJ467" t="s">
        <v>248</v>
      </c>
      <c r="HL467" t="s">
        <v>282</v>
      </c>
      <c r="HN467">
        <v>466</v>
      </c>
    </row>
    <row r="468" spans="1:222" x14ac:dyDescent="0.25">
      <c r="A468" s="2">
        <v>45758.322925567132</v>
      </c>
      <c r="B468" s="2">
        <v>45758.325218472222</v>
      </c>
      <c r="C468" t="s">
        <v>270</v>
      </c>
      <c r="D468">
        <v>387</v>
      </c>
      <c r="E468" s="2">
        <v>45731</v>
      </c>
      <c r="F468">
        <v>4</v>
      </c>
      <c r="G468" t="s">
        <v>413</v>
      </c>
      <c r="H468" t="s">
        <v>270</v>
      </c>
      <c r="I468">
        <v>35</v>
      </c>
      <c r="J468" t="str">
        <f t="shared" si="7"/>
        <v>de 26 a 40 años</v>
      </c>
      <c r="K468" t="s">
        <v>251</v>
      </c>
      <c r="L468">
        <v>2</v>
      </c>
      <c r="M468">
        <v>0</v>
      </c>
      <c r="N468">
        <v>0</v>
      </c>
      <c r="O468">
        <v>0</v>
      </c>
      <c r="P468">
        <v>0</v>
      </c>
      <c r="Q468" t="s">
        <v>291</v>
      </c>
      <c r="R468" t="s">
        <v>226</v>
      </c>
      <c r="T468" t="s">
        <v>227</v>
      </c>
      <c r="V468" t="s">
        <v>228</v>
      </c>
      <c r="W468" t="s">
        <v>229</v>
      </c>
      <c r="X468" t="s">
        <v>230</v>
      </c>
      <c r="Z468" t="s">
        <v>308</v>
      </c>
      <c r="AA468" t="s">
        <v>293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0</v>
      </c>
      <c r="AI468" t="s">
        <v>311</v>
      </c>
      <c r="AJ468">
        <v>0</v>
      </c>
      <c r="AK468">
        <v>1</v>
      </c>
      <c r="AL468">
        <v>1</v>
      </c>
      <c r="AM468">
        <v>0</v>
      </c>
      <c r="AN468" t="s">
        <v>234</v>
      </c>
      <c r="AO468" t="s">
        <v>275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X468" t="s">
        <v>226</v>
      </c>
      <c r="AY468" t="s">
        <v>226</v>
      </c>
      <c r="AZ468" t="s">
        <v>237</v>
      </c>
      <c r="BA468" t="s">
        <v>1798</v>
      </c>
      <c r="BE468" t="s">
        <v>237</v>
      </c>
      <c r="BF468" t="s">
        <v>237</v>
      </c>
      <c r="BG468" t="s">
        <v>308</v>
      </c>
      <c r="BH468" t="s">
        <v>308</v>
      </c>
      <c r="BI468" t="s">
        <v>237</v>
      </c>
      <c r="BJ468" t="s">
        <v>237</v>
      </c>
      <c r="BK468" t="s">
        <v>237</v>
      </c>
      <c r="BL468" t="s">
        <v>262</v>
      </c>
      <c r="BM468" t="s">
        <v>415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 t="s">
        <v>264</v>
      </c>
      <c r="CB468" t="s">
        <v>328</v>
      </c>
      <c r="CC468" t="s">
        <v>328</v>
      </c>
      <c r="CD468" t="s">
        <v>236</v>
      </c>
      <c r="CE468" t="s">
        <v>236</v>
      </c>
      <c r="EA468" t="s">
        <v>236</v>
      </c>
      <c r="EC468" t="s">
        <v>236</v>
      </c>
      <c r="EE468" t="s">
        <v>226</v>
      </c>
      <c r="EF468" t="s">
        <v>244</v>
      </c>
      <c r="EG468" t="s">
        <v>226</v>
      </c>
      <c r="EH468" t="s">
        <v>244</v>
      </c>
      <c r="EI468" t="s">
        <v>236</v>
      </c>
      <c r="EK468" t="s">
        <v>236</v>
      </c>
      <c r="EM468" t="s">
        <v>236</v>
      </c>
      <c r="EO468" t="s">
        <v>236</v>
      </c>
      <c r="EQ468" t="s">
        <v>236</v>
      </c>
      <c r="ES468" t="s">
        <v>236</v>
      </c>
      <c r="EU468" t="s">
        <v>236</v>
      </c>
      <c r="EW468" t="s">
        <v>236</v>
      </c>
      <c r="EY468" t="s">
        <v>226</v>
      </c>
      <c r="EZ468" t="s">
        <v>244</v>
      </c>
      <c r="FA468" t="s">
        <v>236</v>
      </c>
      <c r="FC468" t="s">
        <v>236</v>
      </c>
      <c r="FE468" t="s">
        <v>236</v>
      </c>
      <c r="FG468" t="s">
        <v>236</v>
      </c>
      <c r="FJ468" t="s">
        <v>236</v>
      </c>
      <c r="FM468" t="s">
        <v>236</v>
      </c>
      <c r="FW468" t="s">
        <v>236</v>
      </c>
      <c r="FZ468" t="s">
        <v>236</v>
      </c>
      <c r="GC468" t="s">
        <v>236</v>
      </c>
      <c r="GF468" t="s">
        <v>236</v>
      </c>
      <c r="GI468" t="s">
        <v>236</v>
      </c>
      <c r="GL468" t="s">
        <v>236</v>
      </c>
      <c r="GO468" t="s">
        <v>226</v>
      </c>
      <c r="GP468" t="s">
        <v>226</v>
      </c>
      <c r="GQ468" t="s">
        <v>266</v>
      </c>
      <c r="GR468" t="s">
        <v>226</v>
      </c>
      <c r="GS468" t="s">
        <v>236</v>
      </c>
      <c r="GU468" t="s">
        <v>226</v>
      </c>
      <c r="GV468" t="s">
        <v>236</v>
      </c>
      <c r="GX468" t="s">
        <v>236</v>
      </c>
      <c r="HB468" t="s">
        <v>1799</v>
      </c>
      <c r="HE468">
        <v>83508759</v>
      </c>
      <c r="HF468" t="s">
        <v>1800</v>
      </c>
      <c r="HG468" s="2">
        <v>45758.533553240741</v>
      </c>
      <c r="HJ468" t="s">
        <v>248</v>
      </c>
      <c r="HL468" t="s">
        <v>282</v>
      </c>
      <c r="HN468">
        <v>467</v>
      </c>
    </row>
    <row r="469" spans="1:222" x14ac:dyDescent="0.25">
      <c r="A469" s="2">
        <v>45758.32521894676</v>
      </c>
      <c r="B469" s="2">
        <v>45758.327941400457</v>
      </c>
      <c r="C469" t="s">
        <v>270</v>
      </c>
      <c r="D469">
        <v>158</v>
      </c>
      <c r="E469" s="2">
        <v>45730</v>
      </c>
      <c r="F469">
        <v>3</v>
      </c>
      <c r="G469" t="s">
        <v>528</v>
      </c>
      <c r="H469" t="s">
        <v>335</v>
      </c>
      <c r="I469">
        <v>29</v>
      </c>
      <c r="J469" t="str">
        <f t="shared" si="7"/>
        <v>de 26 a 40 años</v>
      </c>
      <c r="K469" t="s">
        <v>251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225</v>
      </c>
      <c r="R469" t="s">
        <v>226</v>
      </c>
      <c r="T469" t="s">
        <v>1093</v>
      </c>
      <c r="V469" t="s">
        <v>252</v>
      </c>
      <c r="W469" t="s">
        <v>292</v>
      </c>
      <c r="X469" t="s">
        <v>230</v>
      </c>
      <c r="Z469" t="s">
        <v>231</v>
      </c>
      <c r="AA469" t="s">
        <v>352</v>
      </c>
      <c r="AB469">
        <v>1</v>
      </c>
      <c r="AC469">
        <v>0</v>
      </c>
      <c r="AD469">
        <v>0</v>
      </c>
      <c r="AE469">
        <v>0</v>
      </c>
      <c r="AF469">
        <v>1</v>
      </c>
      <c r="AG469">
        <v>0</v>
      </c>
      <c r="AI469" t="s">
        <v>256</v>
      </c>
      <c r="AJ469">
        <v>0</v>
      </c>
      <c r="AK469">
        <v>0</v>
      </c>
      <c r="AL469">
        <v>1</v>
      </c>
      <c r="AM469">
        <v>0</v>
      </c>
      <c r="AN469" t="s">
        <v>234</v>
      </c>
      <c r="AO469" t="s">
        <v>294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X469" t="s">
        <v>236</v>
      </c>
      <c r="AZ469" t="s">
        <v>237</v>
      </c>
      <c r="BA469" t="s">
        <v>1094</v>
      </c>
      <c r="BE469" t="s">
        <v>237</v>
      </c>
      <c r="BF469" t="s">
        <v>237</v>
      </c>
      <c r="BG469" t="s">
        <v>237</v>
      </c>
      <c r="BH469" t="s">
        <v>239</v>
      </c>
      <c r="BI469" t="s">
        <v>237</v>
      </c>
      <c r="BJ469" t="s">
        <v>237</v>
      </c>
      <c r="BK469" t="s">
        <v>237</v>
      </c>
      <c r="BL469" t="s">
        <v>240</v>
      </c>
      <c r="BM469" t="s">
        <v>389</v>
      </c>
      <c r="BN469">
        <v>0</v>
      </c>
      <c r="BO469">
        <v>0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 t="s">
        <v>264</v>
      </c>
      <c r="CB469" t="s">
        <v>264</v>
      </c>
      <c r="CC469" t="s">
        <v>264</v>
      </c>
      <c r="CD469" t="s">
        <v>236</v>
      </c>
      <c r="CE469" t="s">
        <v>236</v>
      </c>
      <c r="EA469" t="s">
        <v>236</v>
      </c>
      <c r="EC469" t="s">
        <v>236</v>
      </c>
      <c r="EE469" t="s">
        <v>226</v>
      </c>
      <c r="EF469" t="s">
        <v>244</v>
      </c>
      <c r="EG469" t="s">
        <v>226</v>
      </c>
      <c r="EH469" t="s">
        <v>244</v>
      </c>
      <c r="EI469" t="s">
        <v>236</v>
      </c>
      <c r="EK469" t="s">
        <v>236</v>
      </c>
      <c r="EM469" t="s">
        <v>226</v>
      </c>
      <c r="EN469" t="s">
        <v>244</v>
      </c>
      <c r="EO469" t="s">
        <v>226</v>
      </c>
      <c r="EP469" t="s">
        <v>244</v>
      </c>
      <c r="EQ469" t="s">
        <v>236</v>
      </c>
      <c r="ES469" t="s">
        <v>226</v>
      </c>
      <c r="ET469" t="s">
        <v>245</v>
      </c>
      <c r="EU469" t="s">
        <v>236</v>
      </c>
      <c r="EW469" t="s">
        <v>236</v>
      </c>
      <c r="EY469" t="s">
        <v>236</v>
      </c>
      <c r="FA469" t="s">
        <v>236</v>
      </c>
      <c r="FC469" t="s">
        <v>236</v>
      </c>
      <c r="FE469" t="s">
        <v>236</v>
      </c>
      <c r="FG469" t="s">
        <v>236</v>
      </c>
      <c r="FJ469" t="s">
        <v>226</v>
      </c>
      <c r="FK469" t="s">
        <v>245</v>
      </c>
      <c r="FL469" t="s">
        <v>236</v>
      </c>
      <c r="FM469" t="s">
        <v>236</v>
      </c>
      <c r="FW469" t="s">
        <v>226</v>
      </c>
      <c r="FX469" t="s">
        <v>236</v>
      </c>
      <c r="FZ469" t="s">
        <v>236</v>
      </c>
      <c r="GC469" t="s">
        <v>236</v>
      </c>
      <c r="GF469" t="s">
        <v>226</v>
      </c>
      <c r="GG469" t="s">
        <v>236</v>
      </c>
      <c r="GI469" t="s">
        <v>226</v>
      </c>
      <c r="GJ469" t="s">
        <v>236</v>
      </c>
      <c r="GL469" t="s">
        <v>226</v>
      </c>
      <c r="GM469" t="s">
        <v>236</v>
      </c>
      <c r="GO469" t="s">
        <v>226</v>
      </c>
      <c r="GP469" t="s">
        <v>236</v>
      </c>
      <c r="GR469" t="s">
        <v>226</v>
      </c>
      <c r="GS469" t="s">
        <v>236</v>
      </c>
      <c r="GU469" t="s">
        <v>226</v>
      </c>
      <c r="GV469" t="s">
        <v>236</v>
      </c>
      <c r="GX469" t="s">
        <v>236</v>
      </c>
      <c r="HB469" t="s">
        <v>323</v>
      </c>
      <c r="HC469" t="s">
        <v>288</v>
      </c>
      <c r="HD469" t="s">
        <v>345</v>
      </c>
      <c r="HE469">
        <v>83509023</v>
      </c>
      <c r="HF469" t="s">
        <v>1095</v>
      </c>
      <c r="HG469" s="2">
        <v>45758.536273148151</v>
      </c>
      <c r="HJ469" t="s">
        <v>248</v>
      </c>
      <c r="HL469" t="s">
        <v>282</v>
      </c>
      <c r="HN469">
        <v>468</v>
      </c>
    </row>
    <row r="470" spans="1:222" x14ac:dyDescent="0.25">
      <c r="A470" s="2">
        <v>45758.327941979172</v>
      </c>
      <c r="B470" s="2">
        <v>45758.386528275463</v>
      </c>
      <c r="C470" t="s">
        <v>270</v>
      </c>
      <c r="D470">
        <v>106</v>
      </c>
      <c r="E470" s="2">
        <v>45732</v>
      </c>
      <c r="F470">
        <v>3</v>
      </c>
      <c r="G470" t="s">
        <v>306</v>
      </c>
      <c r="H470" t="s">
        <v>307</v>
      </c>
      <c r="I470">
        <v>44</v>
      </c>
      <c r="J470" t="str">
        <f t="shared" si="7"/>
        <v>de 41 a 55 años</v>
      </c>
      <c r="K470" t="s">
        <v>341</v>
      </c>
      <c r="L470">
        <v>1</v>
      </c>
      <c r="M470">
        <v>0</v>
      </c>
      <c r="N470">
        <v>0</v>
      </c>
      <c r="O470">
        <v>0</v>
      </c>
      <c r="P470">
        <v>0</v>
      </c>
      <c r="Q470" t="s">
        <v>291</v>
      </c>
      <c r="R470" t="s">
        <v>226</v>
      </c>
      <c r="T470" t="s">
        <v>227</v>
      </c>
      <c r="V470" t="s">
        <v>228</v>
      </c>
      <c r="W470" t="s">
        <v>292</v>
      </c>
      <c r="X470" t="s">
        <v>230</v>
      </c>
      <c r="Z470" t="s">
        <v>308</v>
      </c>
      <c r="AA470" t="s">
        <v>232</v>
      </c>
      <c r="AB470">
        <v>1</v>
      </c>
      <c r="AC470">
        <v>0</v>
      </c>
      <c r="AD470">
        <v>0</v>
      </c>
      <c r="AE470">
        <v>0</v>
      </c>
      <c r="AF470">
        <v>0</v>
      </c>
      <c r="AG470">
        <v>0</v>
      </c>
      <c r="AI470" t="s">
        <v>233</v>
      </c>
      <c r="AJ470">
        <v>0</v>
      </c>
      <c r="AK470">
        <v>1</v>
      </c>
      <c r="AL470">
        <v>0</v>
      </c>
      <c r="AM470">
        <v>0</v>
      </c>
      <c r="AN470" t="s">
        <v>234</v>
      </c>
      <c r="AO470" t="s">
        <v>235</v>
      </c>
      <c r="AP470">
        <v>0</v>
      </c>
      <c r="AQ470">
        <v>0</v>
      </c>
      <c r="AR470">
        <v>0</v>
      </c>
      <c r="AS470">
        <v>1</v>
      </c>
      <c r="AT470">
        <v>0</v>
      </c>
      <c r="AU470">
        <v>0</v>
      </c>
      <c r="AV470">
        <v>0</v>
      </c>
      <c r="AX470" t="s">
        <v>226</v>
      </c>
      <c r="AY470" t="s">
        <v>226</v>
      </c>
      <c r="AZ470" t="s">
        <v>237</v>
      </c>
      <c r="BA470" t="s">
        <v>909</v>
      </c>
      <c r="BB470" t="s">
        <v>277</v>
      </c>
      <c r="BC470" t="s">
        <v>904</v>
      </c>
      <c r="BE470" t="s">
        <v>259</v>
      </c>
      <c r="BF470" t="s">
        <v>237</v>
      </c>
      <c r="BG470" t="s">
        <v>259</v>
      </c>
      <c r="BH470" t="s">
        <v>259</v>
      </c>
      <c r="BI470" t="s">
        <v>239</v>
      </c>
      <c r="BJ470" t="s">
        <v>237</v>
      </c>
      <c r="BK470" t="s">
        <v>239</v>
      </c>
      <c r="BL470" t="s">
        <v>313</v>
      </c>
      <c r="BM470" t="s">
        <v>451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 t="s">
        <v>264</v>
      </c>
      <c r="CB470" t="s">
        <v>328</v>
      </c>
      <c r="CC470" t="s">
        <v>243</v>
      </c>
      <c r="CD470" t="s">
        <v>236</v>
      </c>
      <c r="CE470" t="s">
        <v>236</v>
      </c>
      <c r="EA470" t="s">
        <v>236</v>
      </c>
      <c r="EC470" t="s">
        <v>236</v>
      </c>
      <c r="EE470" t="s">
        <v>226</v>
      </c>
      <c r="EF470" t="s">
        <v>245</v>
      </c>
      <c r="EG470" t="s">
        <v>226</v>
      </c>
      <c r="EH470" t="s">
        <v>245</v>
      </c>
      <c r="EI470" t="s">
        <v>226</v>
      </c>
      <c r="EJ470" t="s">
        <v>244</v>
      </c>
      <c r="EK470" t="s">
        <v>226</v>
      </c>
      <c r="EL470" t="s">
        <v>244</v>
      </c>
      <c r="EM470" t="s">
        <v>236</v>
      </c>
      <c r="EO470" t="s">
        <v>236</v>
      </c>
      <c r="EQ470" t="s">
        <v>236</v>
      </c>
      <c r="ES470" t="s">
        <v>226</v>
      </c>
      <c r="ET470" t="s">
        <v>265</v>
      </c>
      <c r="EU470" t="s">
        <v>236</v>
      </c>
      <c r="EW470" t="s">
        <v>226</v>
      </c>
      <c r="EX470" t="s">
        <v>245</v>
      </c>
      <c r="EY470" t="s">
        <v>226</v>
      </c>
      <c r="EZ470" t="s">
        <v>245</v>
      </c>
      <c r="FA470" t="s">
        <v>236</v>
      </c>
      <c r="FC470" t="s">
        <v>236</v>
      </c>
      <c r="FE470" t="s">
        <v>226</v>
      </c>
      <c r="FF470" t="s">
        <v>244</v>
      </c>
      <c r="FG470" t="s">
        <v>226</v>
      </c>
      <c r="FH470" t="s">
        <v>910</v>
      </c>
      <c r="FI470" t="s">
        <v>244</v>
      </c>
      <c r="FJ470" t="s">
        <v>226</v>
      </c>
      <c r="FK470" t="s">
        <v>245</v>
      </c>
      <c r="FL470" t="s">
        <v>226</v>
      </c>
      <c r="FM470" t="s">
        <v>236</v>
      </c>
      <c r="FW470" t="s">
        <v>236</v>
      </c>
      <c r="FZ470" t="s">
        <v>236</v>
      </c>
      <c r="GC470" t="s">
        <v>236</v>
      </c>
      <c r="GF470" t="s">
        <v>226</v>
      </c>
      <c r="GG470" t="s">
        <v>236</v>
      </c>
      <c r="GI470" t="s">
        <v>236</v>
      </c>
      <c r="GL470" t="s">
        <v>236</v>
      </c>
      <c r="GO470" t="s">
        <v>226</v>
      </c>
      <c r="GP470" t="s">
        <v>226</v>
      </c>
      <c r="GQ470" t="s">
        <v>266</v>
      </c>
      <c r="GR470" t="s">
        <v>226</v>
      </c>
      <c r="GS470" t="s">
        <v>226</v>
      </c>
      <c r="GT470" t="s">
        <v>266</v>
      </c>
      <c r="GU470" t="s">
        <v>236</v>
      </c>
      <c r="GX470" t="s">
        <v>236</v>
      </c>
      <c r="HB470" t="s">
        <v>911</v>
      </c>
      <c r="HC470" t="s">
        <v>338</v>
      </c>
      <c r="HD470" t="s">
        <v>912</v>
      </c>
      <c r="HE470">
        <v>83513930</v>
      </c>
      <c r="HF470" t="s">
        <v>913</v>
      </c>
      <c r="HG470" s="2">
        <v>45758.594872685193</v>
      </c>
      <c r="HJ470" t="s">
        <v>248</v>
      </c>
      <c r="HL470" t="s">
        <v>282</v>
      </c>
      <c r="HN470">
        <v>475</v>
      </c>
    </row>
    <row r="471" spans="1:222" x14ac:dyDescent="0.25">
      <c r="A471" s="2">
        <v>45758.33741015046</v>
      </c>
      <c r="B471" s="2">
        <v>45758.340441099543</v>
      </c>
      <c r="C471" t="s">
        <v>221</v>
      </c>
      <c r="D471">
        <v>323</v>
      </c>
      <c r="E471" s="2">
        <v>45730</v>
      </c>
      <c r="F471">
        <v>2</v>
      </c>
      <c r="G471" t="s">
        <v>290</v>
      </c>
      <c r="H471" t="s">
        <v>391</v>
      </c>
      <c r="I471">
        <v>69</v>
      </c>
      <c r="J471" t="str">
        <f t="shared" si="7"/>
        <v>de 56 a más</v>
      </c>
      <c r="K471" t="s">
        <v>251</v>
      </c>
      <c r="L471">
        <v>1</v>
      </c>
      <c r="M471">
        <v>0</v>
      </c>
      <c r="N471">
        <v>0</v>
      </c>
      <c r="O471">
        <v>0</v>
      </c>
      <c r="P471">
        <v>0</v>
      </c>
      <c r="Q471" t="s">
        <v>291</v>
      </c>
      <c r="R471" t="s">
        <v>226</v>
      </c>
      <c r="T471" t="s">
        <v>227</v>
      </c>
      <c r="V471" t="s">
        <v>252</v>
      </c>
      <c r="W471" t="s">
        <v>229</v>
      </c>
      <c r="X471" t="s">
        <v>368</v>
      </c>
      <c r="Z471" t="s">
        <v>231</v>
      </c>
      <c r="AA471" t="s">
        <v>232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I471" t="s">
        <v>233</v>
      </c>
      <c r="AJ471">
        <v>0</v>
      </c>
      <c r="AK471">
        <v>1</v>
      </c>
      <c r="AL471">
        <v>0</v>
      </c>
      <c r="AM471">
        <v>0</v>
      </c>
      <c r="AN471" t="s">
        <v>300</v>
      </c>
      <c r="AO471" t="s">
        <v>633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1</v>
      </c>
      <c r="AV471">
        <v>0</v>
      </c>
      <c r="AX471" t="s">
        <v>226</v>
      </c>
      <c r="AY471" t="s">
        <v>226</v>
      </c>
      <c r="AZ471" t="s">
        <v>237</v>
      </c>
      <c r="BA471" t="s">
        <v>1599</v>
      </c>
      <c r="BE471" t="s">
        <v>239</v>
      </c>
      <c r="BF471" t="s">
        <v>239</v>
      </c>
      <c r="BG471" t="s">
        <v>239</v>
      </c>
      <c r="BH471" t="s">
        <v>261</v>
      </c>
      <c r="BI471" t="s">
        <v>237</v>
      </c>
      <c r="BJ471" t="s">
        <v>362</v>
      </c>
      <c r="BK471" t="s">
        <v>261</v>
      </c>
      <c r="BL471" t="s">
        <v>262</v>
      </c>
      <c r="BM471" t="s">
        <v>389</v>
      </c>
      <c r="BN471">
        <v>0</v>
      </c>
      <c r="BO471">
        <v>0</v>
      </c>
      <c r="BP471">
        <v>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 t="s">
        <v>264</v>
      </c>
      <c r="CB471" t="s">
        <v>243</v>
      </c>
      <c r="CC471" t="s">
        <v>242</v>
      </c>
      <c r="CD471" t="s">
        <v>236</v>
      </c>
      <c r="CE471" t="s">
        <v>236</v>
      </c>
      <c r="EA471" t="s">
        <v>226</v>
      </c>
      <c r="EB471" t="s">
        <v>244</v>
      </c>
      <c r="EC471" t="s">
        <v>236</v>
      </c>
      <c r="EE471" t="s">
        <v>236</v>
      </c>
      <c r="EG471" t="s">
        <v>226</v>
      </c>
      <c r="EH471" t="s">
        <v>245</v>
      </c>
      <c r="EI471" t="s">
        <v>236</v>
      </c>
      <c r="EK471" t="s">
        <v>236</v>
      </c>
      <c r="EM471" t="s">
        <v>226</v>
      </c>
      <c r="EN471" t="s">
        <v>244</v>
      </c>
      <c r="EO471" t="s">
        <v>226</v>
      </c>
      <c r="EP471" t="s">
        <v>244</v>
      </c>
      <c r="EQ471" t="s">
        <v>226</v>
      </c>
      <c r="ER471" t="s">
        <v>244</v>
      </c>
      <c r="ES471" t="s">
        <v>236</v>
      </c>
      <c r="EU471" t="s">
        <v>236</v>
      </c>
      <c r="EW471" t="s">
        <v>236</v>
      </c>
      <c r="EY471" t="s">
        <v>226</v>
      </c>
      <c r="EZ471" t="s">
        <v>245</v>
      </c>
      <c r="FA471" t="s">
        <v>236</v>
      </c>
      <c r="FC471" t="s">
        <v>236</v>
      </c>
      <c r="FE471" t="s">
        <v>236</v>
      </c>
      <c r="FG471" t="s">
        <v>236</v>
      </c>
      <c r="FJ471" t="s">
        <v>236</v>
      </c>
      <c r="FM471" t="s">
        <v>236</v>
      </c>
      <c r="FW471" t="s">
        <v>236</v>
      </c>
      <c r="FZ471" t="s">
        <v>236</v>
      </c>
      <c r="GC471" t="s">
        <v>236</v>
      </c>
      <c r="GF471" t="s">
        <v>226</v>
      </c>
      <c r="GG471" t="s">
        <v>236</v>
      </c>
      <c r="GI471" t="s">
        <v>236</v>
      </c>
      <c r="GL471" t="s">
        <v>236</v>
      </c>
      <c r="GO471" t="s">
        <v>226</v>
      </c>
      <c r="GP471" t="s">
        <v>236</v>
      </c>
      <c r="GR471" t="s">
        <v>226</v>
      </c>
      <c r="GS471" t="s">
        <v>236</v>
      </c>
      <c r="GU471" t="s">
        <v>236</v>
      </c>
      <c r="GX471" t="s">
        <v>236</v>
      </c>
      <c r="HB471" t="s">
        <v>1600</v>
      </c>
      <c r="HE471">
        <v>83510056</v>
      </c>
      <c r="HF471" t="s">
        <v>1601</v>
      </c>
      <c r="HG471" s="2">
        <v>45758.548784722218</v>
      </c>
      <c r="HJ471" t="s">
        <v>248</v>
      </c>
      <c r="HL471" t="s">
        <v>282</v>
      </c>
      <c r="HN471">
        <v>469</v>
      </c>
    </row>
    <row r="472" spans="1:222" x14ac:dyDescent="0.25">
      <c r="A472" s="2">
        <v>45758.340441678243</v>
      </c>
      <c r="B472" s="2">
        <v>45758.350783807873</v>
      </c>
      <c r="C472" t="s">
        <v>221</v>
      </c>
      <c r="D472">
        <v>324</v>
      </c>
      <c r="E472" s="2">
        <v>45730</v>
      </c>
      <c r="F472">
        <v>2</v>
      </c>
      <c r="G472" t="s">
        <v>222</v>
      </c>
      <c r="H472" t="s">
        <v>391</v>
      </c>
      <c r="I472">
        <v>39</v>
      </c>
      <c r="J472" t="str">
        <f t="shared" si="7"/>
        <v>de 26 a 40 años</v>
      </c>
      <c r="K472" t="s">
        <v>341</v>
      </c>
      <c r="L472">
        <v>2</v>
      </c>
      <c r="M472">
        <v>0</v>
      </c>
      <c r="N472">
        <v>0</v>
      </c>
      <c r="O472">
        <v>0</v>
      </c>
      <c r="P472">
        <v>0</v>
      </c>
      <c r="Q472" t="s">
        <v>225</v>
      </c>
      <c r="R472" t="s">
        <v>236</v>
      </c>
      <c r="S472" t="s">
        <v>935</v>
      </c>
      <c r="T472" t="s">
        <v>392</v>
      </c>
      <c r="V472" t="s">
        <v>272</v>
      </c>
      <c r="W472" t="s">
        <v>229</v>
      </c>
      <c r="X472" t="s">
        <v>230</v>
      </c>
      <c r="Z472" t="s">
        <v>231</v>
      </c>
      <c r="AA472" t="s">
        <v>232</v>
      </c>
      <c r="AB472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I472" t="s">
        <v>1077</v>
      </c>
      <c r="AJ472">
        <v>1</v>
      </c>
      <c r="AK472">
        <v>1</v>
      </c>
      <c r="AL472">
        <v>1</v>
      </c>
      <c r="AM472">
        <v>1</v>
      </c>
      <c r="AN472" t="s">
        <v>300</v>
      </c>
      <c r="AO472" t="s">
        <v>326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X472" t="s">
        <v>226</v>
      </c>
      <c r="AY472" t="s">
        <v>226</v>
      </c>
      <c r="AZ472" t="s">
        <v>261</v>
      </c>
      <c r="BA472" t="s">
        <v>1602</v>
      </c>
      <c r="BB472" t="s">
        <v>1603</v>
      </c>
      <c r="BE472" t="s">
        <v>261</v>
      </c>
      <c r="BF472" t="s">
        <v>259</v>
      </c>
      <c r="BG472" t="s">
        <v>259</v>
      </c>
      <c r="BH472" t="s">
        <v>239</v>
      </c>
      <c r="BI472" t="s">
        <v>239</v>
      </c>
      <c r="BJ472" t="s">
        <v>259</v>
      </c>
      <c r="BK472" t="s">
        <v>259</v>
      </c>
      <c r="BL472" t="s">
        <v>262</v>
      </c>
      <c r="BM472" t="s">
        <v>1604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1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 t="s">
        <v>264</v>
      </c>
      <c r="CB472" t="s">
        <v>328</v>
      </c>
      <c r="CC472" t="s">
        <v>328</v>
      </c>
      <c r="CD472" t="s">
        <v>236</v>
      </c>
      <c r="CE472" t="s">
        <v>236</v>
      </c>
      <c r="EA472" t="s">
        <v>226</v>
      </c>
      <c r="EB472" t="s">
        <v>265</v>
      </c>
      <c r="EC472" t="s">
        <v>226</v>
      </c>
      <c r="ED472" t="s">
        <v>245</v>
      </c>
      <c r="EE472" t="s">
        <v>226</v>
      </c>
      <c r="EF472" t="s">
        <v>265</v>
      </c>
      <c r="EG472" t="s">
        <v>226</v>
      </c>
      <c r="EH472" t="s">
        <v>244</v>
      </c>
      <c r="EI472" t="s">
        <v>226</v>
      </c>
      <c r="EJ472" t="s">
        <v>265</v>
      </c>
      <c r="EK472" t="s">
        <v>226</v>
      </c>
      <c r="EL472" t="s">
        <v>244</v>
      </c>
      <c r="EM472" t="s">
        <v>226</v>
      </c>
      <c r="EN472" t="s">
        <v>265</v>
      </c>
      <c r="EO472" t="s">
        <v>226</v>
      </c>
      <c r="EP472" t="s">
        <v>244</v>
      </c>
      <c r="EQ472" t="s">
        <v>226</v>
      </c>
      <c r="ER472" t="s">
        <v>244</v>
      </c>
      <c r="ES472" t="s">
        <v>226</v>
      </c>
      <c r="ET472" t="s">
        <v>265</v>
      </c>
      <c r="EU472" t="s">
        <v>226</v>
      </c>
      <c r="EV472" t="s">
        <v>265</v>
      </c>
      <c r="EW472" t="s">
        <v>226</v>
      </c>
      <c r="EX472" t="s">
        <v>244</v>
      </c>
      <c r="EY472" t="s">
        <v>226</v>
      </c>
      <c r="EZ472" t="s">
        <v>245</v>
      </c>
      <c r="FA472" t="s">
        <v>226</v>
      </c>
      <c r="FB472" t="s">
        <v>265</v>
      </c>
      <c r="FC472" t="s">
        <v>236</v>
      </c>
      <c r="FE472" t="s">
        <v>226</v>
      </c>
      <c r="FF472" t="s">
        <v>244</v>
      </c>
      <c r="FG472" t="s">
        <v>236</v>
      </c>
      <c r="FJ472" t="s">
        <v>226</v>
      </c>
      <c r="FK472" t="s">
        <v>265</v>
      </c>
      <c r="FL472" t="s">
        <v>236</v>
      </c>
      <c r="FM472" t="s">
        <v>226</v>
      </c>
      <c r="FN472" t="s">
        <v>967</v>
      </c>
      <c r="FO472">
        <v>1</v>
      </c>
      <c r="FP472">
        <v>0</v>
      </c>
      <c r="FQ472">
        <v>0</v>
      </c>
      <c r="FR472">
        <v>0</v>
      </c>
      <c r="FS472">
        <v>0</v>
      </c>
      <c r="FU472" t="s">
        <v>236</v>
      </c>
      <c r="FW472" t="s">
        <v>226</v>
      </c>
      <c r="FX472" t="s">
        <v>236</v>
      </c>
      <c r="FZ472" t="s">
        <v>226</v>
      </c>
      <c r="GA472" t="s">
        <v>236</v>
      </c>
      <c r="GC472" t="s">
        <v>236</v>
      </c>
      <c r="GF472" t="s">
        <v>226</v>
      </c>
      <c r="GG472" t="s">
        <v>236</v>
      </c>
      <c r="GI472" t="s">
        <v>226</v>
      </c>
      <c r="GJ472" t="s">
        <v>236</v>
      </c>
      <c r="GL472" t="s">
        <v>226</v>
      </c>
      <c r="GM472" t="s">
        <v>236</v>
      </c>
      <c r="GO472" t="s">
        <v>226</v>
      </c>
      <c r="GP472" t="s">
        <v>226</v>
      </c>
      <c r="GQ472" t="s">
        <v>267</v>
      </c>
      <c r="GR472" t="s">
        <v>226</v>
      </c>
      <c r="GS472" t="s">
        <v>236</v>
      </c>
      <c r="GU472" t="s">
        <v>226</v>
      </c>
      <c r="GV472" t="s">
        <v>236</v>
      </c>
      <c r="GX472" t="s">
        <v>236</v>
      </c>
      <c r="HB472" t="s">
        <v>1605</v>
      </c>
      <c r="HC472" t="s">
        <v>1606</v>
      </c>
      <c r="HD472" t="s">
        <v>1607</v>
      </c>
      <c r="HE472">
        <v>83511052</v>
      </c>
      <c r="HF472" t="s">
        <v>1608</v>
      </c>
      <c r="HG472" s="2">
        <v>45758.559131944443</v>
      </c>
      <c r="HJ472" t="s">
        <v>248</v>
      </c>
      <c r="HL472" t="s">
        <v>282</v>
      </c>
      <c r="HN472">
        <v>470</v>
      </c>
    </row>
    <row r="473" spans="1:222" x14ac:dyDescent="0.25">
      <c r="A473" s="2">
        <v>45758.350784259259</v>
      </c>
      <c r="B473" s="2">
        <v>45758.363891701389</v>
      </c>
      <c r="C473" t="s">
        <v>221</v>
      </c>
      <c r="D473">
        <v>198</v>
      </c>
      <c r="E473" s="2">
        <v>45730</v>
      </c>
      <c r="F473">
        <v>4</v>
      </c>
      <c r="G473" t="s">
        <v>436</v>
      </c>
      <c r="H473" t="s">
        <v>270</v>
      </c>
      <c r="I473">
        <v>29</v>
      </c>
      <c r="J473" t="str">
        <f t="shared" si="7"/>
        <v>de 26 a 40 años</v>
      </c>
      <c r="K473" t="s">
        <v>224</v>
      </c>
      <c r="L473">
        <v>3</v>
      </c>
      <c r="M473">
        <v>0</v>
      </c>
      <c r="N473">
        <v>0</v>
      </c>
      <c r="O473">
        <v>0</v>
      </c>
      <c r="P473">
        <v>0</v>
      </c>
      <c r="Q473" t="s">
        <v>291</v>
      </c>
      <c r="R473" t="s">
        <v>226</v>
      </c>
      <c r="T473" t="s">
        <v>1085</v>
      </c>
      <c r="V473" t="s">
        <v>228</v>
      </c>
      <c r="W473" t="s">
        <v>229</v>
      </c>
      <c r="X473" t="s">
        <v>230</v>
      </c>
      <c r="Z473" t="s">
        <v>231</v>
      </c>
      <c r="AA473" t="s">
        <v>255</v>
      </c>
      <c r="AB473">
        <v>0</v>
      </c>
      <c r="AC473">
        <v>0</v>
      </c>
      <c r="AD473">
        <v>0</v>
      </c>
      <c r="AE473">
        <v>1</v>
      </c>
      <c r="AF473">
        <v>0</v>
      </c>
      <c r="AG473">
        <v>0</v>
      </c>
      <c r="AI473" t="s">
        <v>256</v>
      </c>
      <c r="AJ473">
        <v>0</v>
      </c>
      <c r="AK473">
        <v>0</v>
      </c>
      <c r="AL473">
        <v>1</v>
      </c>
      <c r="AM473">
        <v>0</v>
      </c>
      <c r="AN473" t="s">
        <v>300</v>
      </c>
      <c r="AO473" t="s">
        <v>369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</v>
      </c>
      <c r="AW473" t="s">
        <v>551</v>
      </c>
      <c r="AX473" t="s">
        <v>236</v>
      </c>
      <c r="AZ473" t="s">
        <v>237</v>
      </c>
      <c r="BA473" t="s">
        <v>1228</v>
      </c>
      <c r="BB473" t="s">
        <v>1229</v>
      </c>
      <c r="BE473" t="s">
        <v>239</v>
      </c>
      <c r="BF473" t="s">
        <v>237</v>
      </c>
      <c r="BG473" t="s">
        <v>239</v>
      </c>
      <c r="BH473" t="s">
        <v>239</v>
      </c>
      <c r="BI473" t="s">
        <v>237</v>
      </c>
      <c r="BJ473" t="s">
        <v>237</v>
      </c>
      <c r="BK473" t="s">
        <v>239</v>
      </c>
      <c r="BL473" t="s">
        <v>262</v>
      </c>
      <c r="BM473" t="s">
        <v>1230</v>
      </c>
      <c r="BN473">
        <v>0</v>
      </c>
      <c r="BO473">
        <v>1</v>
      </c>
      <c r="BP473">
        <v>0</v>
      </c>
      <c r="BQ473">
        <v>1</v>
      </c>
      <c r="BR473">
        <v>0</v>
      </c>
      <c r="BS473">
        <v>1</v>
      </c>
      <c r="BT473">
        <v>0</v>
      </c>
      <c r="BU473">
        <v>0</v>
      </c>
      <c r="BV473">
        <v>1</v>
      </c>
      <c r="BW473">
        <v>1</v>
      </c>
      <c r="BX473">
        <v>0</v>
      </c>
      <c r="BY473">
        <v>0</v>
      </c>
      <c r="BZ473">
        <v>0</v>
      </c>
      <c r="CA473" t="s">
        <v>264</v>
      </c>
      <c r="CB473" t="s">
        <v>328</v>
      </c>
      <c r="CC473" t="s">
        <v>264</v>
      </c>
      <c r="CD473" t="s">
        <v>236</v>
      </c>
      <c r="CE473" t="s">
        <v>236</v>
      </c>
      <c r="EA473" t="s">
        <v>236</v>
      </c>
      <c r="EC473" t="s">
        <v>236</v>
      </c>
      <c r="EE473" t="s">
        <v>236</v>
      </c>
      <c r="EG473" t="s">
        <v>226</v>
      </c>
      <c r="EH473" t="s">
        <v>244</v>
      </c>
      <c r="EI473" t="s">
        <v>236</v>
      </c>
      <c r="EK473" t="s">
        <v>236</v>
      </c>
      <c r="EM473" t="s">
        <v>236</v>
      </c>
      <c r="EO473" t="s">
        <v>236</v>
      </c>
      <c r="EQ473" t="s">
        <v>236</v>
      </c>
      <c r="ES473" t="s">
        <v>236</v>
      </c>
      <c r="EU473" t="s">
        <v>236</v>
      </c>
      <c r="EW473" t="s">
        <v>236</v>
      </c>
      <c r="EY473" t="s">
        <v>236</v>
      </c>
      <c r="FA473" t="s">
        <v>236</v>
      </c>
      <c r="FC473" t="s">
        <v>236</v>
      </c>
      <c r="FE473" t="s">
        <v>226</v>
      </c>
      <c r="FF473" t="s">
        <v>245</v>
      </c>
      <c r="FG473" t="s">
        <v>236</v>
      </c>
      <c r="FJ473" t="s">
        <v>226</v>
      </c>
      <c r="FK473" t="s">
        <v>245</v>
      </c>
      <c r="FL473" t="s">
        <v>236</v>
      </c>
      <c r="FM473" t="s">
        <v>236</v>
      </c>
      <c r="FW473" t="s">
        <v>236</v>
      </c>
      <c r="FZ473" t="s">
        <v>236</v>
      </c>
      <c r="GC473" t="s">
        <v>236</v>
      </c>
      <c r="GF473" t="s">
        <v>226</v>
      </c>
      <c r="GG473" t="s">
        <v>226</v>
      </c>
      <c r="GH473" t="s">
        <v>266</v>
      </c>
      <c r="GI473" t="s">
        <v>236</v>
      </c>
      <c r="GL473" t="s">
        <v>236</v>
      </c>
      <c r="GO473" t="s">
        <v>236</v>
      </c>
      <c r="GR473" t="s">
        <v>236</v>
      </c>
      <c r="GU473" t="s">
        <v>236</v>
      </c>
      <c r="GX473" t="s">
        <v>236</v>
      </c>
      <c r="HB473" t="s">
        <v>1231</v>
      </c>
      <c r="HE473">
        <v>83512112</v>
      </c>
      <c r="HF473" t="s">
        <v>1232</v>
      </c>
      <c r="HG473" s="2">
        <v>45758.572233796287</v>
      </c>
      <c r="HJ473" t="s">
        <v>248</v>
      </c>
      <c r="HL473" t="s">
        <v>282</v>
      </c>
      <c r="HN473">
        <v>471</v>
      </c>
    </row>
    <row r="474" spans="1:222" x14ac:dyDescent="0.25">
      <c r="A474" s="2">
        <v>45758.36389226852</v>
      </c>
      <c r="B474" s="2">
        <v>45758.370091805547</v>
      </c>
      <c r="C474" t="s">
        <v>221</v>
      </c>
      <c r="D474">
        <v>171</v>
      </c>
      <c r="E474" s="2">
        <v>45730</v>
      </c>
      <c r="F474">
        <v>4</v>
      </c>
      <c r="G474" t="s">
        <v>436</v>
      </c>
      <c r="H474" t="s">
        <v>270</v>
      </c>
      <c r="I474">
        <v>23</v>
      </c>
      <c r="J474" t="str">
        <f t="shared" si="7"/>
        <v>de 18 a 25 años</v>
      </c>
      <c r="K474" t="s">
        <v>224</v>
      </c>
      <c r="L474">
        <v>1</v>
      </c>
      <c r="M474">
        <v>0</v>
      </c>
      <c r="N474">
        <v>0</v>
      </c>
      <c r="O474">
        <v>0</v>
      </c>
      <c r="P474">
        <v>0</v>
      </c>
      <c r="Q474" t="s">
        <v>291</v>
      </c>
      <c r="R474" t="s">
        <v>226</v>
      </c>
      <c r="T474" t="s">
        <v>227</v>
      </c>
      <c r="V474" t="s">
        <v>228</v>
      </c>
      <c r="W474" t="s">
        <v>292</v>
      </c>
      <c r="X474" t="s">
        <v>253</v>
      </c>
      <c r="Z474" t="s">
        <v>308</v>
      </c>
      <c r="AA474" t="s">
        <v>232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I474" t="s">
        <v>504</v>
      </c>
      <c r="AJ474">
        <v>1</v>
      </c>
      <c r="AK474">
        <v>0</v>
      </c>
      <c r="AL474">
        <v>0</v>
      </c>
      <c r="AM474">
        <v>0</v>
      </c>
      <c r="AN474" t="s">
        <v>300</v>
      </c>
      <c r="AO474" t="s">
        <v>539</v>
      </c>
      <c r="AP474">
        <v>1</v>
      </c>
      <c r="AQ474">
        <v>0</v>
      </c>
      <c r="AR474">
        <v>0</v>
      </c>
      <c r="AS474">
        <v>1</v>
      </c>
      <c r="AT474">
        <v>0</v>
      </c>
      <c r="AU474">
        <v>0</v>
      </c>
      <c r="AV474">
        <v>0</v>
      </c>
      <c r="AX474" t="s">
        <v>226</v>
      </c>
      <c r="AY474" t="s">
        <v>226</v>
      </c>
      <c r="AZ474" t="s">
        <v>237</v>
      </c>
      <c r="BA474" t="s">
        <v>909</v>
      </c>
      <c r="BB474" t="s">
        <v>1132</v>
      </c>
      <c r="BC474" t="s">
        <v>301</v>
      </c>
      <c r="BE474" t="s">
        <v>259</v>
      </c>
      <c r="BF474" t="s">
        <v>237</v>
      </c>
      <c r="BG474" t="s">
        <v>239</v>
      </c>
      <c r="BH474" t="s">
        <v>239</v>
      </c>
      <c r="BI474" t="s">
        <v>239</v>
      </c>
      <c r="BJ474" t="s">
        <v>237</v>
      </c>
      <c r="BK474" t="s">
        <v>239</v>
      </c>
      <c r="BL474" t="s">
        <v>240</v>
      </c>
      <c r="BM474" t="s">
        <v>1133</v>
      </c>
      <c r="BN474">
        <v>0</v>
      </c>
      <c r="BO474">
        <v>0</v>
      </c>
      <c r="BP474">
        <v>1</v>
      </c>
      <c r="BQ474">
        <v>0</v>
      </c>
      <c r="BR474">
        <v>0</v>
      </c>
      <c r="BS474">
        <v>1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 t="s">
        <v>264</v>
      </c>
      <c r="CB474" t="s">
        <v>328</v>
      </c>
      <c r="CC474" t="s">
        <v>328</v>
      </c>
      <c r="CD474" t="s">
        <v>236</v>
      </c>
      <c r="CE474" t="s">
        <v>236</v>
      </c>
      <c r="EA474" t="s">
        <v>236</v>
      </c>
      <c r="EC474" t="s">
        <v>236</v>
      </c>
      <c r="EE474" t="s">
        <v>226</v>
      </c>
      <c r="EF474" t="s">
        <v>244</v>
      </c>
      <c r="EG474" t="s">
        <v>226</v>
      </c>
      <c r="EH474" t="s">
        <v>244</v>
      </c>
      <c r="EI474" t="s">
        <v>226</v>
      </c>
      <c r="EJ474" t="s">
        <v>265</v>
      </c>
      <c r="EK474" t="s">
        <v>308</v>
      </c>
      <c r="EM474" t="s">
        <v>226</v>
      </c>
      <c r="EN474" t="s">
        <v>245</v>
      </c>
      <c r="EO474" t="s">
        <v>236</v>
      </c>
      <c r="EQ474" t="s">
        <v>236</v>
      </c>
      <c r="ES474" t="s">
        <v>236</v>
      </c>
      <c r="EU474" t="s">
        <v>236</v>
      </c>
      <c r="EW474" t="s">
        <v>236</v>
      </c>
      <c r="EY474" t="s">
        <v>226</v>
      </c>
      <c r="EZ474" t="s">
        <v>245</v>
      </c>
      <c r="FA474" t="s">
        <v>236</v>
      </c>
      <c r="FC474" t="s">
        <v>226</v>
      </c>
      <c r="FD474" t="s">
        <v>244</v>
      </c>
      <c r="FE474" t="s">
        <v>236</v>
      </c>
      <c r="FG474" t="s">
        <v>236</v>
      </c>
      <c r="FJ474" t="s">
        <v>226</v>
      </c>
      <c r="FK474" t="s">
        <v>244</v>
      </c>
      <c r="FL474" t="s">
        <v>236</v>
      </c>
      <c r="FM474" t="s">
        <v>236</v>
      </c>
      <c r="FW474" t="s">
        <v>226</v>
      </c>
      <c r="FX474" t="s">
        <v>226</v>
      </c>
      <c r="FY474" t="s">
        <v>266</v>
      </c>
      <c r="FZ474" t="s">
        <v>236</v>
      </c>
      <c r="GC474" t="s">
        <v>236</v>
      </c>
      <c r="GF474" t="s">
        <v>226</v>
      </c>
      <c r="GG474" t="s">
        <v>226</v>
      </c>
      <c r="GH474" t="s">
        <v>570</v>
      </c>
      <c r="GI474" t="s">
        <v>226</v>
      </c>
      <c r="GJ474" t="s">
        <v>226</v>
      </c>
      <c r="GK474" t="s">
        <v>266</v>
      </c>
      <c r="GL474" t="s">
        <v>226</v>
      </c>
      <c r="GM474" t="s">
        <v>226</v>
      </c>
      <c r="GN474" t="s">
        <v>570</v>
      </c>
      <c r="GO474" t="s">
        <v>226</v>
      </c>
      <c r="GP474" t="s">
        <v>226</v>
      </c>
      <c r="GQ474" t="s">
        <v>267</v>
      </c>
      <c r="GR474" t="s">
        <v>226</v>
      </c>
      <c r="GS474" t="s">
        <v>226</v>
      </c>
      <c r="GT474" t="s">
        <v>266</v>
      </c>
      <c r="GU474" t="s">
        <v>236</v>
      </c>
      <c r="GX474" t="s">
        <v>236</v>
      </c>
      <c r="HB474" t="s">
        <v>323</v>
      </c>
      <c r="HE474">
        <v>83512541</v>
      </c>
      <c r="HF474" t="s">
        <v>1134</v>
      </c>
      <c r="HG474" s="2">
        <v>45758.5784375</v>
      </c>
      <c r="HJ474" t="s">
        <v>248</v>
      </c>
      <c r="HL474" t="s">
        <v>282</v>
      </c>
      <c r="HN474">
        <v>472</v>
      </c>
    </row>
    <row r="475" spans="1:222" x14ac:dyDescent="0.25">
      <c r="A475" s="2">
        <v>45758.370092245372</v>
      </c>
      <c r="B475" s="2">
        <v>45758.374296793983</v>
      </c>
      <c r="C475" t="s">
        <v>221</v>
      </c>
      <c r="D475">
        <v>162</v>
      </c>
      <c r="E475" s="2">
        <v>45730</v>
      </c>
      <c r="F475">
        <v>4</v>
      </c>
      <c r="G475" t="s">
        <v>361</v>
      </c>
      <c r="H475" t="s">
        <v>270</v>
      </c>
      <c r="I475">
        <v>55</v>
      </c>
      <c r="J475" t="str">
        <f t="shared" si="7"/>
        <v>de 41 a 55 años</v>
      </c>
      <c r="K475" t="s">
        <v>341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291</v>
      </c>
      <c r="R475" t="s">
        <v>226</v>
      </c>
      <c r="T475" t="s">
        <v>227</v>
      </c>
      <c r="V475" t="s">
        <v>272</v>
      </c>
      <c r="W475" t="s">
        <v>229</v>
      </c>
      <c r="X475" t="s">
        <v>1101</v>
      </c>
      <c r="Z475" t="s">
        <v>398</v>
      </c>
      <c r="AA475" t="s">
        <v>232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I475" t="s">
        <v>233</v>
      </c>
      <c r="AJ475">
        <v>0</v>
      </c>
      <c r="AK475">
        <v>1</v>
      </c>
      <c r="AL475">
        <v>0</v>
      </c>
      <c r="AM475">
        <v>0</v>
      </c>
      <c r="AN475" t="s">
        <v>257</v>
      </c>
      <c r="AO475" t="s">
        <v>275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</v>
      </c>
      <c r="AV475">
        <v>0</v>
      </c>
      <c r="AX475" t="s">
        <v>236</v>
      </c>
      <c r="AZ475" t="s">
        <v>237</v>
      </c>
      <c r="BA475" t="s">
        <v>277</v>
      </c>
      <c r="BE475" t="s">
        <v>259</v>
      </c>
      <c r="BF475" t="s">
        <v>237</v>
      </c>
      <c r="BG475" t="s">
        <v>259</v>
      </c>
      <c r="BH475" t="s">
        <v>237</v>
      </c>
      <c r="BI475" t="s">
        <v>237</v>
      </c>
      <c r="BJ475" t="s">
        <v>237</v>
      </c>
      <c r="BK475" t="s">
        <v>259</v>
      </c>
      <c r="BL475" t="s">
        <v>262</v>
      </c>
      <c r="BM475" t="s">
        <v>389</v>
      </c>
      <c r="BN475">
        <v>0</v>
      </c>
      <c r="BO475">
        <v>0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 t="s">
        <v>264</v>
      </c>
      <c r="CB475" t="s">
        <v>264</v>
      </c>
      <c r="CC475" t="s">
        <v>243</v>
      </c>
      <c r="CD475" t="s">
        <v>236</v>
      </c>
      <c r="CE475" t="s">
        <v>226</v>
      </c>
      <c r="CF475" t="s">
        <v>1037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1</v>
      </c>
      <c r="CQ475">
        <v>0</v>
      </c>
      <c r="DB475" t="s">
        <v>226</v>
      </c>
      <c r="DV475" t="s">
        <v>520</v>
      </c>
      <c r="EA475" t="s">
        <v>226</v>
      </c>
      <c r="EB475" t="s">
        <v>244</v>
      </c>
      <c r="EC475" t="s">
        <v>236</v>
      </c>
      <c r="EE475" t="s">
        <v>236</v>
      </c>
      <c r="EG475" t="s">
        <v>226</v>
      </c>
      <c r="EH475" t="s">
        <v>244</v>
      </c>
      <c r="EI475" t="s">
        <v>236</v>
      </c>
      <c r="EK475" t="s">
        <v>236</v>
      </c>
      <c r="EM475" t="s">
        <v>236</v>
      </c>
      <c r="EO475" t="s">
        <v>236</v>
      </c>
      <c r="EQ475" t="s">
        <v>236</v>
      </c>
      <c r="ES475" t="s">
        <v>236</v>
      </c>
      <c r="EU475" t="s">
        <v>236</v>
      </c>
      <c r="EW475" t="s">
        <v>236</v>
      </c>
      <c r="EY475" t="s">
        <v>226</v>
      </c>
      <c r="EZ475" t="s">
        <v>244</v>
      </c>
      <c r="FA475" t="s">
        <v>236</v>
      </c>
      <c r="FC475" t="s">
        <v>236</v>
      </c>
      <c r="FE475" t="s">
        <v>236</v>
      </c>
      <c r="FG475" t="s">
        <v>236</v>
      </c>
      <c r="FJ475" t="s">
        <v>226</v>
      </c>
      <c r="FK475" t="s">
        <v>245</v>
      </c>
      <c r="FL475" t="s">
        <v>226</v>
      </c>
      <c r="FM475" t="s">
        <v>236</v>
      </c>
      <c r="FW475" t="s">
        <v>226</v>
      </c>
      <c r="FZ475" t="s">
        <v>236</v>
      </c>
      <c r="GC475" t="s">
        <v>236</v>
      </c>
      <c r="GF475" t="s">
        <v>236</v>
      </c>
      <c r="GI475" t="s">
        <v>236</v>
      </c>
      <c r="GL475" t="s">
        <v>236</v>
      </c>
      <c r="GO475" t="s">
        <v>236</v>
      </c>
      <c r="GR475" t="s">
        <v>236</v>
      </c>
      <c r="GU475" t="s">
        <v>236</v>
      </c>
      <c r="GX475" t="s">
        <v>236</v>
      </c>
      <c r="HB475" t="s">
        <v>338</v>
      </c>
      <c r="HE475">
        <v>83512958</v>
      </c>
      <c r="HF475" t="s">
        <v>1102</v>
      </c>
      <c r="HG475" s="2">
        <v>45758.582638888889</v>
      </c>
      <c r="HJ475" t="s">
        <v>248</v>
      </c>
      <c r="HL475" t="s">
        <v>282</v>
      </c>
      <c r="HN475">
        <v>473</v>
      </c>
    </row>
    <row r="476" spans="1:222" x14ac:dyDescent="0.25">
      <c r="A476" s="2">
        <v>45758.374297395843</v>
      </c>
      <c r="B476" s="2">
        <v>45758.378247222223</v>
      </c>
      <c r="C476" t="s">
        <v>221</v>
      </c>
      <c r="D476">
        <v>189</v>
      </c>
      <c r="E476" s="2">
        <v>45730</v>
      </c>
      <c r="F476">
        <v>4</v>
      </c>
      <c r="G476" t="s">
        <v>367</v>
      </c>
      <c r="H476" t="s">
        <v>270</v>
      </c>
      <c r="I476">
        <v>66</v>
      </c>
      <c r="J476" t="str">
        <f t="shared" si="7"/>
        <v>de 56 a más</v>
      </c>
      <c r="K476" t="s">
        <v>341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291</v>
      </c>
      <c r="R476" t="s">
        <v>226</v>
      </c>
      <c r="T476" t="s">
        <v>227</v>
      </c>
      <c r="V476" t="s">
        <v>228</v>
      </c>
      <c r="W476" t="s">
        <v>229</v>
      </c>
      <c r="X476" t="s">
        <v>368</v>
      </c>
      <c r="Z476" t="s">
        <v>351</v>
      </c>
      <c r="AA476" t="s">
        <v>293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I476" t="s">
        <v>233</v>
      </c>
      <c r="AJ476">
        <v>0</v>
      </c>
      <c r="AK476">
        <v>1</v>
      </c>
      <c r="AL476">
        <v>0</v>
      </c>
      <c r="AM476">
        <v>0</v>
      </c>
      <c r="AN476" t="s">
        <v>257</v>
      </c>
      <c r="AO476" t="s">
        <v>369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 t="s">
        <v>370</v>
      </c>
      <c r="AX476" t="s">
        <v>226</v>
      </c>
      <c r="AY476" t="s">
        <v>236</v>
      </c>
      <c r="AZ476" t="s">
        <v>237</v>
      </c>
      <c r="BA476" t="s">
        <v>371</v>
      </c>
      <c r="BE476" t="s">
        <v>261</v>
      </c>
      <c r="BF476" t="s">
        <v>259</v>
      </c>
      <c r="BG476" t="s">
        <v>261</v>
      </c>
      <c r="BH476" t="s">
        <v>308</v>
      </c>
      <c r="BI476" t="s">
        <v>308</v>
      </c>
      <c r="BJ476" t="s">
        <v>237</v>
      </c>
      <c r="BK476" t="s">
        <v>239</v>
      </c>
      <c r="BL476" t="s">
        <v>262</v>
      </c>
      <c r="BM476" t="s">
        <v>372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1</v>
      </c>
      <c r="CA476" t="s">
        <v>264</v>
      </c>
      <c r="CB476" t="s">
        <v>328</v>
      </c>
      <c r="CC476" t="s">
        <v>328</v>
      </c>
      <c r="CD476" t="s">
        <v>236</v>
      </c>
      <c r="CE476" t="s">
        <v>236</v>
      </c>
      <c r="EA476" t="s">
        <v>236</v>
      </c>
      <c r="EC476" t="s">
        <v>236</v>
      </c>
      <c r="EE476" t="s">
        <v>226</v>
      </c>
      <c r="EF476" t="s">
        <v>244</v>
      </c>
      <c r="EG476" t="s">
        <v>226</v>
      </c>
      <c r="EH476" t="s">
        <v>244</v>
      </c>
      <c r="EI476" t="s">
        <v>236</v>
      </c>
      <c r="EK476" t="s">
        <v>236</v>
      </c>
      <c r="EM476" t="s">
        <v>236</v>
      </c>
      <c r="EO476" t="s">
        <v>236</v>
      </c>
      <c r="EQ476" t="s">
        <v>236</v>
      </c>
      <c r="ES476" t="s">
        <v>236</v>
      </c>
      <c r="EU476" t="s">
        <v>236</v>
      </c>
      <c r="EW476" t="s">
        <v>226</v>
      </c>
      <c r="EX476" t="s">
        <v>244</v>
      </c>
      <c r="EY476" t="s">
        <v>236</v>
      </c>
      <c r="FA476" t="s">
        <v>226</v>
      </c>
      <c r="FB476" t="s">
        <v>244</v>
      </c>
      <c r="FC476" t="s">
        <v>236</v>
      </c>
      <c r="FE476" t="s">
        <v>236</v>
      </c>
      <c r="FG476" t="s">
        <v>236</v>
      </c>
      <c r="FJ476" t="s">
        <v>226</v>
      </c>
      <c r="FK476" t="s">
        <v>245</v>
      </c>
      <c r="FL476" t="s">
        <v>226</v>
      </c>
      <c r="FM476" t="s">
        <v>236</v>
      </c>
      <c r="FW476" t="s">
        <v>226</v>
      </c>
      <c r="FX476" t="s">
        <v>236</v>
      </c>
      <c r="FZ476" t="s">
        <v>236</v>
      </c>
      <c r="GC476" t="s">
        <v>236</v>
      </c>
      <c r="GF476" t="s">
        <v>236</v>
      </c>
      <c r="GI476" t="s">
        <v>236</v>
      </c>
      <c r="GL476" t="s">
        <v>236</v>
      </c>
      <c r="GO476" t="s">
        <v>226</v>
      </c>
      <c r="GP476" t="s">
        <v>236</v>
      </c>
      <c r="GR476" t="s">
        <v>226</v>
      </c>
      <c r="GS476" t="s">
        <v>226</v>
      </c>
      <c r="GT476" t="s">
        <v>267</v>
      </c>
      <c r="GU476" t="s">
        <v>236</v>
      </c>
      <c r="GX476" t="s">
        <v>236</v>
      </c>
      <c r="HB476" t="s">
        <v>338</v>
      </c>
      <c r="HE476">
        <v>83513217</v>
      </c>
      <c r="HF476" t="s">
        <v>373</v>
      </c>
      <c r="HG476" s="2">
        <v>45758.586585648147</v>
      </c>
      <c r="HJ476" t="s">
        <v>248</v>
      </c>
      <c r="HL476" t="s">
        <v>282</v>
      </c>
      <c r="HN476">
        <v>474</v>
      </c>
    </row>
    <row r="477" spans="1:222" x14ac:dyDescent="0.25">
      <c r="A477" s="2">
        <v>45758.386528900461</v>
      </c>
      <c r="B477" s="2">
        <v>45758.418933819441</v>
      </c>
      <c r="C477" t="s">
        <v>270</v>
      </c>
      <c r="D477">
        <v>120</v>
      </c>
      <c r="E477" s="2">
        <v>45730</v>
      </c>
      <c r="F477">
        <v>3</v>
      </c>
      <c r="G477" t="s">
        <v>834</v>
      </c>
      <c r="H477" t="s">
        <v>335</v>
      </c>
      <c r="I477">
        <v>28</v>
      </c>
      <c r="J477" t="str">
        <f t="shared" si="7"/>
        <v>de 26 a 40 años</v>
      </c>
      <c r="K477" t="s">
        <v>224</v>
      </c>
      <c r="L477">
        <v>1</v>
      </c>
      <c r="M477">
        <v>0</v>
      </c>
      <c r="N477">
        <v>0</v>
      </c>
      <c r="O477">
        <v>0</v>
      </c>
      <c r="P477">
        <v>1</v>
      </c>
      <c r="Q477" t="s">
        <v>291</v>
      </c>
      <c r="R477" t="s">
        <v>226</v>
      </c>
      <c r="T477" t="s">
        <v>227</v>
      </c>
      <c r="V477" t="s">
        <v>228</v>
      </c>
      <c r="W477" t="s">
        <v>229</v>
      </c>
      <c r="X477" t="s">
        <v>253</v>
      </c>
      <c r="Z477" t="s">
        <v>231</v>
      </c>
      <c r="AA477" t="s">
        <v>951</v>
      </c>
      <c r="AB477">
        <v>0</v>
      </c>
      <c r="AC477">
        <v>0</v>
      </c>
      <c r="AD477">
        <v>1</v>
      </c>
      <c r="AE477">
        <v>0</v>
      </c>
      <c r="AF477">
        <v>1</v>
      </c>
      <c r="AG477">
        <v>0</v>
      </c>
      <c r="AI477" t="s">
        <v>233</v>
      </c>
      <c r="AJ477">
        <v>0</v>
      </c>
      <c r="AK477">
        <v>1</v>
      </c>
      <c r="AL477">
        <v>0</v>
      </c>
      <c r="AM477">
        <v>0</v>
      </c>
      <c r="AN477" t="s">
        <v>300</v>
      </c>
      <c r="AO477" t="s">
        <v>369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 t="s">
        <v>828</v>
      </c>
      <c r="AX477" t="s">
        <v>226</v>
      </c>
      <c r="AY477" t="s">
        <v>226</v>
      </c>
      <c r="AZ477" t="s">
        <v>259</v>
      </c>
      <c r="BA477" t="s">
        <v>952</v>
      </c>
      <c r="BB477" t="s">
        <v>953</v>
      </c>
      <c r="BC477" t="s">
        <v>954</v>
      </c>
      <c r="BE477" t="s">
        <v>261</v>
      </c>
      <c r="BF477" t="s">
        <v>261</v>
      </c>
      <c r="BG477" t="s">
        <v>259</v>
      </c>
      <c r="BH477" t="s">
        <v>362</v>
      </c>
      <c r="BI477" t="s">
        <v>261</v>
      </c>
      <c r="BJ477" t="s">
        <v>259</v>
      </c>
      <c r="BK477" t="s">
        <v>261</v>
      </c>
      <c r="BL477" t="s">
        <v>313</v>
      </c>
      <c r="BM477" t="s">
        <v>518</v>
      </c>
      <c r="BN477">
        <v>0</v>
      </c>
      <c r="BO477">
        <v>0</v>
      </c>
      <c r="BP477">
        <v>1</v>
      </c>
      <c r="BQ477">
        <v>0</v>
      </c>
      <c r="BR477">
        <v>1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 t="s">
        <v>264</v>
      </c>
      <c r="CB477" t="s">
        <v>264</v>
      </c>
      <c r="CC477" t="s">
        <v>264</v>
      </c>
      <c r="CD477" t="s">
        <v>226</v>
      </c>
      <c r="CE477" t="s">
        <v>226</v>
      </c>
      <c r="CF477" t="s">
        <v>599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 t="s">
        <v>955</v>
      </c>
      <c r="DC477" t="s">
        <v>236</v>
      </c>
      <c r="DX477" t="s">
        <v>520</v>
      </c>
      <c r="EA477" t="s">
        <v>226</v>
      </c>
      <c r="EB477" t="s">
        <v>244</v>
      </c>
      <c r="EC477" t="s">
        <v>226</v>
      </c>
      <c r="ED477" t="s">
        <v>244</v>
      </c>
      <c r="EE477" t="s">
        <v>226</v>
      </c>
      <c r="EF477" t="s">
        <v>245</v>
      </c>
      <c r="EG477" t="s">
        <v>226</v>
      </c>
      <c r="EH477" t="s">
        <v>244</v>
      </c>
      <c r="EI477" t="s">
        <v>308</v>
      </c>
      <c r="EK477" t="s">
        <v>226</v>
      </c>
      <c r="EL477" t="s">
        <v>245</v>
      </c>
      <c r="EM477" t="s">
        <v>226</v>
      </c>
      <c r="EN477" t="s">
        <v>265</v>
      </c>
      <c r="EO477" t="s">
        <v>236</v>
      </c>
      <c r="EQ477" t="s">
        <v>236</v>
      </c>
      <c r="ES477" t="s">
        <v>236</v>
      </c>
      <c r="EU477" t="s">
        <v>236</v>
      </c>
      <c r="EW477" t="s">
        <v>226</v>
      </c>
      <c r="EX477" t="s">
        <v>245</v>
      </c>
      <c r="EY477" t="s">
        <v>226</v>
      </c>
      <c r="EZ477" t="s">
        <v>245</v>
      </c>
      <c r="FA477" t="s">
        <v>226</v>
      </c>
      <c r="FB477" t="s">
        <v>244</v>
      </c>
      <c r="FC477" t="s">
        <v>236</v>
      </c>
      <c r="FE477" t="s">
        <v>226</v>
      </c>
      <c r="FF477" t="s">
        <v>244</v>
      </c>
      <c r="FG477" t="s">
        <v>236</v>
      </c>
      <c r="FJ477" t="s">
        <v>226</v>
      </c>
      <c r="FK477" t="s">
        <v>265</v>
      </c>
      <c r="FL477" t="s">
        <v>226</v>
      </c>
      <c r="FM477" t="s">
        <v>236</v>
      </c>
      <c r="FW477" t="s">
        <v>226</v>
      </c>
      <c r="FX477" t="s">
        <v>236</v>
      </c>
      <c r="FZ477" t="s">
        <v>236</v>
      </c>
      <c r="GC477" t="s">
        <v>236</v>
      </c>
      <c r="GF477" t="s">
        <v>226</v>
      </c>
      <c r="GG477" t="s">
        <v>226</v>
      </c>
      <c r="GH477" t="s">
        <v>266</v>
      </c>
      <c r="GI477" t="s">
        <v>236</v>
      </c>
      <c r="GL477" t="s">
        <v>236</v>
      </c>
      <c r="GO477" t="s">
        <v>226</v>
      </c>
      <c r="GP477" t="s">
        <v>226</v>
      </c>
      <c r="GQ477" t="s">
        <v>266</v>
      </c>
      <c r="GR477" t="s">
        <v>226</v>
      </c>
      <c r="GS477" t="s">
        <v>226</v>
      </c>
      <c r="GT477" t="s">
        <v>570</v>
      </c>
      <c r="GU477" t="s">
        <v>236</v>
      </c>
      <c r="GX477" t="s">
        <v>236</v>
      </c>
      <c r="HB477" t="s">
        <v>358</v>
      </c>
      <c r="HC477" t="s">
        <v>956</v>
      </c>
      <c r="HD477" t="s">
        <v>735</v>
      </c>
      <c r="HE477">
        <v>83516075</v>
      </c>
      <c r="HF477" t="s">
        <v>957</v>
      </c>
      <c r="HG477" s="2">
        <v>45758.627268518518</v>
      </c>
      <c r="HJ477" t="s">
        <v>248</v>
      </c>
      <c r="HL477" t="s">
        <v>282</v>
      </c>
      <c r="HN477">
        <v>476</v>
      </c>
    </row>
    <row r="478" spans="1:222" x14ac:dyDescent="0.25">
      <c r="A478" s="2">
        <v>45758.418934317131</v>
      </c>
      <c r="B478" s="2">
        <v>45758.426527534721</v>
      </c>
      <c r="C478" t="s">
        <v>270</v>
      </c>
      <c r="D478">
        <v>94</v>
      </c>
      <c r="E478" s="2">
        <v>45732</v>
      </c>
      <c r="F478">
        <v>3</v>
      </c>
      <c r="G478" t="s">
        <v>320</v>
      </c>
      <c r="H478" t="s">
        <v>307</v>
      </c>
      <c r="I478">
        <v>34</v>
      </c>
      <c r="J478" t="str">
        <f t="shared" si="7"/>
        <v>de 26 a 40 años</v>
      </c>
      <c r="K478" t="s">
        <v>251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225</v>
      </c>
      <c r="R478" t="s">
        <v>226</v>
      </c>
      <c r="T478" t="s">
        <v>227</v>
      </c>
      <c r="V478" t="s">
        <v>321</v>
      </c>
      <c r="W478" t="s">
        <v>229</v>
      </c>
      <c r="X478" t="s">
        <v>230</v>
      </c>
      <c r="Z478" t="s">
        <v>273</v>
      </c>
      <c r="AA478" t="s">
        <v>293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0</v>
      </c>
      <c r="AI478" t="s">
        <v>233</v>
      </c>
      <c r="AJ478">
        <v>0</v>
      </c>
      <c r="AK478">
        <v>1</v>
      </c>
      <c r="AL478">
        <v>0</v>
      </c>
      <c r="AM478">
        <v>0</v>
      </c>
      <c r="AN478" t="s">
        <v>234</v>
      </c>
      <c r="AO478" t="s">
        <v>275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</v>
      </c>
      <c r="AV478">
        <v>0</v>
      </c>
      <c r="AX478" t="s">
        <v>226</v>
      </c>
      <c r="AY478" t="s">
        <v>226</v>
      </c>
      <c r="AZ478" t="s">
        <v>237</v>
      </c>
      <c r="BA478" t="s">
        <v>277</v>
      </c>
      <c r="BB478" t="s">
        <v>322</v>
      </c>
      <c r="BE478" t="s">
        <v>237</v>
      </c>
      <c r="BF478" t="s">
        <v>237</v>
      </c>
      <c r="BG478" t="s">
        <v>237</v>
      </c>
      <c r="BH478" t="s">
        <v>308</v>
      </c>
      <c r="BI478" t="s">
        <v>237</v>
      </c>
      <c r="BJ478" t="s">
        <v>259</v>
      </c>
      <c r="BK478" t="s">
        <v>308</v>
      </c>
      <c r="BL478" t="s">
        <v>262</v>
      </c>
      <c r="BM478" t="s">
        <v>278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 t="s">
        <v>264</v>
      </c>
      <c r="CB478" t="s">
        <v>264</v>
      </c>
      <c r="CC478" t="s">
        <v>264</v>
      </c>
      <c r="CD478" t="s">
        <v>236</v>
      </c>
      <c r="CE478" t="s">
        <v>236</v>
      </c>
      <c r="EA478" t="s">
        <v>226</v>
      </c>
      <c r="EB478" t="s">
        <v>245</v>
      </c>
      <c r="EC478" t="s">
        <v>236</v>
      </c>
      <c r="EE478" t="s">
        <v>226</v>
      </c>
      <c r="EF478" t="s">
        <v>244</v>
      </c>
      <c r="EG478" t="s">
        <v>226</v>
      </c>
      <c r="EH478" t="s">
        <v>245</v>
      </c>
      <c r="EI478" t="s">
        <v>236</v>
      </c>
      <c r="EK478" t="s">
        <v>226</v>
      </c>
      <c r="EL478" t="s">
        <v>245</v>
      </c>
      <c r="EM478" t="s">
        <v>226</v>
      </c>
      <c r="EN478" t="s">
        <v>244</v>
      </c>
      <c r="EO478" t="s">
        <v>236</v>
      </c>
      <c r="EQ478" t="s">
        <v>236</v>
      </c>
      <c r="ES478" t="s">
        <v>236</v>
      </c>
      <c r="EU478" t="s">
        <v>236</v>
      </c>
      <c r="EW478" t="s">
        <v>226</v>
      </c>
      <c r="EX478" t="s">
        <v>244</v>
      </c>
      <c r="EY478" t="s">
        <v>226</v>
      </c>
      <c r="EZ478" t="s">
        <v>245</v>
      </c>
      <c r="FA478" t="s">
        <v>226</v>
      </c>
      <c r="FB478" t="s">
        <v>245</v>
      </c>
      <c r="FC478" t="s">
        <v>236</v>
      </c>
      <c r="FE478" t="s">
        <v>226</v>
      </c>
      <c r="FF478" t="s">
        <v>245</v>
      </c>
      <c r="FG478" t="s">
        <v>236</v>
      </c>
      <c r="FJ478" t="s">
        <v>226</v>
      </c>
      <c r="FK478" t="s">
        <v>245</v>
      </c>
      <c r="FL478" t="s">
        <v>236</v>
      </c>
      <c r="FM478" t="s">
        <v>236</v>
      </c>
      <c r="FW478" t="s">
        <v>226</v>
      </c>
      <c r="FX478" t="s">
        <v>226</v>
      </c>
      <c r="FY478" t="s">
        <v>266</v>
      </c>
      <c r="FZ478" t="s">
        <v>226</v>
      </c>
      <c r="GA478" t="s">
        <v>226</v>
      </c>
      <c r="GB478" t="s">
        <v>266</v>
      </c>
      <c r="GC478" t="s">
        <v>236</v>
      </c>
      <c r="GF478" t="s">
        <v>226</v>
      </c>
      <c r="GG478" t="s">
        <v>226</v>
      </c>
      <c r="GH478" t="s">
        <v>266</v>
      </c>
      <c r="GI478" t="s">
        <v>236</v>
      </c>
      <c r="GL478" t="s">
        <v>226</v>
      </c>
      <c r="GM478" t="s">
        <v>226</v>
      </c>
      <c r="GN478" t="s">
        <v>266</v>
      </c>
      <c r="GO478" t="s">
        <v>226</v>
      </c>
      <c r="GP478" t="s">
        <v>226</v>
      </c>
      <c r="GQ478" t="s">
        <v>266</v>
      </c>
      <c r="GR478" t="s">
        <v>226</v>
      </c>
      <c r="GS478" t="s">
        <v>226</v>
      </c>
      <c r="GT478" t="s">
        <v>266</v>
      </c>
      <c r="GU478" t="s">
        <v>226</v>
      </c>
      <c r="GV478" t="s">
        <v>226</v>
      </c>
      <c r="GW478" t="s">
        <v>266</v>
      </c>
      <c r="GX478" t="s">
        <v>236</v>
      </c>
      <c r="HB478" t="s">
        <v>323</v>
      </c>
      <c r="HC478" t="s">
        <v>279</v>
      </c>
      <c r="HE478">
        <v>83516816</v>
      </c>
      <c r="HF478" t="s">
        <v>324</v>
      </c>
      <c r="HG478" s="2">
        <v>45758.634872685187</v>
      </c>
      <c r="HJ478" t="s">
        <v>248</v>
      </c>
      <c r="HL478" t="s">
        <v>282</v>
      </c>
      <c r="HN478">
        <v>477</v>
      </c>
    </row>
    <row r="479" spans="1:222" x14ac:dyDescent="0.25">
      <c r="A479" s="2">
        <v>45758.426527997683</v>
      </c>
      <c r="B479" s="2">
        <v>45758.430149560183</v>
      </c>
      <c r="C479" t="s">
        <v>270</v>
      </c>
      <c r="D479">
        <v>87</v>
      </c>
      <c r="E479" s="2">
        <v>45732</v>
      </c>
      <c r="F479">
        <v>3</v>
      </c>
      <c r="G479" t="s">
        <v>306</v>
      </c>
      <c r="H479" t="s">
        <v>307</v>
      </c>
      <c r="I479">
        <v>32</v>
      </c>
      <c r="J479" t="str">
        <f t="shared" si="7"/>
        <v>de 26 a 40 años</v>
      </c>
      <c r="K479" t="s">
        <v>251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225</v>
      </c>
      <c r="R479" t="s">
        <v>226</v>
      </c>
      <c r="T479" t="s">
        <v>227</v>
      </c>
      <c r="V479" t="s">
        <v>228</v>
      </c>
      <c r="W479" t="s">
        <v>229</v>
      </c>
      <c r="X479" t="s">
        <v>230</v>
      </c>
      <c r="Z479" t="s">
        <v>308</v>
      </c>
      <c r="AA479" t="s">
        <v>232</v>
      </c>
      <c r="AB479">
        <v>1</v>
      </c>
      <c r="AC479">
        <v>0</v>
      </c>
      <c r="AD479">
        <v>0</v>
      </c>
      <c r="AE479">
        <v>0</v>
      </c>
      <c r="AF479">
        <v>0</v>
      </c>
      <c r="AG479">
        <v>0</v>
      </c>
      <c r="AI479" t="s">
        <v>256</v>
      </c>
      <c r="AJ479">
        <v>0</v>
      </c>
      <c r="AK479">
        <v>0</v>
      </c>
      <c r="AL479">
        <v>1</v>
      </c>
      <c r="AM479">
        <v>0</v>
      </c>
      <c r="AN479" t="s">
        <v>234</v>
      </c>
      <c r="AO479" t="s">
        <v>235</v>
      </c>
      <c r="AP479">
        <v>0</v>
      </c>
      <c r="AQ479">
        <v>0</v>
      </c>
      <c r="AR479">
        <v>0</v>
      </c>
      <c r="AS479">
        <v>1</v>
      </c>
      <c r="AT479">
        <v>0</v>
      </c>
      <c r="AU479">
        <v>0</v>
      </c>
      <c r="AV479">
        <v>0</v>
      </c>
      <c r="AX479" t="s">
        <v>226</v>
      </c>
      <c r="AY479" t="s">
        <v>226</v>
      </c>
      <c r="AZ479" t="s">
        <v>237</v>
      </c>
      <c r="BA479" t="s">
        <v>806</v>
      </c>
      <c r="BE479" t="s">
        <v>237</v>
      </c>
      <c r="BF479" t="s">
        <v>237</v>
      </c>
      <c r="BG479" t="s">
        <v>259</v>
      </c>
      <c r="BH479" t="s">
        <v>259</v>
      </c>
      <c r="BI479" t="s">
        <v>237</v>
      </c>
      <c r="BJ479" t="s">
        <v>237</v>
      </c>
      <c r="BK479" t="s">
        <v>239</v>
      </c>
      <c r="BL479" t="s">
        <v>240</v>
      </c>
      <c r="BM479" t="s">
        <v>389</v>
      </c>
      <c r="BN479">
        <v>0</v>
      </c>
      <c r="BO479">
        <v>0</v>
      </c>
      <c r="BP479">
        <v>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 t="s">
        <v>242</v>
      </c>
      <c r="CB479" t="s">
        <v>243</v>
      </c>
      <c r="CC479" t="s">
        <v>264</v>
      </c>
      <c r="CD479" t="s">
        <v>236</v>
      </c>
      <c r="CE479" t="s">
        <v>236</v>
      </c>
      <c r="EA479" t="s">
        <v>236</v>
      </c>
      <c r="EC479" t="s">
        <v>236</v>
      </c>
      <c r="EE479" t="s">
        <v>226</v>
      </c>
      <c r="EF479" t="s">
        <v>244</v>
      </c>
      <c r="EG479" t="s">
        <v>226</v>
      </c>
      <c r="EH479" t="s">
        <v>245</v>
      </c>
      <c r="EI479" t="s">
        <v>226</v>
      </c>
      <c r="EJ479" t="s">
        <v>245</v>
      </c>
      <c r="EK479" t="s">
        <v>236</v>
      </c>
      <c r="EM479" t="s">
        <v>226</v>
      </c>
      <c r="EN479" t="s">
        <v>245</v>
      </c>
      <c r="EO479" t="s">
        <v>226</v>
      </c>
      <c r="EP479" t="s">
        <v>244</v>
      </c>
      <c r="EQ479" t="s">
        <v>236</v>
      </c>
      <c r="ES479" t="s">
        <v>226</v>
      </c>
      <c r="ET479" t="s">
        <v>245</v>
      </c>
      <c r="EU479" t="s">
        <v>236</v>
      </c>
      <c r="EW479" t="s">
        <v>236</v>
      </c>
      <c r="EY479" t="s">
        <v>226</v>
      </c>
      <c r="EZ479" t="s">
        <v>265</v>
      </c>
      <c r="FA479" t="s">
        <v>226</v>
      </c>
      <c r="FB479" t="s">
        <v>244</v>
      </c>
      <c r="FC479" t="s">
        <v>236</v>
      </c>
      <c r="FE479" t="s">
        <v>226</v>
      </c>
      <c r="FF479" t="s">
        <v>245</v>
      </c>
      <c r="FG479" t="s">
        <v>236</v>
      </c>
      <c r="FJ479" t="s">
        <v>226</v>
      </c>
      <c r="FK479" t="s">
        <v>245</v>
      </c>
      <c r="FL479" t="s">
        <v>236</v>
      </c>
      <c r="FM479" t="s">
        <v>236</v>
      </c>
      <c r="FW479" t="s">
        <v>236</v>
      </c>
      <c r="FZ479" t="s">
        <v>236</v>
      </c>
      <c r="GC479" t="s">
        <v>236</v>
      </c>
      <c r="GF479" t="s">
        <v>226</v>
      </c>
      <c r="GG479" t="s">
        <v>226</v>
      </c>
      <c r="GH479" t="s">
        <v>267</v>
      </c>
      <c r="GI479" t="s">
        <v>236</v>
      </c>
      <c r="GL479" t="s">
        <v>236</v>
      </c>
      <c r="GO479" t="s">
        <v>236</v>
      </c>
      <c r="GR479" t="s">
        <v>226</v>
      </c>
      <c r="GS479" t="s">
        <v>226</v>
      </c>
      <c r="GT479" t="s">
        <v>266</v>
      </c>
      <c r="GU479" t="s">
        <v>236</v>
      </c>
      <c r="GX479" t="s">
        <v>236</v>
      </c>
      <c r="HB479" t="s">
        <v>338</v>
      </c>
      <c r="HC479" t="s">
        <v>807</v>
      </c>
      <c r="HD479" t="s">
        <v>808</v>
      </c>
      <c r="HE479">
        <v>83517159</v>
      </c>
      <c r="HF479" t="s">
        <v>809</v>
      </c>
      <c r="HG479" s="2">
        <v>45758.638495370367</v>
      </c>
      <c r="HJ479" t="s">
        <v>248</v>
      </c>
      <c r="HL479" t="s">
        <v>282</v>
      </c>
      <c r="HN479">
        <v>478</v>
      </c>
    </row>
    <row r="480" spans="1:222" x14ac:dyDescent="0.25">
      <c r="A480" s="2">
        <v>45758.430150173612</v>
      </c>
      <c r="B480" s="2">
        <v>45758.436935775462</v>
      </c>
      <c r="C480" t="s">
        <v>270</v>
      </c>
      <c r="D480">
        <v>84</v>
      </c>
      <c r="E480" s="2">
        <v>45732</v>
      </c>
      <c r="F480">
        <v>3</v>
      </c>
      <c r="G480" t="s">
        <v>306</v>
      </c>
      <c r="H480" t="s">
        <v>307</v>
      </c>
      <c r="I480">
        <v>80</v>
      </c>
      <c r="J480" t="str">
        <f t="shared" si="7"/>
        <v>de 56 a más</v>
      </c>
      <c r="K480" t="s">
        <v>251</v>
      </c>
      <c r="L480">
        <v>1</v>
      </c>
      <c r="M480">
        <v>0</v>
      </c>
      <c r="N480">
        <v>0</v>
      </c>
      <c r="O480">
        <v>0</v>
      </c>
      <c r="P480">
        <v>0</v>
      </c>
      <c r="Q480" t="s">
        <v>291</v>
      </c>
      <c r="R480" t="s">
        <v>226</v>
      </c>
      <c r="T480" t="s">
        <v>227</v>
      </c>
      <c r="V480" t="s">
        <v>252</v>
      </c>
      <c r="W480" t="s">
        <v>229</v>
      </c>
      <c r="X480" t="s">
        <v>368</v>
      </c>
      <c r="Z480" t="s">
        <v>308</v>
      </c>
      <c r="AA480" t="s">
        <v>796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1</v>
      </c>
      <c r="AH480" t="s">
        <v>310</v>
      </c>
      <c r="AI480" t="s">
        <v>233</v>
      </c>
      <c r="AJ480">
        <v>0</v>
      </c>
      <c r="AK480">
        <v>1</v>
      </c>
      <c r="AL480">
        <v>0</v>
      </c>
      <c r="AM480">
        <v>0</v>
      </c>
      <c r="AN480" t="s">
        <v>234</v>
      </c>
      <c r="AO480" t="s">
        <v>550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1</v>
      </c>
      <c r="AW480" t="s">
        <v>797</v>
      </c>
      <c r="AX480" t="s">
        <v>226</v>
      </c>
      <c r="AY480" t="s">
        <v>226</v>
      </c>
      <c r="AZ480" t="s">
        <v>261</v>
      </c>
      <c r="BA480" t="s">
        <v>798</v>
      </c>
      <c r="BB480" t="s">
        <v>312</v>
      </c>
      <c r="BE480" t="s">
        <v>259</v>
      </c>
      <c r="BF480" t="s">
        <v>259</v>
      </c>
      <c r="BG480" t="s">
        <v>259</v>
      </c>
      <c r="BH480" t="s">
        <v>239</v>
      </c>
      <c r="BI480" t="s">
        <v>237</v>
      </c>
      <c r="BJ480" t="s">
        <v>259</v>
      </c>
      <c r="BK480" t="s">
        <v>261</v>
      </c>
      <c r="BL480" t="s">
        <v>313</v>
      </c>
      <c r="BM480" t="s">
        <v>296</v>
      </c>
      <c r="BN480">
        <v>0</v>
      </c>
      <c r="BO480">
        <v>0</v>
      </c>
      <c r="BP480">
        <v>0</v>
      </c>
      <c r="BQ480">
        <v>0</v>
      </c>
      <c r="BR480">
        <v>1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 t="s">
        <v>243</v>
      </c>
      <c r="CB480" t="s">
        <v>328</v>
      </c>
      <c r="CC480" t="s">
        <v>328</v>
      </c>
      <c r="CD480" t="s">
        <v>236</v>
      </c>
      <c r="CE480" t="s">
        <v>236</v>
      </c>
      <c r="EA480" t="s">
        <v>226</v>
      </c>
      <c r="EB480" t="s">
        <v>244</v>
      </c>
      <c r="EC480" t="s">
        <v>236</v>
      </c>
      <c r="EE480" t="s">
        <v>226</v>
      </c>
      <c r="EF480" t="s">
        <v>245</v>
      </c>
      <c r="EG480" t="s">
        <v>226</v>
      </c>
      <c r="EH480" t="s">
        <v>265</v>
      </c>
      <c r="EI480" t="s">
        <v>236</v>
      </c>
      <c r="EK480" t="s">
        <v>236</v>
      </c>
      <c r="EM480" t="s">
        <v>226</v>
      </c>
      <c r="EN480" t="s">
        <v>244</v>
      </c>
      <c r="EO480" t="s">
        <v>236</v>
      </c>
      <c r="EQ480" t="s">
        <v>236</v>
      </c>
      <c r="ES480" t="s">
        <v>236</v>
      </c>
      <c r="EU480" t="s">
        <v>236</v>
      </c>
      <c r="EW480" t="s">
        <v>236</v>
      </c>
      <c r="EY480" t="s">
        <v>226</v>
      </c>
      <c r="EZ480" t="s">
        <v>244</v>
      </c>
      <c r="FA480" t="s">
        <v>226</v>
      </c>
      <c r="FB480" t="s">
        <v>244</v>
      </c>
      <c r="FC480" t="s">
        <v>236</v>
      </c>
      <c r="FE480" t="s">
        <v>226</v>
      </c>
      <c r="FF480" t="s">
        <v>244</v>
      </c>
      <c r="FG480" t="s">
        <v>226</v>
      </c>
      <c r="FH480" t="s">
        <v>799</v>
      </c>
      <c r="FI480" t="s">
        <v>244</v>
      </c>
      <c r="FJ480" t="s">
        <v>226</v>
      </c>
      <c r="FK480" t="s">
        <v>245</v>
      </c>
      <c r="FL480" t="s">
        <v>236</v>
      </c>
      <c r="FM480" t="s">
        <v>236</v>
      </c>
      <c r="FW480" t="s">
        <v>236</v>
      </c>
      <c r="FZ480" t="s">
        <v>236</v>
      </c>
      <c r="GC480" t="s">
        <v>236</v>
      </c>
      <c r="GF480" t="s">
        <v>226</v>
      </c>
      <c r="GG480" t="s">
        <v>226</v>
      </c>
      <c r="GH480" t="s">
        <v>266</v>
      </c>
      <c r="GI480" t="s">
        <v>236</v>
      </c>
      <c r="GL480" t="s">
        <v>236</v>
      </c>
      <c r="GO480" t="s">
        <v>226</v>
      </c>
      <c r="GP480" t="s">
        <v>236</v>
      </c>
      <c r="GR480" t="s">
        <v>226</v>
      </c>
      <c r="GS480" t="s">
        <v>226</v>
      </c>
      <c r="GT480" t="s">
        <v>266</v>
      </c>
      <c r="GU480" t="s">
        <v>236</v>
      </c>
      <c r="GX480" t="s">
        <v>236</v>
      </c>
      <c r="HB480" t="s">
        <v>409</v>
      </c>
      <c r="HC480" t="s">
        <v>279</v>
      </c>
      <c r="HE480">
        <v>83518111</v>
      </c>
      <c r="HF480" t="s">
        <v>800</v>
      </c>
      <c r="HG480" s="2">
        <v>45758.645266203697</v>
      </c>
      <c r="HJ480" t="s">
        <v>248</v>
      </c>
      <c r="HL480" t="s">
        <v>282</v>
      </c>
      <c r="HN480">
        <v>479</v>
      </c>
    </row>
    <row r="481" spans="1:222" x14ac:dyDescent="0.25">
      <c r="A481" s="2">
        <v>45758.436936423612</v>
      </c>
      <c r="B481" s="2">
        <v>45758.444789386573</v>
      </c>
      <c r="C481" t="s">
        <v>270</v>
      </c>
      <c r="D481">
        <v>4</v>
      </c>
      <c r="E481" s="2">
        <v>45732</v>
      </c>
      <c r="F481">
        <v>5</v>
      </c>
      <c r="G481" t="s">
        <v>222</v>
      </c>
      <c r="H481" t="s">
        <v>223</v>
      </c>
      <c r="I481">
        <v>32</v>
      </c>
      <c r="J481" t="str">
        <f t="shared" si="7"/>
        <v>de 26 a 40 años</v>
      </c>
      <c r="K481" t="s">
        <v>224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225</v>
      </c>
      <c r="R481" t="s">
        <v>226</v>
      </c>
      <c r="T481" t="s">
        <v>227</v>
      </c>
      <c r="V481" t="s">
        <v>228</v>
      </c>
      <c r="W481" t="s">
        <v>229</v>
      </c>
      <c r="X481" t="s">
        <v>230</v>
      </c>
      <c r="Z481" t="s">
        <v>231</v>
      </c>
      <c r="AA481" t="s">
        <v>565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I481" t="s">
        <v>233</v>
      </c>
      <c r="AJ481">
        <v>0</v>
      </c>
      <c r="AK481">
        <v>1</v>
      </c>
      <c r="AL481">
        <v>0</v>
      </c>
      <c r="AM481">
        <v>0</v>
      </c>
      <c r="AN481" t="s">
        <v>300</v>
      </c>
      <c r="AO481" t="s">
        <v>275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</v>
      </c>
      <c r="AV481">
        <v>0</v>
      </c>
      <c r="AX481" t="s">
        <v>236</v>
      </c>
      <c r="AZ481" t="s">
        <v>237</v>
      </c>
      <c r="BA481" t="s">
        <v>566</v>
      </c>
      <c r="BE481" t="s">
        <v>259</v>
      </c>
      <c r="BF481" t="s">
        <v>259</v>
      </c>
      <c r="BG481" t="s">
        <v>259</v>
      </c>
      <c r="BH481" t="s">
        <v>259</v>
      </c>
      <c r="BI481" t="s">
        <v>237</v>
      </c>
      <c r="BJ481" t="s">
        <v>237</v>
      </c>
      <c r="BK481" t="s">
        <v>261</v>
      </c>
      <c r="BL481" t="s">
        <v>262</v>
      </c>
      <c r="BM481" t="s">
        <v>365</v>
      </c>
      <c r="BN481">
        <v>0</v>
      </c>
      <c r="BO481">
        <v>1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 t="s">
        <v>242</v>
      </c>
      <c r="CB481" t="s">
        <v>243</v>
      </c>
      <c r="CC481" t="s">
        <v>264</v>
      </c>
      <c r="CD481" t="s">
        <v>236</v>
      </c>
      <c r="CE481" t="s">
        <v>236</v>
      </c>
      <c r="EA481" t="s">
        <v>236</v>
      </c>
      <c r="EC481" t="s">
        <v>236</v>
      </c>
      <c r="EE481" t="s">
        <v>226</v>
      </c>
      <c r="EF481" t="s">
        <v>245</v>
      </c>
      <c r="EG481" t="s">
        <v>226</v>
      </c>
      <c r="EH481" t="s">
        <v>265</v>
      </c>
      <c r="EI481" t="s">
        <v>226</v>
      </c>
      <c r="EJ481" t="s">
        <v>245</v>
      </c>
      <c r="EK481" t="s">
        <v>236</v>
      </c>
      <c r="EM481" t="s">
        <v>226</v>
      </c>
      <c r="EN481" t="s">
        <v>245</v>
      </c>
      <c r="EO481" t="s">
        <v>226</v>
      </c>
      <c r="EP481" t="s">
        <v>265</v>
      </c>
      <c r="EQ481" t="s">
        <v>236</v>
      </c>
      <c r="ES481" t="s">
        <v>236</v>
      </c>
      <c r="EU481" t="s">
        <v>236</v>
      </c>
      <c r="EW481" t="s">
        <v>226</v>
      </c>
      <c r="EX481" t="s">
        <v>245</v>
      </c>
      <c r="EY481" t="s">
        <v>226</v>
      </c>
      <c r="EZ481" t="s">
        <v>245</v>
      </c>
      <c r="FA481" t="s">
        <v>226</v>
      </c>
      <c r="FB481" t="s">
        <v>245</v>
      </c>
      <c r="FC481" t="s">
        <v>236</v>
      </c>
      <c r="FE481" t="s">
        <v>236</v>
      </c>
      <c r="FG481" t="s">
        <v>236</v>
      </c>
      <c r="FJ481" t="s">
        <v>226</v>
      </c>
      <c r="FK481" t="s">
        <v>245</v>
      </c>
      <c r="FL481" t="s">
        <v>236</v>
      </c>
      <c r="FM481" t="s">
        <v>226</v>
      </c>
      <c r="FN481" t="s">
        <v>416</v>
      </c>
      <c r="FO481">
        <v>0</v>
      </c>
      <c r="FP481">
        <v>1</v>
      </c>
      <c r="FQ481">
        <v>0</v>
      </c>
      <c r="FR481">
        <v>0</v>
      </c>
      <c r="FS481">
        <v>0</v>
      </c>
      <c r="FU481" t="s">
        <v>236</v>
      </c>
      <c r="FW481" t="s">
        <v>226</v>
      </c>
      <c r="FX481" t="s">
        <v>236</v>
      </c>
      <c r="FZ481" t="s">
        <v>226</v>
      </c>
      <c r="GA481" t="s">
        <v>236</v>
      </c>
      <c r="GC481" t="s">
        <v>236</v>
      </c>
      <c r="GF481" t="s">
        <v>226</v>
      </c>
      <c r="GG481" t="s">
        <v>236</v>
      </c>
      <c r="GI481" t="s">
        <v>236</v>
      </c>
      <c r="GL481" t="s">
        <v>226</v>
      </c>
      <c r="GM481" t="s">
        <v>236</v>
      </c>
      <c r="GO481" t="s">
        <v>236</v>
      </c>
      <c r="GR481" t="s">
        <v>226</v>
      </c>
      <c r="GS481" t="s">
        <v>226</v>
      </c>
      <c r="GT481" t="s">
        <v>266</v>
      </c>
      <c r="GU481" t="s">
        <v>236</v>
      </c>
      <c r="GX481" t="s">
        <v>236</v>
      </c>
      <c r="HB481" t="s">
        <v>338</v>
      </c>
      <c r="HC481" t="s">
        <v>567</v>
      </c>
      <c r="HD481" t="s">
        <v>510</v>
      </c>
      <c r="HE481">
        <v>83518742</v>
      </c>
      <c r="HF481" t="s">
        <v>568</v>
      </c>
      <c r="HG481" s="2">
        <v>45758.653124999997</v>
      </c>
      <c r="HJ481" t="s">
        <v>248</v>
      </c>
      <c r="HL481" t="s">
        <v>282</v>
      </c>
      <c r="HN481">
        <v>480</v>
      </c>
    </row>
    <row r="482" spans="1:222" x14ac:dyDescent="0.25">
      <c r="A482" s="2">
        <v>45758.444789918984</v>
      </c>
      <c r="B482" s="2">
        <v>45758.448043680553</v>
      </c>
      <c r="C482" t="s">
        <v>270</v>
      </c>
      <c r="D482">
        <v>7</v>
      </c>
      <c r="E482" s="2">
        <v>45732</v>
      </c>
      <c r="F482">
        <v>5</v>
      </c>
      <c r="G482" t="s">
        <v>271</v>
      </c>
      <c r="H482" t="s">
        <v>223</v>
      </c>
      <c r="I482">
        <v>27</v>
      </c>
      <c r="J482" t="str">
        <f t="shared" si="7"/>
        <v>de 26 a 40 años</v>
      </c>
      <c r="K482" t="s">
        <v>341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225</v>
      </c>
      <c r="R482" t="s">
        <v>226</v>
      </c>
      <c r="T482" t="s">
        <v>227</v>
      </c>
      <c r="V482" t="s">
        <v>252</v>
      </c>
      <c r="W482" t="s">
        <v>229</v>
      </c>
      <c r="X482" t="s">
        <v>230</v>
      </c>
      <c r="Z482" t="s">
        <v>254</v>
      </c>
      <c r="AA482" t="s">
        <v>232</v>
      </c>
      <c r="AB482">
        <v>1</v>
      </c>
      <c r="AC482">
        <v>0</v>
      </c>
      <c r="AD482">
        <v>0</v>
      </c>
      <c r="AE482">
        <v>0</v>
      </c>
      <c r="AF482">
        <v>0</v>
      </c>
      <c r="AG482">
        <v>0</v>
      </c>
      <c r="AI482" t="s">
        <v>233</v>
      </c>
      <c r="AJ482">
        <v>0</v>
      </c>
      <c r="AK482">
        <v>1</v>
      </c>
      <c r="AL482">
        <v>0</v>
      </c>
      <c r="AM482">
        <v>0</v>
      </c>
      <c r="AN482" t="s">
        <v>257</v>
      </c>
      <c r="AO482" t="s">
        <v>294</v>
      </c>
      <c r="AP482">
        <v>1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X482" t="s">
        <v>226</v>
      </c>
      <c r="AY482" t="s">
        <v>236</v>
      </c>
      <c r="AZ482" t="s">
        <v>259</v>
      </c>
      <c r="BA482" t="s">
        <v>572</v>
      </c>
      <c r="BB482" t="s">
        <v>573</v>
      </c>
      <c r="BE482" t="s">
        <v>259</v>
      </c>
      <c r="BF482" t="s">
        <v>259</v>
      </c>
      <c r="BG482" t="s">
        <v>259</v>
      </c>
      <c r="BH482" t="s">
        <v>259</v>
      </c>
      <c r="BI482" t="s">
        <v>237</v>
      </c>
      <c r="BJ482" t="s">
        <v>237</v>
      </c>
      <c r="BK482" t="s">
        <v>237</v>
      </c>
      <c r="BL482" t="s">
        <v>262</v>
      </c>
      <c r="BM482" t="s">
        <v>365</v>
      </c>
      <c r="BN482">
        <v>0</v>
      </c>
      <c r="BO482">
        <v>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 t="s">
        <v>264</v>
      </c>
      <c r="CB482" t="s">
        <v>264</v>
      </c>
      <c r="CC482" t="s">
        <v>264</v>
      </c>
      <c r="CD482" t="s">
        <v>236</v>
      </c>
      <c r="CE482" t="s">
        <v>226</v>
      </c>
      <c r="CF482" t="s">
        <v>574</v>
      </c>
      <c r="CG482">
        <v>0</v>
      </c>
      <c r="CH482">
        <v>1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T482" t="s">
        <v>236</v>
      </c>
      <c r="EA482" t="s">
        <v>236</v>
      </c>
      <c r="EC482" t="s">
        <v>236</v>
      </c>
      <c r="EE482" t="s">
        <v>236</v>
      </c>
      <c r="EG482" t="s">
        <v>236</v>
      </c>
      <c r="EI482" t="s">
        <v>226</v>
      </c>
      <c r="EJ482" t="s">
        <v>245</v>
      </c>
      <c r="EK482" t="s">
        <v>236</v>
      </c>
      <c r="EM482" t="s">
        <v>226</v>
      </c>
      <c r="EN482" t="s">
        <v>245</v>
      </c>
      <c r="EO482" t="s">
        <v>236</v>
      </c>
      <c r="EQ482" t="s">
        <v>236</v>
      </c>
      <c r="ES482" t="s">
        <v>236</v>
      </c>
      <c r="EU482" t="s">
        <v>236</v>
      </c>
      <c r="EW482" t="s">
        <v>236</v>
      </c>
      <c r="EY482" t="s">
        <v>236</v>
      </c>
      <c r="FA482" t="s">
        <v>236</v>
      </c>
      <c r="FC482" t="s">
        <v>236</v>
      </c>
      <c r="FE482" t="s">
        <v>236</v>
      </c>
      <c r="FG482" t="s">
        <v>236</v>
      </c>
      <c r="FJ482" t="s">
        <v>236</v>
      </c>
      <c r="FM482" t="s">
        <v>236</v>
      </c>
      <c r="FW482" t="s">
        <v>236</v>
      </c>
      <c r="FZ482" t="s">
        <v>236</v>
      </c>
      <c r="GC482" t="s">
        <v>236</v>
      </c>
      <c r="GF482" t="s">
        <v>236</v>
      </c>
      <c r="GI482" t="s">
        <v>236</v>
      </c>
      <c r="GL482" t="s">
        <v>236</v>
      </c>
      <c r="GO482" t="s">
        <v>236</v>
      </c>
      <c r="GR482" t="s">
        <v>236</v>
      </c>
      <c r="GU482" t="s">
        <v>236</v>
      </c>
      <c r="GX482" t="s">
        <v>236</v>
      </c>
      <c r="HB482" t="s">
        <v>358</v>
      </c>
      <c r="HC482" t="s">
        <v>575</v>
      </c>
      <c r="HE482">
        <v>83521870</v>
      </c>
      <c r="HF482" t="s">
        <v>576</v>
      </c>
      <c r="HG482" s="2">
        <v>45758.656377314823</v>
      </c>
      <c r="HJ482" t="s">
        <v>248</v>
      </c>
      <c r="HL482" t="s">
        <v>282</v>
      </c>
      <c r="HN482">
        <v>481</v>
      </c>
    </row>
    <row r="483" spans="1:222" x14ac:dyDescent="0.25">
      <c r="A483" s="2">
        <v>45758.448044155091</v>
      </c>
      <c r="B483" s="2">
        <v>45758.450257615739</v>
      </c>
      <c r="C483" t="s">
        <v>270</v>
      </c>
      <c r="D483">
        <v>8</v>
      </c>
      <c r="E483" s="2">
        <v>45732</v>
      </c>
      <c r="F483">
        <v>5</v>
      </c>
      <c r="G483" t="s">
        <v>271</v>
      </c>
      <c r="H483" t="s">
        <v>223</v>
      </c>
      <c r="I483">
        <v>35</v>
      </c>
      <c r="J483" t="str">
        <f t="shared" si="7"/>
        <v>de 26 a 40 años</v>
      </c>
      <c r="K483" t="s">
        <v>251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225</v>
      </c>
      <c r="R483" t="s">
        <v>226</v>
      </c>
      <c r="T483" t="s">
        <v>227</v>
      </c>
      <c r="V483" t="s">
        <v>272</v>
      </c>
      <c r="W483" t="s">
        <v>229</v>
      </c>
      <c r="X483" t="s">
        <v>230</v>
      </c>
      <c r="Z483" t="s">
        <v>273</v>
      </c>
      <c r="AA483" t="s">
        <v>255</v>
      </c>
      <c r="AB483">
        <v>0</v>
      </c>
      <c r="AC483">
        <v>0</v>
      </c>
      <c r="AD483">
        <v>0</v>
      </c>
      <c r="AE483">
        <v>1</v>
      </c>
      <c r="AF483">
        <v>0</v>
      </c>
      <c r="AG483">
        <v>0</v>
      </c>
      <c r="AI483" t="s">
        <v>233</v>
      </c>
      <c r="AJ483">
        <v>0</v>
      </c>
      <c r="AK483">
        <v>1</v>
      </c>
      <c r="AL483">
        <v>0</v>
      </c>
      <c r="AM483">
        <v>0</v>
      </c>
      <c r="AN483" t="s">
        <v>274</v>
      </c>
      <c r="AO483" t="s">
        <v>275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</v>
      </c>
      <c r="AX483" t="s">
        <v>226</v>
      </c>
      <c r="AY483" t="s">
        <v>236</v>
      </c>
      <c r="AZ483" t="s">
        <v>237</v>
      </c>
      <c r="BA483" t="s">
        <v>276</v>
      </c>
      <c r="BB483" t="s">
        <v>277</v>
      </c>
      <c r="BE483" t="s">
        <v>259</v>
      </c>
      <c r="BF483" t="s">
        <v>259</v>
      </c>
      <c r="BG483" t="s">
        <v>259</v>
      </c>
      <c r="BH483" t="s">
        <v>259</v>
      </c>
      <c r="BI483" t="s">
        <v>259</v>
      </c>
      <c r="BJ483" t="s">
        <v>259</v>
      </c>
      <c r="BK483" t="s">
        <v>259</v>
      </c>
      <c r="BL483" t="s">
        <v>262</v>
      </c>
      <c r="BM483" t="s">
        <v>278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 t="s">
        <v>264</v>
      </c>
      <c r="CB483" t="s">
        <v>264</v>
      </c>
      <c r="CC483" t="s">
        <v>264</v>
      </c>
      <c r="CD483" t="s">
        <v>236</v>
      </c>
      <c r="CE483" t="s">
        <v>236</v>
      </c>
      <c r="EA483" t="s">
        <v>236</v>
      </c>
      <c r="EC483" t="s">
        <v>236</v>
      </c>
      <c r="EE483" t="s">
        <v>236</v>
      </c>
      <c r="EG483" t="s">
        <v>236</v>
      </c>
      <c r="EI483" t="s">
        <v>236</v>
      </c>
      <c r="EK483" t="s">
        <v>236</v>
      </c>
      <c r="EM483" t="s">
        <v>236</v>
      </c>
      <c r="EO483" t="s">
        <v>236</v>
      </c>
      <c r="EQ483" t="s">
        <v>236</v>
      </c>
      <c r="ES483" t="s">
        <v>236</v>
      </c>
      <c r="EU483" t="s">
        <v>236</v>
      </c>
      <c r="EW483" t="s">
        <v>236</v>
      </c>
      <c r="EY483" t="s">
        <v>236</v>
      </c>
      <c r="FA483" t="s">
        <v>236</v>
      </c>
      <c r="FC483" t="s">
        <v>236</v>
      </c>
      <c r="FE483" t="s">
        <v>236</v>
      </c>
      <c r="FG483" t="s">
        <v>236</v>
      </c>
      <c r="FJ483" t="s">
        <v>226</v>
      </c>
      <c r="FK483" t="s">
        <v>245</v>
      </c>
      <c r="FL483" t="s">
        <v>236</v>
      </c>
      <c r="FM483" t="s">
        <v>236</v>
      </c>
      <c r="FW483" t="s">
        <v>236</v>
      </c>
      <c r="FZ483" t="s">
        <v>236</v>
      </c>
      <c r="GC483" t="s">
        <v>236</v>
      </c>
      <c r="GF483" t="s">
        <v>226</v>
      </c>
      <c r="GG483" t="s">
        <v>236</v>
      </c>
      <c r="GI483" t="s">
        <v>226</v>
      </c>
      <c r="GJ483" t="s">
        <v>236</v>
      </c>
      <c r="GL483" t="s">
        <v>236</v>
      </c>
      <c r="GO483" t="s">
        <v>226</v>
      </c>
      <c r="GP483" t="s">
        <v>236</v>
      </c>
      <c r="GR483" t="s">
        <v>226</v>
      </c>
      <c r="GS483" t="s">
        <v>236</v>
      </c>
      <c r="GU483" t="s">
        <v>226</v>
      </c>
      <c r="GV483" t="s">
        <v>236</v>
      </c>
      <c r="GX483" t="s">
        <v>226</v>
      </c>
      <c r="GY483" t="s">
        <v>236</v>
      </c>
      <c r="HB483" t="s">
        <v>279</v>
      </c>
      <c r="HC483" t="s">
        <v>280</v>
      </c>
      <c r="HE483">
        <v>83522225</v>
      </c>
      <c r="HF483" t="s">
        <v>281</v>
      </c>
      <c r="HG483" s="2">
        <v>45758.658599537041</v>
      </c>
      <c r="HJ483" t="s">
        <v>248</v>
      </c>
      <c r="HL483" t="s">
        <v>282</v>
      </c>
      <c r="HN483">
        <v>482</v>
      </c>
    </row>
    <row r="484" spans="1:222" x14ac:dyDescent="0.25">
      <c r="A484" s="2">
        <v>45758.450258078701</v>
      </c>
      <c r="B484" s="2">
        <v>45758.453157743053</v>
      </c>
      <c r="C484" t="s">
        <v>270</v>
      </c>
      <c r="D484">
        <v>10</v>
      </c>
      <c r="E484" s="2">
        <v>45732</v>
      </c>
      <c r="F484">
        <v>5</v>
      </c>
      <c r="G484" t="s">
        <v>290</v>
      </c>
      <c r="H484" t="s">
        <v>223</v>
      </c>
      <c r="I484">
        <v>39</v>
      </c>
      <c r="J484" t="str">
        <f t="shared" si="7"/>
        <v>de 26 a 40 años</v>
      </c>
      <c r="K484" t="s">
        <v>224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225</v>
      </c>
      <c r="R484" t="s">
        <v>226</v>
      </c>
      <c r="T484" t="s">
        <v>227</v>
      </c>
      <c r="V484" t="s">
        <v>228</v>
      </c>
      <c r="W484" t="s">
        <v>229</v>
      </c>
      <c r="X484" t="s">
        <v>230</v>
      </c>
      <c r="Z484" t="s">
        <v>273</v>
      </c>
      <c r="AA484" t="s">
        <v>293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0</v>
      </c>
      <c r="AI484" t="s">
        <v>233</v>
      </c>
      <c r="AJ484">
        <v>0</v>
      </c>
      <c r="AK484">
        <v>1</v>
      </c>
      <c r="AL484">
        <v>0</v>
      </c>
      <c r="AM484">
        <v>0</v>
      </c>
      <c r="AN484" t="s">
        <v>300</v>
      </c>
      <c r="AO484" t="s">
        <v>275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</v>
      </c>
      <c r="AV484">
        <v>0</v>
      </c>
      <c r="AX484" t="s">
        <v>226</v>
      </c>
      <c r="AY484" t="s">
        <v>226</v>
      </c>
      <c r="AZ484" t="s">
        <v>237</v>
      </c>
      <c r="BA484" t="s">
        <v>577</v>
      </c>
      <c r="BE484" t="s">
        <v>259</v>
      </c>
      <c r="BF484" t="s">
        <v>237</v>
      </c>
      <c r="BG484" t="s">
        <v>259</v>
      </c>
      <c r="BH484" t="s">
        <v>259</v>
      </c>
      <c r="BI484" t="s">
        <v>237</v>
      </c>
      <c r="BJ484" t="s">
        <v>237</v>
      </c>
      <c r="BK484" t="s">
        <v>259</v>
      </c>
      <c r="BL484" t="s">
        <v>262</v>
      </c>
      <c r="BM484" t="s">
        <v>296</v>
      </c>
      <c r="BN484">
        <v>0</v>
      </c>
      <c r="BO484">
        <v>0</v>
      </c>
      <c r="BP484">
        <v>0</v>
      </c>
      <c r="BQ484">
        <v>0</v>
      </c>
      <c r="BR484">
        <v>1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 t="s">
        <v>264</v>
      </c>
      <c r="CB484" t="s">
        <v>264</v>
      </c>
      <c r="CC484" t="s">
        <v>264</v>
      </c>
      <c r="CD484" t="s">
        <v>236</v>
      </c>
      <c r="CE484" t="s">
        <v>236</v>
      </c>
      <c r="EA484" t="s">
        <v>226</v>
      </c>
      <c r="EB484" t="s">
        <v>244</v>
      </c>
      <c r="EC484" t="s">
        <v>236</v>
      </c>
      <c r="EE484" t="s">
        <v>236</v>
      </c>
      <c r="EG484" t="s">
        <v>226</v>
      </c>
      <c r="EH484" t="s">
        <v>245</v>
      </c>
      <c r="EI484" t="s">
        <v>236</v>
      </c>
      <c r="EK484" t="s">
        <v>236</v>
      </c>
      <c r="EM484" t="s">
        <v>226</v>
      </c>
      <c r="EN484" t="s">
        <v>244</v>
      </c>
      <c r="EO484" t="s">
        <v>236</v>
      </c>
      <c r="EQ484" t="s">
        <v>236</v>
      </c>
      <c r="ES484" t="s">
        <v>236</v>
      </c>
      <c r="EU484" t="s">
        <v>236</v>
      </c>
      <c r="EW484" t="s">
        <v>236</v>
      </c>
      <c r="EY484" t="s">
        <v>226</v>
      </c>
      <c r="EZ484" t="s">
        <v>244</v>
      </c>
      <c r="FA484" t="s">
        <v>226</v>
      </c>
      <c r="FB484" t="s">
        <v>244</v>
      </c>
      <c r="FC484" t="s">
        <v>236</v>
      </c>
      <c r="FE484" t="s">
        <v>236</v>
      </c>
      <c r="FG484" t="s">
        <v>236</v>
      </c>
      <c r="FJ484" t="s">
        <v>226</v>
      </c>
      <c r="FK484" t="s">
        <v>245</v>
      </c>
      <c r="FL484" t="s">
        <v>236</v>
      </c>
      <c r="FM484" t="s">
        <v>236</v>
      </c>
      <c r="FW484" t="s">
        <v>226</v>
      </c>
      <c r="FX484" t="s">
        <v>236</v>
      </c>
      <c r="FZ484" t="s">
        <v>236</v>
      </c>
      <c r="GC484" t="s">
        <v>236</v>
      </c>
      <c r="GF484" t="s">
        <v>226</v>
      </c>
      <c r="GG484" t="s">
        <v>236</v>
      </c>
      <c r="GI484" t="s">
        <v>226</v>
      </c>
      <c r="GJ484" t="s">
        <v>236</v>
      </c>
      <c r="GL484" t="s">
        <v>236</v>
      </c>
      <c r="GO484" t="s">
        <v>226</v>
      </c>
      <c r="GP484" t="s">
        <v>236</v>
      </c>
      <c r="GR484" t="s">
        <v>226</v>
      </c>
      <c r="GS484" t="s">
        <v>236</v>
      </c>
      <c r="GU484" t="s">
        <v>226</v>
      </c>
      <c r="GV484" t="s">
        <v>236</v>
      </c>
      <c r="GX484" t="s">
        <v>236</v>
      </c>
      <c r="HB484" t="s">
        <v>578</v>
      </c>
      <c r="HE484">
        <v>83522905</v>
      </c>
      <c r="HF484" t="s">
        <v>579</v>
      </c>
      <c r="HG484" s="2">
        <v>45758.661493055559</v>
      </c>
      <c r="HJ484" t="s">
        <v>248</v>
      </c>
      <c r="HL484" t="s">
        <v>282</v>
      </c>
      <c r="HN484">
        <v>483</v>
      </c>
    </row>
    <row r="485" spans="1:222" x14ac:dyDescent="0.25">
      <c r="A485" s="2">
        <v>45758.453158344913</v>
      </c>
      <c r="B485" s="2">
        <v>45758.455828032413</v>
      </c>
      <c r="C485" t="s">
        <v>270</v>
      </c>
      <c r="D485">
        <v>11</v>
      </c>
      <c r="E485" s="2">
        <v>45732</v>
      </c>
      <c r="F485">
        <v>5</v>
      </c>
      <c r="G485" t="s">
        <v>290</v>
      </c>
      <c r="H485" t="s">
        <v>223</v>
      </c>
      <c r="I485">
        <v>28</v>
      </c>
      <c r="J485" t="str">
        <f t="shared" si="7"/>
        <v>de 26 a 40 años</v>
      </c>
      <c r="K485" t="s">
        <v>251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225</v>
      </c>
      <c r="R485" t="s">
        <v>226</v>
      </c>
      <c r="T485" t="s">
        <v>227</v>
      </c>
      <c r="V485" t="s">
        <v>252</v>
      </c>
      <c r="W485" t="s">
        <v>229</v>
      </c>
      <c r="X485" t="s">
        <v>230</v>
      </c>
      <c r="Z485" t="s">
        <v>231</v>
      </c>
      <c r="AA485" t="s">
        <v>381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I485" t="s">
        <v>233</v>
      </c>
      <c r="AJ485">
        <v>0</v>
      </c>
      <c r="AK485">
        <v>1</v>
      </c>
      <c r="AL485">
        <v>0</v>
      </c>
      <c r="AM485">
        <v>0</v>
      </c>
      <c r="AN485" t="s">
        <v>257</v>
      </c>
      <c r="AO485" t="s">
        <v>275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X485" t="s">
        <v>226</v>
      </c>
      <c r="AY485" t="s">
        <v>236</v>
      </c>
      <c r="AZ485" t="s">
        <v>237</v>
      </c>
      <c r="BA485" t="s">
        <v>580</v>
      </c>
      <c r="BE485" t="s">
        <v>259</v>
      </c>
      <c r="BF485" t="s">
        <v>237</v>
      </c>
      <c r="BG485" t="s">
        <v>237</v>
      </c>
      <c r="BH485" t="s">
        <v>259</v>
      </c>
      <c r="BI485" t="s">
        <v>237</v>
      </c>
      <c r="BJ485" t="s">
        <v>237</v>
      </c>
      <c r="BK485" t="s">
        <v>259</v>
      </c>
      <c r="BL485" t="s">
        <v>262</v>
      </c>
      <c r="BM485" t="s">
        <v>389</v>
      </c>
      <c r="BN485">
        <v>0</v>
      </c>
      <c r="BO485">
        <v>0</v>
      </c>
      <c r="BP485">
        <v>1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 t="s">
        <v>264</v>
      </c>
      <c r="CB485" t="s">
        <v>264</v>
      </c>
      <c r="CC485" t="s">
        <v>264</v>
      </c>
      <c r="CD485" t="s">
        <v>236</v>
      </c>
      <c r="CE485" t="s">
        <v>236</v>
      </c>
      <c r="EA485" t="s">
        <v>236</v>
      </c>
      <c r="EC485" t="s">
        <v>236</v>
      </c>
      <c r="EE485" t="s">
        <v>226</v>
      </c>
      <c r="EF485" t="s">
        <v>244</v>
      </c>
      <c r="EG485" t="s">
        <v>236</v>
      </c>
      <c r="EI485" t="s">
        <v>236</v>
      </c>
      <c r="EK485" t="s">
        <v>236</v>
      </c>
      <c r="EM485" t="s">
        <v>236</v>
      </c>
      <c r="EO485" t="s">
        <v>236</v>
      </c>
      <c r="EQ485" t="s">
        <v>236</v>
      </c>
      <c r="ES485" t="s">
        <v>236</v>
      </c>
      <c r="EU485" t="s">
        <v>236</v>
      </c>
      <c r="EW485" t="s">
        <v>236</v>
      </c>
      <c r="EY485" t="s">
        <v>236</v>
      </c>
      <c r="FA485" t="s">
        <v>226</v>
      </c>
      <c r="FB485" t="s">
        <v>244</v>
      </c>
      <c r="FC485" t="s">
        <v>236</v>
      </c>
      <c r="FE485" t="s">
        <v>236</v>
      </c>
      <c r="FG485" t="s">
        <v>236</v>
      </c>
      <c r="FJ485" t="s">
        <v>226</v>
      </c>
      <c r="FK485" t="s">
        <v>245</v>
      </c>
      <c r="FL485" t="s">
        <v>236</v>
      </c>
      <c r="FM485" t="s">
        <v>236</v>
      </c>
      <c r="FW485" t="s">
        <v>236</v>
      </c>
      <c r="FZ485" t="s">
        <v>236</v>
      </c>
      <c r="GC485" t="s">
        <v>236</v>
      </c>
      <c r="GF485" t="s">
        <v>226</v>
      </c>
      <c r="GG485" t="s">
        <v>226</v>
      </c>
      <c r="GH485" t="s">
        <v>267</v>
      </c>
      <c r="GI485" t="s">
        <v>236</v>
      </c>
      <c r="GL485" t="s">
        <v>236</v>
      </c>
      <c r="GO485" t="s">
        <v>226</v>
      </c>
      <c r="GP485" t="s">
        <v>236</v>
      </c>
      <c r="GR485" t="s">
        <v>226</v>
      </c>
      <c r="GS485" t="s">
        <v>226</v>
      </c>
      <c r="GT485" t="s">
        <v>570</v>
      </c>
      <c r="GU485" t="s">
        <v>236</v>
      </c>
      <c r="GX485" t="s">
        <v>236</v>
      </c>
      <c r="HB485" t="s">
        <v>581</v>
      </c>
      <c r="HE485">
        <v>83523323</v>
      </c>
      <c r="HF485" t="s">
        <v>582</v>
      </c>
      <c r="HG485" s="2">
        <v>45758.664155092592</v>
      </c>
      <c r="HJ485" t="s">
        <v>248</v>
      </c>
      <c r="HL485" t="s">
        <v>282</v>
      </c>
      <c r="HN485">
        <v>484</v>
      </c>
    </row>
    <row r="486" spans="1:222" x14ac:dyDescent="0.25">
      <c r="A486" s="2">
        <v>45758.455828506943</v>
      </c>
      <c r="B486" s="2">
        <v>45758.458597997676</v>
      </c>
      <c r="C486" t="s">
        <v>270</v>
      </c>
      <c r="D486">
        <v>12</v>
      </c>
      <c r="E486" s="2">
        <v>45732</v>
      </c>
      <c r="F486">
        <v>5</v>
      </c>
      <c r="G486" t="s">
        <v>290</v>
      </c>
      <c r="H486" t="s">
        <v>223</v>
      </c>
      <c r="I486">
        <v>33</v>
      </c>
      <c r="J486" t="str">
        <f t="shared" si="7"/>
        <v>de 26 a 40 años</v>
      </c>
      <c r="K486" t="s">
        <v>224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225</v>
      </c>
      <c r="R486" t="s">
        <v>226</v>
      </c>
      <c r="T486" t="s">
        <v>227</v>
      </c>
      <c r="V486" t="s">
        <v>228</v>
      </c>
      <c r="W486" t="s">
        <v>229</v>
      </c>
      <c r="X486" t="s">
        <v>230</v>
      </c>
      <c r="Z486" t="s">
        <v>351</v>
      </c>
      <c r="AA486" t="s">
        <v>232</v>
      </c>
      <c r="AB486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I486" t="s">
        <v>233</v>
      </c>
      <c r="AJ486">
        <v>0</v>
      </c>
      <c r="AK486">
        <v>1</v>
      </c>
      <c r="AL486">
        <v>0</v>
      </c>
      <c r="AM486">
        <v>0</v>
      </c>
      <c r="AN486" t="s">
        <v>257</v>
      </c>
      <c r="AO486" t="s">
        <v>235</v>
      </c>
      <c r="AP486">
        <v>0</v>
      </c>
      <c r="AQ486">
        <v>0</v>
      </c>
      <c r="AR486">
        <v>0</v>
      </c>
      <c r="AS486">
        <v>1</v>
      </c>
      <c r="AT486">
        <v>0</v>
      </c>
      <c r="AU486">
        <v>0</v>
      </c>
      <c r="AV486">
        <v>0</v>
      </c>
      <c r="AX486" t="s">
        <v>236</v>
      </c>
      <c r="AZ486" t="s">
        <v>237</v>
      </c>
      <c r="BA486" t="s">
        <v>583</v>
      </c>
      <c r="BE486" t="s">
        <v>259</v>
      </c>
      <c r="BF486" t="s">
        <v>259</v>
      </c>
      <c r="BG486" t="s">
        <v>259</v>
      </c>
      <c r="BH486" t="s">
        <v>259</v>
      </c>
      <c r="BI486" t="s">
        <v>237</v>
      </c>
      <c r="BJ486" t="s">
        <v>237</v>
      </c>
      <c r="BK486" t="s">
        <v>259</v>
      </c>
      <c r="BL486" t="s">
        <v>262</v>
      </c>
      <c r="BM486" t="s">
        <v>365</v>
      </c>
      <c r="BN486">
        <v>0</v>
      </c>
      <c r="BO486">
        <v>1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 t="s">
        <v>264</v>
      </c>
      <c r="CB486" t="s">
        <v>264</v>
      </c>
      <c r="CC486" t="s">
        <v>264</v>
      </c>
      <c r="CD486" t="s">
        <v>236</v>
      </c>
      <c r="CE486" t="s">
        <v>236</v>
      </c>
      <c r="EA486" t="s">
        <v>236</v>
      </c>
      <c r="EC486" t="s">
        <v>236</v>
      </c>
      <c r="EE486" t="s">
        <v>236</v>
      </c>
      <c r="EG486" t="s">
        <v>226</v>
      </c>
      <c r="EH486" t="s">
        <v>244</v>
      </c>
      <c r="EI486" t="s">
        <v>236</v>
      </c>
      <c r="EK486" t="s">
        <v>236</v>
      </c>
      <c r="EM486" t="s">
        <v>226</v>
      </c>
      <c r="EN486" t="s">
        <v>244</v>
      </c>
      <c r="EO486" t="s">
        <v>236</v>
      </c>
      <c r="EQ486" t="s">
        <v>236</v>
      </c>
      <c r="ES486" t="s">
        <v>236</v>
      </c>
      <c r="EU486" t="s">
        <v>236</v>
      </c>
      <c r="EW486" t="s">
        <v>236</v>
      </c>
      <c r="EY486" t="s">
        <v>236</v>
      </c>
      <c r="FA486" t="s">
        <v>236</v>
      </c>
      <c r="FC486" t="s">
        <v>236</v>
      </c>
      <c r="FE486" t="s">
        <v>236</v>
      </c>
      <c r="FG486" t="s">
        <v>236</v>
      </c>
      <c r="FJ486" t="s">
        <v>226</v>
      </c>
      <c r="FK486" t="s">
        <v>245</v>
      </c>
      <c r="FL486" t="s">
        <v>236</v>
      </c>
      <c r="FM486" t="s">
        <v>236</v>
      </c>
      <c r="FW486" t="s">
        <v>236</v>
      </c>
      <c r="FZ486" t="s">
        <v>226</v>
      </c>
      <c r="GA486" t="s">
        <v>236</v>
      </c>
      <c r="GC486" t="s">
        <v>236</v>
      </c>
      <c r="GF486" t="s">
        <v>226</v>
      </c>
      <c r="GG486" t="s">
        <v>236</v>
      </c>
      <c r="GI486" t="s">
        <v>236</v>
      </c>
      <c r="GL486" t="s">
        <v>236</v>
      </c>
      <c r="GO486" t="s">
        <v>226</v>
      </c>
      <c r="GP486" t="s">
        <v>236</v>
      </c>
      <c r="GR486" t="s">
        <v>226</v>
      </c>
      <c r="GS486" t="s">
        <v>236</v>
      </c>
      <c r="GU486" t="s">
        <v>226</v>
      </c>
      <c r="GV486" t="s">
        <v>236</v>
      </c>
      <c r="GX486" t="s">
        <v>236</v>
      </c>
      <c r="HB486" t="s">
        <v>584</v>
      </c>
      <c r="HE486">
        <v>83523586</v>
      </c>
      <c r="HF486" t="s">
        <v>585</v>
      </c>
      <c r="HG486" s="2">
        <v>45758.666932870372</v>
      </c>
      <c r="HJ486" t="s">
        <v>248</v>
      </c>
      <c r="HL486" t="s">
        <v>282</v>
      </c>
      <c r="HN486">
        <v>485</v>
      </c>
    </row>
    <row r="487" spans="1:222" x14ac:dyDescent="0.25">
      <c r="A487" s="2">
        <v>45758.458598611112</v>
      </c>
      <c r="B487" s="2">
        <v>45758.461870925923</v>
      </c>
      <c r="C487" t="s">
        <v>270</v>
      </c>
      <c r="D487">
        <v>13</v>
      </c>
      <c r="E487" s="2">
        <v>45732</v>
      </c>
      <c r="F487">
        <v>5</v>
      </c>
      <c r="G487" t="s">
        <v>290</v>
      </c>
      <c r="H487" t="s">
        <v>223</v>
      </c>
      <c r="I487">
        <v>37</v>
      </c>
      <c r="J487" t="str">
        <f t="shared" si="7"/>
        <v>de 26 a 40 años</v>
      </c>
      <c r="K487" t="s">
        <v>251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225</v>
      </c>
      <c r="R487" t="s">
        <v>226</v>
      </c>
      <c r="T487" t="s">
        <v>227</v>
      </c>
      <c r="V487" t="s">
        <v>252</v>
      </c>
      <c r="W487" t="s">
        <v>229</v>
      </c>
      <c r="X487" t="s">
        <v>230</v>
      </c>
      <c r="Z487" t="s">
        <v>231</v>
      </c>
      <c r="AA487" t="s">
        <v>293</v>
      </c>
      <c r="AB487">
        <v>0</v>
      </c>
      <c r="AC487">
        <v>0</v>
      </c>
      <c r="AD487">
        <v>0</v>
      </c>
      <c r="AE487">
        <v>0</v>
      </c>
      <c r="AF487">
        <v>1</v>
      </c>
      <c r="AG487">
        <v>0</v>
      </c>
      <c r="AI487" t="s">
        <v>233</v>
      </c>
      <c r="AJ487">
        <v>0</v>
      </c>
      <c r="AK487">
        <v>1</v>
      </c>
      <c r="AL487">
        <v>0</v>
      </c>
      <c r="AM487">
        <v>0</v>
      </c>
      <c r="AN487" t="s">
        <v>300</v>
      </c>
      <c r="AO487" t="s">
        <v>275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</v>
      </c>
      <c r="AV487">
        <v>0</v>
      </c>
      <c r="AX487" t="s">
        <v>226</v>
      </c>
      <c r="AY487" t="s">
        <v>226</v>
      </c>
      <c r="AZ487" t="s">
        <v>259</v>
      </c>
      <c r="BA487" t="s">
        <v>459</v>
      </c>
      <c r="BE487" t="s">
        <v>259</v>
      </c>
      <c r="BF487" t="s">
        <v>237</v>
      </c>
      <c r="BG487" t="s">
        <v>259</v>
      </c>
      <c r="BH487" t="s">
        <v>237</v>
      </c>
      <c r="BI487" t="s">
        <v>237</v>
      </c>
      <c r="BJ487" t="s">
        <v>237</v>
      </c>
      <c r="BK487" t="s">
        <v>259</v>
      </c>
      <c r="BL487" t="s">
        <v>240</v>
      </c>
      <c r="BM487" t="s">
        <v>314</v>
      </c>
      <c r="BN487">
        <v>0</v>
      </c>
      <c r="BO487">
        <v>0</v>
      </c>
      <c r="BP487">
        <v>0</v>
      </c>
      <c r="BQ487">
        <v>1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 t="s">
        <v>264</v>
      </c>
      <c r="CB487" t="s">
        <v>264</v>
      </c>
      <c r="CC487" t="s">
        <v>264</v>
      </c>
      <c r="CD487" t="s">
        <v>236</v>
      </c>
      <c r="CE487" t="s">
        <v>236</v>
      </c>
      <c r="EA487" t="s">
        <v>236</v>
      </c>
      <c r="EC487" t="s">
        <v>236</v>
      </c>
      <c r="EE487" t="s">
        <v>236</v>
      </c>
      <c r="EG487" t="s">
        <v>236</v>
      </c>
      <c r="EI487" t="s">
        <v>236</v>
      </c>
      <c r="EK487" t="s">
        <v>236</v>
      </c>
      <c r="EM487" t="s">
        <v>236</v>
      </c>
      <c r="EO487" t="s">
        <v>236</v>
      </c>
      <c r="EQ487" t="s">
        <v>236</v>
      </c>
      <c r="ES487" t="s">
        <v>236</v>
      </c>
      <c r="EU487" t="s">
        <v>236</v>
      </c>
      <c r="EW487" t="s">
        <v>236</v>
      </c>
      <c r="EY487" t="s">
        <v>226</v>
      </c>
      <c r="EZ487" t="s">
        <v>245</v>
      </c>
      <c r="FA487" t="s">
        <v>226</v>
      </c>
      <c r="FB487" t="s">
        <v>244</v>
      </c>
      <c r="FC487" t="s">
        <v>236</v>
      </c>
      <c r="FE487" t="s">
        <v>236</v>
      </c>
      <c r="FG487" t="s">
        <v>236</v>
      </c>
      <c r="FJ487" t="s">
        <v>226</v>
      </c>
      <c r="FK487" t="s">
        <v>265</v>
      </c>
      <c r="FL487" t="s">
        <v>236</v>
      </c>
      <c r="FM487" t="s">
        <v>236</v>
      </c>
      <c r="FW487" t="s">
        <v>236</v>
      </c>
      <c r="FZ487" t="s">
        <v>236</v>
      </c>
      <c r="GC487" t="s">
        <v>226</v>
      </c>
      <c r="GD487" t="s">
        <v>236</v>
      </c>
      <c r="GF487" t="s">
        <v>226</v>
      </c>
      <c r="GG487" t="s">
        <v>236</v>
      </c>
      <c r="GI487" t="s">
        <v>236</v>
      </c>
      <c r="GL487" t="s">
        <v>236</v>
      </c>
      <c r="GO487" t="s">
        <v>226</v>
      </c>
      <c r="GP487" t="s">
        <v>226</v>
      </c>
      <c r="GQ487" t="s">
        <v>267</v>
      </c>
      <c r="GR487" t="s">
        <v>226</v>
      </c>
      <c r="GS487" t="s">
        <v>226</v>
      </c>
      <c r="GT487" t="s">
        <v>266</v>
      </c>
      <c r="GU487" t="s">
        <v>236</v>
      </c>
      <c r="GV487" t="s">
        <v>226</v>
      </c>
      <c r="GX487" t="s">
        <v>236</v>
      </c>
      <c r="HB487" t="s">
        <v>460</v>
      </c>
      <c r="HE487">
        <v>83523751</v>
      </c>
      <c r="HF487" t="s">
        <v>461</v>
      </c>
      <c r="HG487" s="2">
        <v>45758.670208333337</v>
      </c>
      <c r="HJ487" t="s">
        <v>248</v>
      </c>
      <c r="HL487" t="s">
        <v>282</v>
      </c>
      <c r="HN487">
        <v>486</v>
      </c>
    </row>
    <row r="488" spans="1:222" x14ac:dyDescent="0.25">
      <c r="A488" s="2">
        <v>45758.462463159733</v>
      </c>
      <c r="B488" s="2">
        <v>45758.474270752318</v>
      </c>
      <c r="C488" t="s">
        <v>270</v>
      </c>
      <c r="D488">
        <v>14</v>
      </c>
      <c r="E488" s="2">
        <v>45732</v>
      </c>
      <c r="F488">
        <v>5</v>
      </c>
      <c r="G488" t="s">
        <v>290</v>
      </c>
      <c r="H488" t="s">
        <v>223</v>
      </c>
      <c r="I488">
        <v>42</v>
      </c>
      <c r="J488" t="str">
        <f t="shared" si="7"/>
        <v>de 41 a 55 años</v>
      </c>
      <c r="K488" t="s">
        <v>224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225</v>
      </c>
      <c r="R488" t="s">
        <v>226</v>
      </c>
      <c r="T488" t="s">
        <v>392</v>
      </c>
      <c r="V488" t="s">
        <v>228</v>
      </c>
      <c r="W488" t="s">
        <v>229</v>
      </c>
      <c r="X488" t="s">
        <v>230</v>
      </c>
      <c r="Z488" t="s">
        <v>351</v>
      </c>
      <c r="AA488" t="s">
        <v>232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I488" t="s">
        <v>233</v>
      </c>
      <c r="AJ488">
        <v>0</v>
      </c>
      <c r="AK488">
        <v>1</v>
      </c>
      <c r="AL488">
        <v>0</v>
      </c>
      <c r="AM488">
        <v>0</v>
      </c>
      <c r="AN488" t="s">
        <v>234</v>
      </c>
      <c r="AO488" t="s">
        <v>235</v>
      </c>
      <c r="AP488">
        <v>0</v>
      </c>
      <c r="AQ488">
        <v>0</v>
      </c>
      <c r="AR488">
        <v>0</v>
      </c>
      <c r="AS488">
        <v>1</v>
      </c>
      <c r="AT488">
        <v>0</v>
      </c>
      <c r="AU488">
        <v>0</v>
      </c>
      <c r="AV488">
        <v>0</v>
      </c>
      <c r="AX488" t="s">
        <v>226</v>
      </c>
      <c r="AY488" t="s">
        <v>226</v>
      </c>
      <c r="AZ488" t="s">
        <v>237</v>
      </c>
      <c r="BA488" t="s">
        <v>586</v>
      </c>
      <c r="BE488" t="s">
        <v>259</v>
      </c>
      <c r="BF488" t="s">
        <v>237</v>
      </c>
      <c r="BG488" t="s">
        <v>259</v>
      </c>
      <c r="BH488" t="s">
        <v>237</v>
      </c>
      <c r="BI488" t="s">
        <v>237</v>
      </c>
      <c r="BJ488" t="s">
        <v>237</v>
      </c>
      <c r="BK488" t="s">
        <v>259</v>
      </c>
      <c r="BL488" t="s">
        <v>262</v>
      </c>
      <c r="BM488" t="s">
        <v>365</v>
      </c>
      <c r="BN488">
        <v>0</v>
      </c>
      <c r="BO488">
        <v>1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 t="s">
        <v>264</v>
      </c>
      <c r="CB488" t="s">
        <v>264</v>
      </c>
      <c r="CC488" t="s">
        <v>264</v>
      </c>
      <c r="CD488" t="s">
        <v>236</v>
      </c>
      <c r="CE488" t="s">
        <v>236</v>
      </c>
      <c r="EA488" t="s">
        <v>236</v>
      </c>
      <c r="EC488" t="s">
        <v>236</v>
      </c>
      <c r="EE488" t="s">
        <v>226</v>
      </c>
      <c r="EF488" t="s">
        <v>245</v>
      </c>
      <c r="EG488" t="s">
        <v>236</v>
      </c>
      <c r="EI488" t="s">
        <v>236</v>
      </c>
      <c r="EK488" t="s">
        <v>226</v>
      </c>
      <c r="EL488" t="s">
        <v>244</v>
      </c>
      <c r="EM488" t="s">
        <v>226</v>
      </c>
      <c r="EN488" t="s">
        <v>245</v>
      </c>
      <c r="EO488" t="s">
        <v>226</v>
      </c>
      <c r="EP488" t="s">
        <v>245</v>
      </c>
      <c r="EQ488" t="s">
        <v>236</v>
      </c>
      <c r="ES488" t="s">
        <v>236</v>
      </c>
      <c r="EU488" t="s">
        <v>236</v>
      </c>
      <c r="EW488" t="s">
        <v>236</v>
      </c>
      <c r="EY488" t="s">
        <v>226</v>
      </c>
      <c r="EZ488" t="s">
        <v>244</v>
      </c>
      <c r="FA488" t="s">
        <v>226</v>
      </c>
      <c r="FB488" t="s">
        <v>245</v>
      </c>
      <c r="FC488" t="s">
        <v>236</v>
      </c>
      <c r="FE488" t="s">
        <v>236</v>
      </c>
      <c r="FG488" t="s">
        <v>236</v>
      </c>
      <c r="FJ488" t="s">
        <v>226</v>
      </c>
      <c r="FK488" t="s">
        <v>265</v>
      </c>
      <c r="FL488" t="s">
        <v>236</v>
      </c>
      <c r="FM488" t="s">
        <v>236</v>
      </c>
      <c r="FW488" t="s">
        <v>236</v>
      </c>
      <c r="FZ488" t="s">
        <v>236</v>
      </c>
      <c r="GC488" t="s">
        <v>236</v>
      </c>
      <c r="GF488" t="s">
        <v>226</v>
      </c>
      <c r="GG488" t="s">
        <v>226</v>
      </c>
      <c r="GH488" t="s">
        <v>266</v>
      </c>
      <c r="GI488" t="s">
        <v>236</v>
      </c>
      <c r="GL488" t="s">
        <v>236</v>
      </c>
      <c r="GO488" t="s">
        <v>226</v>
      </c>
      <c r="GP488" t="s">
        <v>226</v>
      </c>
      <c r="GQ488" t="s">
        <v>267</v>
      </c>
      <c r="GR488" t="s">
        <v>226</v>
      </c>
      <c r="GS488" t="s">
        <v>236</v>
      </c>
      <c r="GU488" t="s">
        <v>236</v>
      </c>
      <c r="GX488" t="s">
        <v>236</v>
      </c>
      <c r="HB488" t="s">
        <v>587</v>
      </c>
      <c r="HE488">
        <v>83524234</v>
      </c>
      <c r="HF488" t="s">
        <v>588</v>
      </c>
      <c r="HG488" s="2">
        <v>45758.682615740741</v>
      </c>
      <c r="HJ488" t="s">
        <v>248</v>
      </c>
      <c r="HL488" t="s">
        <v>282</v>
      </c>
      <c r="HN488">
        <v>487</v>
      </c>
    </row>
    <row r="489" spans="1:222" x14ac:dyDescent="0.25">
      <c r="A489" s="2">
        <v>45758.477150150473</v>
      </c>
      <c r="B489" s="2">
        <v>45758.479882685177</v>
      </c>
      <c r="C489" t="s">
        <v>270</v>
      </c>
      <c r="D489">
        <v>15</v>
      </c>
      <c r="E489" s="2">
        <v>45732</v>
      </c>
      <c r="F489">
        <v>5</v>
      </c>
      <c r="G489" t="s">
        <v>271</v>
      </c>
      <c r="H489" t="s">
        <v>223</v>
      </c>
      <c r="I489">
        <v>47</v>
      </c>
      <c r="J489" t="str">
        <f t="shared" si="7"/>
        <v>de 41 a 55 años</v>
      </c>
      <c r="K489" t="s">
        <v>251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225</v>
      </c>
      <c r="R489" t="s">
        <v>226</v>
      </c>
      <c r="T489" t="s">
        <v>227</v>
      </c>
      <c r="V489" t="s">
        <v>228</v>
      </c>
      <c r="W489" t="s">
        <v>229</v>
      </c>
      <c r="X489" t="s">
        <v>230</v>
      </c>
      <c r="Z489" t="s">
        <v>231</v>
      </c>
      <c r="AA489" t="s">
        <v>293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0</v>
      </c>
      <c r="AI489" t="s">
        <v>233</v>
      </c>
      <c r="AJ489">
        <v>0</v>
      </c>
      <c r="AK489">
        <v>1</v>
      </c>
      <c r="AL489">
        <v>0</v>
      </c>
      <c r="AM489">
        <v>0</v>
      </c>
      <c r="AN489" t="s">
        <v>300</v>
      </c>
      <c r="AO489" t="s">
        <v>275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</v>
      </c>
      <c r="AV489">
        <v>0</v>
      </c>
      <c r="AX489" t="s">
        <v>226</v>
      </c>
      <c r="AY489" t="s">
        <v>236</v>
      </c>
      <c r="AZ489" t="s">
        <v>237</v>
      </c>
      <c r="BA489" t="s">
        <v>589</v>
      </c>
      <c r="BB489" t="s">
        <v>590</v>
      </c>
      <c r="BE489" t="s">
        <v>259</v>
      </c>
      <c r="BF489" t="s">
        <v>259</v>
      </c>
      <c r="BG489" t="s">
        <v>259</v>
      </c>
      <c r="BH489" t="s">
        <v>259</v>
      </c>
      <c r="BI489" t="s">
        <v>237</v>
      </c>
      <c r="BJ489" t="s">
        <v>259</v>
      </c>
      <c r="BK489" t="s">
        <v>261</v>
      </c>
      <c r="BL489" t="s">
        <v>262</v>
      </c>
      <c r="BM489" t="s">
        <v>591</v>
      </c>
      <c r="BN489">
        <v>0</v>
      </c>
      <c r="BO489">
        <v>1</v>
      </c>
      <c r="BP489">
        <v>0</v>
      </c>
      <c r="BQ489">
        <v>0</v>
      </c>
      <c r="BR489">
        <v>1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 t="s">
        <v>264</v>
      </c>
      <c r="CB489" t="s">
        <v>243</v>
      </c>
      <c r="CC489" t="s">
        <v>264</v>
      </c>
      <c r="CD489" t="s">
        <v>226</v>
      </c>
      <c r="CE489" t="s">
        <v>236</v>
      </c>
      <c r="EA489" t="s">
        <v>226</v>
      </c>
      <c r="EB489" t="s">
        <v>244</v>
      </c>
      <c r="EC489" t="s">
        <v>236</v>
      </c>
      <c r="EE489" t="s">
        <v>226</v>
      </c>
      <c r="EF489" t="s">
        <v>265</v>
      </c>
      <c r="EG489" t="s">
        <v>226</v>
      </c>
      <c r="EH489" t="s">
        <v>265</v>
      </c>
      <c r="EI489" t="s">
        <v>226</v>
      </c>
      <c r="EJ489" t="s">
        <v>244</v>
      </c>
      <c r="EK489" t="s">
        <v>236</v>
      </c>
      <c r="EM489" t="s">
        <v>226</v>
      </c>
      <c r="EN489" t="s">
        <v>244</v>
      </c>
      <c r="EO489" t="s">
        <v>236</v>
      </c>
      <c r="EQ489" t="s">
        <v>236</v>
      </c>
      <c r="ES489" t="s">
        <v>236</v>
      </c>
      <c r="EU489" t="s">
        <v>236</v>
      </c>
      <c r="EW489" t="s">
        <v>236</v>
      </c>
      <c r="EY489" t="s">
        <v>226</v>
      </c>
      <c r="EZ489" t="s">
        <v>245</v>
      </c>
      <c r="FA489" t="s">
        <v>226</v>
      </c>
      <c r="FB489" t="s">
        <v>265</v>
      </c>
      <c r="FC489" t="s">
        <v>236</v>
      </c>
      <c r="FE489" t="s">
        <v>236</v>
      </c>
      <c r="FG489" t="s">
        <v>236</v>
      </c>
      <c r="FJ489" t="s">
        <v>226</v>
      </c>
      <c r="FK489" t="s">
        <v>265</v>
      </c>
      <c r="FL489" t="s">
        <v>226</v>
      </c>
      <c r="FM489" t="s">
        <v>236</v>
      </c>
      <c r="FW489" t="s">
        <v>236</v>
      </c>
      <c r="FZ489" t="s">
        <v>236</v>
      </c>
      <c r="GC489" t="s">
        <v>236</v>
      </c>
      <c r="GF489" t="s">
        <v>236</v>
      </c>
      <c r="GI489" t="s">
        <v>236</v>
      </c>
      <c r="GL489" t="s">
        <v>236</v>
      </c>
      <c r="GO489" t="s">
        <v>226</v>
      </c>
      <c r="GP489" t="s">
        <v>236</v>
      </c>
      <c r="GR489" t="s">
        <v>226</v>
      </c>
      <c r="GS489" t="s">
        <v>236</v>
      </c>
      <c r="GU489" t="s">
        <v>236</v>
      </c>
      <c r="GX489" t="s">
        <v>236</v>
      </c>
      <c r="HB489" t="s">
        <v>338</v>
      </c>
      <c r="HC489" t="s">
        <v>575</v>
      </c>
      <c r="HE489">
        <v>83524506</v>
      </c>
      <c r="HF489" t="s">
        <v>592</v>
      </c>
      <c r="HG489" s="2">
        <v>45758.688217592593</v>
      </c>
      <c r="HJ489" t="s">
        <v>248</v>
      </c>
      <c r="HL489" t="s">
        <v>282</v>
      </c>
      <c r="HN489">
        <v>488</v>
      </c>
    </row>
    <row r="490" spans="1:222" x14ac:dyDescent="0.25">
      <c r="A490" s="2">
        <v>45758.47988324074</v>
      </c>
      <c r="B490" s="2">
        <v>45758.483856585648</v>
      </c>
      <c r="C490" t="s">
        <v>270</v>
      </c>
      <c r="D490">
        <v>17</v>
      </c>
      <c r="E490" s="2">
        <v>45732</v>
      </c>
      <c r="F490">
        <v>5</v>
      </c>
      <c r="G490" t="s">
        <v>290</v>
      </c>
      <c r="H490" t="s">
        <v>223</v>
      </c>
      <c r="I490">
        <v>49</v>
      </c>
      <c r="J490" t="str">
        <f t="shared" si="7"/>
        <v>de 41 a 55 años</v>
      </c>
      <c r="K490" t="s">
        <v>341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225</v>
      </c>
      <c r="R490" t="s">
        <v>226</v>
      </c>
      <c r="T490" t="s">
        <v>227</v>
      </c>
      <c r="V490" t="s">
        <v>228</v>
      </c>
      <c r="W490" t="s">
        <v>229</v>
      </c>
      <c r="X490" t="s">
        <v>230</v>
      </c>
      <c r="Z490" t="s">
        <v>273</v>
      </c>
      <c r="AA490" t="s">
        <v>232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I490" t="s">
        <v>233</v>
      </c>
      <c r="AJ490">
        <v>0</v>
      </c>
      <c r="AK490">
        <v>1</v>
      </c>
      <c r="AL490">
        <v>0</v>
      </c>
      <c r="AM490">
        <v>0</v>
      </c>
      <c r="AN490" t="s">
        <v>257</v>
      </c>
      <c r="AO490" t="s">
        <v>235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X490" t="s">
        <v>236</v>
      </c>
      <c r="AZ490" t="s">
        <v>259</v>
      </c>
      <c r="BA490" t="s">
        <v>598</v>
      </c>
      <c r="BE490" t="s">
        <v>259</v>
      </c>
      <c r="BF490" t="s">
        <v>237</v>
      </c>
      <c r="BG490" t="s">
        <v>259</v>
      </c>
      <c r="BH490" t="s">
        <v>259</v>
      </c>
      <c r="BI490" t="s">
        <v>237</v>
      </c>
      <c r="BJ490" t="s">
        <v>237</v>
      </c>
      <c r="BK490" t="s">
        <v>259</v>
      </c>
      <c r="BL490" t="s">
        <v>262</v>
      </c>
      <c r="BM490" t="s">
        <v>415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 t="s">
        <v>264</v>
      </c>
      <c r="CB490" t="s">
        <v>328</v>
      </c>
      <c r="CC490" t="s">
        <v>243</v>
      </c>
      <c r="CD490" t="s">
        <v>236</v>
      </c>
      <c r="CE490" t="s">
        <v>226</v>
      </c>
      <c r="CF490" t="s">
        <v>599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1</v>
      </c>
      <c r="CR490" t="s">
        <v>600</v>
      </c>
      <c r="EA490" t="s">
        <v>226</v>
      </c>
      <c r="EB490" t="s">
        <v>244</v>
      </c>
      <c r="EC490" t="s">
        <v>236</v>
      </c>
      <c r="EE490" t="s">
        <v>236</v>
      </c>
      <c r="EG490" t="s">
        <v>226</v>
      </c>
      <c r="EH490" t="s">
        <v>245</v>
      </c>
      <c r="EI490" t="s">
        <v>226</v>
      </c>
      <c r="EJ490" t="s">
        <v>245</v>
      </c>
      <c r="EK490" t="s">
        <v>226</v>
      </c>
      <c r="EL490" t="s">
        <v>244</v>
      </c>
      <c r="EM490" t="s">
        <v>226</v>
      </c>
      <c r="EN490" t="s">
        <v>245</v>
      </c>
      <c r="EO490" t="s">
        <v>226</v>
      </c>
      <c r="EP490" t="s">
        <v>245</v>
      </c>
      <c r="EQ490" t="s">
        <v>236</v>
      </c>
      <c r="ES490" t="s">
        <v>226</v>
      </c>
      <c r="ET490" t="s">
        <v>245</v>
      </c>
      <c r="EU490" t="s">
        <v>236</v>
      </c>
      <c r="EW490" t="s">
        <v>236</v>
      </c>
      <c r="EY490" t="s">
        <v>226</v>
      </c>
      <c r="EZ490" t="s">
        <v>244</v>
      </c>
      <c r="FA490" t="s">
        <v>236</v>
      </c>
      <c r="FC490" t="s">
        <v>226</v>
      </c>
      <c r="FD490" t="s">
        <v>245</v>
      </c>
      <c r="FE490" t="s">
        <v>236</v>
      </c>
      <c r="FG490" t="s">
        <v>236</v>
      </c>
      <c r="FJ490" t="s">
        <v>226</v>
      </c>
      <c r="FK490" t="s">
        <v>245</v>
      </c>
      <c r="FL490" t="s">
        <v>236</v>
      </c>
      <c r="FM490" t="s">
        <v>226</v>
      </c>
      <c r="FN490" t="s">
        <v>416</v>
      </c>
      <c r="FO490">
        <v>0</v>
      </c>
      <c r="FP490">
        <v>1</v>
      </c>
      <c r="FQ490">
        <v>0</v>
      </c>
      <c r="FR490">
        <v>0</v>
      </c>
      <c r="FS490">
        <v>0</v>
      </c>
      <c r="FU490" t="s">
        <v>226</v>
      </c>
      <c r="FW490" t="s">
        <v>236</v>
      </c>
      <c r="FZ490" t="s">
        <v>236</v>
      </c>
      <c r="GC490" t="s">
        <v>236</v>
      </c>
      <c r="GF490" t="s">
        <v>226</v>
      </c>
      <c r="GG490" t="s">
        <v>236</v>
      </c>
      <c r="GI490" t="s">
        <v>236</v>
      </c>
      <c r="GL490" t="s">
        <v>236</v>
      </c>
      <c r="GO490" t="s">
        <v>226</v>
      </c>
      <c r="GP490" t="s">
        <v>226</v>
      </c>
      <c r="GQ490" t="s">
        <v>601</v>
      </c>
      <c r="GR490" t="s">
        <v>226</v>
      </c>
      <c r="GS490" t="s">
        <v>236</v>
      </c>
      <c r="GU490" t="s">
        <v>236</v>
      </c>
      <c r="GX490" t="s">
        <v>236</v>
      </c>
      <c r="HB490" t="s">
        <v>602</v>
      </c>
      <c r="HE490">
        <v>83524601</v>
      </c>
      <c r="HF490" t="s">
        <v>603</v>
      </c>
      <c r="HG490" s="2">
        <v>45758.692199074067</v>
      </c>
      <c r="HJ490" t="s">
        <v>248</v>
      </c>
      <c r="HL490" t="s">
        <v>282</v>
      </c>
      <c r="HN490">
        <v>489</v>
      </c>
    </row>
    <row r="491" spans="1:222" x14ac:dyDescent="0.25">
      <c r="A491" s="2">
        <v>45758.483857083331</v>
      </c>
      <c r="B491" s="2">
        <v>45758.489355185193</v>
      </c>
      <c r="C491" t="s">
        <v>270</v>
      </c>
      <c r="D491">
        <v>21</v>
      </c>
      <c r="E491" s="2">
        <v>45732</v>
      </c>
      <c r="F491">
        <v>5</v>
      </c>
      <c r="G491" t="s">
        <v>528</v>
      </c>
      <c r="H491" t="s">
        <v>223</v>
      </c>
      <c r="I491">
        <v>84</v>
      </c>
      <c r="J491" t="str">
        <f t="shared" si="7"/>
        <v>de 56 a más</v>
      </c>
      <c r="K491" t="s">
        <v>341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225</v>
      </c>
      <c r="R491" t="s">
        <v>226</v>
      </c>
      <c r="T491" t="s">
        <v>227</v>
      </c>
      <c r="V491" t="s">
        <v>252</v>
      </c>
      <c r="W491" t="s">
        <v>229</v>
      </c>
      <c r="X491" t="s">
        <v>368</v>
      </c>
      <c r="Z491" t="s">
        <v>231</v>
      </c>
      <c r="AA491" t="s">
        <v>616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 t="s">
        <v>617</v>
      </c>
      <c r="AI491" t="s">
        <v>233</v>
      </c>
      <c r="AJ491">
        <v>0</v>
      </c>
      <c r="AK491">
        <v>1</v>
      </c>
      <c r="AL491">
        <v>0</v>
      </c>
      <c r="AM491">
        <v>0</v>
      </c>
      <c r="AN491" t="s">
        <v>300</v>
      </c>
      <c r="AO491" t="s">
        <v>275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</v>
      </c>
      <c r="AV491">
        <v>0</v>
      </c>
      <c r="AX491" t="s">
        <v>236</v>
      </c>
      <c r="AZ491" t="s">
        <v>237</v>
      </c>
      <c r="BA491" t="s">
        <v>618</v>
      </c>
      <c r="BB491" t="s">
        <v>619</v>
      </c>
      <c r="BE491" t="s">
        <v>259</v>
      </c>
      <c r="BF491" t="s">
        <v>237</v>
      </c>
      <c r="BG491" t="s">
        <v>259</v>
      </c>
      <c r="BH491" t="s">
        <v>239</v>
      </c>
      <c r="BI491" t="s">
        <v>237</v>
      </c>
      <c r="BJ491" t="s">
        <v>237</v>
      </c>
      <c r="BK491" t="s">
        <v>237</v>
      </c>
      <c r="BL491" t="s">
        <v>262</v>
      </c>
      <c r="BM491" t="s">
        <v>372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1</v>
      </c>
      <c r="CA491" t="s">
        <v>264</v>
      </c>
      <c r="CB491" t="s">
        <v>328</v>
      </c>
      <c r="CC491" t="s">
        <v>264</v>
      </c>
      <c r="CD491" t="s">
        <v>236</v>
      </c>
      <c r="CE491" t="s">
        <v>236</v>
      </c>
      <c r="EA491" t="s">
        <v>236</v>
      </c>
      <c r="EC491" t="s">
        <v>236</v>
      </c>
      <c r="EE491" t="s">
        <v>226</v>
      </c>
      <c r="EF491" t="s">
        <v>245</v>
      </c>
      <c r="EG491" t="s">
        <v>226</v>
      </c>
      <c r="EH491" t="s">
        <v>245</v>
      </c>
      <c r="EI491" t="s">
        <v>236</v>
      </c>
      <c r="EK491" t="s">
        <v>226</v>
      </c>
      <c r="EL491" t="s">
        <v>244</v>
      </c>
      <c r="EM491" t="s">
        <v>226</v>
      </c>
      <c r="EN491" t="s">
        <v>244</v>
      </c>
      <c r="EO491" t="s">
        <v>226</v>
      </c>
      <c r="EP491" t="s">
        <v>244</v>
      </c>
      <c r="EQ491" t="s">
        <v>226</v>
      </c>
      <c r="ER491" t="s">
        <v>244</v>
      </c>
      <c r="ES491" t="s">
        <v>226</v>
      </c>
      <c r="ET491" t="s">
        <v>244</v>
      </c>
      <c r="EU491" t="s">
        <v>226</v>
      </c>
      <c r="EV491" t="s">
        <v>244</v>
      </c>
      <c r="EW491" t="s">
        <v>236</v>
      </c>
      <c r="EY491" t="s">
        <v>236</v>
      </c>
      <c r="FA491" t="s">
        <v>236</v>
      </c>
      <c r="FC491" t="s">
        <v>236</v>
      </c>
      <c r="FE491" t="s">
        <v>236</v>
      </c>
      <c r="FG491" t="s">
        <v>236</v>
      </c>
      <c r="FJ491" t="s">
        <v>226</v>
      </c>
      <c r="FK491" t="s">
        <v>245</v>
      </c>
      <c r="FL491" t="s">
        <v>236</v>
      </c>
      <c r="FM491" t="s">
        <v>236</v>
      </c>
      <c r="FW491" t="s">
        <v>226</v>
      </c>
      <c r="FX491" t="s">
        <v>236</v>
      </c>
      <c r="FZ491" t="s">
        <v>236</v>
      </c>
      <c r="GC491" t="s">
        <v>236</v>
      </c>
      <c r="GF491" t="s">
        <v>226</v>
      </c>
      <c r="GG491" t="s">
        <v>236</v>
      </c>
      <c r="GI491" t="s">
        <v>226</v>
      </c>
      <c r="GJ491" t="s">
        <v>236</v>
      </c>
      <c r="GL491" t="s">
        <v>236</v>
      </c>
      <c r="GO491" t="s">
        <v>226</v>
      </c>
      <c r="GP491" t="s">
        <v>226</v>
      </c>
      <c r="GQ491" t="s">
        <v>266</v>
      </c>
      <c r="GR491" t="s">
        <v>236</v>
      </c>
      <c r="GU491" t="s">
        <v>236</v>
      </c>
      <c r="GX491" t="s">
        <v>236</v>
      </c>
      <c r="HB491" t="s">
        <v>323</v>
      </c>
      <c r="HC491" t="s">
        <v>280</v>
      </c>
      <c r="HD491" t="s">
        <v>279</v>
      </c>
      <c r="HE491">
        <v>83524801</v>
      </c>
      <c r="HF491" t="s">
        <v>620</v>
      </c>
      <c r="HG491" s="2">
        <v>45758.697696759264</v>
      </c>
      <c r="HJ491" t="s">
        <v>248</v>
      </c>
      <c r="HL491" t="s">
        <v>282</v>
      </c>
      <c r="HN491">
        <v>490</v>
      </c>
    </row>
    <row r="492" spans="1:222" x14ac:dyDescent="0.25">
      <c r="A492" s="2">
        <v>45758.489355648147</v>
      </c>
      <c r="B492" s="2">
        <v>45758.491900104164</v>
      </c>
      <c r="C492" t="s">
        <v>270</v>
      </c>
      <c r="D492">
        <v>22</v>
      </c>
      <c r="E492" s="2">
        <v>45732</v>
      </c>
      <c r="F492">
        <v>5</v>
      </c>
      <c r="G492" t="s">
        <v>290</v>
      </c>
      <c r="H492" t="s">
        <v>223</v>
      </c>
      <c r="I492">
        <v>59</v>
      </c>
      <c r="J492" t="str">
        <f t="shared" si="7"/>
        <v>de 56 a más</v>
      </c>
      <c r="K492" t="s">
        <v>224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225</v>
      </c>
      <c r="R492" t="s">
        <v>226</v>
      </c>
      <c r="T492" t="s">
        <v>227</v>
      </c>
      <c r="V492" t="s">
        <v>228</v>
      </c>
      <c r="W492" t="s">
        <v>229</v>
      </c>
      <c r="X492" t="s">
        <v>230</v>
      </c>
      <c r="Z492" t="s">
        <v>273</v>
      </c>
      <c r="AA492" t="s">
        <v>232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I492" t="s">
        <v>256</v>
      </c>
      <c r="AJ492">
        <v>0</v>
      </c>
      <c r="AK492">
        <v>0</v>
      </c>
      <c r="AL492">
        <v>1</v>
      </c>
      <c r="AM492">
        <v>0</v>
      </c>
      <c r="AN492" t="s">
        <v>257</v>
      </c>
      <c r="AO492" t="s">
        <v>275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</v>
      </c>
      <c r="AV492">
        <v>0</v>
      </c>
      <c r="AX492" t="s">
        <v>226</v>
      </c>
      <c r="AY492" t="s">
        <v>236</v>
      </c>
      <c r="AZ492" t="s">
        <v>237</v>
      </c>
      <c r="BA492" t="s">
        <v>621</v>
      </c>
      <c r="BE492" t="s">
        <v>259</v>
      </c>
      <c r="BF492" t="s">
        <v>237</v>
      </c>
      <c r="BG492" t="s">
        <v>259</v>
      </c>
      <c r="BH492" t="s">
        <v>259</v>
      </c>
      <c r="BI492" t="s">
        <v>259</v>
      </c>
      <c r="BJ492" t="s">
        <v>259</v>
      </c>
      <c r="BK492" t="s">
        <v>259</v>
      </c>
      <c r="BL492" t="s">
        <v>262</v>
      </c>
      <c r="BM492" t="s">
        <v>389</v>
      </c>
      <c r="BN492">
        <v>0</v>
      </c>
      <c r="BO492">
        <v>0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 t="s">
        <v>264</v>
      </c>
      <c r="CB492" t="s">
        <v>264</v>
      </c>
      <c r="CC492" t="s">
        <v>243</v>
      </c>
      <c r="CD492" t="s">
        <v>236</v>
      </c>
      <c r="CE492" t="s">
        <v>236</v>
      </c>
      <c r="EA492" t="s">
        <v>236</v>
      </c>
      <c r="EC492" t="s">
        <v>236</v>
      </c>
      <c r="EE492" t="s">
        <v>226</v>
      </c>
      <c r="EF492" t="s">
        <v>245</v>
      </c>
      <c r="EG492" t="s">
        <v>236</v>
      </c>
      <c r="EI492" t="s">
        <v>236</v>
      </c>
      <c r="EK492" t="s">
        <v>236</v>
      </c>
      <c r="EM492" t="s">
        <v>236</v>
      </c>
      <c r="EO492" t="s">
        <v>226</v>
      </c>
      <c r="EP492" t="s">
        <v>244</v>
      </c>
      <c r="EQ492" t="s">
        <v>236</v>
      </c>
      <c r="ES492" t="s">
        <v>226</v>
      </c>
      <c r="ET492" t="s">
        <v>244</v>
      </c>
      <c r="EU492" t="s">
        <v>236</v>
      </c>
      <c r="EW492" t="s">
        <v>236</v>
      </c>
      <c r="EY492" t="s">
        <v>236</v>
      </c>
      <c r="FA492" t="s">
        <v>236</v>
      </c>
      <c r="FC492" t="s">
        <v>236</v>
      </c>
      <c r="FE492" t="s">
        <v>236</v>
      </c>
      <c r="FG492" t="s">
        <v>236</v>
      </c>
      <c r="FJ492" t="s">
        <v>226</v>
      </c>
      <c r="FK492" t="s">
        <v>244</v>
      </c>
      <c r="FL492" t="s">
        <v>236</v>
      </c>
      <c r="FM492" t="s">
        <v>236</v>
      </c>
      <c r="FW492" t="s">
        <v>236</v>
      </c>
      <c r="FZ492" t="s">
        <v>236</v>
      </c>
      <c r="GC492" t="s">
        <v>236</v>
      </c>
      <c r="GF492" t="s">
        <v>226</v>
      </c>
      <c r="GG492" t="s">
        <v>236</v>
      </c>
      <c r="GI492" t="s">
        <v>236</v>
      </c>
      <c r="GL492" t="s">
        <v>236</v>
      </c>
      <c r="GO492" t="s">
        <v>226</v>
      </c>
      <c r="GP492" t="s">
        <v>236</v>
      </c>
      <c r="GR492" t="s">
        <v>226</v>
      </c>
      <c r="GS492" t="s">
        <v>236</v>
      </c>
      <c r="GU492" t="s">
        <v>236</v>
      </c>
      <c r="GX492" t="s">
        <v>236</v>
      </c>
      <c r="HB492" t="s">
        <v>622</v>
      </c>
      <c r="HE492">
        <v>83525091</v>
      </c>
      <c r="HF492" t="s">
        <v>623</v>
      </c>
      <c r="HG492" s="2">
        <v>45758.700231481482</v>
      </c>
      <c r="HJ492" t="s">
        <v>248</v>
      </c>
      <c r="HL492" t="s">
        <v>282</v>
      </c>
      <c r="HN492">
        <v>491</v>
      </c>
    </row>
    <row r="493" spans="1:222" x14ac:dyDescent="0.25">
      <c r="A493" s="2">
        <v>45758.491900567133</v>
      </c>
      <c r="B493" s="2">
        <v>45758.494339976853</v>
      </c>
      <c r="C493" t="s">
        <v>270</v>
      </c>
      <c r="D493">
        <v>23</v>
      </c>
      <c r="E493" s="2">
        <v>45732</v>
      </c>
      <c r="F493">
        <v>5</v>
      </c>
      <c r="G493" t="s">
        <v>290</v>
      </c>
      <c r="H493" t="s">
        <v>223</v>
      </c>
      <c r="I493">
        <v>66</v>
      </c>
      <c r="J493" t="str">
        <f t="shared" si="7"/>
        <v>de 56 a más</v>
      </c>
      <c r="K493" t="s">
        <v>341</v>
      </c>
      <c r="L493">
        <v>1</v>
      </c>
      <c r="M493">
        <v>0</v>
      </c>
      <c r="N493">
        <v>0</v>
      </c>
      <c r="O493">
        <v>0</v>
      </c>
      <c r="P493">
        <v>0</v>
      </c>
      <c r="Q493" t="s">
        <v>225</v>
      </c>
      <c r="R493" t="s">
        <v>226</v>
      </c>
      <c r="T493" t="s">
        <v>227</v>
      </c>
      <c r="V493" t="s">
        <v>393</v>
      </c>
      <c r="W493" t="s">
        <v>229</v>
      </c>
      <c r="X493" t="s">
        <v>368</v>
      </c>
      <c r="Z493" t="s">
        <v>273</v>
      </c>
      <c r="AA493" t="s">
        <v>293</v>
      </c>
      <c r="AB493">
        <v>0</v>
      </c>
      <c r="AC493">
        <v>0</v>
      </c>
      <c r="AD493">
        <v>0</v>
      </c>
      <c r="AE493">
        <v>0</v>
      </c>
      <c r="AF493">
        <v>1</v>
      </c>
      <c r="AG493">
        <v>0</v>
      </c>
      <c r="AI493" t="s">
        <v>233</v>
      </c>
      <c r="AJ493">
        <v>0</v>
      </c>
      <c r="AK493">
        <v>1</v>
      </c>
      <c r="AL493">
        <v>0</v>
      </c>
      <c r="AM493">
        <v>0</v>
      </c>
      <c r="AN493" t="s">
        <v>257</v>
      </c>
      <c r="AO493" t="s">
        <v>353</v>
      </c>
      <c r="AP493">
        <v>0</v>
      </c>
      <c r="AQ493">
        <v>0</v>
      </c>
      <c r="AR493">
        <v>0</v>
      </c>
      <c r="AS493">
        <v>0</v>
      </c>
      <c r="AT493">
        <v>1</v>
      </c>
      <c r="AU493">
        <v>0</v>
      </c>
      <c r="AV493">
        <v>0</v>
      </c>
      <c r="AX493" t="s">
        <v>226</v>
      </c>
      <c r="AY493" t="s">
        <v>236</v>
      </c>
      <c r="AZ493" t="s">
        <v>237</v>
      </c>
      <c r="BA493" t="s">
        <v>624</v>
      </c>
      <c r="BE493" t="s">
        <v>259</v>
      </c>
      <c r="BF493" t="s">
        <v>237</v>
      </c>
      <c r="BG493" t="s">
        <v>259</v>
      </c>
      <c r="BH493" t="s">
        <v>259</v>
      </c>
      <c r="BI493" t="s">
        <v>259</v>
      </c>
      <c r="BJ493" t="s">
        <v>259</v>
      </c>
      <c r="BK493" t="s">
        <v>261</v>
      </c>
      <c r="BL493" t="s">
        <v>262</v>
      </c>
      <c r="BM493" t="s">
        <v>296</v>
      </c>
      <c r="BN493">
        <v>0</v>
      </c>
      <c r="BO493">
        <v>0</v>
      </c>
      <c r="BP493">
        <v>0</v>
      </c>
      <c r="BQ493">
        <v>0</v>
      </c>
      <c r="BR493">
        <v>1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 t="s">
        <v>264</v>
      </c>
      <c r="CB493" t="s">
        <v>328</v>
      </c>
      <c r="CC493" t="s">
        <v>328</v>
      </c>
      <c r="CD493" t="s">
        <v>236</v>
      </c>
      <c r="CE493" t="s">
        <v>236</v>
      </c>
      <c r="EA493" t="s">
        <v>236</v>
      </c>
      <c r="EC493" t="s">
        <v>226</v>
      </c>
      <c r="ED493" t="s">
        <v>244</v>
      </c>
      <c r="EE493" t="s">
        <v>236</v>
      </c>
      <c r="EG493" t="s">
        <v>226</v>
      </c>
      <c r="EH493" t="s">
        <v>245</v>
      </c>
      <c r="EI493" t="s">
        <v>236</v>
      </c>
      <c r="EK493" t="s">
        <v>236</v>
      </c>
      <c r="EM493" t="s">
        <v>236</v>
      </c>
      <c r="EO493" t="s">
        <v>236</v>
      </c>
      <c r="EQ493" t="s">
        <v>236</v>
      </c>
      <c r="ES493" t="s">
        <v>236</v>
      </c>
      <c r="EU493" t="s">
        <v>236</v>
      </c>
      <c r="EW493" t="s">
        <v>236</v>
      </c>
      <c r="EY493" t="s">
        <v>236</v>
      </c>
      <c r="FA493" t="s">
        <v>236</v>
      </c>
      <c r="FC493" t="s">
        <v>236</v>
      </c>
      <c r="FE493" t="s">
        <v>236</v>
      </c>
      <c r="FG493" t="s">
        <v>236</v>
      </c>
      <c r="FJ493" t="s">
        <v>236</v>
      </c>
      <c r="FM493" t="s">
        <v>236</v>
      </c>
      <c r="FW493" t="s">
        <v>236</v>
      </c>
      <c r="FZ493" t="s">
        <v>236</v>
      </c>
      <c r="GC493" t="s">
        <v>236</v>
      </c>
      <c r="GF493" t="s">
        <v>226</v>
      </c>
      <c r="GG493" t="s">
        <v>236</v>
      </c>
      <c r="GI493" t="s">
        <v>236</v>
      </c>
      <c r="GL493" t="s">
        <v>236</v>
      </c>
      <c r="GO493" t="s">
        <v>226</v>
      </c>
      <c r="GP493" t="s">
        <v>236</v>
      </c>
      <c r="GR493" t="s">
        <v>226</v>
      </c>
      <c r="GS493" t="s">
        <v>236</v>
      </c>
      <c r="GU493" t="s">
        <v>236</v>
      </c>
      <c r="GX493" t="s">
        <v>236</v>
      </c>
      <c r="HB493" t="s">
        <v>625</v>
      </c>
      <c r="HE493">
        <v>83525236</v>
      </c>
      <c r="HF493" t="s">
        <v>626</v>
      </c>
      <c r="HG493" s="2">
        <v>45758.702685185177</v>
      </c>
      <c r="HJ493" t="s">
        <v>248</v>
      </c>
      <c r="HL493" t="s">
        <v>282</v>
      </c>
      <c r="HN493">
        <v>492</v>
      </c>
    </row>
    <row r="494" spans="1:222" x14ac:dyDescent="0.25">
      <c r="A494" s="2">
        <v>45758.494340509264</v>
      </c>
      <c r="B494" s="2">
        <v>45758.497881122683</v>
      </c>
      <c r="C494" t="s">
        <v>270</v>
      </c>
      <c r="D494">
        <v>24</v>
      </c>
      <c r="E494" s="2">
        <v>45732</v>
      </c>
      <c r="F494">
        <v>5</v>
      </c>
      <c r="G494" t="s">
        <v>271</v>
      </c>
      <c r="H494" t="s">
        <v>223</v>
      </c>
      <c r="I494">
        <v>59</v>
      </c>
      <c r="J494" t="str">
        <f t="shared" si="7"/>
        <v>de 56 a más</v>
      </c>
      <c r="K494" t="s">
        <v>251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225</v>
      </c>
      <c r="R494" t="s">
        <v>226</v>
      </c>
      <c r="T494" t="s">
        <v>227</v>
      </c>
      <c r="V494" t="s">
        <v>252</v>
      </c>
      <c r="W494" t="s">
        <v>229</v>
      </c>
      <c r="X494" t="s">
        <v>230</v>
      </c>
      <c r="Z494" t="s">
        <v>231</v>
      </c>
      <c r="AA494" t="s">
        <v>232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I494" t="s">
        <v>233</v>
      </c>
      <c r="AJ494">
        <v>0</v>
      </c>
      <c r="AK494">
        <v>1</v>
      </c>
      <c r="AL494">
        <v>0</v>
      </c>
      <c r="AM494">
        <v>0</v>
      </c>
      <c r="AN494" t="s">
        <v>274</v>
      </c>
      <c r="AO494" t="s">
        <v>294</v>
      </c>
      <c r="AP494">
        <v>1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X494" t="s">
        <v>226</v>
      </c>
      <c r="AY494" t="s">
        <v>236</v>
      </c>
      <c r="AZ494" t="s">
        <v>259</v>
      </c>
      <c r="BA494" t="s">
        <v>627</v>
      </c>
      <c r="BB494" t="s">
        <v>628</v>
      </c>
      <c r="BE494" t="s">
        <v>259</v>
      </c>
      <c r="BF494" t="s">
        <v>259</v>
      </c>
      <c r="BG494" t="s">
        <v>259</v>
      </c>
      <c r="BH494" t="s">
        <v>259</v>
      </c>
      <c r="BI494" t="s">
        <v>259</v>
      </c>
      <c r="BJ494" t="s">
        <v>259</v>
      </c>
      <c r="BK494" t="s">
        <v>259</v>
      </c>
      <c r="BL494" t="s">
        <v>262</v>
      </c>
      <c r="BM494" t="s">
        <v>278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 t="s">
        <v>264</v>
      </c>
      <c r="CB494" t="s">
        <v>264</v>
      </c>
      <c r="CC494" t="s">
        <v>264</v>
      </c>
      <c r="CD494" t="s">
        <v>236</v>
      </c>
      <c r="CE494" t="s">
        <v>236</v>
      </c>
      <c r="EA494" t="s">
        <v>236</v>
      </c>
      <c r="EC494" t="s">
        <v>236</v>
      </c>
      <c r="EE494" t="s">
        <v>236</v>
      </c>
      <c r="EG494" t="s">
        <v>236</v>
      </c>
      <c r="EI494" t="s">
        <v>236</v>
      </c>
      <c r="EK494" t="s">
        <v>236</v>
      </c>
      <c r="EM494" t="s">
        <v>236</v>
      </c>
      <c r="EO494" t="s">
        <v>236</v>
      </c>
      <c r="EQ494" t="s">
        <v>236</v>
      </c>
      <c r="ES494" t="s">
        <v>236</v>
      </c>
      <c r="EU494" t="s">
        <v>236</v>
      </c>
      <c r="EW494" t="s">
        <v>236</v>
      </c>
      <c r="EY494" t="s">
        <v>236</v>
      </c>
      <c r="FA494" t="s">
        <v>236</v>
      </c>
      <c r="FC494" t="s">
        <v>236</v>
      </c>
      <c r="FE494" t="s">
        <v>236</v>
      </c>
      <c r="FG494" t="s">
        <v>236</v>
      </c>
      <c r="FJ494" t="s">
        <v>236</v>
      </c>
      <c r="FM494" t="s">
        <v>236</v>
      </c>
      <c r="FW494" t="s">
        <v>236</v>
      </c>
      <c r="FZ494" t="s">
        <v>236</v>
      </c>
      <c r="GC494" t="s">
        <v>236</v>
      </c>
      <c r="GF494" t="s">
        <v>226</v>
      </c>
      <c r="GG494" t="s">
        <v>236</v>
      </c>
      <c r="GI494" t="s">
        <v>236</v>
      </c>
      <c r="GL494" t="s">
        <v>236</v>
      </c>
      <c r="GO494" t="s">
        <v>236</v>
      </c>
      <c r="GR494" t="s">
        <v>226</v>
      </c>
      <c r="GS494" t="s">
        <v>236</v>
      </c>
      <c r="GU494" t="s">
        <v>226</v>
      </c>
      <c r="GV494" t="s">
        <v>236</v>
      </c>
      <c r="GX494" t="s">
        <v>236</v>
      </c>
      <c r="HB494" t="s">
        <v>279</v>
      </c>
      <c r="HC494" t="s">
        <v>268</v>
      </c>
      <c r="HE494">
        <v>83525704</v>
      </c>
      <c r="HF494" t="s">
        <v>629</v>
      </c>
      <c r="HG494" s="2">
        <v>45758.706226851849</v>
      </c>
      <c r="HJ494" t="s">
        <v>248</v>
      </c>
      <c r="HL494" t="s">
        <v>282</v>
      </c>
      <c r="HN494">
        <v>493</v>
      </c>
    </row>
    <row r="495" spans="1:222" x14ac:dyDescent="0.25">
      <c r="A495" s="2">
        <v>45758.497881643518</v>
      </c>
      <c r="B495" s="2">
        <v>45758.502602395827</v>
      </c>
      <c r="C495" t="s">
        <v>270</v>
      </c>
      <c r="D495">
        <v>26</v>
      </c>
      <c r="E495" s="2">
        <v>45732</v>
      </c>
      <c r="F495">
        <v>5</v>
      </c>
      <c r="G495" t="s">
        <v>528</v>
      </c>
      <c r="H495" t="s">
        <v>223</v>
      </c>
      <c r="I495">
        <v>65</v>
      </c>
      <c r="J495" t="str">
        <f t="shared" si="7"/>
        <v>de 56 a más</v>
      </c>
      <c r="K495" t="s">
        <v>224</v>
      </c>
      <c r="L495">
        <v>0</v>
      </c>
      <c r="M495">
        <v>1</v>
      </c>
      <c r="N495">
        <v>0</v>
      </c>
      <c r="O495">
        <v>0</v>
      </c>
      <c r="P495">
        <v>0</v>
      </c>
      <c r="Q495" t="s">
        <v>291</v>
      </c>
      <c r="R495" t="s">
        <v>226</v>
      </c>
      <c r="T495" t="s">
        <v>227</v>
      </c>
      <c r="V495" t="s">
        <v>252</v>
      </c>
      <c r="W495" t="s">
        <v>229</v>
      </c>
      <c r="X495" t="s">
        <v>299</v>
      </c>
      <c r="Z495" t="s">
        <v>308</v>
      </c>
      <c r="AA495" t="s">
        <v>352</v>
      </c>
      <c r="AB495">
        <v>1</v>
      </c>
      <c r="AC495">
        <v>0</v>
      </c>
      <c r="AD495">
        <v>0</v>
      </c>
      <c r="AE495">
        <v>0</v>
      </c>
      <c r="AF495">
        <v>1</v>
      </c>
      <c r="AG495">
        <v>0</v>
      </c>
      <c r="AI495" t="s">
        <v>233</v>
      </c>
      <c r="AJ495">
        <v>0</v>
      </c>
      <c r="AK495">
        <v>1</v>
      </c>
      <c r="AL495">
        <v>0</v>
      </c>
      <c r="AM495">
        <v>0</v>
      </c>
      <c r="AN495" t="s">
        <v>300</v>
      </c>
      <c r="AO495" t="s">
        <v>633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1</v>
      </c>
      <c r="AV495">
        <v>0</v>
      </c>
      <c r="AX495" t="s">
        <v>226</v>
      </c>
      <c r="AY495" t="s">
        <v>226</v>
      </c>
      <c r="AZ495" t="s">
        <v>237</v>
      </c>
      <c r="BA495" t="s">
        <v>634</v>
      </c>
      <c r="BE495" t="s">
        <v>259</v>
      </c>
      <c r="BF495" t="s">
        <v>237</v>
      </c>
      <c r="BG495" t="s">
        <v>259</v>
      </c>
      <c r="BH495" t="s">
        <v>239</v>
      </c>
      <c r="BI495" t="s">
        <v>239</v>
      </c>
      <c r="BJ495" t="s">
        <v>259</v>
      </c>
      <c r="BK495" t="s">
        <v>259</v>
      </c>
      <c r="BL495" t="s">
        <v>313</v>
      </c>
      <c r="BM495" t="s">
        <v>451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 t="s">
        <v>243</v>
      </c>
      <c r="CB495" t="s">
        <v>328</v>
      </c>
      <c r="CC495" t="s">
        <v>328</v>
      </c>
      <c r="CD495" t="s">
        <v>226</v>
      </c>
      <c r="CE495" t="s">
        <v>236</v>
      </c>
      <c r="EA495" t="s">
        <v>236</v>
      </c>
      <c r="EC495" t="s">
        <v>236</v>
      </c>
      <c r="EE495" t="s">
        <v>226</v>
      </c>
      <c r="EF495" t="s">
        <v>265</v>
      </c>
      <c r="EG495" t="s">
        <v>226</v>
      </c>
      <c r="EH495" t="s">
        <v>245</v>
      </c>
      <c r="EI495" t="s">
        <v>236</v>
      </c>
      <c r="EK495" t="s">
        <v>226</v>
      </c>
      <c r="EL495" t="s">
        <v>244</v>
      </c>
      <c r="EM495" t="s">
        <v>226</v>
      </c>
      <c r="EN495" t="s">
        <v>244</v>
      </c>
      <c r="EO495" t="s">
        <v>236</v>
      </c>
      <c r="EQ495" t="s">
        <v>236</v>
      </c>
      <c r="ES495" t="s">
        <v>236</v>
      </c>
      <c r="EU495" t="s">
        <v>236</v>
      </c>
      <c r="EW495" t="s">
        <v>236</v>
      </c>
      <c r="EY495" t="s">
        <v>226</v>
      </c>
      <c r="EZ495" t="s">
        <v>244</v>
      </c>
      <c r="FA495" t="s">
        <v>226</v>
      </c>
      <c r="FB495" t="s">
        <v>244</v>
      </c>
      <c r="FC495" t="s">
        <v>236</v>
      </c>
      <c r="FE495" t="s">
        <v>236</v>
      </c>
      <c r="FG495" t="s">
        <v>236</v>
      </c>
      <c r="FJ495" t="s">
        <v>226</v>
      </c>
      <c r="FK495" t="s">
        <v>245</v>
      </c>
      <c r="FL495" t="s">
        <v>226</v>
      </c>
      <c r="FM495" t="s">
        <v>236</v>
      </c>
      <c r="FW495" t="s">
        <v>236</v>
      </c>
      <c r="FZ495" t="s">
        <v>236</v>
      </c>
      <c r="GC495" t="s">
        <v>236</v>
      </c>
      <c r="GF495" t="s">
        <v>226</v>
      </c>
      <c r="GG495" t="s">
        <v>236</v>
      </c>
      <c r="GI495" t="s">
        <v>236</v>
      </c>
      <c r="GL495" t="s">
        <v>236</v>
      </c>
      <c r="GO495" t="s">
        <v>226</v>
      </c>
      <c r="GP495" t="s">
        <v>226</v>
      </c>
      <c r="GQ495" t="s">
        <v>267</v>
      </c>
      <c r="GR495" t="s">
        <v>226</v>
      </c>
      <c r="GS495" t="s">
        <v>236</v>
      </c>
      <c r="GU495" t="s">
        <v>236</v>
      </c>
      <c r="GX495" t="s">
        <v>236</v>
      </c>
      <c r="HB495" t="s">
        <v>635</v>
      </c>
      <c r="HC495" t="s">
        <v>636</v>
      </c>
      <c r="HD495" t="s">
        <v>637</v>
      </c>
      <c r="HE495">
        <v>83526548</v>
      </c>
      <c r="HF495" t="s">
        <v>638</v>
      </c>
      <c r="HG495" s="2">
        <v>45758.7109375</v>
      </c>
      <c r="HJ495" t="s">
        <v>248</v>
      </c>
      <c r="HL495" t="s">
        <v>282</v>
      </c>
      <c r="HN495">
        <v>494</v>
      </c>
    </row>
    <row r="496" spans="1:222" x14ac:dyDescent="0.25">
      <c r="A496" s="2">
        <v>45758.502602986111</v>
      </c>
      <c r="B496" s="2">
        <v>45758.508068437499</v>
      </c>
      <c r="C496" t="s">
        <v>270</v>
      </c>
      <c r="D496">
        <v>31</v>
      </c>
      <c r="E496" s="2">
        <v>45732</v>
      </c>
      <c r="F496">
        <v>5</v>
      </c>
      <c r="G496" t="s">
        <v>290</v>
      </c>
      <c r="H496" t="s">
        <v>223</v>
      </c>
      <c r="I496">
        <v>47</v>
      </c>
      <c r="J496" t="str">
        <f t="shared" si="7"/>
        <v>de 41 a 55 años</v>
      </c>
      <c r="K496" t="s">
        <v>251</v>
      </c>
      <c r="L496">
        <v>1</v>
      </c>
      <c r="M496">
        <v>0</v>
      </c>
      <c r="N496">
        <v>0</v>
      </c>
      <c r="O496">
        <v>0</v>
      </c>
      <c r="P496">
        <v>0</v>
      </c>
      <c r="Q496" t="s">
        <v>291</v>
      </c>
      <c r="R496" t="s">
        <v>226</v>
      </c>
      <c r="T496" t="s">
        <v>227</v>
      </c>
      <c r="V496" t="s">
        <v>228</v>
      </c>
      <c r="W496" t="s">
        <v>229</v>
      </c>
      <c r="X496" t="s">
        <v>230</v>
      </c>
      <c r="Z496" t="s">
        <v>273</v>
      </c>
      <c r="AA496" t="s">
        <v>293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I496" t="s">
        <v>233</v>
      </c>
      <c r="AJ496">
        <v>0</v>
      </c>
      <c r="AK496">
        <v>1</v>
      </c>
      <c r="AL496">
        <v>0</v>
      </c>
      <c r="AM496">
        <v>0</v>
      </c>
      <c r="AN496" t="s">
        <v>300</v>
      </c>
      <c r="AO496" t="s">
        <v>275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X496" t="s">
        <v>226</v>
      </c>
      <c r="AY496" t="s">
        <v>226</v>
      </c>
      <c r="AZ496" t="s">
        <v>237</v>
      </c>
      <c r="BA496" t="s">
        <v>580</v>
      </c>
      <c r="BE496" t="s">
        <v>259</v>
      </c>
      <c r="BF496" t="s">
        <v>237</v>
      </c>
      <c r="BG496" t="s">
        <v>259</v>
      </c>
      <c r="BH496" t="s">
        <v>239</v>
      </c>
      <c r="BI496" t="s">
        <v>259</v>
      </c>
      <c r="BJ496" t="s">
        <v>237</v>
      </c>
      <c r="BK496" t="s">
        <v>259</v>
      </c>
      <c r="BL496" t="s">
        <v>313</v>
      </c>
      <c r="BM496" t="s">
        <v>389</v>
      </c>
      <c r="BN496">
        <v>0</v>
      </c>
      <c r="BO496">
        <v>0</v>
      </c>
      <c r="BP496">
        <v>1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 t="s">
        <v>264</v>
      </c>
      <c r="CB496" t="s">
        <v>264</v>
      </c>
      <c r="CC496" t="s">
        <v>328</v>
      </c>
      <c r="CD496" t="s">
        <v>236</v>
      </c>
      <c r="CE496" t="s">
        <v>236</v>
      </c>
      <c r="EA496" t="s">
        <v>236</v>
      </c>
      <c r="EC496" t="s">
        <v>236</v>
      </c>
      <c r="EE496" t="s">
        <v>226</v>
      </c>
      <c r="EF496" t="s">
        <v>245</v>
      </c>
      <c r="EG496" t="s">
        <v>226</v>
      </c>
      <c r="EH496" t="s">
        <v>244</v>
      </c>
      <c r="EI496" t="s">
        <v>236</v>
      </c>
      <c r="EK496" t="s">
        <v>236</v>
      </c>
      <c r="EM496" t="s">
        <v>226</v>
      </c>
      <c r="EN496" t="s">
        <v>244</v>
      </c>
      <c r="EO496" t="s">
        <v>236</v>
      </c>
      <c r="EQ496" t="s">
        <v>236</v>
      </c>
      <c r="ES496" t="s">
        <v>236</v>
      </c>
      <c r="EU496" t="s">
        <v>236</v>
      </c>
      <c r="EW496" t="s">
        <v>236</v>
      </c>
      <c r="EY496" t="s">
        <v>226</v>
      </c>
      <c r="EZ496" t="s">
        <v>244</v>
      </c>
      <c r="FA496" t="s">
        <v>236</v>
      </c>
      <c r="FC496" t="s">
        <v>236</v>
      </c>
      <c r="FE496" t="s">
        <v>236</v>
      </c>
      <c r="FG496" t="s">
        <v>236</v>
      </c>
      <c r="FJ496" t="s">
        <v>226</v>
      </c>
      <c r="FK496" t="s">
        <v>245</v>
      </c>
      <c r="FL496" t="s">
        <v>236</v>
      </c>
      <c r="FM496" t="s">
        <v>236</v>
      </c>
      <c r="FW496" t="s">
        <v>236</v>
      </c>
      <c r="FZ496" t="s">
        <v>236</v>
      </c>
      <c r="GC496" t="s">
        <v>236</v>
      </c>
      <c r="GF496" t="s">
        <v>226</v>
      </c>
      <c r="GG496" t="s">
        <v>236</v>
      </c>
      <c r="GI496" t="s">
        <v>236</v>
      </c>
      <c r="GL496" t="s">
        <v>236</v>
      </c>
      <c r="GO496" t="s">
        <v>226</v>
      </c>
      <c r="GP496" t="s">
        <v>236</v>
      </c>
      <c r="GR496" t="s">
        <v>226</v>
      </c>
      <c r="GS496" t="s">
        <v>236</v>
      </c>
      <c r="GU496" t="s">
        <v>236</v>
      </c>
      <c r="GX496" t="s">
        <v>236</v>
      </c>
      <c r="HB496" t="s">
        <v>647</v>
      </c>
      <c r="HE496">
        <v>83527565</v>
      </c>
      <c r="HF496" t="s">
        <v>648</v>
      </c>
      <c r="HG496" s="2">
        <v>45758.716400462959</v>
      </c>
      <c r="HJ496" t="s">
        <v>248</v>
      </c>
      <c r="HL496" t="s">
        <v>282</v>
      </c>
      <c r="HN496">
        <v>495</v>
      </c>
    </row>
    <row r="497" spans="1:222" x14ac:dyDescent="0.25">
      <c r="A497" s="2">
        <v>45758.508069050928</v>
      </c>
      <c r="B497" s="2">
        <v>45758.51059096065</v>
      </c>
      <c r="C497" t="s">
        <v>270</v>
      </c>
      <c r="D497">
        <v>32</v>
      </c>
      <c r="E497" s="2">
        <v>45732</v>
      </c>
      <c r="F497">
        <v>5</v>
      </c>
      <c r="G497" t="s">
        <v>290</v>
      </c>
      <c r="H497" t="s">
        <v>223</v>
      </c>
      <c r="I497">
        <v>53</v>
      </c>
      <c r="J497" t="str">
        <f t="shared" si="7"/>
        <v>de 41 a 55 años</v>
      </c>
      <c r="K497" t="s">
        <v>251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291</v>
      </c>
      <c r="R497" t="s">
        <v>226</v>
      </c>
      <c r="T497" t="s">
        <v>227</v>
      </c>
      <c r="V497" t="s">
        <v>252</v>
      </c>
      <c r="W497" t="s">
        <v>229</v>
      </c>
      <c r="X497" t="s">
        <v>230</v>
      </c>
      <c r="Z497" t="s">
        <v>231</v>
      </c>
      <c r="AA497" t="s">
        <v>293</v>
      </c>
      <c r="AB497">
        <v>0</v>
      </c>
      <c r="AC497">
        <v>0</v>
      </c>
      <c r="AD497">
        <v>0</v>
      </c>
      <c r="AE497">
        <v>0</v>
      </c>
      <c r="AF497">
        <v>1</v>
      </c>
      <c r="AG497">
        <v>0</v>
      </c>
      <c r="AI497" t="s">
        <v>233</v>
      </c>
      <c r="AJ497">
        <v>0</v>
      </c>
      <c r="AK497">
        <v>1</v>
      </c>
      <c r="AL497">
        <v>0</v>
      </c>
      <c r="AM497">
        <v>0</v>
      </c>
      <c r="AN497" t="s">
        <v>234</v>
      </c>
      <c r="AO497" t="s">
        <v>275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0</v>
      </c>
      <c r="AX497" t="s">
        <v>226</v>
      </c>
      <c r="AY497" t="s">
        <v>236</v>
      </c>
      <c r="AZ497" t="s">
        <v>237</v>
      </c>
      <c r="BA497" t="s">
        <v>649</v>
      </c>
      <c r="BE497" t="s">
        <v>259</v>
      </c>
      <c r="BF497" t="s">
        <v>237</v>
      </c>
      <c r="BG497" t="s">
        <v>259</v>
      </c>
      <c r="BH497" t="s">
        <v>259</v>
      </c>
      <c r="BI497" t="s">
        <v>237</v>
      </c>
      <c r="BJ497" t="s">
        <v>237</v>
      </c>
      <c r="BK497" t="s">
        <v>259</v>
      </c>
      <c r="BL497" t="s">
        <v>262</v>
      </c>
      <c r="BM497" t="s">
        <v>650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1</v>
      </c>
      <c r="BW497">
        <v>0</v>
      </c>
      <c r="BX497">
        <v>0</v>
      </c>
      <c r="BY497">
        <v>0</v>
      </c>
      <c r="BZ497">
        <v>0</v>
      </c>
      <c r="CA497" t="s">
        <v>264</v>
      </c>
      <c r="CB497" t="s">
        <v>243</v>
      </c>
      <c r="CC497" t="s">
        <v>264</v>
      </c>
      <c r="CD497" t="s">
        <v>236</v>
      </c>
      <c r="CE497" t="s">
        <v>236</v>
      </c>
      <c r="EA497" t="s">
        <v>236</v>
      </c>
      <c r="EC497" t="s">
        <v>236</v>
      </c>
      <c r="EE497" t="s">
        <v>236</v>
      </c>
      <c r="EG497" t="s">
        <v>226</v>
      </c>
      <c r="EH497" t="s">
        <v>244</v>
      </c>
      <c r="EI497" t="s">
        <v>236</v>
      </c>
      <c r="EK497" t="s">
        <v>236</v>
      </c>
      <c r="EM497" t="s">
        <v>226</v>
      </c>
      <c r="EN497" t="s">
        <v>244</v>
      </c>
      <c r="EO497" t="s">
        <v>236</v>
      </c>
      <c r="EQ497" t="s">
        <v>236</v>
      </c>
      <c r="ES497" t="s">
        <v>236</v>
      </c>
      <c r="EU497" t="s">
        <v>236</v>
      </c>
      <c r="EW497" t="s">
        <v>236</v>
      </c>
      <c r="EY497" t="s">
        <v>226</v>
      </c>
      <c r="EZ497" t="s">
        <v>244</v>
      </c>
      <c r="FA497" t="s">
        <v>236</v>
      </c>
      <c r="FC497" t="s">
        <v>236</v>
      </c>
      <c r="FE497" t="s">
        <v>236</v>
      </c>
      <c r="FG497" t="s">
        <v>236</v>
      </c>
      <c r="FJ497" t="s">
        <v>226</v>
      </c>
      <c r="FK497" t="s">
        <v>265</v>
      </c>
      <c r="FL497" t="s">
        <v>236</v>
      </c>
      <c r="FM497" t="s">
        <v>236</v>
      </c>
      <c r="FW497" t="s">
        <v>236</v>
      </c>
      <c r="FZ497" t="s">
        <v>236</v>
      </c>
      <c r="GC497" t="s">
        <v>236</v>
      </c>
      <c r="GF497" t="s">
        <v>236</v>
      </c>
      <c r="GI497" t="s">
        <v>236</v>
      </c>
      <c r="GL497" t="s">
        <v>236</v>
      </c>
      <c r="GO497" t="s">
        <v>226</v>
      </c>
      <c r="GP497" t="s">
        <v>236</v>
      </c>
      <c r="GR497" t="s">
        <v>226</v>
      </c>
      <c r="GS497" t="s">
        <v>236</v>
      </c>
      <c r="GU497" t="s">
        <v>236</v>
      </c>
      <c r="GX497" t="s">
        <v>236</v>
      </c>
      <c r="HB497" t="s">
        <v>651</v>
      </c>
      <c r="HE497">
        <v>83527781</v>
      </c>
      <c r="HF497" t="s">
        <v>652</v>
      </c>
      <c r="HG497" s="2">
        <v>45758.718923611108</v>
      </c>
      <c r="HJ497" t="s">
        <v>248</v>
      </c>
      <c r="HL497" t="s">
        <v>282</v>
      </c>
      <c r="HN497">
        <v>496</v>
      </c>
    </row>
    <row r="498" spans="1:222" x14ac:dyDescent="0.25">
      <c r="A498" s="2">
        <v>45758.510591458333</v>
      </c>
      <c r="B498" s="2">
        <v>45758.513300185186</v>
      </c>
      <c r="C498" t="s">
        <v>270</v>
      </c>
      <c r="D498">
        <v>33</v>
      </c>
      <c r="E498" s="2">
        <v>45732</v>
      </c>
      <c r="F498">
        <v>5</v>
      </c>
      <c r="G498" t="s">
        <v>290</v>
      </c>
      <c r="H498" t="s">
        <v>223</v>
      </c>
      <c r="I498">
        <v>43</v>
      </c>
      <c r="J498" t="str">
        <f t="shared" si="7"/>
        <v>de 41 a 55 años</v>
      </c>
      <c r="K498" t="s">
        <v>224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291</v>
      </c>
      <c r="R498" t="s">
        <v>226</v>
      </c>
      <c r="T498" t="s">
        <v>227</v>
      </c>
      <c r="V498" t="s">
        <v>228</v>
      </c>
      <c r="W498" t="s">
        <v>229</v>
      </c>
      <c r="X498" t="s">
        <v>230</v>
      </c>
      <c r="Z498" t="s">
        <v>351</v>
      </c>
      <c r="AA498" t="s">
        <v>352</v>
      </c>
      <c r="AB498">
        <v>1</v>
      </c>
      <c r="AC498">
        <v>0</v>
      </c>
      <c r="AD498">
        <v>0</v>
      </c>
      <c r="AE498">
        <v>0</v>
      </c>
      <c r="AF498">
        <v>1</v>
      </c>
      <c r="AG498">
        <v>0</v>
      </c>
      <c r="AI498" t="s">
        <v>233</v>
      </c>
      <c r="AJ498">
        <v>0</v>
      </c>
      <c r="AK498">
        <v>1</v>
      </c>
      <c r="AL498">
        <v>0</v>
      </c>
      <c r="AM498">
        <v>0</v>
      </c>
      <c r="AN498" t="s">
        <v>300</v>
      </c>
      <c r="AO498" t="s">
        <v>235</v>
      </c>
      <c r="AP498">
        <v>0</v>
      </c>
      <c r="AQ498">
        <v>0</v>
      </c>
      <c r="AR498">
        <v>0</v>
      </c>
      <c r="AS498">
        <v>1</v>
      </c>
      <c r="AT498">
        <v>0</v>
      </c>
      <c r="AU498">
        <v>0</v>
      </c>
      <c r="AV498">
        <v>0</v>
      </c>
      <c r="AX498" t="s">
        <v>226</v>
      </c>
      <c r="AY498" t="s">
        <v>226</v>
      </c>
      <c r="AZ498" t="s">
        <v>237</v>
      </c>
      <c r="BA498" t="s">
        <v>653</v>
      </c>
      <c r="BE498" t="s">
        <v>259</v>
      </c>
      <c r="BF498" t="s">
        <v>237</v>
      </c>
      <c r="BG498" t="s">
        <v>259</v>
      </c>
      <c r="BH498" t="s">
        <v>259</v>
      </c>
      <c r="BI498" t="s">
        <v>237</v>
      </c>
      <c r="BJ498" t="s">
        <v>259</v>
      </c>
      <c r="BK498" t="s">
        <v>259</v>
      </c>
      <c r="BL498" t="s">
        <v>240</v>
      </c>
      <c r="BM498" t="s">
        <v>365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 t="s">
        <v>264</v>
      </c>
      <c r="CB498" t="s">
        <v>264</v>
      </c>
      <c r="CC498" t="s">
        <v>264</v>
      </c>
      <c r="CD498" t="s">
        <v>236</v>
      </c>
      <c r="CE498" t="s">
        <v>236</v>
      </c>
      <c r="EA498" t="s">
        <v>226</v>
      </c>
      <c r="EB498" t="s">
        <v>244</v>
      </c>
      <c r="EC498" t="s">
        <v>236</v>
      </c>
      <c r="EE498" t="s">
        <v>226</v>
      </c>
      <c r="EF498" t="s">
        <v>244</v>
      </c>
      <c r="EG498" t="s">
        <v>226</v>
      </c>
      <c r="EH498" t="s">
        <v>245</v>
      </c>
      <c r="EI498" t="s">
        <v>236</v>
      </c>
      <c r="EK498" t="s">
        <v>236</v>
      </c>
      <c r="EM498" t="s">
        <v>226</v>
      </c>
      <c r="EN498" t="s">
        <v>244</v>
      </c>
      <c r="EO498" t="s">
        <v>236</v>
      </c>
      <c r="EQ498" t="s">
        <v>236</v>
      </c>
      <c r="ES498" t="s">
        <v>236</v>
      </c>
      <c r="EU498" t="s">
        <v>236</v>
      </c>
      <c r="EW498" t="s">
        <v>226</v>
      </c>
      <c r="EX498" t="s">
        <v>244</v>
      </c>
      <c r="EY498" t="s">
        <v>236</v>
      </c>
      <c r="FA498" t="s">
        <v>226</v>
      </c>
      <c r="FB498" t="s">
        <v>245</v>
      </c>
      <c r="FC498" t="s">
        <v>236</v>
      </c>
      <c r="FE498" t="s">
        <v>236</v>
      </c>
      <c r="FG498" t="s">
        <v>236</v>
      </c>
      <c r="FJ498" t="s">
        <v>226</v>
      </c>
      <c r="FK498" t="s">
        <v>245</v>
      </c>
      <c r="FL498" t="s">
        <v>236</v>
      </c>
      <c r="FM498" t="s">
        <v>236</v>
      </c>
      <c r="FW498" t="s">
        <v>236</v>
      </c>
      <c r="FZ498" t="s">
        <v>236</v>
      </c>
      <c r="GC498" t="s">
        <v>236</v>
      </c>
      <c r="GF498" t="s">
        <v>226</v>
      </c>
      <c r="GG498" t="s">
        <v>226</v>
      </c>
      <c r="GH498" t="s">
        <v>266</v>
      </c>
      <c r="GI498" t="s">
        <v>236</v>
      </c>
      <c r="GL498" t="s">
        <v>236</v>
      </c>
      <c r="GO498" t="s">
        <v>226</v>
      </c>
      <c r="GP498" t="s">
        <v>236</v>
      </c>
      <c r="GR498" t="s">
        <v>226</v>
      </c>
      <c r="GS498" t="s">
        <v>226</v>
      </c>
      <c r="GT498" t="s">
        <v>266</v>
      </c>
      <c r="GU498" t="s">
        <v>236</v>
      </c>
      <c r="GX498" t="s">
        <v>236</v>
      </c>
      <c r="HB498" t="s">
        <v>654</v>
      </c>
      <c r="HE498">
        <v>83528110</v>
      </c>
      <c r="HF498" t="s">
        <v>655</v>
      </c>
      <c r="HG498" s="2">
        <v>45758.721643518518</v>
      </c>
      <c r="HJ498" t="s">
        <v>248</v>
      </c>
      <c r="HL498" t="s">
        <v>282</v>
      </c>
      <c r="HN498">
        <v>497</v>
      </c>
    </row>
    <row r="499" spans="1:222" x14ac:dyDescent="0.25">
      <c r="A499" s="2">
        <v>45758.513300659717</v>
      </c>
      <c r="B499" s="2">
        <v>45758.519224039352</v>
      </c>
      <c r="C499" t="s">
        <v>270</v>
      </c>
      <c r="D499">
        <v>34</v>
      </c>
      <c r="E499" s="2">
        <v>45732</v>
      </c>
      <c r="F499">
        <v>5</v>
      </c>
      <c r="G499" t="s">
        <v>271</v>
      </c>
      <c r="H499" t="s">
        <v>223</v>
      </c>
      <c r="I499">
        <v>49</v>
      </c>
      <c r="J499" t="str">
        <f t="shared" si="7"/>
        <v>de 41 a 55 años</v>
      </c>
      <c r="K499" t="s">
        <v>341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291</v>
      </c>
      <c r="R499" t="s">
        <v>226</v>
      </c>
      <c r="T499" t="s">
        <v>227</v>
      </c>
      <c r="V499" t="s">
        <v>228</v>
      </c>
      <c r="W499" t="s">
        <v>229</v>
      </c>
      <c r="X499" t="s">
        <v>230</v>
      </c>
      <c r="Z499" t="s">
        <v>231</v>
      </c>
      <c r="AA499" t="s">
        <v>293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0</v>
      </c>
      <c r="AI499" t="s">
        <v>256</v>
      </c>
      <c r="AJ499">
        <v>0</v>
      </c>
      <c r="AK499">
        <v>0</v>
      </c>
      <c r="AL499">
        <v>1</v>
      </c>
      <c r="AM499">
        <v>0</v>
      </c>
      <c r="AN499" t="s">
        <v>257</v>
      </c>
      <c r="AO499" t="s">
        <v>369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1</v>
      </c>
      <c r="AW499" t="s">
        <v>656</v>
      </c>
      <c r="AX499" t="s">
        <v>226</v>
      </c>
      <c r="AY499" t="s">
        <v>226</v>
      </c>
      <c r="AZ499" t="s">
        <v>237</v>
      </c>
      <c r="BA499" t="s">
        <v>336</v>
      </c>
      <c r="BB499" t="s">
        <v>657</v>
      </c>
      <c r="BC499" t="s">
        <v>438</v>
      </c>
      <c r="BE499" t="s">
        <v>259</v>
      </c>
      <c r="BF499" t="s">
        <v>259</v>
      </c>
      <c r="BG499" t="s">
        <v>259</v>
      </c>
      <c r="BH499" t="s">
        <v>259</v>
      </c>
      <c r="BI499" t="s">
        <v>259</v>
      </c>
      <c r="BJ499" t="s">
        <v>259</v>
      </c>
      <c r="BK499" t="s">
        <v>259</v>
      </c>
      <c r="BL499" t="s">
        <v>262</v>
      </c>
      <c r="BM499" t="s">
        <v>296</v>
      </c>
      <c r="BN499">
        <v>0</v>
      </c>
      <c r="BO499">
        <v>0</v>
      </c>
      <c r="BP499">
        <v>0</v>
      </c>
      <c r="BQ499">
        <v>0</v>
      </c>
      <c r="BR499">
        <v>1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 t="s">
        <v>264</v>
      </c>
      <c r="CB499" t="s">
        <v>264</v>
      </c>
      <c r="CC499" t="s">
        <v>264</v>
      </c>
      <c r="CD499" t="s">
        <v>236</v>
      </c>
      <c r="CE499" t="s">
        <v>236</v>
      </c>
      <c r="EA499" t="s">
        <v>236</v>
      </c>
      <c r="EC499" t="s">
        <v>236</v>
      </c>
      <c r="EE499" t="s">
        <v>236</v>
      </c>
      <c r="EG499" t="s">
        <v>236</v>
      </c>
      <c r="EI499" t="s">
        <v>236</v>
      </c>
      <c r="EK499" t="s">
        <v>236</v>
      </c>
      <c r="EM499" t="s">
        <v>236</v>
      </c>
      <c r="EO499" t="s">
        <v>236</v>
      </c>
      <c r="EQ499" t="s">
        <v>236</v>
      </c>
      <c r="ES499" t="s">
        <v>236</v>
      </c>
      <c r="EU499" t="s">
        <v>236</v>
      </c>
      <c r="EW499" t="s">
        <v>236</v>
      </c>
      <c r="EY499" t="s">
        <v>236</v>
      </c>
      <c r="FA499" t="s">
        <v>236</v>
      </c>
      <c r="FC499" t="s">
        <v>236</v>
      </c>
      <c r="FE499" t="s">
        <v>236</v>
      </c>
      <c r="FG499" t="s">
        <v>236</v>
      </c>
      <c r="FJ499" t="s">
        <v>226</v>
      </c>
      <c r="FK499" t="s">
        <v>245</v>
      </c>
      <c r="FL499" t="s">
        <v>226</v>
      </c>
      <c r="FM499" t="s">
        <v>236</v>
      </c>
      <c r="FW499" t="s">
        <v>236</v>
      </c>
      <c r="FZ499" t="s">
        <v>236</v>
      </c>
      <c r="GC499" t="s">
        <v>236</v>
      </c>
      <c r="GF499" t="s">
        <v>236</v>
      </c>
      <c r="GI499" t="s">
        <v>226</v>
      </c>
      <c r="GJ499" t="s">
        <v>236</v>
      </c>
      <c r="GL499" t="s">
        <v>226</v>
      </c>
      <c r="GM499" t="s">
        <v>236</v>
      </c>
      <c r="GO499" t="s">
        <v>226</v>
      </c>
      <c r="GP499" t="s">
        <v>236</v>
      </c>
      <c r="GR499" t="s">
        <v>226</v>
      </c>
      <c r="GS499" t="s">
        <v>236</v>
      </c>
      <c r="GU499" t="s">
        <v>236</v>
      </c>
      <c r="GX499" t="s">
        <v>236</v>
      </c>
      <c r="HB499" t="s">
        <v>537</v>
      </c>
      <c r="HC499" t="s">
        <v>303</v>
      </c>
      <c r="HE499">
        <v>83529040</v>
      </c>
      <c r="HF499" t="s">
        <v>658</v>
      </c>
      <c r="HG499" s="2">
        <v>45758.72755787037</v>
      </c>
      <c r="HJ499" t="s">
        <v>248</v>
      </c>
      <c r="HL499" t="s">
        <v>282</v>
      </c>
      <c r="HN499">
        <v>498</v>
      </c>
    </row>
    <row r="500" spans="1:222" x14ac:dyDescent="0.25">
      <c r="A500" s="2">
        <v>45758.519224548611</v>
      </c>
      <c r="B500" s="2">
        <v>45758.522140879628</v>
      </c>
      <c r="C500" t="s">
        <v>270</v>
      </c>
      <c r="D500">
        <v>35</v>
      </c>
      <c r="E500" s="2">
        <v>45732</v>
      </c>
      <c r="F500">
        <v>5</v>
      </c>
      <c r="G500" t="s">
        <v>271</v>
      </c>
      <c r="H500" t="s">
        <v>223</v>
      </c>
      <c r="I500">
        <v>55</v>
      </c>
      <c r="J500" t="str">
        <f t="shared" si="7"/>
        <v>de 41 a 55 años</v>
      </c>
      <c r="K500" t="s">
        <v>251</v>
      </c>
      <c r="L500">
        <v>3</v>
      </c>
      <c r="M500">
        <v>0</v>
      </c>
      <c r="N500">
        <v>2</v>
      </c>
      <c r="O500">
        <v>0</v>
      </c>
      <c r="P500">
        <v>4</v>
      </c>
      <c r="Q500" t="s">
        <v>291</v>
      </c>
      <c r="R500" t="s">
        <v>226</v>
      </c>
      <c r="T500" t="s">
        <v>659</v>
      </c>
      <c r="V500" t="s">
        <v>252</v>
      </c>
      <c r="W500" t="s">
        <v>229</v>
      </c>
      <c r="X500" t="s">
        <v>230</v>
      </c>
      <c r="Z500" t="s">
        <v>254</v>
      </c>
      <c r="AA500" t="s">
        <v>255</v>
      </c>
      <c r="AB500">
        <v>0</v>
      </c>
      <c r="AC500">
        <v>0</v>
      </c>
      <c r="AD500">
        <v>0</v>
      </c>
      <c r="AE500">
        <v>1</v>
      </c>
      <c r="AF500">
        <v>0</v>
      </c>
      <c r="AG500">
        <v>0</v>
      </c>
      <c r="AI500" t="s">
        <v>233</v>
      </c>
      <c r="AJ500">
        <v>0</v>
      </c>
      <c r="AK500">
        <v>1</v>
      </c>
      <c r="AL500">
        <v>0</v>
      </c>
      <c r="AM500">
        <v>0</v>
      </c>
      <c r="AN500" t="s">
        <v>300</v>
      </c>
      <c r="AO500" t="s">
        <v>275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X500" t="s">
        <v>226</v>
      </c>
      <c r="AY500" t="s">
        <v>236</v>
      </c>
      <c r="AZ500" t="s">
        <v>237</v>
      </c>
      <c r="BA500" t="s">
        <v>276</v>
      </c>
      <c r="BB500" t="s">
        <v>660</v>
      </c>
      <c r="BE500" t="s">
        <v>259</v>
      </c>
      <c r="BF500" t="s">
        <v>259</v>
      </c>
      <c r="BG500" t="s">
        <v>259</v>
      </c>
      <c r="BH500" t="s">
        <v>259</v>
      </c>
      <c r="BI500" t="s">
        <v>259</v>
      </c>
      <c r="BJ500" t="s">
        <v>259</v>
      </c>
      <c r="BK500" t="s">
        <v>259</v>
      </c>
      <c r="BL500" t="s">
        <v>313</v>
      </c>
      <c r="BM500" t="s">
        <v>451</v>
      </c>
      <c r="BN500">
        <v>1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 t="s">
        <v>243</v>
      </c>
      <c r="CB500" t="s">
        <v>243</v>
      </c>
      <c r="CC500" t="s">
        <v>243</v>
      </c>
      <c r="CD500" t="s">
        <v>236</v>
      </c>
      <c r="CE500" t="s">
        <v>236</v>
      </c>
      <c r="EA500" t="s">
        <v>236</v>
      </c>
      <c r="EC500" t="s">
        <v>236</v>
      </c>
      <c r="EE500" t="s">
        <v>236</v>
      </c>
      <c r="EG500" t="s">
        <v>236</v>
      </c>
      <c r="EI500" t="s">
        <v>236</v>
      </c>
      <c r="EK500" t="s">
        <v>236</v>
      </c>
      <c r="EM500" t="s">
        <v>308</v>
      </c>
      <c r="EO500" t="s">
        <v>226</v>
      </c>
      <c r="EP500" t="s">
        <v>244</v>
      </c>
      <c r="EQ500" t="s">
        <v>226</v>
      </c>
      <c r="ER500" t="s">
        <v>244</v>
      </c>
      <c r="ES500" t="s">
        <v>226</v>
      </c>
      <c r="ET500" t="s">
        <v>244</v>
      </c>
      <c r="EU500" t="s">
        <v>226</v>
      </c>
      <c r="EV500" t="s">
        <v>244</v>
      </c>
      <c r="EW500" t="s">
        <v>236</v>
      </c>
      <c r="EY500" t="s">
        <v>236</v>
      </c>
      <c r="FA500" t="s">
        <v>236</v>
      </c>
      <c r="FC500" t="s">
        <v>236</v>
      </c>
      <c r="FE500" t="s">
        <v>236</v>
      </c>
      <c r="FG500" t="s">
        <v>236</v>
      </c>
      <c r="FJ500" t="s">
        <v>236</v>
      </c>
      <c r="FM500" t="s">
        <v>236</v>
      </c>
      <c r="FW500" t="s">
        <v>236</v>
      </c>
      <c r="FZ500" t="s">
        <v>236</v>
      </c>
      <c r="GC500" t="s">
        <v>226</v>
      </c>
      <c r="GD500" t="s">
        <v>236</v>
      </c>
      <c r="GF500" t="s">
        <v>226</v>
      </c>
      <c r="GG500" t="s">
        <v>236</v>
      </c>
      <c r="GI500" t="s">
        <v>236</v>
      </c>
      <c r="GL500" t="s">
        <v>236</v>
      </c>
      <c r="GO500" t="s">
        <v>236</v>
      </c>
      <c r="GR500" t="s">
        <v>226</v>
      </c>
      <c r="GS500" t="s">
        <v>226</v>
      </c>
      <c r="GT500" t="s">
        <v>266</v>
      </c>
      <c r="GU500" t="s">
        <v>226</v>
      </c>
      <c r="GV500" t="s">
        <v>236</v>
      </c>
      <c r="GX500" t="s">
        <v>236</v>
      </c>
      <c r="HB500" t="s">
        <v>338</v>
      </c>
      <c r="HC500" t="s">
        <v>279</v>
      </c>
      <c r="HE500">
        <v>83529217</v>
      </c>
      <c r="HF500" t="s">
        <v>661</v>
      </c>
      <c r="HG500" s="2">
        <v>45758.730474537027</v>
      </c>
      <c r="HJ500" t="s">
        <v>248</v>
      </c>
      <c r="HL500" t="s">
        <v>282</v>
      </c>
      <c r="HN500">
        <v>499</v>
      </c>
    </row>
    <row r="501" spans="1:222" x14ac:dyDescent="0.25">
      <c r="A501" s="2">
        <v>45758.52214134259</v>
      </c>
      <c r="B501" s="2">
        <v>45758.52855304398</v>
      </c>
      <c r="C501" t="s">
        <v>270</v>
      </c>
      <c r="D501">
        <v>37</v>
      </c>
      <c r="E501" s="2">
        <v>45732</v>
      </c>
      <c r="F501">
        <v>5</v>
      </c>
      <c r="G501" t="s">
        <v>662</v>
      </c>
      <c r="H501" t="s">
        <v>223</v>
      </c>
      <c r="I501">
        <v>45</v>
      </c>
      <c r="J501" t="str">
        <f t="shared" si="7"/>
        <v>de 41 a 55 años</v>
      </c>
      <c r="K501" t="s">
        <v>224</v>
      </c>
      <c r="L501">
        <v>1</v>
      </c>
      <c r="M501">
        <v>0</v>
      </c>
      <c r="N501">
        <v>0</v>
      </c>
      <c r="O501">
        <v>0</v>
      </c>
      <c r="P501">
        <v>0</v>
      </c>
      <c r="Q501" t="s">
        <v>291</v>
      </c>
      <c r="R501" t="s">
        <v>226</v>
      </c>
      <c r="T501" t="s">
        <v>227</v>
      </c>
      <c r="V501" t="s">
        <v>228</v>
      </c>
      <c r="W501" t="s">
        <v>229</v>
      </c>
      <c r="X501" t="s">
        <v>230</v>
      </c>
      <c r="Z501" t="s">
        <v>398</v>
      </c>
      <c r="AA501" t="s">
        <v>232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I501" t="s">
        <v>233</v>
      </c>
      <c r="AJ501">
        <v>0</v>
      </c>
      <c r="AK501">
        <v>1</v>
      </c>
      <c r="AL501">
        <v>0</v>
      </c>
      <c r="AM501">
        <v>0</v>
      </c>
      <c r="AN501" t="s">
        <v>300</v>
      </c>
      <c r="AO501" t="s">
        <v>235</v>
      </c>
      <c r="AP501">
        <v>0</v>
      </c>
      <c r="AQ501">
        <v>0</v>
      </c>
      <c r="AR501">
        <v>0</v>
      </c>
      <c r="AS501">
        <v>1</v>
      </c>
      <c r="AT501">
        <v>0</v>
      </c>
      <c r="AU501">
        <v>0</v>
      </c>
      <c r="AV501">
        <v>0</v>
      </c>
      <c r="AX501" t="s">
        <v>236</v>
      </c>
      <c r="AZ501" t="s">
        <v>237</v>
      </c>
      <c r="BA501" t="s">
        <v>663</v>
      </c>
      <c r="BE501" t="s">
        <v>259</v>
      </c>
      <c r="BF501" t="s">
        <v>237</v>
      </c>
      <c r="BG501" t="s">
        <v>259</v>
      </c>
      <c r="BH501" t="s">
        <v>239</v>
      </c>
      <c r="BI501" t="s">
        <v>237</v>
      </c>
      <c r="BJ501" t="s">
        <v>237</v>
      </c>
      <c r="BK501" t="s">
        <v>259</v>
      </c>
      <c r="BL501" t="s">
        <v>262</v>
      </c>
      <c r="BM501" t="s">
        <v>518</v>
      </c>
      <c r="BN501">
        <v>0</v>
      </c>
      <c r="BO501">
        <v>0</v>
      </c>
      <c r="BP501">
        <v>1</v>
      </c>
      <c r="BQ501">
        <v>0</v>
      </c>
      <c r="BR501">
        <v>1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 t="s">
        <v>264</v>
      </c>
      <c r="CB501" t="s">
        <v>328</v>
      </c>
      <c r="CC501" t="s">
        <v>328</v>
      </c>
      <c r="CD501" t="s">
        <v>236</v>
      </c>
      <c r="CE501" t="s">
        <v>236</v>
      </c>
      <c r="EA501" t="s">
        <v>236</v>
      </c>
      <c r="EC501" t="s">
        <v>236</v>
      </c>
      <c r="EE501" t="s">
        <v>226</v>
      </c>
      <c r="EF501" t="s">
        <v>245</v>
      </c>
      <c r="EG501" t="s">
        <v>226</v>
      </c>
      <c r="EH501" t="s">
        <v>245</v>
      </c>
      <c r="EI501" t="s">
        <v>308</v>
      </c>
      <c r="EK501" t="s">
        <v>226</v>
      </c>
      <c r="EL501" t="s">
        <v>244</v>
      </c>
      <c r="EM501" t="s">
        <v>236</v>
      </c>
      <c r="EO501" t="s">
        <v>236</v>
      </c>
      <c r="EQ501" t="s">
        <v>236</v>
      </c>
      <c r="ES501" t="s">
        <v>236</v>
      </c>
      <c r="EU501" t="s">
        <v>236</v>
      </c>
      <c r="EW501" t="s">
        <v>236</v>
      </c>
      <c r="EY501" t="s">
        <v>236</v>
      </c>
      <c r="FA501" t="s">
        <v>226</v>
      </c>
      <c r="FB501" t="s">
        <v>245</v>
      </c>
      <c r="FC501" t="s">
        <v>236</v>
      </c>
      <c r="FE501" t="s">
        <v>236</v>
      </c>
      <c r="FG501" t="s">
        <v>236</v>
      </c>
      <c r="FJ501" t="s">
        <v>226</v>
      </c>
      <c r="FK501" t="s">
        <v>244</v>
      </c>
      <c r="FL501" t="s">
        <v>236</v>
      </c>
      <c r="FM501" t="s">
        <v>236</v>
      </c>
      <c r="FW501" t="s">
        <v>226</v>
      </c>
      <c r="FX501" t="s">
        <v>226</v>
      </c>
      <c r="FY501" t="s">
        <v>266</v>
      </c>
      <c r="FZ501" t="s">
        <v>226</v>
      </c>
      <c r="GA501" t="s">
        <v>236</v>
      </c>
      <c r="GC501" t="s">
        <v>236</v>
      </c>
      <c r="GF501" t="s">
        <v>236</v>
      </c>
      <c r="GI501" t="s">
        <v>236</v>
      </c>
      <c r="GL501" t="s">
        <v>236</v>
      </c>
      <c r="GO501" t="s">
        <v>236</v>
      </c>
      <c r="GR501" t="s">
        <v>226</v>
      </c>
      <c r="GS501" t="s">
        <v>226</v>
      </c>
      <c r="GT501" t="s">
        <v>266</v>
      </c>
      <c r="GU501" t="s">
        <v>236</v>
      </c>
      <c r="GX501" t="s">
        <v>236</v>
      </c>
      <c r="HB501" t="s">
        <v>664</v>
      </c>
      <c r="HE501">
        <v>83530214</v>
      </c>
      <c r="HF501" t="s">
        <v>665</v>
      </c>
      <c r="HG501" s="2">
        <v>45758.736886574072</v>
      </c>
      <c r="HJ501" t="s">
        <v>248</v>
      </c>
      <c r="HL501" t="s">
        <v>282</v>
      </c>
      <c r="HN501">
        <v>500</v>
      </c>
    </row>
    <row r="502" spans="1:222" x14ac:dyDescent="0.25">
      <c r="A502" s="2">
        <v>45758.52855354167</v>
      </c>
      <c r="B502" s="2">
        <v>45758.588645914351</v>
      </c>
      <c r="C502" t="s">
        <v>270</v>
      </c>
      <c r="D502">
        <v>38</v>
      </c>
      <c r="E502" s="2">
        <v>45732</v>
      </c>
      <c r="F502">
        <v>5</v>
      </c>
      <c r="G502" t="s">
        <v>528</v>
      </c>
      <c r="H502" t="s">
        <v>223</v>
      </c>
      <c r="I502">
        <v>40</v>
      </c>
      <c r="J502" t="str">
        <f t="shared" si="7"/>
        <v>de 26 a 40 años</v>
      </c>
      <c r="K502" t="s">
        <v>251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291</v>
      </c>
      <c r="R502" t="s">
        <v>226</v>
      </c>
      <c r="T502" t="s">
        <v>227</v>
      </c>
      <c r="V502" t="s">
        <v>228</v>
      </c>
      <c r="W502" t="s">
        <v>229</v>
      </c>
      <c r="X502" t="s">
        <v>350</v>
      </c>
      <c r="Z502" t="s">
        <v>308</v>
      </c>
      <c r="AA502" t="s">
        <v>232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I502" t="s">
        <v>233</v>
      </c>
      <c r="AJ502">
        <v>0</v>
      </c>
      <c r="AK502">
        <v>1</v>
      </c>
      <c r="AL502">
        <v>0</v>
      </c>
      <c r="AM502">
        <v>0</v>
      </c>
      <c r="AN502" t="s">
        <v>300</v>
      </c>
      <c r="AO502" t="s">
        <v>369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1</v>
      </c>
      <c r="AW502" t="s">
        <v>310</v>
      </c>
      <c r="AX502" t="s">
        <v>226</v>
      </c>
      <c r="AY502" t="s">
        <v>226</v>
      </c>
      <c r="AZ502" t="s">
        <v>237</v>
      </c>
      <c r="BA502" t="s">
        <v>666</v>
      </c>
      <c r="BB502" t="s">
        <v>667</v>
      </c>
      <c r="BE502" t="s">
        <v>259</v>
      </c>
      <c r="BF502" t="s">
        <v>237</v>
      </c>
      <c r="BG502" t="s">
        <v>259</v>
      </c>
      <c r="BH502" t="s">
        <v>239</v>
      </c>
      <c r="BI502" t="s">
        <v>239</v>
      </c>
      <c r="BJ502" t="s">
        <v>259</v>
      </c>
      <c r="BK502" t="s">
        <v>259</v>
      </c>
      <c r="BL502" t="s">
        <v>262</v>
      </c>
      <c r="BM502" t="s">
        <v>372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1</v>
      </c>
      <c r="CA502" t="s">
        <v>264</v>
      </c>
      <c r="CB502" t="s">
        <v>328</v>
      </c>
      <c r="CC502" t="s">
        <v>243</v>
      </c>
      <c r="CD502" t="s">
        <v>236</v>
      </c>
      <c r="CE502" t="s">
        <v>236</v>
      </c>
      <c r="EA502" t="s">
        <v>236</v>
      </c>
      <c r="EC502" t="s">
        <v>236</v>
      </c>
      <c r="EE502" t="s">
        <v>236</v>
      </c>
      <c r="EG502" t="s">
        <v>226</v>
      </c>
      <c r="EH502" t="s">
        <v>244</v>
      </c>
      <c r="EI502" t="s">
        <v>236</v>
      </c>
      <c r="EK502" t="s">
        <v>236</v>
      </c>
      <c r="EM502" t="s">
        <v>226</v>
      </c>
      <c r="EN502" t="s">
        <v>244</v>
      </c>
      <c r="EO502" t="s">
        <v>236</v>
      </c>
      <c r="EQ502" t="s">
        <v>236</v>
      </c>
      <c r="ES502" t="s">
        <v>236</v>
      </c>
      <c r="EU502" t="s">
        <v>236</v>
      </c>
      <c r="EW502" t="s">
        <v>236</v>
      </c>
      <c r="EY502" t="s">
        <v>236</v>
      </c>
      <c r="FA502" t="s">
        <v>236</v>
      </c>
      <c r="FC502" t="s">
        <v>236</v>
      </c>
      <c r="FE502" t="s">
        <v>236</v>
      </c>
      <c r="FG502" t="s">
        <v>236</v>
      </c>
      <c r="FJ502" t="s">
        <v>226</v>
      </c>
      <c r="FK502" t="s">
        <v>245</v>
      </c>
      <c r="FL502" t="s">
        <v>236</v>
      </c>
      <c r="FM502" t="s">
        <v>236</v>
      </c>
      <c r="FW502" t="s">
        <v>236</v>
      </c>
      <c r="FZ502" t="s">
        <v>236</v>
      </c>
      <c r="GC502" t="s">
        <v>236</v>
      </c>
      <c r="GF502" t="s">
        <v>226</v>
      </c>
      <c r="GG502" t="s">
        <v>236</v>
      </c>
      <c r="GI502" t="s">
        <v>236</v>
      </c>
      <c r="GL502" t="s">
        <v>236</v>
      </c>
      <c r="GO502" t="s">
        <v>226</v>
      </c>
      <c r="GP502" t="s">
        <v>226</v>
      </c>
      <c r="GQ502" t="s">
        <v>266</v>
      </c>
      <c r="GR502" t="s">
        <v>226</v>
      </c>
      <c r="GS502" t="s">
        <v>236</v>
      </c>
      <c r="GU502" t="s">
        <v>236</v>
      </c>
      <c r="GX502" t="s">
        <v>236</v>
      </c>
      <c r="HB502" t="s">
        <v>510</v>
      </c>
      <c r="HC502" t="s">
        <v>668</v>
      </c>
      <c r="HD502" t="s">
        <v>338</v>
      </c>
      <c r="HE502">
        <v>83535670</v>
      </c>
      <c r="HF502" t="s">
        <v>669</v>
      </c>
      <c r="HG502" s="2">
        <v>45758.796979166669</v>
      </c>
      <c r="HJ502" t="s">
        <v>248</v>
      </c>
      <c r="HL502" t="s">
        <v>282</v>
      </c>
      <c r="HN502">
        <v>501</v>
      </c>
    </row>
    <row r="503" spans="1:222" x14ac:dyDescent="0.25">
      <c r="A503" s="2">
        <v>45758.588646412027</v>
      </c>
      <c r="B503" s="2">
        <v>45758.591480277777</v>
      </c>
      <c r="C503" t="s">
        <v>270</v>
      </c>
      <c r="D503">
        <v>39</v>
      </c>
      <c r="E503" s="2">
        <v>45732</v>
      </c>
      <c r="F503">
        <v>5</v>
      </c>
      <c r="G503" t="s">
        <v>528</v>
      </c>
      <c r="H503" t="s">
        <v>223</v>
      </c>
      <c r="I503">
        <v>29</v>
      </c>
      <c r="J503" t="str">
        <f t="shared" si="7"/>
        <v>de 26 a 40 años</v>
      </c>
      <c r="K503" t="s">
        <v>251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291</v>
      </c>
      <c r="R503" t="s">
        <v>226</v>
      </c>
      <c r="T503" t="s">
        <v>227</v>
      </c>
      <c r="V503" t="s">
        <v>252</v>
      </c>
      <c r="W503" t="s">
        <v>229</v>
      </c>
      <c r="X503" t="s">
        <v>480</v>
      </c>
      <c r="Z503" t="s">
        <v>231</v>
      </c>
      <c r="AA503" t="s">
        <v>232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I503" t="s">
        <v>256</v>
      </c>
      <c r="AJ503">
        <v>0</v>
      </c>
      <c r="AK503">
        <v>0</v>
      </c>
      <c r="AL503">
        <v>1</v>
      </c>
      <c r="AM503">
        <v>0</v>
      </c>
      <c r="AN503" t="s">
        <v>234</v>
      </c>
      <c r="AO503" t="s">
        <v>275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</v>
      </c>
      <c r="AV503">
        <v>0</v>
      </c>
      <c r="AX503" t="s">
        <v>226</v>
      </c>
      <c r="AY503" t="s">
        <v>226</v>
      </c>
      <c r="AZ503" t="s">
        <v>362</v>
      </c>
      <c r="BA503" t="s">
        <v>670</v>
      </c>
      <c r="BB503" t="s">
        <v>671</v>
      </c>
      <c r="BC503" t="s">
        <v>672</v>
      </c>
      <c r="BE503" t="s">
        <v>259</v>
      </c>
      <c r="BF503" t="s">
        <v>237</v>
      </c>
      <c r="BG503" t="s">
        <v>259</v>
      </c>
      <c r="BH503" t="s">
        <v>239</v>
      </c>
      <c r="BI503" t="s">
        <v>237</v>
      </c>
      <c r="BJ503" t="s">
        <v>261</v>
      </c>
      <c r="BK503" t="s">
        <v>237</v>
      </c>
      <c r="BL503" t="s">
        <v>262</v>
      </c>
      <c r="BM503" t="s">
        <v>372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1</v>
      </c>
      <c r="CA503" t="s">
        <v>264</v>
      </c>
      <c r="CB503" t="s">
        <v>264</v>
      </c>
      <c r="CC503" t="s">
        <v>264</v>
      </c>
      <c r="CD503" t="s">
        <v>226</v>
      </c>
      <c r="CE503" t="s">
        <v>236</v>
      </c>
      <c r="EA503" t="s">
        <v>236</v>
      </c>
      <c r="EC503" t="s">
        <v>236</v>
      </c>
      <c r="EE503" t="s">
        <v>236</v>
      </c>
      <c r="EG503" t="s">
        <v>226</v>
      </c>
      <c r="EH503" t="s">
        <v>244</v>
      </c>
      <c r="EI503" t="s">
        <v>236</v>
      </c>
      <c r="EK503" t="s">
        <v>236</v>
      </c>
      <c r="EM503" t="s">
        <v>226</v>
      </c>
      <c r="EN503" t="s">
        <v>244</v>
      </c>
      <c r="EO503" t="s">
        <v>236</v>
      </c>
      <c r="EQ503" t="s">
        <v>236</v>
      </c>
      <c r="ES503" t="s">
        <v>236</v>
      </c>
      <c r="EU503" t="s">
        <v>236</v>
      </c>
      <c r="EW503" t="s">
        <v>226</v>
      </c>
      <c r="EX503" t="s">
        <v>244</v>
      </c>
      <c r="EY503" t="s">
        <v>226</v>
      </c>
      <c r="EZ503" t="s">
        <v>244</v>
      </c>
      <c r="FA503" t="s">
        <v>236</v>
      </c>
      <c r="FC503" t="s">
        <v>236</v>
      </c>
      <c r="FE503" t="s">
        <v>236</v>
      </c>
      <c r="FG503" t="s">
        <v>236</v>
      </c>
      <c r="FJ503" t="s">
        <v>226</v>
      </c>
      <c r="FK503" t="s">
        <v>245</v>
      </c>
      <c r="FL503" t="s">
        <v>236</v>
      </c>
      <c r="FM503" t="s">
        <v>236</v>
      </c>
      <c r="FW503" t="s">
        <v>226</v>
      </c>
      <c r="FX503" t="s">
        <v>236</v>
      </c>
      <c r="FZ503" t="s">
        <v>236</v>
      </c>
      <c r="GC503" t="s">
        <v>236</v>
      </c>
      <c r="GF503" t="s">
        <v>226</v>
      </c>
      <c r="GG503" t="s">
        <v>236</v>
      </c>
      <c r="GI503" t="s">
        <v>236</v>
      </c>
      <c r="GL503" t="s">
        <v>226</v>
      </c>
      <c r="GM503" t="s">
        <v>236</v>
      </c>
      <c r="GO503" t="s">
        <v>226</v>
      </c>
      <c r="GP503" t="s">
        <v>236</v>
      </c>
      <c r="GR503" t="s">
        <v>226</v>
      </c>
      <c r="GS503" t="s">
        <v>236</v>
      </c>
      <c r="GU503" t="s">
        <v>226</v>
      </c>
      <c r="GV503" t="s">
        <v>236</v>
      </c>
      <c r="GX503" t="s">
        <v>236</v>
      </c>
      <c r="HB503" t="s">
        <v>288</v>
      </c>
      <c r="HC503" t="s">
        <v>338</v>
      </c>
      <c r="HD503" t="s">
        <v>339</v>
      </c>
      <c r="HE503">
        <v>83535823</v>
      </c>
      <c r="HF503" t="s">
        <v>673</v>
      </c>
      <c r="HG503" s="2">
        <v>45758.799814814818</v>
      </c>
      <c r="HJ503" t="s">
        <v>248</v>
      </c>
      <c r="HL503" t="s">
        <v>282</v>
      </c>
      <c r="HN503">
        <v>502</v>
      </c>
    </row>
    <row r="504" spans="1:222" x14ac:dyDescent="0.25">
      <c r="A504" s="2">
        <v>45758.591480740739</v>
      </c>
      <c r="B504" s="2">
        <v>45758.593997303236</v>
      </c>
      <c r="C504" t="s">
        <v>270</v>
      </c>
      <c r="D504">
        <v>40</v>
      </c>
      <c r="E504" s="2">
        <v>45732</v>
      </c>
      <c r="F504">
        <v>5</v>
      </c>
      <c r="G504" t="s">
        <v>290</v>
      </c>
      <c r="H504" t="s">
        <v>223</v>
      </c>
      <c r="I504">
        <v>30</v>
      </c>
      <c r="J504" t="str">
        <f t="shared" si="7"/>
        <v>de 26 a 40 años</v>
      </c>
      <c r="K504" t="s">
        <v>251</v>
      </c>
      <c r="L504">
        <v>1</v>
      </c>
      <c r="M504">
        <v>0</v>
      </c>
      <c r="N504">
        <v>0</v>
      </c>
      <c r="O504">
        <v>0</v>
      </c>
      <c r="P504">
        <v>0</v>
      </c>
      <c r="Q504" t="s">
        <v>291</v>
      </c>
      <c r="R504" t="s">
        <v>226</v>
      </c>
      <c r="T504" t="s">
        <v>227</v>
      </c>
      <c r="V504" t="s">
        <v>228</v>
      </c>
      <c r="W504" t="s">
        <v>229</v>
      </c>
      <c r="X504" t="s">
        <v>253</v>
      </c>
      <c r="Z504" t="s">
        <v>351</v>
      </c>
      <c r="AA504" t="s">
        <v>293</v>
      </c>
      <c r="AB504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I504" t="s">
        <v>233</v>
      </c>
      <c r="AJ504">
        <v>0</v>
      </c>
      <c r="AK504">
        <v>1</v>
      </c>
      <c r="AL504">
        <v>0</v>
      </c>
      <c r="AM504">
        <v>0</v>
      </c>
      <c r="AN504" t="s">
        <v>300</v>
      </c>
      <c r="AO504" t="s">
        <v>235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0</v>
      </c>
      <c r="AV504">
        <v>0</v>
      </c>
      <c r="AX504" t="s">
        <v>226</v>
      </c>
      <c r="AY504" t="s">
        <v>226</v>
      </c>
      <c r="AZ504" t="s">
        <v>237</v>
      </c>
      <c r="BA504" t="s">
        <v>462</v>
      </c>
      <c r="BE504" t="s">
        <v>259</v>
      </c>
      <c r="BF504" t="s">
        <v>237</v>
      </c>
      <c r="BG504" t="s">
        <v>259</v>
      </c>
      <c r="BH504" t="s">
        <v>259</v>
      </c>
      <c r="BI504" t="s">
        <v>239</v>
      </c>
      <c r="BJ504" t="s">
        <v>259</v>
      </c>
      <c r="BK504" t="s">
        <v>259</v>
      </c>
      <c r="BL504" t="s">
        <v>262</v>
      </c>
      <c r="BM504" t="s">
        <v>451</v>
      </c>
      <c r="BN504">
        <v>1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 t="s">
        <v>242</v>
      </c>
      <c r="CB504" t="s">
        <v>328</v>
      </c>
      <c r="CC504" t="s">
        <v>328</v>
      </c>
      <c r="CD504" t="s">
        <v>236</v>
      </c>
      <c r="CE504" t="s">
        <v>236</v>
      </c>
      <c r="EA504" t="s">
        <v>236</v>
      </c>
      <c r="EC504" t="s">
        <v>236</v>
      </c>
      <c r="EE504" t="s">
        <v>236</v>
      </c>
      <c r="EG504" t="s">
        <v>226</v>
      </c>
      <c r="EH504" t="s">
        <v>244</v>
      </c>
      <c r="EI504" t="s">
        <v>236</v>
      </c>
      <c r="EK504" t="s">
        <v>236</v>
      </c>
      <c r="EM504" t="s">
        <v>236</v>
      </c>
      <c r="EO504" t="s">
        <v>236</v>
      </c>
      <c r="EQ504" t="s">
        <v>236</v>
      </c>
      <c r="ES504" t="s">
        <v>236</v>
      </c>
      <c r="EU504" t="s">
        <v>236</v>
      </c>
      <c r="EW504" t="s">
        <v>236</v>
      </c>
      <c r="EY504" t="s">
        <v>226</v>
      </c>
      <c r="EZ504" t="s">
        <v>244</v>
      </c>
      <c r="FA504" t="s">
        <v>226</v>
      </c>
      <c r="FB504" t="s">
        <v>244</v>
      </c>
      <c r="FC504" t="s">
        <v>236</v>
      </c>
      <c r="FE504" t="s">
        <v>236</v>
      </c>
      <c r="FG504" t="s">
        <v>236</v>
      </c>
      <c r="FJ504" t="s">
        <v>226</v>
      </c>
      <c r="FK504" t="s">
        <v>265</v>
      </c>
      <c r="FL504" t="s">
        <v>236</v>
      </c>
      <c r="FM504" t="s">
        <v>236</v>
      </c>
      <c r="FW504" t="s">
        <v>226</v>
      </c>
      <c r="FX504" t="s">
        <v>236</v>
      </c>
      <c r="FZ504" t="s">
        <v>236</v>
      </c>
      <c r="GC504" t="s">
        <v>236</v>
      </c>
      <c r="GF504" t="s">
        <v>226</v>
      </c>
      <c r="GG504" t="s">
        <v>236</v>
      </c>
      <c r="GI504" t="s">
        <v>236</v>
      </c>
      <c r="GL504" t="s">
        <v>236</v>
      </c>
      <c r="GO504" t="s">
        <v>226</v>
      </c>
      <c r="GP504" t="s">
        <v>236</v>
      </c>
      <c r="GR504" t="s">
        <v>226</v>
      </c>
      <c r="GS504" t="s">
        <v>236</v>
      </c>
      <c r="GU504" t="s">
        <v>236</v>
      </c>
      <c r="GX504" t="s">
        <v>236</v>
      </c>
      <c r="HB504" t="s">
        <v>463</v>
      </c>
      <c r="HE504">
        <v>83535997</v>
      </c>
      <c r="HF504" t="s">
        <v>464</v>
      </c>
      <c r="HG504" s="2">
        <v>45758.802337962959</v>
      </c>
      <c r="HJ504" t="s">
        <v>248</v>
      </c>
      <c r="HL504" t="s">
        <v>282</v>
      </c>
      <c r="HN504">
        <v>503</v>
      </c>
    </row>
    <row r="505" spans="1:222" x14ac:dyDescent="0.25">
      <c r="A505" s="2">
        <v>45774.593025624999</v>
      </c>
      <c r="B505" s="2">
        <v>45774.597287002318</v>
      </c>
      <c r="C505" t="s">
        <v>270</v>
      </c>
      <c r="D505">
        <v>202</v>
      </c>
      <c r="E505" s="2">
        <v>45730</v>
      </c>
      <c r="F505">
        <v>4</v>
      </c>
      <c r="G505" t="s">
        <v>413</v>
      </c>
      <c r="H505" t="s">
        <v>270</v>
      </c>
      <c r="I505">
        <v>25</v>
      </c>
      <c r="J505" t="str">
        <f t="shared" si="7"/>
        <v>de 18 a 25 años</v>
      </c>
      <c r="K505" t="s">
        <v>341</v>
      </c>
      <c r="L505">
        <v>1</v>
      </c>
      <c r="M505">
        <v>0</v>
      </c>
      <c r="N505">
        <v>0</v>
      </c>
      <c r="O505">
        <v>0</v>
      </c>
      <c r="P505">
        <v>0</v>
      </c>
      <c r="Q505" t="s">
        <v>291</v>
      </c>
      <c r="R505" t="s">
        <v>226</v>
      </c>
      <c r="T505" t="s">
        <v>227</v>
      </c>
      <c r="V505" t="s">
        <v>272</v>
      </c>
      <c r="W505" t="s">
        <v>292</v>
      </c>
      <c r="X505" t="s">
        <v>480</v>
      </c>
      <c r="Z505" t="s">
        <v>308</v>
      </c>
      <c r="AA505" t="s">
        <v>255</v>
      </c>
      <c r="AB505">
        <v>0</v>
      </c>
      <c r="AC505">
        <v>0</v>
      </c>
      <c r="AD505">
        <v>0</v>
      </c>
      <c r="AE505">
        <v>1</v>
      </c>
      <c r="AF505">
        <v>0</v>
      </c>
      <c r="AG505">
        <v>0</v>
      </c>
      <c r="AI505" t="s">
        <v>342</v>
      </c>
      <c r="AJ505">
        <v>0</v>
      </c>
      <c r="AK505">
        <v>1</v>
      </c>
      <c r="AL505">
        <v>1</v>
      </c>
      <c r="AM505">
        <v>1</v>
      </c>
      <c r="AN505" t="s">
        <v>300</v>
      </c>
      <c r="AO505" t="s">
        <v>369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 t="s">
        <v>884</v>
      </c>
      <c r="AX505" t="s">
        <v>226</v>
      </c>
      <c r="AY505" t="s">
        <v>226</v>
      </c>
      <c r="AZ505" t="s">
        <v>261</v>
      </c>
      <c r="BA505" t="s">
        <v>2160</v>
      </c>
      <c r="BB505" t="s">
        <v>886</v>
      </c>
      <c r="BE505" t="s">
        <v>261</v>
      </c>
      <c r="BF505" t="s">
        <v>261</v>
      </c>
      <c r="BG505" t="s">
        <v>259</v>
      </c>
      <c r="BH505" t="s">
        <v>261</v>
      </c>
      <c r="BI505" t="s">
        <v>259</v>
      </c>
      <c r="BJ505" t="s">
        <v>259</v>
      </c>
      <c r="BK505" t="s">
        <v>261</v>
      </c>
      <c r="BL505" t="s">
        <v>262</v>
      </c>
      <c r="BM505" t="s">
        <v>518</v>
      </c>
      <c r="BN505">
        <v>0</v>
      </c>
      <c r="BO505">
        <v>0</v>
      </c>
      <c r="BP505">
        <v>1</v>
      </c>
      <c r="BQ505">
        <v>0</v>
      </c>
      <c r="BR505">
        <v>1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 t="s">
        <v>264</v>
      </c>
      <c r="CB505" t="s">
        <v>328</v>
      </c>
      <c r="CC505" t="s">
        <v>264</v>
      </c>
      <c r="CD505" t="s">
        <v>226</v>
      </c>
      <c r="CE505" t="s">
        <v>226</v>
      </c>
      <c r="CF505" t="s">
        <v>887</v>
      </c>
      <c r="CG505">
        <v>1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</v>
      </c>
      <c r="CP505">
        <v>1</v>
      </c>
      <c r="CQ505">
        <v>0</v>
      </c>
      <c r="CS505" t="s">
        <v>226</v>
      </c>
      <c r="DA505" t="s">
        <v>226</v>
      </c>
      <c r="DB505" t="s">
        <v>226</v>
      </c>
      <c r="DD505" t="s">
        <v>316</v>
      </c>
      <c r="DT505" t="s">
        <v>520</v>
      </c>
      <c r="DV505" t="s">
        <v>520</v>
      </c>
      <c r="EA505" t="s">
        <v>226</v>
      </c>
      <c r="EB505" t="s">
        <v>245</v>
      </c>
      <c r="EC505" t="s">
        <v>236</v>
      </c>
      <c r="EE505" t="s">
        <v>226</v>
      </c>
      <c r="EF505" t="s">
        <v>245</v>
      </c>
      <c r="EG505" t="s">
        <v>226</v>
      </c>
      <c r="EH505" t="s">
        <v>245</v>
      </c>
      <c r="EI505" t="s">
        <v>226</v>
      </c>
      <c r="EJ505" t="s">
        <v>245</v>
      </c>
      <c r="EK505" t="s">
        <v>226</v>
      </c>
      <c r="EL505" t="s">
        <v>244</v>
      </c>
      <c r="EM505" t="s">
        <v>226</v>
      </c>
      <c r="EN505" t="s">
        <v>244</v>
      </c>
      <c r="EO505" t="s">
        <v>236</v>
      </c>
      <c r="EQ505" t="s">
        <v>236</v>
      </c>
      <c r="ES505" t="s">
        <v>226</v>
      </c>
      <c r="ET505" t="s">
        <v>244</v>
      </c>
      <c r="EU505" t="s">
        <v>236</v>
      </c>
      <c r="EW505" t="s">
        <v>236</v>
      </c>
      <c r="EY505" t="s">
        <v>226</v>
      </c>
      <c r="EZ505" t="s">
        <v>244</v>
      </c>
      <c r="FA505" t="s">
        <v>226</v>
      </c>
      <c r="FB505" t="s">
        <v>245</v>
      </c>
      <c r="FC505" t="s">
        <v>236</v>
      </c>
      <c r="FE505" t="s">
        <v>226</v>
      </c>
      <c r="FF505" t="s">
        <v>244</v>
      </c>
      <c r="FG505" t="s">
        <v>236</v>
      </c>
      <c r="FJ505" t="s">
        <v>226</v>
      </c>
      <c r="FK505" t="s">
        <v>245</v>
      </c>
      <c r="FL505" t="s">
        <v>226</v>
      </c>
      <c r="FM505" t="s">
        <v>226</v>
      </c>
      <c r="FN505" t="s">
        <v>416</v>
      </c>
      <c r="FO505">
        <v>0</v>
      </c>
      <c r="FP505">
        <v>1</v>
      </c>
      <c r="FQ505">
        <v>0</v>
      </c>
      <c r="FR505">
        <v>0</v>
      </c>
      <c r="FS505">
        <v>0</v>
      </c>
      <c r="FU505" t="s">
        <v>226</v>
      </c>
      <c r="FW505" t="s">
        <v>226</v>
      </c>
      <c r="FX505" t="s">
        <v>236</v>
      </c>
      <c r="FZ505" t="s">
        <v>226</v>
      </c>
      <c r="GA505" t="s">
        <v>226</v>
      </c>
      <c r="GB505" t="s">
        <v>266</v>
      </c>
      <c r="GC505" t="s">
        <v>236</v>
      </c>
      <c r="GF505" t="s">
        <v>226</v>
      </c>
      <c r="GG505" t="s">
        <v>236</v>
      </c>
      <c r="GI505" t="s">
        <v>236</v>
      </c>
      <c r="GL505" t="s">
        <v>236</v>
      </c>
      <c r="GO505" t="s">
        <v>226</v>
      </c>
      <c r="GP505" t="s">
        <v>226</v>
      </c>
      <c r="GQ505" t="s">
        <v>266</v>
      </c>
      <c r="GR505" t="s">
        <v>226</v>
      </c>
      <c r="GS505" t="s">
        <v>236</v>
      </c>
      <c r="GU505" t="s">
        <v>236</v>
      </c>
      <c r="GX505" t="s">
        <v>236</v>
      </c>
      <c r="HB505" t="s">
        <v>888</v>
      </c>
      <c r="HE505">
        <v>84746447</v>
      </c>
      <c r="HF505" t="s">
        <v>2161</v>
      </c>
      <c r="HG505" s="2">
        <v>45774.805659722217</v>
      </c>
      <c r="HJ505" t="s">
        <v>248</v>
      </c>
      <c r="HL505" t="s">
        <v>282</v>
      </c>
      <c r="HN505">
        <v>504</v>
      </c>
    </row>
    <row r="506" spans="1:222" x14ac:dyDescent="0.25">
      <c r="A506" s="2">
        <v>45774.597287476849</v>
      </c>
      <c r="B506" s="2">
        <v>45774.600413136577</v>
      </c>
      <c r="C506" t="s">
        <v>270</v>
      </c>
      <c r="D506">
        <v>468</v>
      </c>
      <c r="E506" s="2">
        <v>45732</v>
      </c>
      <c r="F506">
        <v>4</v>
      </c>
      <c r="G506" t="s">
        <v>450</v>
      </c>
      <c r="H506" t="s">
        <v>270</v>
      </c>
      <c r="I506">
        <v>28</v>
      </c>
      <c r="J506" t="str">
        <f t="shared" si="7"/>
        <v>de 26 a 40 años</v>
      </c>
      <c r="K506" t="s">
        <v>224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291</v>
      </c>
      <c r="R506" t="s">
        <v>226</v>
      </c>
      <c r="T506" t="s">
        <v>227</v>
      </c>
      <c r="V506" t="s">
        <v>228</v>
      </c>
      <c r="W506" t="s">
        <v>229</v>
      </c>
      <c r="X506" t="s">
        <v>480</v>
      </c>
      <c r="Z506" t="s">
        <v>398</v>
      </c>
      <c r="AA506" t="s">
        <v>293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I506" t="s">
        <v>233</v>
      </c>
      <c r="AJ506">
        <v>0</v>
      </c>
      <c r="AK506">
        <v>1</v>
      </c>
      <c r="AL506">
        <v>0</v>
      </c>
      <c r="AM506">
        <v>0</v>
      </c>
      <c r="AN506" t="s">
        <v>234</v>
      </c>
      <c r="AO506" t="s">
        <v>2155</v>
      </c>
      <c r="AP506">
        <v>0</v>
      </c>
      <c r="AQ506">
        <v>0</v>
      </c>
      <c r="AR506">
        <v>0</v>
      </c>
      <c r="AS506">
        <v>1</v>
      </c>
      <c r="AT506">
        <v>1</v>
      </c>
      <c r="AU506">
        <v>1</v>
      </c>
      <c r="AV506">
        <v>0</v>
      </c>
      <c r="AX506" t="s">
        <v>226</v>
      </c>
      <c r="AY506" t="s">
        <v>226</v>
      </c>
      <c r="AZ506" t="s">
        <v>259</v>
      </c>
      <c r="BA506" t="s">
        <v>2156</v>
      </c>
      <c r="BB506" t="s">
        <v>2157</v>
      </c>
      <c r="BE506" t="s">
        <v>261</v>
      </c>
      <c r="BF506" t="s">
        <v>259</v>
      </c>
      <c r="BG506" t="s">
        <v>237</v>
      </c>
      <c r="BH506" t="s">
        <v>259</v>
      </c>
      <c r="BI506" t="s">
        <v>259</v>
      </c>
      <c r="BJ506" t="s">
        <v>261</v>
      </c>
      <c r="BK506" t="s">
        <v>239</v>
      </c>
      <c r="BL506" t="s">
        <v>262</v>
      </c>
      <c r="BM506" t="s">
        <v>2158</v>
      </c>
      <c r="BN506">
        <v>0</v>
      </c>
      <c r="BO506">
        <v>0</v>
      </c>
      <c r="BP506">
        <v>1</v>
      </c>
      <c r="BQ506">
        <v>0</v>
      </c>
      <c r="BR506">
        <v>1</v>
      </c>
      <c r="BS506">
        <v>0</v>
      </c>
      <c r="BT506">
        <v>1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 t="s">
        <v>243</v>
      </c>
      <c r="CB506" t="s">
        <v>243</v>
      </c>
      <c r="CC506" t="s">
        <v>264</v>
      </c>
      <c r="CD506" t="s">
        <v>236</v>
      </c>
      <c r="CE506" t="s">
        <v>236</v>
      </c>
      <c r="EA506" t="s">
        <v>226</v>
      </c>
      <c r="EB506" t="s">
        <v>244</v>
      </c>
      <c r="EC506" t="s">
        <v>226</v>
      </c>
      <c r="ED506" t="s">
        <v>244</v>
      </c>
      <c r="EE506" t="s">
        <v>236</v>
      </c>
      <c r="EG506" t="s">
        <v>226</v>
      </c>
      <c r="EH506" t="s">
        <v>245</v>
      </c>
      <c r="EI506" t="s">
        <v>226</v>
      </c>
      <c r="EJ506" t="s">
        <v>245</v>
      </c>
      <c r="EK506" t="s">
        <v>236</v>
      </c>
      <c r="EM506" t="s">
        <v>226</v>
      </c>
      <c r="EN506" t="s">
        <v>265</v>
      </c>
      <c r="EO506" t="s">
        <v>226</v>
      </c>
      <c r="EP506" t="s">
        <v>245</v>
      </c>
      <c r="EQ506" t="s">
        <v>226</v>
      </c>
      <c r="ER506" t="s">
        <v>245</v>
      </c>
      <c r="ES506" t="s">
        <v>226</v>
      </c>
      <c r="ET506" t="s">
        <v>244</v>
      </c>
      <c r="EU506" t="s">
        <v>236</v>
      </c>
      <c r="EW506" t="s">
        <v>226</v>
      </c>
      <c r="EX506" t="s">
        <v>244</v>
      </c>
      <c r="EY506" t="s">
        <v>226</v>
      </c>
      <c r="EZ506" t="s">
        <v>244</v>
      </c>
      <c r="FA506" t="s">
        <v>226</v>
      </c>
      <c r="FB506" t="s">
        <v>244</v>
      </c>
      <c r="FC506" t="s">
        <v>236</v>
      </c>
      <c r="FE506" t="s">
        <v>236</v>
      </c>
      <c r="FG506" t="s">
        <v>236</v>
      </c>
      <c r="FJ506" t="s">
        <v>226</v>
      </c>
      <c r="FK506" t="s">
        <v>265</v>
      </c>
      <c r="FL506" t="s">
        <v>226</v>
      </c>
      <c r="FM506" t="s">
        <v>236</v>
      </c>
      <c r="FW506" t="s">
        <v>236</v>
      </c>
      <c r="FZ506" t="s">
        <v>236</v>
      </c>
      <c r="GC506" t="s">
        <v>236</v>
      </c>
      <c r="GF506" t="s">
        <v>236</v>
      </c>
      <c r="GI506" t="s">
        <v>236</v>
      </c>
      <c r="GL506" t="s">
        <v>236</v>
      </c>
      <c r="GO506" t="s">
        <v>226</v>
      </c>
      <c r="GP506" t="s">
        <v>226</v>
      </c>
      <c r="GQ506" t="s">
        <v>267</v>
      </c>
      <c r="GR506" t="s">
        <v>226</v>
      </c>
      <c r="GS506" t="s">
        <v>226</v>
      </c>
      <c r="GT506" t="s">
        <v>601</v>
      </c>
      <c r="GU506" t="s">
        <v>226</v>
      </c>
      <c r="GV506" t="s">
        <v>226</v>
      </c>
      <c r="GW506" t="s">
        <v>267</v>
      </c>
      <c r="GX506" t="s">
        <v>236</v>
      </c>
      <c r="HB506" t="s">
        <v>268</v>
      </c>
      <c r="HC506" t="s">
        <v>1107</v>
      </c>
      <c r="HD506" t="s">
        <v>1211</v>
      </c>
      <c r="HE506">
        <v>84746504</v>
      </c>
      <c r="HF506" t="s">
        <v>2159</v>
      </c>
      <c r="HG506" s="2">
        <v>45774.808749999997</v>
      </c>
      <c r="HJ506" t="s">
        <v>248</v>
      </c>
      <c r="HL506" t="s">
        <v>282</v>
      </c>
      <c r="HN506">
        <v>505</v>
      </c>
    </row>
    <row r="507" spans="1:222" x14ac:dyDescent="0.25">
      <c r="A507" s="2">
        <v>45774.60079931713</v>
      </c>
      <c r="B507" s="2">
        <v>45774.603447499998</v>
      </c>
      <c r="C507" t="s">
        <v>270</v>
      </c>
      <c r="D507">
        <v>285</v>
      </c>
      <c r="E507" s="2">
        <v>45730</v>
      </c>
      <c r="F507">
        <v>1</v>
      </c>
      <c r="G507" t="s">
        <v>374</v>
      </c>
      <c r="H507" t="s">
        <v>375</v>
      </c>
      <c r="I507">
        <v>25</v>
      </c>
      <c r="J507" t="str">
        <f t="shared" si="7"/>
        <v>de 18 a 25 años</v>
      </c>
      <c r="K507" t="s">
        <v>341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225</v>
      </c>
      <c r="R507" t="s">
        <v>236</v>
      </c>
      <c r="S507" t="s">
        <v>935</v>
      </c>
      <c r="T507" t="s">
        <v>227</v>
      </c>
      <c r="V507" t="s">
        <v>228</v>
      </c>
      <c r="W507" t="s">
        <v>292</v>
      </c>
      <c r="X507" t="s">
        <v>230</v>
      </c>
      <c r="Z507" t="s">
        <v>231</v>
      </c>
      <c r="AA507" t="s">
        <v>293</v>
      </c>
      <c r="AB507">
        <v>0</v>
      </c>
      <c r="AC507">
        <v>0</v>
      </c>
      <c r="AD507">
        <v>0</v>
      </c>
      <c r="AE507">
        <v>0</v>
      </c>
      <c r="AF507">
        <v>1</v>
      </c>
      <c r="AG507">
        <v>0</v>
      </c>
      <c r="AI507" t="s">
        <v>311</v>
      </c>
      <c r="AJ507">
        <v>0</v>
      </c>
      <c r="AK507">
        <v>1</v>
      </c>
      <c r="AL507">
        <v>1</v>
      </c>
      <c r="AM507">
        <v>0</v>
      </c>
      <c r="AN507" t="s">
        <v>300</v>
      </c>
      <c r="AO507" t="s">
        <v>1012</v>
      </c>
      <c r="AP507">
        <v>0</v>
      </c>
      <c r="AQ507">
        <v>0</v>
      </c>
      <c r="AR507">
        <v>1</v>
      </c>
      <c r="AS507">
        <v>0</v>
      </c>
      <c r="AT507">
        <v>1</v>
      </c>
      <c r="AU507">
        <v>0</v>
      </c>
      <c r="AV507">
        <v>0</v>
      </c>
      <c r="AX507" t="s">
        <v>226</v>
      </c>
      <c r="AY507" t="s">
        <v>226</v>
      </c>
      <c r="AZ507" t="s">
        <v>237</v>
      </c>
      <c r="BA507" t="s">
        <v>1464</v>
      </c>
      <c r="BE507" t="s">
        <v>259</v>
      </c>
      <c r="BF507" t="s">
        <v>237</v>
      </c>
      <c r="BG507" t="s">
        <v>259</v>
      </c>
      <c r="BH507" t="s">
        <v>259</v>
      </c>
      <c r="BI507" t="s">
        <v>239</v>
      </c>
      <c r="BJ507" t="s">
        <v>237</v>
      </c>
      <c r="BK507" t="s">
        <v>261</v>
      </c>
      <c r="BL507" t="s">
        <v>262</v>
      </c>
      <c r="BM507" t="s">
        <v>278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1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 t="s">
        <v>264</v>
      </c>
      <c r="CB507" t="s">
        <v>264</v>
      </c>
      <c r="CC507" t="s">
        <v>328</v>
      </c>
      <c r="CD507" t="s">
        <v>236</v>
      </c>
      <c r="CE507" t="s">
        <v>236</v>
      </c>
      <c r="EA507" t="s">
        <v>236</v>
      </c>
      <c r="EC507" t="s">
        <v>226</v>
      </c>
      <c r="ED507" t="s">
        <v>265</v>
      </c>
      <c r="EE507" t="s">
        <v>226</v>
      </c>
      <c r="EF507" t="s">
        <v>244</v>
      </c>
      <c r="EG507" t="s">
        <v>226</v>
      </c>
      <c r="EH507" t="s">
        <v>244</v>
      </c>
      <c r="EI507" t="s">
        <v>226</v>
      </c>
      <c r="EJ507" t="s">
        <v>265</v>
      </c>
      <c r="EK507" t="s">
        <v>226</v>
      </c>
      <c r="EL507" t="s">
        <v>244</v>
      </c>
      <c r="EM507" t="s">
        <v>226</v>
      </c>
      <c r="EN507" t="s">
        <v>244</v>
      </c>
      <c r="EO507" t="s">
        <v>226</v>
      </c>
      <c r="EP507" t="s">
        <v>244</v>
      </c>
      <c r="EQ507" t="s">
        <v>236</v>
      </c>
      <c r="ES507" t="s">
        <v>226</v>
      </c>
      <c r="ET507" t="s">
        <v>245</v>
      </c>
      <c r="EU507" t="s">
        <v>236</v>
      </c>
      <c r="EW507" t="s">
        <v>226</v>
      </c>
      <c r="EX507" t="s">
        <v>244</v>
      </c>
      <c r="EY507" t="s">
        <v>236</v>
      </c>
      <c r="FA507" t="s">
        <v>226</v>
      </c>
      <c r="FB507" t="s">
        <v>245</v>
      </c>
      <c r="FC507" t="s">
        <v>236</v>
      </c>
      <c r="FE507" t="s">
        <v>226</v>
      </c>
      <c r="FF507" t="s">
        <v>245</v>
      </c>
      <c r="FG507" t="s">
        <v>236</v>
      </c>
      <c r="FJ507" t="s">
        <v>226</v>
      </c>
      <c r="FK507" t="s">
        <v>245</v>
      </c>
      <c r="FL507" t="s">
        <v>236</v>
      </c>
      <c r="FM507" t="s">
        <v>236</v>
      </c>
      <c r="FW507" t="s">
        <v>226</v>
      </c>
      <c r="FX507" t="s">
        <v>236</v>
      </c>
      <c r="FZ507" t="s">
        <v>226</v>
      </c>
      <c r="GA507" t="s">
        <v>236</v>
      </c>
      <c r="GC507" t="s">
        <v>236</v>
      </c>
      <c r="GF507" t="s">
        <v>226</v>
      </c>
      <c r="GG507" t="s">
        <v>236</v>
      </c>
      <c r="GI507" t="s">
        <v>236</v>
      </c>
      <c r="GL507" t="s">
        <v>236</v>
      </c>
      <c r="GO507" t="s">
        <v>226</v>
      </c>
      <c r="GP507" t="s">
        <v>226</v>
      </c>
      <c r="GQ507" t="s">
        <v>266</v>
      </c>
      <c r="GR507" t="s">
        <v>226</v>
      </c>
      <c r="GS507" t="s">
        <v>226</v>
      </c>
      <c r="GT507" t="s">
        <v>266</v>
      </c>
      <c r="GU507" t="s">
        <v>236</v>
      </c>
      <c r="GX507" t="s">
        <v>236</v>
      </c>
      <c r="HB507" t="s">
        <v>338</v>
      </c>
      <c r="HE507">
        <v>84746583</v>
      </c>
      <c r="HF507" t="s">
        <v>2154</v>
      </c>
      <c r="HG507" s="2">
        <v>45774.811782407407</v>
      </c>
      <c r="HJ507" t="s">
        <v>248</v>
      </c>
      <c r="HL507" t="s">
        <v>282</v>
      </c>
      <c r="HN507">
        <v>506</v>
      </c>
    </row>
  </sheetData>
  <autoFilter ref="A1:HN507">
    <sortState ref="A2:HN507">
      <sortCondition ref="A1:A507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5"/>
  <sheetViews>
    <sheetView topLeftCell="A17" zoomScaleNormal="100" workbookViewId="0">
      <selection activeCell="B17" sqref="B17"/>
    </sheetView>
  </sheetViews>
  <sheetFormatPr baseColWidth="10" defaultRowHeight="15" x14ac:dyDescent="0.25"/>
  <cols>
    <col min="1" max="1" width="17.5703125" bestFit="1" customWidth="1"/>
    <col min="2" max="2" width="35.42578125" customWidth="1"/>
    <col min="4" max="4" width="28" customWidth="1"/>
    <col min="5" max="5" width="37.28515625" bestFit="1" customWidth="1"/>
    <col min="7" max="7" width="17.5703125" bestFit="1" customWidth="1"/>
    <col min="8" max="8" width="41.85546875" bestFit="1" customWidth="1"/>
  </cols>
  <sheetData>
    <row r="1" spans="1:2" x14ac:dyDescent="0.25">
      <c r="A1" s="20" t="s">
        <v>2187</v>
      </c>
      <c r="B1" s="20"/>
    </row>
    <row r="3" spans="1:2" x14ac:dyDescent="0.25">
      <c r="A3" s="3" t="s">
        <v>2164</v>
      </c>
      <c r="B3" t="s">
        <v>2166</v>
      </c>
    </row>
    <row r="4" spans="1:2" x14ac:dyDescent="0.25">
      <c r="A4" s="4">
        <v>1</v>
      </c>
      <c r="B4">
        <v>256</v>
      </c>
    </row>
    <row r="5" spans="1:2" x14ac:dyDescent="0.25">
      <c r="A5" s="4" t="s">
        <v>2165</v>
      </c>
      <c r="B5">
        <v>256</v>
      </c>
    </row>
    <row r="7" spans="1:2" x14ac:dyDescent="0.25">
      <c r="A7" s="3" t="s">
        <v>2164</v>
      </c>
      <c r="B7" t="s">
        <v>2167</v>
      </c>
    </row>
    <row r="8" spans="1:2" x14ac:dyDescent="0.25">
      <c r="A8" s="4">
        <v>1</v>
      </c>
      <c r="B8">
        <v>23</v>
      </c>
    </row>
    <row r="9" spans="1:2" x14ac:dyDescent="0.25">
      <c r="A9" s="4" t="s">
        <v>2165</v>
      </c>
      <c r="B9">
        <v>23</v>
      </c>
    </row>
    <row r="11" spans="1:2" x14ac:dyDescent="0.25">
      <c r="A11" s="3" t="s">
        <v>2164</v>
      </c>
      <c r="B11" t="s">
        <v>2168</v>
      </c>
    </row>
    <row r="12" spans="1:2" x14ac:dyDescent="0.25">
      <c r="A12" s="4">
        <v>1</v>
      </c>
      <c r="B12">
        <v>19</v>
      </c>
    </row>
    <row r="13" spans="1:2" x14ac:dyDescent="0.25">
      <c r="A13" s="4" t="s">
        <v>2165</v>
      </c>
      <c r="B13">
        <v>19</v>
      </c>
    </row>
    <row r="16" spans="1:2" x14ac:dyDescent="0.25">
      <c r="A16" s="3" t="s">
        <v>2164</v>
      </c>
      <c r="B16" t="s">
        <v>2169</v>
      </c>
    </row>
    <row r="17" spans="1:2" x14ac:dyDescent="0.25">
      <c r="A17" s="4">
        <v>1</v>
      </c>
      <c r="B17">
        <v>119</v>
      </c>
    </row>
    <row r="18" spans="1:2" x14ac:dyDescent="0.25">
      <c r="A18" s="4" t="s">
        <v>2165</v>
      </c>
      <c r="B18">
        <v>119</v>
      </c>
    </row>
    <row r="21" spans="1:2" x14ac:dyDescent="0.25">
      <c r="A21" s="3" t="s">
        <v>2164</v>
      </c>
      <c r="B21" t="s">
        <v>2170</v>
      </c>
    </row>
    <row r="22" spans="1:2" x14ac:dyDescent="0.25">
      <c r="A22" s="4">
        <v>1</v>
      </c>
      <c r="B22">
        <v>151</v>
      </c>
    </row>
    <row r="23" spans="1:2" x14ac:dyDescent="0.25">
      <c r="A23" s="4" t="s">
        <v>2165</v>
      </c>
      <c r="B23">
        <v>151</v>
      </c>
    </row>
    <row r="26" spans="1:2" x14ac:dyDescent="0.25">
      <c r="A26" s="3" t="s">
        <v>2164</v>
      </c>
      <c r="B26" t="s">
        <v>2171</v>
      </c>
    </row>
    <row r="27" spans="1:2" x14ac:dyDescent="0.25">
      <c r="A27" s="4">
        <v>1</v>
      </c>
      <c r="B27">
        <v>32</v>
      </c>
    </row>
    <row r="28" spans="1:2" x14ac:dyDescent="0.25">
      <c r="A28" s="4" t="s">
        <v>2165</v>
      </c>
      <c r="B28">
        <v>32</v>
      </c>
    </row>
    <row r="31" spans="1:2" x14ac:dyDescent="0.25">
      <c r="A31" s="3" t="s">
        <v>2164</v>
      </c>
      <c r="B31" t="s">
        <v>2172</v>
      </c>
    </row>
    <row r="32" spans="1:2" x14ac:dyDescent="0.25">
      <c r="A32" s="4">
        <v>1</v>
      </c>
      <c r="B32">
        <v>23</v>
      </c>
    </row>
    <row r="33" spans="1:2" x14ac:dyDescent="0.25">
      <c r="A33" s="4" t="s">
        <v>2165</v>
      </c>
      <c r="B33">
        <v>23</v>
      </c>
    </row>
    <row r="36" spans="1:2" x14ac:dyDescent="0.25">
      <c r="A36" s="3" t="s">
        <v>2164</v>
      </c>
      <c r="B36" t="s">
        <v>2173</v>
      </c>
    </row>
    <row r="37" spans="1:2" x14ac:dyDescent="0.25">
      <c r="A37" s="4">
        <v>1</v>
      </c>
      <c r="B37">
        <v>379</v>
      </c>
    </row>
    <row r="38" spans="1:2" x14ac:dyDescent="0.25">
      <c r="A38" s="4" t="s">
        <v>2165</v>
      </c>
      <c r="B38">
        <v>379</v>
      </c>
    </row>
    <row r="41" spans="1:2" x14ac:dyDescent="0.25">
      <c r="A41" s="3" t="s">
        <v>2164</v>
      </c>
      <c r="B41" t="s">
        <v>2174</v>
      </c>
    </row>
    <row r="42" spans="1:2" x14ac:dyDescent="0.25">
      <c r="A42" s="4">
        <v>1</v>
      </c>
      <c r="B42">
        <v>149</v>
      </c>
    </row>
    <row r="43" spans="1:2" x14ac:dyDescent="0.25">
      <c r="A43" s="4" t="s">
        <v>2165</v>
      </c>
      <c r="B43">
        <v>149</v>
      </c>
    </row>
    <row r="46" spans="1:2" x14ac:dyDescent="0.25">
      <c r="A46" s="3" t="s">
        <v>2164</v>
      </c>
      <c r="B46" t="s">
        <v>2175</v>
      </c>
    </row>
    <row r="47" spans="1:2" x14ac:dyDescent="0.25">
      <c r="A47" s="4">
        <v>1</v>
      </c>
      <c r="B47">
        <v>14</v>
      </c>
    </row>
    <row r="48" spans="1:2" x14ac:dyDescent="0.25">
      <c r="A48" s="4" t="s">
        <v>2165</v>
      </c>
      <c r="B48">
        <v>14</v>
      </c>
    </row>
    <row r="51" spans="1:2" x14ac:dyDescent="0.25">
      <c r="A51" s="3" t="s">
        <v>2164</v>
      </c>
      <c r="B51" t="s">
        <v>2176</v>
      </c>
    </row>
    <row r="52" spans="1:2" x14ac:dyDescent="0.25">
      <c r="A52" s="4" t="s">
        <v>257</v>
      </c>
      <c r="B52" s="6">
        <v>0.21541501976284586</v>
      </c>
    </row>
    <row r="53" spans="1:2" x14ac:dyDescent="0.25">
      <c r="A53" s="4" t="s">
        <v>300</v>
      </c>
      <c r="B53" s="6">
        <v>0.44071146245059289</v>
      </c>
    </row>
    <row r="54" spans="1:2" x14ac:dyDescent="0.25">
      <c r="A54" s="4" t="s">
        <v>234</v>
      </c>
      <c r="B54" s="6">
        <v>0.24505928853754941</v>
      </c>
    </row>
    <row r="55" spans="1:2" x14ac:dyDescent="0.25">
      <c r="A55" s="4" t="s">
        <v>274</v>
      </c>
      <c r="B55" s="6">
        <v>9.8814229249011856E-2</v>
      </c>
    </row>
    <row r="56" spans="1:2" x14ac:dyDescent="0.25">
      <c r="A56" s="4" t="s">
        <v>2165</v>
      </c>
      <c r="B56" s="6">
        <v>1</v>
      </c>
    </row>
    <row r="58" spans="1:2" x14ac:dyDescent="0.25">
      <c r="A58" s="3" t="s">
        <v>2164</v>
      </c>
      <c r="B58" t="s">
        <v>2178</v>
      </c>
    </row>
    <row r="59" spans="1:2" x14ac:dyDescent="0.25">
      <c r="A59" s="4">
        <v>0</v>
      </c>
      <c r="B59">
        <v>0</v>
      </c>
    </row>
    <row r="60" spans="1:2" x14ac:dyDescent="0.25">
      <c r="A60" s="4">
        <v>1</v>
      </c>
      <c r="B60">
        <v>105</v>
      </c>
    </row>
    <row r="61" spans="1:2" x14ac:dyDescent="0.25">
      <c r="A61" s="4" t="s">
        <v>2177</v>
      </c>
    </row>
    <row r="62" spans="1:2" x14ac:dyDescent="0.25">
      <c r="A62" s="4" t="s">
        <v>2165</v>
      </c>
      <c r="B62">
        <v>105</v>
      </c>
    </row>
    <row r="64" spans="1:2" x14ac:dyDescent="0.25">
      <c r="A64" s="3" t="s">
        <v>2164</v>
      </c>
      <c r="B64" t="s">
        <v>2179</v>
      </c>
    </row>
    <row r="65" spans="1:2" x14ac:dyDescent="0.25">
      <c r="A65" s="4">
        <v>0</v>
      </c>
      <c r="B65">
        <v>0</v>
      </c>
    </row>
    <row r="66" spans="1:2" x14ac:dyDescent="0.25">
      <c r="A66" s="4">
        <v>1</v>
      </c>
      <c r="B66">
        <v>15</v>
      </c>
    </row>
    <row r="67" spans="1:2" x14ac:dyDescent="0.25">
      <c r="A67" s="4" t="s">
        <v>2177</v>
      </c>
    </row>
    <row r="68" spans="1:2" x14ac:dyDescent="0.25">
      <c r="A68" s="4" t="s">
        <v>2165</v>
      </c>
      <c r="B68">
        <v>15</v>
      </c>
    </row>
    <row r="70" spans="1:2" x14ac:dyDescent="0.25">
      <c r="A70" s="3" t="s">
        <v>2164</v>
      </c>
      <c r="B70" t="s">
        <v>2180</v>
      </c>
    </row>
    <row r="71" spans="1:2" x14ac:dyDescent="0.25">
      <c r="A71" s="4">
        <v>0</v>
      </c>
      <c r="B71">
        <v>0</v>
      </c>
    </row>
    <row r="72" spans="1:2" x14ac:dyDescent="0.25">
      <c r="A72" s="4">
        <v>1</v>
      </c>
      <c r="B72">
        <v>109</v>
      </c>
    </row>
    <row r="73" spans="1:2" x14ac:dyDescent="0.25">
      <c r="A73" s="4" t="s">
        <v>2177</v>
      </c>
    </row>
    <row r="74" spans="1:2" x14ac:dyDescent="0.25">
      <c r="A74" s="4" t="s">
        <v>2165</v>
      </c>
      <c r="B74">
        <v>109</v>
      </c>
    </row>
    <row r="76" spans="1:2" x14ac:dyDescent="0.25">
      <c r="A76" s="3" t="s">
        <v>2164</v>
      </c>
      <c r="B76" t="s">
        <v>2181</v>
      </c>
    </row>
    <row r="77" spans="1:2" x14ac:dyDescent="0.25">
      <c r="A77" s="4">
        <v>0</v>
      </c>
      <c r="B77">
        <v>0</v>
      </c>
    </row>
    <row r="78" spans="1:2" x14ac:dyDescent="0.25">
      <c r="A78" s="4">
        <v>1</v>
      </c>
      <c r="B78">
        <v>122</v>
      </c>
    </row>
    <row r="79" spans="1:2" x14ac:dyDescent="0.25">
      <c r="A79" s="4" t="s">
        <v>2177</v>
      </c>
    </row>
    <row r="80" spans="1:2" x14ac:dyDescent="0.25">
      <c r="A80" s="4" t="s">
        <v>2165</v>
      </c>
      <c r="B80">
        <v>122</v>
      </c>
    </row>
    <row r="82" spans="1:2" x14ac:dyDescent="0.25">
      <c r="A82" s="3" t="s">
        <v>2164</v>
      </c>
      <c r="B82" t="s">
        <v>2182</v>
      </c>
    </row>
    <row r="83" spans="1:2" x14ac:dyDescent="0.25">
      <c r="A83" s="4">
        <v>0</v>
      </c>
      <c r="B83">
        <v>0</v>
      </c>
    </row>
    <row r="84" spans="1:2" x14ac:dyDescent="0.25">
      <c r="A84" s="4">
        <v>1</v>
      </c>
      <c r="B84">
        <v>49</v>
      </c>
    </row>
    <row r="85" spans="1:2" x14ac:dyDescent="0.25">
      <c r="A85" s="4" t="s">
        <v>2177</v>
      </c>
    </row>
    <row r="86" spans="1:2" x14ac:dyDescent="0.25">
      <c r="A86" s="4" t="s">
        <v>2165</v>
      </c>
      <c r="B86">
        <v>49</v>
      </c>
    </row>
    <row r="88" spans="1:2" x14ac:dyDescent="0.25">
      <c r="A88" s="3" t="s">
        <v>2164</v>
      </c>
      <c r="B88" t="s">
        <v>2183</v>
      </c>
    </row>
    <row r="89" spans="1:2" x14ac:dyDescent="0.25">
      <c r="A89" s="4">
        <v>0</v>
      </c>
      <c r="B89">
        <v>0</v>
      </c>
    </row>
    <row r="90" spans="1:2" x14ac:dyDescent="0.25">
      <c r="A90" s="4">
        <v>1</v>
      </c>
      <c r="B90">
        <v>190</v>
      </c>
    </row>
    <row r="91" spans="1:2" x14ac:dyDescent="0.25">
      <c r="A91" s="4" t="s">
        <v>2177</v>
      </c>
    </row>
    <row r="92" spans="1:2" x14ac:dyDescent="0.25">
      <c r="A92" s="4" t="s">
        <v>2165</v>
      </c>
      <c r="B92">
        <v>190</v>
      </c>
    </row>
    <row r="94" spans="1:2" x14ac:dyDescent="0.25">
      <c r="A94" s="3" t="s">
        <v>2164</v>
      </c>
      <c r="B94" t="s">
        <v>2184</v>
      </c>
    </row>
    <row r="95" spans="1:2" x14ac:dyDescent="0.25">
      <c r="A95" s="4">
        <v>0</v>
      </c>
      <c r="B95">
        <v>0</v>
      </c>
    </row>
    <row r="96" spans="1:2" x14ac:dyDescent="0.25">
      <c r="A96" s="4">
        <v>1</v>
      </c>
      <c r="B96">
        <v>72</v>
      </c>
    </row>
    <row r="97" spans="1:2" x14ac:dyDescent="0.25">
      <c r="A97" s="4" t="s">
        <v>2177</v>
      </c>
    </row>
    <row r="98" spans="1:2" x14ac:dyDescent="0.25">
      <c r="A98" s="4" t="s">
        <v>2165</v>
      </c>
      <c r="B98">
        <v>72</v>
      </c>
    </row>
    <row r="100" spans="1:2" x14ac:dyDescent="0.25">
      <c r="A100" s="3" t="s">
        <v>2164</v>
      </c>
      <c r="B100" t="s">
        <v>2185</v>
      </c>
    </row>
    <row r="101" spans="1:2" x14ac:dyDescent="0.25">
      <c r="A101" s="4" t="s">
        <v>226</v>
      </c>
      <c r="B101" s="6">
        <v>0.67786561264822132</v>
      </c>
    </row>
    <row r="102" spans="1:2" x14ac:dyDescent="0.25">
      <c r="A102" s="4" t="s">
        <v>236</v>
      </c>
      <c r="B102" s="6">
        <v>0.32213438735177868</v>
      </c>
    </row>
    <row r="103" spans="1:2" x14ac:dyDescent="0.25">
      <c r="A103" s="4" t="s">
        <v>2165</v>
      </c>
      <c r="B103" s="6">
        <v>1</v>
      </c>
    </row>
    <row r="105" spans="1:2" x14ac:dyDescent="0.25">
      <c r="A105" s="3" t="s">
        <v>48</v>
      </c>
      <c r="B105" t="s">
        <v>226</v>
      </c>
    </row>
    <row r="107" spans="1:2" x14ac:dyDescent="0.25">
      <c r="A107" s="3" t="s">
        <v>2164</v>
      </c>
      <c r="B107" t="s">
        <v>2186</v>
      </c>
    </row>
    <row r="108" spans="1:2" x14ac:dyDescent="0.25">
      <c r="A108" s="4" t="s">
        <v>226</v>
      </c>
      <c r="B108" s="6">
        <v>0.81924198250728864</v>
      </c>
    </row>
    <row r="109" spans="1:2" x14ac:dyDescent="0.25">
      <c r="A109" s="4" t="s">
        <v>236</v>
      </c>
      <c r="B109" s="6">
        <v>0.18075801749271136</v>
      </c>
    </row>
    <row r="110" spans="1:2" x14ac:dyDescent="0.25">
      <c r="A110" s="4" t="s">
        <v>2165</v>
      </c>
      <c r="B110" s="6">
        <v>1</v>
      </c>
    </row>
    <row r="113" spans="1:2" x14ac:dyDescent="0.25">
      <c r="A113" s="3" t="s">
        <v>2164</v>
      </c>
      <c r="B113" t="s">
        <v>2186</v>
      </c>
    </row>
    <row r="114" spans="1:2" x14ac:dyDescent="0.25">
      <c r="A114" s="4" t="s">
        <v>226</v>
      </c>
      <c r="B114" s="6">
        <v>0.81924198250728864</v>
      </c>
    </row>
    <row r="115" spans="1:2" x14ac:dyDescent="0.25">
      <c r="A115" s="4" t="s">
        <v>236</v>
      </c>
      <c r="B115" s="6">
        <v>0.18075801749271136</v>
      </c>
    </row>
    <row r="116" spans="1:2" x14ac:dyDescent="0.25">
      <c r="A116" s="4" t="s">
        <v>2177</v>
      </c>
      <c r="B116" s="6">
        <v>0</v>
      </c>
    </row>
    <row r="117" spans="1:2" x14ac:dyDescent="0.25">
      <c r="A117" s="4" t="s">
        <v>2165</v>
      </c>
      <c r="B117" s="6">
        <v>1</v>
      </c>
    </row>
    <row r="120" spans="1:2" x14ac:dyDescent="0.25">
      <c r="A120" s="20" t="s">
        <v>2188</v>
      </c>
      <c r="B120" s="20"/>
    </row>
    <row r="122" spans="1:2" x14ac:dyDescent="0.25">
      <c r="A122" s="3" t="s">
        <v>2164</v>
      </c>
      <c r="B122" t="s">
        <v>2189</v>
      </c>
    </row>
    <row r="123" spans="1:2" x14ac:dyDescent="0.25">
      <c r="A123" s="4" t="s">
        <v>362</v>
      </c>
      <c r="B123" s="6">
        <v>4.1501976284584984E-2</v>
      </c>
    </row>
    <row r="124" spans="1:2" x14ac:dyDescent="0.25">
      <c r="A124" s="4" t="s">
        <v>237</v>
      </c>
      <c r="B124" s="6">
        <v>0.67391304347826086</v>
      </c>
    </row>
    <row r="125" spans="1:2" x14ac:dyDescent="0.25">
      <c r="A125" s="4" t="s">
        <v>259</v>
      </c>
      <c r="B125" s="6">
        <v>0.2608695652173913</v>
      </c>
    </row>
    <row r="126" spans="1:2" x14ac:dyDescent="0.25">
      <c r="A126" s="4" t="s">
        <v>261</v>
      </c>
      <c r="B126" s="6">
        <v>2.3715415019762844E-2</v>
      </c>
    </row>
    <row r="127" spans="1:2" x14ac:dyDescent="0.25">
      <c r="A127" s="4" t="s">
        <v>2165</v>
      </c>
      <c r="B127" s="6">
        <v>1</v>
      </c>
    </row>
    <row r="130" spans="1:2" x14ac:dyDescent="0.25">
      <c r="A130" s="3" t="s">
        <v>2164</v>
      </c>
      <c r="B130" t="s">
        <v>2190</v>
      </c>
    </row>
    <row r="131" spans="1:2" x14ac:dyDescent="0.25">
      <c r="A131" s="4" t="s">
        <v>362</v>
      </c>
      <c r="B131" s="6">
        <v>5.9288537549407111E-3</v>
      </c>
    </row>
    <row r="132" spans="1:2" x14ac:dyDescent="0.25">
      <c r="A132" s="4" t="s">
        <v>237</v>
      </c>
      <c r="B132" s="6">
        <v>0.23122529644268774</v>
      </c>
    </row>
    <row r="133" spans="1:2" x14ac:dyDescent="0.25">
      <c r="A133" s="4" t="s">
        <v>259</v>
      </c>
      <c r="B133" s="6">
        <v>0.59881422924901184</v>
      </c>
    </row>
    <row r="134" spans="1:2" x14ac:dyDescent="0.25">
      <c r="A134" s="4" t="s">
        <v>261</v>
      </c>
      <c r="B134" s="6">
        <v>7.5098814229249009E-2</v>
      </c>
    </row>
    <row r="135" spans="1:2" x14ac:dyDescent="0.25">
      <c r="A135" s="4" t="s">
        <v>239</v>
      </c>
      <c r="B135" s="6">
        <v>7.5098814229249009E-2</v>
      </c>
    </row>
    <row r="136" spans="1:2" x14ac:dyDescent="0.25">
      <c r="A136" s="4" t="s">
        <v>308</v>
      </c>
      <c r="B136" s="6">
        <v>1.383399209486166E-2</v>
      </c>
    </row>
    <row r="137" spans="1:2" x14ac:dyDescent="0.25">
      <c r="A137" s="4" t="s">
        <v>2165</v>
      </c>
      <c r="B137" s="6">
        <v>1</v>
      </c>
    </row>
    <row r="139" spans="1:2" x14ac:dyDescent="0.25">
      <c r="A139" s="3" t="s">
        <v>2164</v>
      </c>
      <c r="B139" t="s">
        <v>2191</v>
      </c>
    </row>
    <row r="140" spans="1:2" x14ac:dyDescent="0.25">
      <c r="A140" s="4" t="s">
        <v>362</v>
      </c>
      <c r="B140" s="6">
        <v>1.383399209486166E-2</v>
      </c>
    </row>
    <row r="141" spans="1:2" x14ac:dyDescent="0.25">
      <c r="A141" s="4" t="s">
        <v>237</v>
      </c>
      <c r="B141" s="6">
        <v>0.49604743083003955</v>
      </c>
    </row>
    <row r="142" spans="1:2" x14ac:dyDescent="0.25">
      <c r="A142" s="4" t="s">
        <v>259</v>
      </c>
      <c r="B142" s="6">
        <v>0.4268774703557312</v>
      </c>
    </row>
    <row r="143" spans="1:2" x14ac:dyDescent="0.25">
      <c r="A143" s="4" t="s">
        <v>261</v>
      </c>
      <c r="B143" s="6">
        <v>4.7430830039525688E-2</v>
      </c>
    </row>
    <row r="144" spans="1:2" x14ac:dyDescent="0.25">
      <c r="A144" s="4" t="s">
        <v>239</v>
      </c>
      <c r="B144" s="6">
        <v>1.383399209486166E-2</v>
      </c>
    </row>
    <row r="145" spans="1:2" x14ac:dyDescent="0.25">
      <c r="A145" s="4" t="s">
        <v>308</v>
      </c>
      <c r="B145" s="6">
        <v>1.976284584980237E-3</v>
      </c>
    </row>
    <row r="146" spans="1:2" x14ac:dyDescent="0.25">
      <c r="A146" s="4" t="s">
        <v>2165</v>
      </c>
      <c r="B146" s="6">
        <v>1</v>
      </c>
    </row>
    <row r="148" spans="1:2" x14ac:dyDescent="0.25">
      <c r="A148" s="3" t="s">
        <v>2164</v>
      </c>
      <c r="B148" t="s">
        <v>2192</v>
      </c>
    </row>
    <row r="149" spans="1:2" x14ac:dyDescent="0.25">
      <c r="A149" s="4" t="s">
        <v>362</v>
      </c>
      <c r="B149" s="6">
        <v>7.9051383399209481E-3</v>
      </c>
    </row>
    <row r="150" spans="1:2" x14ac:dyDescent="0.25">
      <c r="A150" s="4" t="s">
        <v>237</v>
      </c>
      <c r="B150" s="6">
        <v>0.28063241106719367</v>
      </c>
    </row>
    <row r="151" spans="1:2" x14ac:dyDescent="0.25">
      <c r="A151" s="4" t="s">
        <v>259</v>
      </c>
      <c r="B151" s="6">
        <v>0.59288537549407117</v>
      </c>
    </row>
    <row r="152" spans="1:2" x14ac:dyDescent="0.25">
      <c r="A152" s="4" t="s">
        <v>261</v>
      </c>
      <c r="B152" s="6">
        <v>4.7430830039525688E-2</v>
      </c>
    </row>
    <row r="153" spans="1:2" x14ac:dyDescent="0.25">
      <c r="A153" s="4" t="s">
        <v>239</v>
      </c>
      <c r="B153" s="6">
        <v>5.731225296442688E-2</v>
      </c>
    </row>
    <row r="154" spans="1:2" x14ac:dyDescent="0.25">
      <c r="A154" s="4" t="s">
        <v>308</v>
      </c>
      <c r="B154" s="6">
        <v>1.383399209486166E-2</v>
      </c>
    </row>
    <row r="155" spans="1:2" x14ac:dyDescent="0.25">
      <c r="A155" s="4" t="s">
        <v>2165</v>
      </c>
      <c r="B155" s="6">
        <v>1</v>
      </c>
    </row>
    <row r="157" spans="1:2" x14ac:dyDescent="0.25">
      <c r="A157" s="3" t="s">
        <v>2164</v>
      </c>
      <c r="B157" t="s">
        <v>2193</v>
      </c>
    </row>
    <row r="158" spans="1:2" x14ac:dyDescent="0.25">
      <c r="A158" s="4" t="s">
        <v>362</v>
      </c>
      <c r="B158" s="6">
        <v>1.9762845849802372E-2</v>
      </c>
    </row>
    <row r="159" spans="1:2" x14ac:dyDescent="0.25">
      <c r="A159" s="4" t="s">
        <v>237</v>
      </c>
      <c r="B159" s="6">
        <v>0.37549407114624506</v>
      </c>
    </row>
    <row r="160" spans="1:2" x14ac:dyDescent="0.25">
      <c r="A160" s="4" t="s">
        <v>259</v>
      </c>
      <c r="B160" s="6">
        <v>0.33992094861660077</v>
      </c>
    </row>
    <row r="161" spans="1:2" x14ac:dyDescent="0.25">
      <c r="A161" s="4" t="s">
        <v>261</v>
      </c>
      <c r="B161" s="6">
        <v>3.9525691699604744E-2</v>
      </c>
    </row>
    <row r="162" spans="1:2" x14ac:dyDescent="0.25">
      <c r="A162" s="4" t="s">
        <v>239</v>
      </c>
      <c r="B162" s="6">
        <v>0.1857707509881423</v>
      </c>
    </row>
    <row r="163" spans="1:2" x14ac:dyDescent="0.25">
      <c r="A163" s="4" t="s">
        <v>308</v>
      </c>
      <c r="B163" s="6">
        <v>3.9525691699604744E-2</v>
      </c>
    </row>
    <row r="164" spans="1:2" x14ac:dyDescent="0.25">
      <c r="A164" s="4" t="s">
        <v>2165</v>
      </c>
      <c r="B164" s="6">
        <v>1</v>
      </c>
    </row>
    <row r="166" spans="1:2" x14ac:dyDescent="0.25">
      <c r="A166" s="3" t="s">
        <v>2164</v>
      </c>
      <c r="B166" t="s">
        <v>2194</v>
      </c>
    </row>
    <row r="167" spans="1:2" x14ac:dyDescent="0.25">
      <c r="A167" s="4" t="s">
        <v>362</v>
      </c>
      <c r="B167" s="6">
        <v>1.7786561264822136E-2</v>
      </c>
    </row>
    <row r="168" spans="1:2" x14ac:dyDescent="0.25">
      <c r="A168" s="4" t="s">
        <v>237</v>
      </c>
      <c r="B168" s="6">
        <v>0.61067193675889331</v>
      </c>
    </row>
    <row r="169" spans="1:2" x14ac:dyDescent="0.25">
      <c r="A169" s="4" t="s">
        <v>259</v>
      </c>
      <c r="B169" s="6">
        <v>0.1857707509881423</v>
      </c>
    </row>
    <row r="170" spans="1:2" x14ac:dyDescent="0.25">
      <c r="A170" s="4" t="s">
        <v>261</v>
      </c>
      <c r="B170" s="6">
        <v>3.952569169960474E-3</v>
      </c>
    </row>
    <row r="171" spans="1:2" x14ac:dyDescent="0.25">
      <c r="A171" s="4" t="s">
        <v>239</v>
      </c>
      <c r="B171" s="6">
        <v>0.14229249011857709</v>
      </c>
    </row>
    <row r="172" spans="1:2" x14ac:dyDescent="0.25">
      <c r="A172" s="4" t="s">
        <v>308</v>
      </c>
      <c r="B172" s="6">
        <v>3.9525691699604744E-2</v>
      </c>
    </row>
    <row r="173" spans="1:2" x14ac:dyDescent="0.25">
      <c r="A173" s="4" t="s">
        <v>2165</v>
      </c>
      <c r="B173" s="6">
        <v>1</v>
      </c>
    </row>
    <row r="175" spans="1:2" x14ac:dyDescent="0.25">
      <c r="A175" s="3" t="s">
        <v>2164</v>
      </c>
      <c r="B175" t="s">
        <v>2195</v>
      </c>
    </row>
    <row r="176" spans="1:2" x14ac:dyDescent="0.25">
      <c r="A176" s="4" t="s">
        <v>362</v>
      </c>
      <c r="B176" s="6">
        <v>2.766798418972332E-2</v>
      </c>
    </row>
    <row r="177" spans="1:2" x14ac:dyDescent="0.25">
      <c r="A177" s="4" t="s">
        <v>237</v>
      </c>
      <c r="B177" s="6">
        <v>0.59881422924901184</v>
      </c>
    </row>
    <row r="178" spans="1:2" x14ac:dyDescent="0.25">
      <c r="A178" s="4" t="s">
        <v>259</v>
      </c>
      <c r="B178" s="6">
        <v>0.31818181818181818</v>
      </c>
    </row>
    <row r="179" spans="1:2" x14ac:dyDescent="0.25">
      <c r="A179" s="4" t="s">
        <v>261</v>
      </c>
      <c r="B179" s="6">
        <v>2.9644268774703556E-2</v>
      </c>
    </row>
    <row r="180" spans="1:2" x14ac:dyDescent="0.25">
      <c r="A180" s="4" t="s">
        <v>239</v>
      </c>
      <c r="B180" s="6">
        <v>2.5691699604743084E-2</v>
      </c>
    </row>
    <row r="181" spans="1:2" x14ac:dyDescent="0.25">
      <c r="A181" s="4" t="s">
        <v>2165</v>
      </c>
      <c r="B181" s="6">
        <v>1</v>
      </c>
    </row>
    <row r="183" spans="1:2" x14ac:dyDescent="0.25">
      <c r="A183" s="3" t="s">
        <v>2164</v>
      </c>
      <c r="B183" t="s">
        <v>2196</v>
      </c>
    </row>
    <row r="184" spans="1:2" x14ac:dyDescent="0.25">
      <c r="A184" s="4" t="s">
        <v>362</v>
      </c>
      <c r="B184" s="6">
        <v>1.383399209486166E-2</v>
      </c>
    </row>
    <row r="185" spans="1:2" x14ac:dyDescent="0.25">
      <c r="A185" s="4" t="s">
        <v>237</v>
      </c>
      <c r="B185" s="6">
        <v>0.1324110671936759</v>
      </c>
    </row>
    <row r="186" spans="1:2" x14ac:dyDescent="0.25">
      <c r="A186" s="4" t="s">
        <v>259</v>
      </c>
      <c r="B186" s="6">
        <v>0.37351778656126483</v>
      </c>
    </row>
    <row r="187" spans="1:2" x14ac:dyDescent="0.25">
      <c r="A187" s="4" t="s">
        <v>261</v>
      </c>
      <c r="B187" s="6">
        <v>0.22924901185770752</v>
      </c>
    </row>
    <row r="188" spans="1:2" x14ac:dyDescent="0.25">
      <c r="A188" s="4" t="s">
        <v>239</v>
      </c>
      <c r="B188" s="6">
        <v>0.24110671936758893</v>
      </c>
    </row>
    <row r="189" spans="1:2" x14ac:dyDescent="0.25">
      <c r="A189" s="4" t="s">
        <v>308</v>
      </c>
      <c r="B189" s="6">
        <v>9.881422924901186E-3</v>
      </c>
    </row>
    <row r="190" spans="1:2" x14ac:dyDescent="0.25">
      <c r="A190" s="4" t="s">
        <v>2165</v>
      </c>
      <c r="B190" s="6">
        <v>1</v>
      </c>
    </row>
    <row r="192" spans="1:2" x14ac:dyDescent="0.25">
      <c r="A192" s="3" t="s">
        <v>2164</v>
      </c>
      <c r="B192" t="s">
        <v>2197</v>
      </c>
    </row>
    <row r="193" spans="1:2" x14ac:dyDescent="0.25">
      <c r="A193" s="4" t="s">
        <v>313</v>
      </c>
      <c r="B193" s="6">
        <v>0.23122529644268774</v>
      </c>
    </row>
    <row r="194" spans="1:2" x14ac:dyDescent="0.25">
      <c r="A194" s="4" t="s">
        <v>262</v>
      </c>
      <c r="B194" s="6">
        <v>0.61264822134387353</v>
      </c>
    </row>
    <row r="195" spans="1:2" x14ac:dyDescent="0.25">
      <c r="A195" s="4" t="s">
        <v>240</v>
      </c>
      <c r="B195" s="6">
        <v>0.15612648221343872</v>
      </c>
    </row>
    <row r="196" spans="1:2" x14ac:dyDescent="0.25">
      <c r="A196" s="4" t="s">
        <v>2165</v>
      </c>
      <c r="B196" s="6">
        <v>1</v>
      </c>
    </row>
    <row r="197" spans="1:2" x14ac:dyDescent="0.25">
      <c r="A197" s="4"/>
      <c r="B197" s="6"/>
    </row>
    <row r="198" spans="1:2" x14ac:dyDescent="0.25">
      <c r="A198" s="20" t="s">
        <v>2199</v>
      </c>
      <c r="B198" s="20"/>
    </row>
    <row r="199" spans="1:2" x14ac:dyDescent="0.25">
      <c r="A199" s="4"/>
      <c r="B199" s="6"/>
    </row>
    <row r="201" spans="1:2" x14ac:dyDescent="0.25">
      <c r="A201" s="3" t="s">
        <v>2164</v>
      </c>
      <c r="B201" t="s">
        <v>2198</v>
      </c>
    </row>
    <row r="202" spans="1:2" x14ac:dyDescent="0.25">
      <c r="A202" s="4" t="s">
        <v>242</v>
      </c>
      <c r="B202" s="6">
        <v>0.1007905138339921</v>
      </c>
    </row>
    <row r="203" spans="1:2" x14ac:dyDescent="0.25">
      <c r="A203" s="4" t="s">
        <v>264</v>
      </c>
      <c r="B203" s="6">
        <v>0.69565217391304346</v>
      </c>
    </row>
    <row r="204" spans="1:2" x14ac:dyDescent="0.25">
      <c r="A204" s="4" t="s">
        <v>243</v>
      </c>
      <c r="B204" s="6">
        <v>0.16996047430830039</v>
      </c>
    </row>
    <row r="205" spans="1:2" x14ac:dyDescent="0.25">
      <c r="A205" s="4" t="s">
        <v>328</v>
      </c>
      <c r="B205" s="6">
        <v>3.3596837944664032E-2</v>
      </c>
    </row>
    <row r="206" spans="1:2" x14ac:dyDescent="0.25">
      <c r="A206" s="4" t="s">
        <v>2165</v>
      </c>
      <c r="B206" s="6">
        <v>1</v>
      </c>
    </row>
    <row r="208" spans="1:2" x14ac:dyDescent="0.25">
      <c r="A208" s="3" t="s">
        <v>2164</v>
      </c>
      <c r="B208" t="s">
        <v>2200</v>
      </c>
    </row>
    <row r="209" spans="1:2" x14ac:dyDescent="0.25">
      <c r="A209" s="4" t="s">
        <v>242</v>
      </c>
      <c r="B209" s="6">
        <v>4.1501976284584984E-2</v>
      </c>
    </row>
    <row r="210" spans="1:2" x14ac:dyDescent="0.25">
      <c r="A210" s="4" t="s">
        <v>264</v>
      </c>
      <c r="B210" s="6">
        <v>0.47035573122529645</v>
      </c>
    </row>
    <row r="211" spans="1:2" x14ac:dyDescent="0.25">
      <c r="A211" s="4" t="s">
        <v>243</v>
      </c>
      <c r="B211" s="6">
        <v>0.24308300395256918</v>
      </c>
    </row>
    <row r="212" spans="1:2" x14ac:dyDescent="0.25">
      <c r="A212" s="4" t="s">
        <v>328</v>
      </c>
      <c r="B212" s="6">
        <v>0.24505928853754941</v>
      </c>
    </row>
    <row r="213" spans="1:2" x14ac:dyDescent="0.25">
      <c r="A213" s="4" t="s">
        <v>2165</v>
      </c>
      <c r="B213" s="6">
        <v>1</v>
      </c>
    </row>
    <row r="215" spans="1:2" x14ac:dyDescent="0.25">
      <c r="A215" s="3" t="s">
        <v>2164</v>
      </c>
      <c r="B215" t="s">
        <v>2201</v>
      </c>
    </row>
    <row r="216" spans="1:2" x14ac:dyDescent="0.25">
      <c r="A216" s="4" t="s">
        <v>242</v>
      </c>
      <c r="B216" s="6">
        <v>4.9407114624505928E-2</v>
      </c>
    </row>
    <row r="217" spans="1:2" x14ac:dyDescent="0.25">
      <c r="A217" s="4" t="s">
        <v>264</v>
      </c>
      <c r="B217" s="6">
        <v>0.49604743083003955</v>
      </c>
    </row>
    <row r="218" spans="1:2" x14ac:dyDescent="0.25">
      <c r="A218" s="4" t="s">
        <v>243</v>
      </c>
      <c r="B218" s="6">
        <v>0.23517786561264822</v>
      </c>
    </row>
    <row r="219" spans="1:2" x14ac:dyDescent="0.25">
      <c r="A219" s="4" t="s">
        <v>328</v>
      </c>
      <c r="B219" s="6">
        <v>0.21936758893280633</v>
      </c>
    </row>
    <row r="220" spans="1:2" x14ac:dyDescent="0.25">
      <c r="A220" s="4" t="s">
        <v>2165</v>
      </c>
      <c r="B220" s="6">
        <v>1</v>
      </c>
    </row>
    <row r="222" spans="1:2" x14ac:dyDescent="0.25">
      <c r="A222" s="3" t="s">
        <v>2164</v>
      </c>
      <c r="B222" t="s">
        <v>2202</v>
      </c>
    </row>
    <row r="223" spans="1:2" x14ac:dyDescent="0.25">
      <c r="A223" s="4" t="s">
        <v>226</v>
      </c>
      <c r="B223" s="6">
        <v>0.21936758893280633</v>
      </c>
    </row>
    <row r="224" spans="1:2" x14ac:dyDescent="0.25">
      <c r="A224" s="4" t="s">
        <v>236</v>
      </c>
      <c r="B224" s="6">
        <v>0.78063241106719372</v>
      </c>
    </row>
    <row r="225" spans="1:2" x14ac:dyDescent="0.25">
      <c r="A225" s="4" t="s">
        <v>2165</v>
      </c>
      <c r="B225" s="6">
        <v>1</v>
      </c>
    </row>
    <row r="226" spans="1:2" x14ac:dyDescent="0.25">
      <c r="A226" s="4"/>
      <c r="B226" s="6"/>
    </row>
    <row r="227" spans="1:2" x14ac:dyDescent="0.25">
      <c r="A227" s="20" t="s">
        <v>2203</v>
      </c>
      <c r="B227" s="20"/>
    </row>
    <row r="229" spans="1:2" x14ac:dyDescent="0.25">
      <c r="A229" s="3" t="s">
        <v>2164</v>
      </c>
      <c r="B229" t="s">
        <v>2204</v>
      </c>
    </row>
    <row r="230" spans="1:2" x14ac:dyDescent="0.25">
      <c r="A230" s="4" t="s">
        <v>226</v>
      </c>
      <c r="B230" s="6">
        <v>4.9407114624505928E-2</v>
      </c>
    </row>
    <row r="231" spans="1:2" x14ac:dyDescent="0.25">
      <c r="A231" s="4" t="s">
        <v>236</v>
      </c>
      <c r="B231" s="6">
        <v>0.95059288537549402</v>
      </c>
    </row>
    <row r="232" spans="1:2" x14ac:dyDescent="0.25">
      <c r="A232" s="4" t="s">
        <v>2165</v>
      </c>
      <c r="B232" s="6">
        <v>1</v>
      </c>
    </row>
    <row r="233" spans="1:2" x14ac:dyDescent="0.25">
      <c r="A233" s="4"/>
      <c r="B233" s="6"/>
    </row>
    <row r="234" spans="1:2" x14ac:dyDescent="0.25">
      <c r="A234" s="20" t="s">
        <v>2206</v>
      </c>
      <c r="B234" s="20"/>
    </row>
    <row r="236" spans="1:2" x14ac:dyDescent="0.25">
      <c r="A236" s="3" t="s">
        <v>2164</v>
      </c>
      <c r="B236" t="s">
        <v>2205</v>
      </c>
    </row>
    <row r="237" spans="1:2" x14ac:dyDescent="0.25">
      <c r="A237" s="4" t="s">
        <v>226</v>
      </c>
      <c r="B237" s="6">
        <v>0.30237154150197626</v>
      </c>
    </row>
    <row r="238" spans="1:2" x14ac:dyDescent="0.25">
      <c r="A238" s="4" t="s">
        <v>236</v>
      </c>
      <c r="B238" s="6">
        <v>0.69762845849802368</v>
      </c>
    </row>
    <row r="239" spans="1:2" x14ac:dyDescent="0.25">
      <c r="A239" s="4" t="s">
        <v>2165</v>
      </c>
      <c r="B239" s="6">
        <v>1</v>
      </c>
    </row>
    <row r="241" spans="1:2" x14ac:dyDescent="0.25">
      <c r="A241" s="3" t="s">
        <v>2164</v>
      </c>
      <c r="B241" t="s">
        <v>2207</v>
      </c>
    </row>
    <row r="242" spans="1:2" x14ac:dyDescent="0.25">
      <c r="A242" s="4" t="s">
        <v>226</v>
      </c>
      <c r="B242" s="6">
        <v>0.24308300395256918</v>
      </c>
    </row>
    <row r="243" spans="1:2" x14ac:dyDescent="0.25">
      <c r="A243" s="4" t="s">
        <v>236</v>
      </c>
      <c r="B243" s="6">
        <v>0.75494071146245056</v>
      </c>
    </row>
    <row r="244" spans="1:2" x14ac:dyDescent="0.25">
      <c r="A244" s="4" t="s">
        <v>308</v>
      </c>
      <c r="B244" s="6">
        <v>1.976284584980237E-3</v>
      </c>
    </row>
    <row r="245" spans="1:2" x14ac:dyDescent="0.25">
      <c r="A245" s="4" t="s">
        <v>2165</v>
      </c>
      <c r="B245" s="6">
        <v>1</v>
      </c>
    </row>
    <row r="247" spans="1:2" x14ac:dyDescent="0.25">
      <c r="A247" s="3" t="s">
        <v>2164</v>
      </c>
      <c r="B247" t="s">
        <v>2208</v>
      </c>
    </row>
    <row r="248" spans="1:2" x14ac:dyDescent="0.25">
      <c r="A248" s="4" t="s">
        <v>226</v>
      </c>
      <c r="B248" s="6">
        <v>0.61660079051383399</v>
      </c>
    </row>
    <row r="249" spans="1:2" x14ac:dyDescent="0.25">
      <c r="A249" s="4" t="s">
        <v>236</v>
      </c>
      <c r="B249" s="6">
        <v>0.38339920948616601</v>
      </c>
    </row>
    <row r="250" spans="1:2" x14ac:dyDescent="0.25">
      <c r="A250" s="4" t="s">
        <v>2165</v>
      </c>
      <c r="B250" s="6">
        <v>1</v>
      </c>
    </row>
    <row r="252" spans="1:2" x14ac:dyDescent="0.25">
      <c r="A252" s="3" t="s">
        <v>2164</v>
      </c>
      <c r="B252" t="s">
        <v>2209</v>
      </c>
    </row>
    <row r="253" spans="1:2" x14ac:dyDescent="0.25">
      <c r="A253" s="4" t="s">
        <v>226</v>
      </c>
      <c r="B253" s="6">
        <v>0.6541501976284585</v>
      </c>
    </row>
    <row r="254" spans="1:2" x14ac:dyDescent="0.25">
      <c r="A254" s="4" t="s">
        <v>236</v>
      </c>
      <c r="B254" s="6">
        <v>0.3458498023715415</v>
      </c>
    </row>
    <row r="255" spans="1:2" x14ac:dyDescent="0.25">
      <c r="A255" s="4" t="s">
        <v>2165</v>
      </c>
      <c r="B255" s="6">
        <v>1</v>
      </c>
    </row>
    <row r="257" spans="1:2" x14ac:dyDescent="0.25">
      <c r="A257" s="3" t="s">
        <v>2164</v>
      </c>
      <c r="B257" t="s">
        <v>2210</v>
      </c>
    </row>
    <row r="258" spans="1:2" x14ac:dyDescent="0.25">
      <c r="A258" s="4" t="s">
        <v>226</v>
      </c>
      <c r="B258" s="6">
        <v>0.28853754940711462</v>
      </c>
    </row>
    <row r="259" spans="1:2" x14ac:dyDescent="0.25">
      <c r="A259" s="4" t="s">
        <v>236</v>
      </c>
      <c r="B259" s="6">
        <v>0.62055335968379444</v>
      </c>
    </row>
    <row r="260" spans="1:2" x14ac:dyDescent="0.25">
      <c r="A260" s="4" t="s">
        <v>308</v>
      </c>
      <c r="B260" s="6">
        <v>9.0909090909090912E-2</v>
      </c>
    </row>
    <row r="261" spans="1:2" x14ac:dyDescent="0.25">
      <c r="A261" s="4" t="s">
        <v>2165</v>
      </c>
      <c r="B261" s="6">
        <v>1</v>
      </c>
    </row>
    <row r="263" spans="1:2" x14ac:dyDescent="0.25">
      <c r="A263" s="3" t="s">
        <v>2164</v>
      </c>
      <c r="B263" t="s">
        <v>2211</v>
      </c>
    </row>
    <row r="264" spans="1:2" x14ac:dyDescent="0.25">
      <c r="A264" s="4" t="s">
        <v>226</v>
      </c>
      <c r="B264" s="6">
        <v>0.18774703557312253</v>
      </c>
    </row>
    <row r="265" spans="1:2" x14ac:dyDescent="0.25">
      <c r="A265" s="4" t="s">
        <v>236</v>
      </c>
      <c r="B265" s="6">
        <v>0.80237154150197632</v>
      </c>
    </row>
    <row r="266" spans="1:2" x14ac:dyDescent="0.25">
      <c r="A266" s="4" t="s">
        <v>308</v>
      </c>
      <c r="B266" s="6">
        <v>9.881422924901186E-3</v>
      </c>
    </row>
    <row r="267" spans="1:2" x14ac:dyDescent="0.25">
      <c r="A267" s="4" t="s">
        <v>2165</v>
      </c>
      <c r="B267" s="6">
        <v>1</v>
      </c>
    </row>
    <row r="269" spans="1:2" x14ac:dyDescent="0.25">
      <c r="A269" s="3" t="s">
        <v>2164</v>
      </c>
      <c r="B269" t="s">
        <v>2212</v>
      </c>
    </row>
    <row r="270" spans="1:2" x14ac:dyDescent="0.25">
      <c r="A270" s="4" t="s">
        <v>226</v>
      </c>
      <c r="B270" s="6">
        <v>0.59090909090909094</v>
      </c>
    </row>
    <row r="271" spans="1:2" x14ac:dyDescent="0.25">
      <c r="A271" s="4" t="s">
        <v>236</v>
      </c>
      <c r="B271" s="6">
        <v>0.40118577075098816</v>
      </c>
    </row>
    <row r="272" spans="1:2" x14ac:dyDescent="0.25">
      <c r="A272" s="4" t="s">
        <v>308</v>
      </c>
      <c r="B272" s="6">
        <v>7.9051383399209481E-3</v>
      </c>
    </row>
    <row r="273" spans="1:2" x14ac:dyDescent="0.25">
      <c r="A273" s="4" t="s">
        <v>2165</v>
      </c>
      <c r="B273" s="6">
        <v>1</v>
      </c>
    </row>
    <row r="275" spans="1:2" x14ac:dyDescent="0.25">
      <c r="A275" s="3" t="s">
        <v>2164</v>
      </c>
      <c r="B275" t="s">
        <v>2213</v>
      </c>
    </row>
    <row r="276" spans="1:2" x14ac:dyDescent="0.25">
      <c r="A276" s="4" t="s">
        <v>226</v>
      </c>
      <c r="B276" s="6">
        <v>0.34189723320158105</v>
      </c>
    </row>
    <row r="277" spans="1:2" x14ac:dyDescent="0.25">
      <c r="A277" s="4" t="s">
        <v>236</v>
      </c>
      <c r="B277" s="6">
        <v>0.65810276679841895</v>
      </c>
    </row>
    <row r="278" spans="1:2" x14ac:dyDescent="0.25">
      <c r="A278" s="4" t="s">
        <v>2165</v>
      </c>
      <c r="B278" s="6">
        <v>1</v>
      </c>
    </row>
    <row r="281" spans="1:2" x14ac:dyDescent="0.25">
      <c r="A281" s="3" t="s">
        <v>2164</v>
      </c>
      <c r="B281" t="s">
        <v>2214</v>
      </c>
    </row>
    <row r="282" spans="1:2" x14ac:dyDescent="0.25">
      <c r="A282" s="4" t="s">
        <v>226</v>
      </c>
      <c r="B282" s="6">
        <v>9.4861660079051377E-2</v>
      </c>
    </row>
    <row r="283" spans="1:2" x14ac:dyDescent="0.25">
      <c r="A283" s="4" t="s">
        <v>236</v>
      </c>
      <c r="B283" s="6">
        <v>0.90316205533596838</v>
      </c>
    </row>
    <row r="284" spans="1:2" x14ac:dyDescent="0.25">
      <c r="A284" s="4" t="s">
        <v>308</v>
      </c>
      <c r="B284" s="6">
        <v>1.976284584980237E-3</v>
      </c>
    </row>
    <row r="285" spans="1:2" x14ac:dyDescent="0.25">
      <c r="A285" s="4" t="s">
        <v>2165</v>
      </c>
      <c r="B285" s="6">
        <v>1</v>
      </c>
    </row>
    <row r="287" spans="1:2" x14ac:dyDescent="0.25">
      <c r="A287" s="3" t="s">
        <v>2164</v>
      </c>
      <c r="B287" t="s">
        <v>2215</v>
      </c>
    </row>
    <row r="288" spans="1:2" x14ac:dyDescent="0.25">
      <c r="A288" s="4" t="s">
        <v>226</v>
      </c>
      <c r="B288" s="6">
        <v>0.33201581027667987</v>
      </c>
    </row>
    <row r="289" spans="1:2" x14ac:dyDescent="0.25">
      <c r="A289" s="4" t="s">
        <v>236</v>
      </c>
      <c r="B289" s="6">
        <v>0.66798418972332019</v>
      </c>
    </row>
    <row r="290" spans="1:2" x14ac:dyDescent="0.25">
      <c r="A290" s="4" t="s">
        <v>2165</v>
      </c>
      <c r="B290" s="6">
        <v>1</v>
      </c>
    </row>
    <row r="292" spans="1:2" x14ac:dyDescent="0.25">
      <c r="A292" s="3" t="s">
        <v>2164</v>
      </c>
      <c r="B292" t="s">
        <v>2216</v>
      </c>
    </row>
    <row r="293" spans="1:2" x14ac:dyDescent="0.25">
      <c r="A293" s="4" t="s">
        <v>226</v>
      </c>
      <c r="B293" s="6">
        <v>0.12055335968379446</v>
      </c>
    </row>
    <row r="294" spans="1:2" x14ac:dyDescent="0.25">
      <c r="A294" s="4" t="s">
        <v>236</v>
      </c>
      <c r="B294" s="6">
        <v>0.87747035573122534</v>
      </c>
    </row>
    <row r="295" spans="1:2" x14ac:dyDescent="0.25">
      <c r="A295" s="4" t="s">
        <v>308</v>
      </c>
      <c r="B295" s="6">
        <v>1.976284584980237E-3</v>
      </c>
    </row>
    <row r="296" spans="1:2" x14ac:dyDescent="0.25">
      <c r="A296" s="4" t="s">
        <v>2165</v>
      </c>
      <c r="B296" s="6">
        <v>1</v>
      </c>
    </row>
    <row r="298" spans="1:2" x14ac:dyDescent="0.25">
      <c r="A298" s="3" t="s">
        <v>2164</v>
      </c>
      <c r="B298" t="s">
        <v>2217</v>
      </c>
    </row>
    <row r="299" spans="1:2" x14ac:dyDescent="0.25">
      <c r="A299" s="4" t="s">
        <v>226</v>
      </c>
      <c r="B299" s="6">
        <v>0.25691699604743085</v>
      </c>
    </row>
    <row r="300" spans="1:2" x14ac:dyDescent="0.25">
      <c r="A300" s="4" t="s">
        <v>236</v>
      </c>
      <c r="B300" s="6">
        <v>0.73913043478260865</v>
      </c>
    </row>
    <row r="301" spans="1:2" x14ac:dyDescent="0.25">
      <c r="A301" s="4" t="s">
        <v>308</v>
      </c>
      <c r="B301" s="6">
        <v>3.952569169960474E-3</v>
      </c>
    </row>
    <row r="302" spans="1:2" x14ac:dyDescent="0.25">
      <c r="A302" s="4" t="s">
        <v>2165</v>
      </c>
      <c r="B302" s="6">
        <v>1</v>
      </c>
    </row>
    <row r="304" spans="1:2" x14ac:dyDescent="0.25">
      <c r="A304" s="3" t="s">
        <v>2164</v>
      </c>
      <c r="B304" t="s">
        <v>2218</v>
      </c>
    </row>
    <row r="305" spans="1:2" x14ac:dyDescent="0.25">
      <c r="A305" s="4" t="s">
        <v>226</v>
      </c>
      <c r="B305" s="6">
        <v>0.39525691699604742</v>
      </c>
    </row>
    <row r="306" spans="1:2" x14ac:dyDescent="0.25">
      <c r="A306" s="4" t="s">
        <v>236</v>
      </c>
      <c r="B306" s="6">
        <v>0.60276679841897229</v>
      </c>
    </row>
    <row r="307" spans="1:2" x14ac:dyDescent="0.25">
      <c r="A307" s="4" t="s">
        <v>308</v>
      </c>
      <c r="B307" s="6">
        <v>1.976284584980237E-3</v>
      </c>
    </row>
    <row r="308" spans="1:2" x14ac:dyDescent="0.25">
      <c r="A308" s="4" t="s">
        <v>2165</v>
      </c>
      <c r="B308" s="6">
        <v>1</v>
      </c>
    </row>
    <row r="310" spans="1:2" x14ac:dyDescent="0.25">
      <c r="A310" s="3" t="s">
        <v>2164</v>
      </c>
      <c r="B310" t="s">
        <v>2219</v>
      </c>
    </row>
    <row r="311" spans="1:2" x14ac:dyDescent="0.25">
      <c r="A311" s="4" t="s">
        <v>226</v>
      </c>
      <c r="B311" s="6">
        <v>0.57707509881422925</v>
      </c>
    </row>
    <row r="312" spans="1:2" x14ac:dyDescent="0.25">
      <c r="A312" s="4" t="s">
        <v>236</v>
      </c>
      <c r="B312" s="6">
        <v>0.42292490118577075</v>
      </c>
    </row>
    <row r="313" spans="1:2" x14ac:dyDescent="0.25">
      <c r="A313" s="4" t="s">
        <v>2165</v>
      </c>
      <c r="B313" s="6">
        <v>1</v>
      </c>
    </row>
    <row r="315" spans="1:2" x14ac:dyDescent="0.25">
      <c r="A315" s="3" t="s">
        <v>2164</v>
      </c>
      <c r="B315" t="s">
        <v>2220</v>
      </c>
    </row>
    <row r="316" spans="1:2" x14ac:dyDescent="0.25">
      <c r="A316" s="4" t="s">
        <v>226</v>
      </c>
      <c r="B316" s="6">
        <v>3.5573122529644272E-2</v>
      </c>
    </row>
    <row r="317" spans="1:2" x14ac:dyDescent="0.25">
      <c r="A317" s="4" t="s">
        <v>236</v>
      </c>
      <c r="B317" s="6">
        <v>0.9486166007905138</v>
      </c>
    </row>
    <row r="318" spans="1:2" x14ac:dyDescent="0.25">
      <c r="A318" s="4" t="s">
        <v>308</v>
      </c>
      <c r="B318" s="6">
        <v>1.5810276679841896E-2</v>
      </c>
    </row>
    <row r="319" spans="1:2" x14ac:dyDescent="0.25">
      <c r="A319" s="4" t="s">
        <v>2165</v>
      </c>
      <c r="B319" s="6">
        <v>1</v>
      </c>
    </row>
    <row r="321" spans="1:2" x14ac:dyDescent="0.25">
      <c r="A321" s="3" t="s">
        <v>2164</v>
      </c>
      <c r="B321" t="s">
        <v>2221</v>
      </c>
    </row>
    <row r="322" spans="1:2" x14ac:dyDescent="0.25">
      <c r="A322" s="4" t="s">
        <v>226</v>
      </c>
      <c r="B322" s="6">
        <v>0.39920948616600793</v>
      </c>
    </row>
    <row r="323" spans="1:2" x14ac:dyDescent="0.25">
      <c r="A323" s="4" t="s">
        <v>236</v>
      </c>
      <c r="B323" s="6">
        <v>0.59683794466403162</v>
      </c>
    </row>
    <row r="324" spans="1:2" x14ac:dyDescent="0.25">
      <c r="A324" s="4" t="s">
        <v>308</v>
      </c>
      <c r="B324" s="6">
        <v>3.952569169960474E-3</v>
      </c>
    </row>
    <row r="325" spans="1:2" x14ac:dyDescent="0.25">
      <c r="A325" s="4" t="s">
        <v>2165</v>
      </c>
      <c r="B325" s="6">
        <v>1</v>
      </c>
    </row>
    <row r="327" spans="1:2" x14ac:dyDescent="0.25">
      <c r="A327" s="3" t="s">
        <v>2164</v>
      </c>
      <c r="B327" t="s">
        <v>2222</v>
      </c>
    </row>
    <row r="328" spans="1:2" x14ac:dyDescent="0.25">
      <c r="A328" s="4" t="s">
        <v>226</v>
      </c>
      <c r="B328" s="6">
        <v>4.9407114624505928E-2</v>
      </c>
    </row>
    <row r="329" spans="1:2" x14ac:dyDescent="0.25">
      <c r="A329" s="4" t="s">
        <v>236</v>
      </c>
      <c r="B329" s="6">
        <v>0.95059288537549402</v>
      </c>
    </row>
    <row r="330" spans="1:2" x14ac:dyDescent="0.25">
      <c r="A330" s="4" t="s">
        <v>2165</v>
      </c>
      <c r="B330" s="6">
        <v>1</v>
      </c>
    </row>
    <row r="332" spans="1:2" x14ac:dyDescent="0.25">
      <c r="A332" s="20" t="s">
        <v>2223</v>
      </c>
      <c r="B332" s="20"/>
    </row>
    <row r="334" spans="1:2" x14ac:dyDescent="0.25">
      <c r="A334" s="3" t="s">
        <v>2164</v>
      </c>
      <c r="B334" t="s">
        <v>2224</v>
      </c>
    </row>
    <row r="335" spans="1:2" x14ac:dyDescent="0.25">
      <c r="A335" s="4" t="s">
        <v>226</v>
      </c>
      <c r="B335" s="6">
        <v>0.89328063241106714</v>
      </c>
    </row>
    <row r="336" spans="1:2" x14ac:dyDescent="0.25">
      <c r="A336" s="4" t="s">
        <v>236</v>
      </c>
      <c r="B336" s="6">
        <v>0.1067193675889328</v>
      </c>
    </row>
    <row r="337" spans="1:5" x14ac:dyDescent="0.25">
      <c r="A337" s="4" t="s">
        <v>2165</v>
      </c>
      <c r="B337" s="6">
        <v>1</v>
      </c>
    </row>
    <row r="339" spans="1:5" x14ac:dyDescent="0.25">
      <c r="A339" s="3" t="s">
        <v>164</v>
      </c>
      <c r="B339" t="s">
        <v>226</v>
      </c>
    </row>
    <row r="341" spans="1:5" x14ac:dyDescent="0.25">
      <c r="A341" s="3" t="s">
        <v>2164</v>
      </c>
      <c r="B341" t="s">
        <v>2225</v>
      </c>
      <c r="D341" s="3" t="s">
        <v>164</v>
      </c>
      <c r="E341" t="s">
        <v>226</v>
      </c>
    </row>
    <row r="342" spans="1:5" x14ac:dyDescent="0.25">
      <c r="A342" s="4" t="s">
        <v>226</v>
      </c>
      <c r="B342" s="6">
        <v>0.29646017699115046</v>
      </c>
    </row>
    <row r="343" spans="1:5" x14ac:dyDescent="0.25">
      <c r="A343" s="4" t="s">
        <v>236</v>
      </c>
      <c r="B343" s="6">
        <v>0.70353982300884954</v>
      </c>
      <c r="D343" s="3" t="s">
        <v>2164</v>
      </c>
      <c r="E343" t="s">
        <v>2406</v>
      </c>
    </row>
    <row r="344" spans="1:5" x14ac:dyDescent="0.25">
      <c r="A344" s="4" t="s">
        <v>2165</v>
      </c>
      <c r="B344" s="6">
        <v>1</v>
      </c>
      <c r="D344" s="4" t="s">
        <v>244</v>
      </c>
      <c r="E344" s="6">
        <v>0.17256637168141592</v>
      </c>
    </row>
    <row r="345" spans="1:5" x14ac:dyDescent="0.25">
      <c r="D345" s="4" t="s">
        <v>245</v>
      </c>
      <c r="E345" s="6">
        <v>0.60176991150442483</v>
      </c>
    </row>
    <row r="346" spans="1:5" x14ac:dyDescent="0.25">
      <c r="D346" s="4" t="s">
        <v>265</v>
      </c>
      <c r="E346" s="6">
        <v>0.22566371681415928</v>
      </c>
    </row>
    <row r="347" spans="1:5" x14ac:dyDescent="0.25">
      <c r="A347" s="3" t="s">
        <v>164</v>
      </c>
      <c r="B347" t="s">
        <v>226</v>
      </c>
      <c r="D347" s="4" t="s">
        <v>2165</v>
      </c>
      <c r="E347" s="6">
        <v>1</v>
      </c>
    </row>
    <row r="349" spans="1:5" x14ac:dyDescent="0.25">
      <c r="A349" s="3" t="s">
        <v>2164</v>
      </c>
      <c r="B349" t="s">
        <v>2225</v>
      </c>
    </row>
    <row r="350" spans="1:5" x14ac:dyDescent="0.25">
      <c r="A350" s="4" t="s">
        <v>226</v>
      </c>
      <c r="B350" s="6">
        <v>0.29646017699115046</v>
      </c>
    </row>
    <row r="351" spans="1:5" x14ac:dyDescent="0.25">
      <c r="A351" s="4" t="s">
        <v>236</v>
      </c>
      <c r="B351" s="6">
        <v>0.70353982300884954</v>
      </c>
    </row>
    <row r="352" spans="1:5" x14ac:dyDescent="0.25">
      <c r="A352" s="4" t="s">
        <v>2165</v>
      </c>
      <c r="B352" s="6">
        <v>1</v>
      </c>
    </row>
    <row r="354" spans="1:2" x14ac:dyDescent="0.25">
      <c r="A354" s="20" t="s">
        <v>2226</v>
      </c>
      <c r="B354" s="20"/>
    </row>
    <row r="356" spans="1:2" x14ac:dyDescent="0.25">
      <c r="A356" s="3" t="s">
        <v>2164</v>
      </c>
      <c r="B356" t="s">
        <v>2227</v>
      </c>
    </row>
    <row r="357" spans="1:2" x14ac:dyDescent="0.25">
      <c r="A357" s="4" t="s">
        <v>226</v>
      </c>
      <c r="B357">
        <v>35</v>
      </c>
    </row>
    <row r="358" spans="1:2" x14ac:dyDescent="0.25">
      <c r="A358" s="4" t="s">
        <v>236</v>
      </c>
      <c r="B358">
        <v>471</v>
      </c>
    </row>
    <row r="359" spans="1:2" x14ac:dyDescent="0.25">
      <c r="A359" s="4" t="s">
        <v>2165</v>
      </c>
      <c r="B359">
        <v>506</v>
      </c>
    </row>
    <row r="363" spans="1:2" x14ac:dyDescent="0.25">
      <c r="A363" s="3" t="s">
        <v>2164</v>
      </c>
      <c r="B363" t="s">
        <v>2228</v>
      </c>
    </row>
    <row r="364" spans="1:2" x14ac:dyDescent="0.25">
      <c r="A364" s="4">
        <v>1</v>
      </c>
      <c r="B364">
        <v>11</v>
      </c>
    </row>
    <row r="365" spans="1:2" x14ac:dyDescent="0.25">
      <c r="A365" s="4" t="s">
        <v>2165</v>
      </c>
      <c r="B365">
        <v>11</v>
      </c>
    </row>
    <row r="367" spans="1:2" x14ac:dyDescent="0.25">
      <c r="A367" s="3" t="s">
        <v>2164</v>
      </c>
      <c r="B367" t="s">
        <v>2229</v>
      </c>
    </row>
    <row r="368" spans="1:2" x14ac:dyDescent="0.25">
      <c r="A368" s="4">
        <v>1</v>
      </c>
      <c r="B368">
        <v>25</v>
      </c>
    </row>
    <row r="369" spans="1:2" x14ac:dyDescent="0.25">
      <c r="A369" s="4" t="s">
        <v>2165</v>
      </c>
      <c r="B369">
        <v>25</v>
      </c>
    </row>
    <row r="371" spans="1:2" x14ac:dyDescent="0.25">
      <c r="A371" s="3" t="s">
        <v>2164</v>
      </c>
      <c r="B371" t="s">
        <v>2230</v>
      </c>
    </row>
    <row r="372" spans="1:2" x14ac:dyDescent="0.25">
      <c r="A372" s="4">
        <v>1</v>
      </c>
      <c r="B372">
        <v>2</v>
      </c>
    </row>
    <row r="373" spans="1:2" x14ac:dyDescent="0.25">
      <c r="A373" s="4" t="s">
        <v>2165</v>
      </c>
      <c r="B373">
        <v>2</v>
      </c>
    </row>
    <row r="375" spans="1:2" x14ac:dyDescent="0.25">
      <c r="A375" s="3" t="s">
        <v>2164</v>
      </c>
      <c r="B375" t="s">
        <v>2231</v>
      </c>
    </row>
    <row r="376" spans="1:2" x14ac:dyDescent="0.25">
      <c r="A376" s="4">
        <v>1</v>
      </c>
      <c r="B376">
        <v>1</v>
      </c>
    </row>
    <row r="377" spans="1:2" x14ac:dyDescent="0.25">
      <c r="A377" s="4" t="s">
        <v>2165</v>
      </c>
      <c r="B377">
        <v>1</v>
      </c>
    </row>
    <row r="379" spans="1:2" x14ac:dyDescent="0.25">
      <c r="A379" s="3" t="s">
        <v>2164</v>
      </c>
      <c r="B379" t="s">
        <v>2232</v>
      </c>
    </row>
    <row r="380" spans="1:2" x14ac:dyDescent="0.25">
      <c r="A380" s="4">
        <v>1</v>
      </c>
      <c r="B380">
        <v>1</v>
      </c>
    </row>
    <row r="381" spans="1:2" x14ac:dyDescent="0.25">
      <c r="A381" s="4" t="s">
        <v>2165</v>
      </c>
      <c r="B381">
        <v>1</v>
      </c>
    </row>
    <row r="382" spans="1:2" x14ac:dyDescent="0.25">
      <c r="A382" s="4"/>
    </row>
    <row r="383" spans="1:2" x14ac:dyDescent="0.25">
      <c r="A383" s="4"/>
    </row>
    <row r="385" spans="1:8" x14ac:dyDescent="0.25">
      <c r="A385" s="3" t="s">
        <v>167</v>
      </c>
      <c r="B385" t="s">
        <v>226</v>
      </c>
    </row>
    <row r="387" spans="1:8" x14ac:dyDescent="0.25">
      <c r="A387" s="3" t="s">
        <v>2164</v>
      </c>
      <c r="B387" t="s">
        <v>2233</v>
      </c>
    </row>
    <row r="388" spans="1:8" x14ac:dyDescent="0.25">
      <c r="A388" s="4" t="s">
        <v>226</v>
      </c>
      <c r="B388">
        <v>20</v>
      </c>
    </row>
    <row r="389" spans="1:8" x14ac:dyDescent="0.25">
      <c r="A389" s="4" t="s">
        <v>236</v>
      </c>
      <c r="B389">
        <v>15</v>
      </c>
    </row>
    <row r="390" spans="1:8" x14ac:dyDescent="0.25">
      <c r="A390" s="4" t="s">
        <v>2165</v>
      </c>
      <c r="B390">
        <v>35</v>
      </c>
    </row>
    <row r="392" spans="1:8" x14ac:dyDescent="0.25">
      <c r="A392" s="20" t="s">
        <v>2234</v>
      </c>
      <c r="B392" s="20"/>
    </row>
    <row r="393" spans="1:8" x14ac:dyDescent="0.25">
      <c r="A393" s="4" t="s">
        <v>2236</v>
      </c>
      <c r="D393" t="s">
        <v>2247</v>
      </c>
    </row>
    <row r="394" spans="1:8" x14ac:dyDescent="0.25">
      <c r="A394" s="3" t="s">
        <v>2164</v>
      </c>
      <c r="B394" t="s">
        <v>2235</v>
      </c>
      <c r="D394" s="3" t="s">
        <v>2164</v>
      </c>
      <c r="E394" t="s">
        <v>2246</v>
      </c>
      <c r="G394" s="3" t="s">
        <v>2164</v>
      </c>
      <c r="H394" t="s">
        <v>2257</v>
      </c>
    </row>
    <row r="395" spans="1:8" x14ac:dyDescent="0.25">
      <c r="A395" s="4" t="s">
        <v>226</v>
      </c>
      <c r="B395">
        <v>279</v>
      </c>
      <c r="D395" s="4" t="s">
        <v>226</v>
      </c>
      <c r="E395">
        <v>101</v>
      </c>
      <c r="G395" s="4" t="s">
        <v>267</v>
      </c>
      <c r="H395">
        <v>22</v>
      </c>
    </row>
    <row r="396" spans="1:8" x14ac:dyDescent="0.25">
      <c r="A396" s="4" t="s">
        <v>236</v>
      </c>
      <c r="B396">
        <v>227</v>
      </c>
      <c r="D396" s="4" t="s">
        <v>236</v>
      </c>
      <c r="E396">
        <v>177</v>
      </c>
      <c r="G396" s="4" t="s">
        <v>266</v>
      </c>
      <c r="H396">
        <v>77</v>
      </c>
    </row>
    <row r="397" spans="1:8" x14ac:dyDescent="0.25">
      <c r="A397" s="4" t="s">
        <v>2165</v>
      </c>
      <c r="B397">
        <v>506</v>
      </c>
      <c r="D397" s="4" t="s">
        <v>2165</v>
      </c>
      <c r="E397">
        <v>278</v>
      </c>
      <c r="G397" s="4" t="s">
        <v>570</v>
      </c>
      <c r="H397">
        <v>1</v>
      </c>
    </row>
    <row r="398" spans="1:8" x14ac:dyDescent="0.25">
      <c r="G398" s="4" t="s">
        <v>308</v>
      </c>
      <c r="H398">
        <v>1</v>
      </c>
    </row>
    <row r="399" spans="1:8" x14ac:dyDescent="0.25">
      <c r="A399" s="3" t="s">
        <v>2164</v>
      </c>
      <c r="B399" t="s">
        <v>2237</v>
      </c>
      <c r="D399" s="3" t="s">
        <v>2164</v>
      </c>
      <c r="E399" t="s">
        <v>2248</v>
      </c>
      <c r="G399" s="4" t="s">
        <v>2165</v>
      </c>
      <c r="H399">
        <v>101</v>
      </c>
    </row>
    <row r="400" spans="1:8" x14ac:dyDescent="0.25">
      <c r="A400" s="4" t="s">
        <v>226</v>
      </c>
      <c r="B400">
        <v>132</v>
      </c>
      <c r="D400" s="4" t="s">
        <v>226</v>
      </c>
      <c r="E400">
        <v>61</v>
      </c>
    </row>
    <row r="401" spans="1:8" x14ac:dyDescent="0.25">
      <c r="A401" s="4" t="s">
        <v>236</v>
      </c>
      <c r="B401">
        <v>374</v>
      </c>
      <c r="D401" s="4" t="s">
        <v>236</v>
      </c>
      <c r="E401">
        <v>71</v>
      </c>
      <c r="G401" s="3" t="s">
        <v>2164</v>
      </c>
      <c r="H401" t="s">
        <v>2258</v>
      </c>
    </row>
    <row r="402" spans="1:8" x14ac:dyDescent="0.25">
      <c r="A402" s="4" t="s">
        <v>2165</v>
      </c>
      <c r="B402">
        <v>506</v>
      </c>
      <c r="D402" s="4" t="s">
        <v>2165</v>
      </c>
      <c r="E402">
        <v>132</v>
      </c>
      <c r="G402" s="4" t="s">
        <v>267</v>
      </c>
      <c r="H402">
        <v>16</v>
      </c>
    </row>
    <row r="403" spans="1:8" x14ac:dyDescent="0.25">
      <c r="G403" s="4" t="s">
        <v>266</v>
      </c>
      <c r="H403">
        <v>44</v>
      </c>
    </row>
    <row r="404" spans="1:8" x14ac:dyDescent="0.25">
      <c r="A404" s="3" t="s">
        <v>2164</v>
      </c>
      <c r="B404" t="s">
        <v>2238</v>
      </c>
      <c r="D404" s="3" t="s">
        <v>2164</v>
      </c>
      <c r="E404" t="s">
        <v>2249</v>
      </c>
      <c r="G404" s="4" t="s">
        <v>570</v>
      </c>
      <c r="H404">
        <v>1</v>
      </c>
    </row>
    <row r="405" spans="1:8" x14ac:dyDescent="0.25">
      <c r="A405" s="4" t="s">
        <v>226</v>
      </c>
      <c r="B405">
        <v>40</v>
      </c>
      <c r="D405" s="4" t="s">
        <v>226</v>
      </c>
      <c r="E405">
        <v>19</v>
      </c>
      <c r="G405" s="4" t="s">
        <v>2165</v>
      </c>
      <c r="H405">
        <v>61</v>
      </c>
    </row>
    <row r="406" spans="1:8" x14ac:dyDescent="0.25">
      <c r="A406" s="4" t="s">
        <v>236</v>
      </c>
      <c r="B406">
        <v>466</v>
      </c>
      <c r="D406" s="4" t="s">
        <v>236</v>
      </c>
      <c r="E406">
        <v>21</v>
      </c>
    </row>
    <row r="407" spans="1:8" x14ac:dyDescent="0.25">
      <c r="A407" s="4" t="s">
        <v>2165</v>
      </c>
      <c r="B407">
        <v>506</v>
      </c>
      <c r="D407" s="4" t="s">
        <v>2165</v>
      </c>
      <c r="E407">
        <v>40</v>
      </c>
      <c r="G407" s="3" t="s">
        <v>2164</v>
      </c>
      <c r="H407" t="s">
        <v>2259</v>
      </c>
    </row>
    <row r="408" spans="1:8" x14ac:dyDescent="0.25">
      <c r="G408" s="4" t="s">
        <v>267</v>
      </c>
      <c r="H408">
        <v>5</v>
      </c>
    </row>
    <row r="409" spans="1:8" x14ac:dyDescent="0.25">
      <c r="A409" s="3" t="s">
        <v>2164</v>
      </c>
      <c r="B409" t="s">
        <v>2239</v>
      </c>
      <c r="D409" s="3" t="s">
        <v>2164</v>
      </c>
      <c r="E409" t="s">
        <v>2250</v>
      </c>
      <c r="G409" s="4" t="s">
        <v>266</v>
      </c>
      <c r="H409">
        <v>13</v>
      </c>
    </row>
    <row r="410" spans="1:8" x14ac:dyDescent="0.25">
      <c r="A410" s="4" t="s">
        <v>226</v>
      </c>
      <c r="B410">
        <v>363</v>
      </c>
      <c r="D410" s="4" t="s">
        <v>226</v>
      </c>
      <c r="E410">
        <v>152</v>
      </c>
      <c r="G410" s="4" t="s">
        <v>570</v>
      </c>
      <c r="H410">
        <v>1</v>
      </c>
    </row>
    <row r="411" spans="1:8" x14ac:dyDescent="0.25">
      <c r="A411" s="4" t="s">
        <v>236</v>
      </c>
      <c r="B411">
        <v>143</v>
      </c>
      <c r="D411" s="4" t="s">
        <v>236</v>
      </c>
      <c r="E411">
        <v>211</v>
      </c>
      <c r="G411" s="4" t="s">
        <v>2165</v>
      </c>
      <c r="H411">
        <v>19</v>
      </c>
    </row>
    <row r="412" spans="1:8" x14ac:dyDescent="0.25">
      <c r="A412" s="4" t="s">
        <v>2165</v>
      </c>
      <c r="B412">
        <v>506</v>
      </c>
      <c r="D412" s="4" t="s">
        <v>2165</v>
      </c>
      <c r="E412">
        <v>363</v>
      </c>
    </row>
    <row r="413" spans="1:8" x14ac:dyDescent="0.25">
      <c r="G413" s="3" t="s">
        <v>2164</v>
      </c>
      <c r="H413" t="s">
        <v>2260</v>
      </c>
    </row>
    <row r="414" spans="1:8" x14ac:dyDescent="0.25">
      <c r="A414" s="3" t="s">
        <v>2164</v>
      </c>
      <c r="B414" t="s">
        <v>2240</v>
      </c>
      <c r="D414" s="3" t="s">
        <v>2164</v>
      </c>
      <c r="E414" t="s">
        <v>2251</v>
      </c>
      <c r="G414" s="4" t="s">
        <v>267</v>
      </c>
      <c r="H414">
        <v>41</v>
      </c>
    </row>
    <row r="415" spans="1:8" x14ac:dyDescent="0.25">
      <c r="A415" s="4" t="s">
        <v>226</v>
      </c>
      <c r="B415">
        <v>77</v>
      </c>
      <c r="D415" s="4" t="s">
        <v>226</v>
      </c>
      <c r="E415">
        <v>29</v>
      </c>
      <c r="G415" s="4" t="s">
        <v>266</v>
      </c>
      <c r="H415">
        <v>104</v>
      </c>
    </row>
    <row r="416" spans="1:8" x14ac:dyDescent="0.25">
      <c r="A416" s="4" t="s">
        <v>236</v>
      </c>
      <c r="B416">
        <v>429</v>
      </c>
      <c r="D416" s="4" t="s">
        <v>236</v>
      </c>
      <c r="E416">
        <v>48</v>
      </c>
      <c r="G416" s="4" t="s">
        <v>570</v>
      </c>
      <c r="H416">
        <v>7</v>
      </c>
    </row>
    <row r="417" spans="1:8" x14ac:dyDescent="0.25">
      <c r="A417" s="4" t="s">
        <v>2165</v>
      </c>
      <c r="B417">
        <v>506</v>
      </c>
      <c r="D417" s="4" t="s">
        <v>2165</v>
      </c>
      <c r="E417">
        <v>77</v>
      </c>
      <c r="G417" s="4" t="s">
        <v>2165</v>
      </c>
      <c r="H417">
        <v>152</v>
      </c>
    </row>
    <row r="419" spans="1:8" x14ac:dyDescent="0.25">
      <c r="A419" s="3" t="s">
        <v>2164</v>
      </c>
      <c r="B419" t="s">
        <v>2241</v>
      </c>
      <c r="D419" s="3" t="s">
        <v>2164</v>
      </c>
      <c r="E419" t="s">
        <v>2252</v>
      </c>
      <c r="G419" s="3" t="s">
        <v>2164</v>
      </c>
      <c r="H419" t="s">
        <v>2261</v>
      </c>
    </row>
    <row r="420" spans="1:8" x14ac:dyDescent="0.25">
      <c r="A420" s="4" t="s">
        <v>226</v>
      </c>
      <c r="B420">
        <v>176</v>
      </c>
      <c r="D420" s="4" t="s">
        <v>226</v>
      </c>
      <c r="E420">
        <v>73</v>
      </c>
      <c r="G420" s="4" t="s">
        <v>267</v>
      </c>
      <c r="H420">
        <v>12</v>
      </c>
    </row>
    <row r="421" spans="1:8" x14ac:dyDescent="0.25">
      <c r="A421" s="4" t="s">
        <v>236</v>
      </c>
      <c r="B421">
        <v>330</v>
      </c>
      <c r="D421" s="4" t="s">
        <v>236</v>
      </c>
      <c r="E421">
        <v>103</v>
      </c>
      <c r="G421" s="4" t="s">
        <v>266</v>
      </c>
      <c r="H421">
        <v>16</v>
      </c>
    </row>
    <row r="422" spans="1:8" x14ac:dyDescent="0.25">
      <c r="A422" s="4" t="s">
        <v>2165</v>
      </c>
      <c r="B422">
        <v>506</v>
      </c>
      <c r="D422" s="4" t="s">
        <v>2165</v>
      </c>
      <c r="E422">
        <v>176</v>
      </c>
      <c r="G422" s="4" t="s">
        <v>308</v>
      </c>
      <c r="H422">
        <v>1</v>
      </c>
    </row>
    <row r="423" spans="1:8" x14ac:dyDescent="0.25">
      <c r="G423" s="4" t="s">
        <v>2165</v>
      </c>
      <c r="H423">
        <v>29</v>
      </c>
    </row>
    <row r="424" spans="1:8" x14ac:dyDescent="0.25">
      <c r="A424" s="3" t="s">
        <v>2164</v>
      </c>
      <c r="B424" t="s">
        <v>2242</v>
      </c>
      <c r="D424" s="3" t="s">
        <v>2164</v>
      </c>
      <c r="E424" t="s">
        <v>2253</v>
      </c>
    </row>
    <row r="425" spans="1:8" x14ac:dyDescent="0.25">
      <c r="A425" s="4" t="s">
        <v>226</v>
      </c>
      <c r="B425">
        <v>397</v>
      </c>
      <c r="D425" s="4" t="s">
        <v>226</v>
      </c>
      <c r="E425">
        <v>270</v>
      </c>
      <c r="G425" s="3" t="s">
        <v>2164</v>
      </c>
      <c r="H425" t="s">
        <v>2262</v>
      </c>
    </row>
    <row r="426" spans="1:8" x14ac:dyDescent="0.25">
      <c r="A426" s="4" t="s">
        <v>236</v>
      </c>
      <c r="B426">
        <v>109</v>
      </c>
      <c r="D426" s="4" t="s">
        <v>236</v>
      </c>
      <c r="E426">
        <v>127</v>
      </c>
      <c r="G426" s="4" t="s">
        <v>267</v>
      </c>
      <c r="H426">
        <v>25</v>
      </c>
    </row>
    <row r="427" spans="1:8" x14ac:dyDescent="0.25">
      <c r="A427" s="4" t="s">
        <v>2165</v>
      </c>
      <c r="B427">
        <v>506</v>
      </c>
      <c r="D427" s="4" t="s">
        <v>2165</v>
      </c>
      <c r="E427">
        <v>397</v>
      </c>
      <c r="G427" s="4" t="s">
        <v>266</v>
      </c>
      <c r="H427">
        <v>45</v>
      </c>
    </row>
    <row r="428" spans="1:8" x14ac:dyDescent="0.25">
      <c r="G428" s="4" t="s">
        <v>570</v>
      </c>
      <c r="H428">
        <v>3</v>
      </c>
    </row>
    <row r="429" spans="1:8" x14ac:dyDescent="0.25">
      <c r="A429" s="3" t="s">
        <v>2164</v>
      </c>
      <c r="B429" t="s">
        <v>2243</v>
      </c>
      <c r="D429" s="3" t="s">
        <v>2164</v>
      </c>
      <c r="E429" t="s">
        <v>2254</v>
      </c>
      <c r="G429" s="4" t="s">
        <v>2165</v>
      </c>
      <c r="H429">
        <v>73</v>
      </c>
    </row>
    <row r="430" spans="1:8" x14ac:dyDescent="0.25">
      <c r="A430" s="4" t="s">
        <v>226</v>
      </c>
      <c r="B430">
        <v>403</v>
      </c>
      <c r="D430" s="4" t="s">
        <v>226</v>
      </c>
      <c r="E430">
        <v>209</v>
      </c>
    </row>
    <row r="431" spans="1:8" x14ac:dyDescent="0.25">
      <c r="A431" s="4" t="s">
        <v>236</v>
      </c>
      <c r="B431">
        <v>103</v>
      </c>
      <c r="D431" s="4" t="s">
        <v>236</v>
      </c>
      <c r="E431">
        <v>194</v>
      </c>
      <c r="G431" s="3" t="s">
        <v>2164</v>
      </c>
      <c r="H431" t="s">
        <v>2263</v>
      </c>
    </row>
    <row r="432" spans="1:8" x14ac:dyDescent="0.25">
      <c r="A432" s="4" t="s">
        <v>2165</v>
      </c>
      <c r="B432">
        <v>506</v>
      </c>
      <c r="D432" s="4" t="s">
        <v>2165</v>
      </c>
      <c r="E432">
        <v>403</v>
      </c>
      <c r="G432" s="4" t="s">
        <v>267</v>
      </c>
      <c r="H432">
        <v>132</v>
      </c>
    </row>
    <row r="433" spans="1:8" x14ac:dyDescent="0.25">
      <c r="G433" s="4" t="s">
        <v>266</v>
      </c>
      <c r="H433">
        <v>129</v>
      </c>
    </row>
    <row r="434" spans="1:8" x14ac:dyDescent="0.25">
      <c r="A434" s="3" t="s">
        <v>2164</v>
      </c>
      <c r="B434" t="s">
        <v>2244</v>
      </c>
      <c r="D434" s="3" t="s">
        <v>2164</v>
      </c>
      <c r="E434" t="s">
        <v>2255</v>
      </c>
      <c r="G434" s="4" t="s">
        <v>570</v>
      </c>
      <c r="H434">
        <v>8</v>
      </c>
    </row>
    <row r="435" spans="1:8" x14ac:dyDescent="0.25">
      <c r="A435" s="4" t="s">
        <v>226</v>
      </c>
      <c r="B435">
        <v>103</v>
      </c>
      <c r="D435" s="4" t="s">
        <v>226</v>
      </c>
      <c r="E435">
        <v>49</v>
      </c>
      <c r="G435" s="4" t="s">
        <v>601</v>
      </c>
      <c r="H435">
        <v>1</v>
      </c>
    </row>
    <row r="436" spans="1:8" x14ac:dyDescent="0.25">
      <c r="A436" s="4" t="s">
        <v>236</v>
      </c>
      <c r="B436">
        <v>403</v>
      </c>
      <c r="D436" s="4" t="s">
        <v>236</v>
      </c>
      <c r="E436">
        <v>55</v>
      </c>
      <c r="G436" s="4" t="s">
        <v>2165</v>
      </c>
      <c r="H436">
        <v>270</v>
      </c>
    </row>
    <row r="437" spans="1:8" x14ac:dyDescent="0.25">
      <c r="A437" s="4" t="s">
        <v>2165</v>
      </c>
      <c r="B437">
        <v>506</v>
      </c>
      <c r="D437" s="4" t="s">
        <v>2165</v>
      </c>
      <c r="E437">
        <v>104</v>
      </c>
    </row>
    <row r="438" spans="1:8" x14ac:dyDescent="0.25">
      <c r="G438" s="3" t="s">
        <v>2164</v>
      </c>
      <c r="H438" t="s">
        <v>2264</v>
      </c>
    </row>
    <row r="439" spans="1:8" x14ac:dyDescent="0.25">
      <c r="A439" s="3" t="s">
        <v>2164</v>
      </c>
      <c r="B439" t="s">
        <v>2245</v>
      </c>
      <c r="D439" s="3" t="s">
        <v>2164</v>
      </c>
      <c r="E439" t="s">
        <v>2256</v>
      </c>
      <c r="G439" s="4" t="s">
        <v>267</v>
      </c>
      <c r="H439">
        <v>68</v>
      </c>
    </row>
    <row r="440" spans="1:8" x14ac:dyDescent="0.25">
      <c r="A440" s="4" t="s">
        <v>226</v>
      </c>
      <c r="B440">
        <v>30</v>
      </c>
      <c r="D440" s="4" t="s">
        <v>226</v>
      </c>
      <c r="E440">
        <v>15</v>
      </c>
      <c r="G440" s="4" t="s">
        <v>266</v>
      </c>
      <c r="H440">
        <v>123</v>
      </c>
    </row>
    <row r="441" spans="1:8" x14ac:dyDescent="0.25">
      <c r="A441" s="4" t="s">
        <v>236</v>
      </c>
      <c r="B441">
        <v>476</v>
      </c>
      <c r="D441" s="4" t="s">
        <v>236</v>
      </c>
      <c r="E441">
        <v>15</v>
      </c>
      <c r="G441" s="4" t="s">
        <v>570</v>
      </c>
      <c r="H441">
        <v>15</v>
      </c>
    </row>
    <row r="442" spans="1:8" x14ac:dyDescent="0.25">
      <c r="A442" s="4" t="s">
        <v>2165</v>
      </c>
      <c r="B442">
        <v>506</v>
      </c>
      <c r="D442" s="4" t="s">
        <v>2165</v>
      </c>
      <c r="E442">
        <v>30</v>
      </c>
      <c r="G442" s="4" t="s">
        <v>601</v>
      </c>
      <c r="H442">
        <v>3</v>
      </c>
    </row>
    <row r="443" spans="1:8" x14ac:dyDescent="0.25">
      <c r="G443" s="4" t="s">
        <v>2165</v>
      </c>
      <c r="H443">
        <v>209</v>
      </c>
    </row>
    <row r="445" spans="1:8" x14ac:dyDescent="0.25">
      <c r="G445" s="3" t="s">
        <v>2164</v>
      </c>
      <c r="H445" t="s">
        <v>2265</v>
      </c>
    </row>
    <row r="446" spans="1:8" x14ac:dyDescent="0.25">
      <c r="G446" s="4" t="s">
        <v>267</v>
      </c>
      <c r="H446">
        <v>16</v>
      </c>
    </row>
    <row r="447" spans="1:8" x14ac:dyDescent="0.25">
      <c r="G447" s="4" t="s">
        <v>266</v>
      </c>
      <c r="H447">
        <v>30</v>
      </c>
    </row>
    <row r="448" spans="1:8" x14ac:dyDescent="0.25">
      <c r="G448" s="4" t="s">
        <v>570</v>
      </c>
      <c r="H448">
        <v>1</v>
      </c>
    </row>
    <row r="449" spans="7:8" x14ac:dyDescent="0.25">
      <c r="G449" s="4" t="s">
        <v>601</v>
      </c>
      <c r="H449">
        <v>1</v>
      </c>
    </row>
    <row r="450" spans="7:8" x14ac:dyDescent="0.25">
      <c r="G450" s="4" t="s">
        <v>2165</v>
      </c>
      <c r="H450">
        <v>48</v>
      </c>
    </row>
    <row r="452" spans="7:8" x14ac:dyDescent="0.25">
      <c r="G452" s="3" t="s">
        <v>2164</v>
      </c>
      <c r="H452" t="s">
        <v>2266</v>
      </c>
    </row>
    <row r="453" spans="7:8" x14ac:dyDescent="0.25">
      <c r="G453" s="4" t="s">
        <v>267</v>
      </c>
      <c r="H453">
        <v>3</v>
      </c>
    </row>
    <row r="454" spans="7:8" x14ac:dyDescent="0.25">
      <c r="G454" s="4" t="s">
        <v>266</v>
      </c>
      <c r="H454">
        <v>12</v>
      </c>
    </row>
    <row r="455" spans="7:8" x14ac:dyDescent="0.25">
      <c r="G455" s="4" t="s">
        <v>2165</v>
      </c>
      <c r="H455">
        <v>15</v>
      </c>
    </row>
  </sheetData>
  <mergeCells count="8">
    <mergeCell ref="A354:B354"/>
    <mergeCell ref="A392:B392"/>
    <mergeCell ref="A1:B1"/>
    <mergeCell ref="A120:B120"/>
    <mergeCell ref="A198:B198"/>
    <mergeCell ref="A227:B227"/>
    <mergeCell ref="A234:B234"/>
    <mergeCell ref="A332:B3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P529"/>
  <sheetViews>
    <sheetView tabSelected="1" topLeftCell="B1" zoomScale="40" zoomScaleNormal="40" workbookViewId="0">
      <selection activeCell="K78" sqref="K78"/>
    </sheetView>
  </sheetViews>
  <sheetFormatPr baseColWidth="10" defaultRowHeight="15" x14ac:dyDescent="0.25"/>
  <cols>
    <col min="2" max="2" width="25.7109375" customWidth="1"/>
    <col min="3" max="3" width="34.140625" customWidth="1"/>
    <col min="4" max="4" width="15.140625" customWidth="1"/>
    <col min="8" max="8" width="26.140625" bestFit="1" customWidth="1"/>
    <col min="9" max="9" width="23" customWidth="1"/>
    <col min="10" max="10" width="26.140625" customWidth="1"/>
    <col min="11" max="11" width="29.28515625" customWidth="1"/>
    <col min="12" max="12" width="19.7109375" bestFit="1" customWidth="1"/>
    <col min="13" max="13" width="15.42578125" customWidth="1"/>
    <col min="14" max="14" width="11.7109375" customWidth="1"/>
    <col min="15" max="15" width="17.5703125" bestFit="1" customWidth="1"/>
    <col min="16" max="16" width="29.5703125" customWidth="1"/>
    <col min="17" max="17" width="12.42578125" customWidth="1"/>
    <col min="18" max="18" width="17.5703125" bestFit="1" customWidth="1"/>
    <col min="19" max="19" width="25.140625" customWidth="1"/>
    <col min="20" max="20" width="7.7109375" bestFit="1" customWidth="1"/>
    <col min="21" max="21" width="12.5703125" bestFit="1" customWidth="1"/>
    <col min="22" max="22" width="12.140625" bestFit="1" customWidth="1"/>
    <col min="23" max="23" width="12.5703125" bestFit="1" customWidth="1"/>
    <col min="24" max="24" width="22" bestFit="1" customWidth="1"/>
    <col min="25" max="25" width="12.85546875" customWidth="1"/>
    <col min="26" max="26" width="13.42578125" bestFit="1" customWidth="1"/>
    <col min="27" max="27" width="12.42578125" bestFit="1" customWidth="1"/>
    <col min="28" max="28" width="12.140625" bestFit="1" customWidth="1"/>
    <col min="29" max="29" width="12.5703125" bestFit="1" customWidth="1"/>
    <col min="30" max="30" width="10.42578125" bestFit="1" customWidth="1"/>
    <col min="31" max="31" width="12.42578125" bestFit="1" customWidth="1"/>
    <col min="32" max="32" width="17.42578125" bestFit="1" customWidth="1"/>
    <col min="33" max="33" width="12.5703125" bestFit="1" customWidth="1"/>
    <col min="37" max="37" width="18.140625" customWidth="1"/>
    <col min="38" max="38" width="17.28515625" customWidth="1"/>
  </cols>
  <sheetData>
    <row r="2" spans="1:42" x14ac:dyDescent="0.25">
      <c r="AB2" s="3" t="s">
        <v>2269</v>
      </c>
      <c r="AC2" s="3" t="s">
        <v>2268</v>
      </c>
    </row>
    <row r="3" spans="1:42" x14ac:dyDescent="0.25">
      <c r="AB3" s="3" t="s">
        <v>2164</v>
      </c>
      <c r="AC3" t="s">
        <v>362</v>
      </c>
      <c r="AD3" t="s">
        <v>237</v>
      </c>
      <c r="AE3" t="s">
        <v>259</v>
      </c>
      <c r="AF3" t="s">
        <v>261</v>
      </c>
      <c r="AG3" t="s">
        <v>2165</v>
      </c>
    </row>
    <row r="4" spans="1:42" x14ac:dyDescent="0.25">
      <c r="A4" s="7" t="s">
        <v>2388</v>
      </c>
      <c r="B4" s="6">
        <v>4.1501976284584984E-2</v>
      </c>
      <c r="AB4" s="4" t="s">
        <v>225</v>
      </c>
      <c r="AC4" s="6">
        <v>4.878048780487805E-2</v>
      </c>
      <c r="AD4" s="6">
        <v>0.71544715447154472</v>
      </c>
      <c r="AE4" s="6">
        <v>0.21951219512195122</v>
      </c>
      <c r="AF4" s="6">
        <v>1.6260162601626018E-2</v>
      </c>
      <c r="AG4" s="6">
        <v>1</v>
      </c>
    </row>
    <row r="5" spans="1:42" x14ac:dyDescent="0.25">
      <c r="A5" s="7" t="s">
        <v>2389</v>
      </c>
      <c r="B5" s="6">
        <v>0.67391304347826086</v>
      </c>
      <c r="K5" s="5" t="s">
        <v>2388</v>
      </c>
      <c r="L5" s="5" t="s">
        <v>2389</v>
      </c>
      <c r="M5" s="5" t="s">
        <v>2390</v>
      </c>
      <c r="N5" s="5" t="s">
        <v>2391</v>
      </c>
      <c r="AB5" s="4" t="s">
        <v>291</v>
      </c>
      <c r="AC5" s="6">
        <v>3.4615384615384617E-2</v>
      </c>
      <c r="AD5" s="6">
        <v>0.63461538461538458</v>
      </c>
      <c r="AE5" s="6">
        <v>0.3</v>
      </c>
      <c r="AF5" s="6">
        <v>3.0769230769230771E-2</v>
      </c>
      <c r="AG5" s="6">
        <v>1</v>
      </c>
      <c r="AJ5" s="39" t="s">
        <v>2386</v>
      </c>
      <c r="AK5" s="39"/>
      <c r="AL5" s="39"/>
      <c r="AM5" s="39"/>
      <c r="AN5" s="39"/>
      <c r="AO5" s="39"/>
      <c r="AP5" s="39"/>
    </row>
    <row r="6" spans="1:42" ht="15" customHeight="1" x14ac:dyDescent="0.25">
      <c r="A6" s="7" t="s">
        <v>2390</v>
      </c>
      <c r="B6" s="6">
        <v>0.2608695652173913</v>
      </c>
      <c r="I6" s="30" t="s">
        <v>2267</v>
      </c>
      <c r="J6" s="4" t="s">
        <v>2404</v>
      </c>
      <c r="K6" s="6">
        <v>4.878048780487805E-2</v>
      </c>
      <c r="L6" s="6">
        <v>0.71544715447154472</v>
      </c>
      <c r="M6" s="6">
        <v>0.21951219512195122</v>
      </c>
      <c r="N6" s="6">
        <v>1.6260162601626018E-2</v>
      </c>
      <c r="AB6" s="4" t="s">
        <v>2165</v>
      </c>
      <c r="AC6" s="6">
        <v>4.1501976284584984E-2</v>
      </c>
      <c r="AD6" s="6">
        <v>0.67391304347826086</v>
      </c>
      <c r="AE6" s="6">
        <v>0.2608695652173913</v>
      </c>
      <c r="AF6" s="6">
        <v>2.3715415019762844E-2</v>
      </c>
      <c r="AG6" s="6">
        <v>1</v>
      </c>
      <c r="AJ6" s="39"/>
      <c r="AK6" s="39"/>
      <c r="AL6" s="39"/>
      <c r="AM6" s="39"/>
      <c r="AN6" s="39"/>
      <c r="AO6" s="39"/>
      <c r="AP6" s="39"/>
    </row>
    <row r="7" spans="1:42" x14ac:dyDescent="0.25">
      <c r="A7" s="7" t="s">
        <v>2391</v>
      </c>
      <c r="B7" s="6">
        <v>2.3715415019762844E-2</v>
      </c>
      <c r="I7" s="30"/>
      <c r="J7" s="4" t="s">
        <v>2405</v>
      </c>
      <c r="K7" s="6">
        <v>3.4615384615384617E-2</v>
      </c>
      <c r="L7" s="6">
        <v>0.63461538461538458</v>
      </c>
      <c r="M7" s="6">
        <v>0.3</v>
      </c>
      <c r="N7" s="6">
        <v>3.0769230769230771E-2</v>
      </c>
      <c r="AJ7" s="39"/>
      <c r="AK7" s="39"/>
      <c r="AL7" s="39"/>
      <c r="AM7" s="39"/>
      <c r="AN7" s="39"/>
      <c r="AO7" s="39"/>
      <c r="AP7" s="39"/>
    </row>
    <row r="8" spans="1:42" x14ac:dyDescent="0.25">
      <c r="I8" s="30" t="s">
        <v>2270</v>
      </c>
      <c r="J8" s="4" t="s">
        <v>2271</v>
      </c>
      <c r="K8" s="6">
        <v>0.11290322580645161</v>
      </c>
      <c r="L8" s="6">
        <v>0.58064516129032262</v>
      </c>
      <c r="M8" s="6">
        <v>0.24193548387096775</v>
      </c>
      <c r="N8" s="6">
        <v>6.4516129032258063E-2</v>
      </c>
      <c r="AB8" s="3" t="s">
        <v>2276</v>
      </c>
      <c r="AC8" s="3" t="s">
        <v>2268</v>
      </c>
      <c r="AJ8" t="s">
        <v>2387</v>
      </c>
      <c r="AK8" s="7" t="s">
        <v>2388</v>
      </c>
      <c r="AL8" s="7" t="s">
        <v>2389</v>
      </c>
      <c r="AM8" s="7" t="s">
        <v>2390</v>
      </c>
      <c r="AN8" s="7" t="s">
        <v>2391</v>
      </c>
      <c r="AO8" s="7" t="s">
        <v>2392</v>
      </c>
      <c r="AP8" s="7" t="s">
        <v>2334</v>
      </c>
    </row>
    <row r="9" spans="1:42" x14ac:dyDescent="0.25">
      <c r="I9" s="30"/>
      <c r="J9" s="4" t="s">
        <v>2272</v>
      </c>
      <c r="K9" s="6">
        <v>2.2988505747126436E-2</v>
      </c>
      <c r="L9" s="6">
        <v>0.6954022988505747</v>
      </c>
      <c r="M9" s="6">
        <v>0.26436781609195403</v>
      </c>
      <c r="N9" s="6">
        <v>1.7241379310344827E-2</v>
      </c>
      <c r="AB9" s="3" t="s">
        <v>2164</v>
      </c>
      <c r="AC9" t="s">
        <v>362</v>
      </c>
      <c r="AD9" t="s">
        <v>237</v>
      </c>
      <c r="AE9" t="s">
        <v>259</v>
      </c>
      <c r="AF9" t="s">
        <v>261</v>
      </c>
      <c r="AG9" t="s">
        <v>2165</v>
      </c>
      <c r="AJ9" s="7" t="s">
        <v>2393</v>
      </c>
      <c r="AK9" s="16">
        <v>1.0351317596998004E-2</v>
      </c>
      <c r="AL9" s="16">
        <v>0.18696126719516168</v>
      </c>
      <c r="AM9" s="16">
        <v>0.64585183531846213</v>
      </c>
      <c r="AN9" s="16">
        <v>0.12209712305041229</v>
      </c>
      <c r="AO9" s="16">
        <v>2.948922587098492E-2</v>
      </c>
      <c r="AP9" s="16">
        <v>5.2492309679825905E-3</v>
      </c>
    </row>
    <row r="10" spans="1:42" x14ac:dyDescent="0.25">
      <c r="A10" s="7" t="s">
        <v>2420</v>
      </c>
      <c r="B10" s="6">
        <f>SUM(B4:B5)</f>
        <v>0.71541501976284583</v>
      </c>
      <c r="I10" s="30"/>
      <c r="J10" s="4" t="s">
        <v>2273</v>
      </c>
      <c r="K10" s="6">
        <v>2.2058823529411766E-2</v>
      </c>
      <c r="L10" s="6">
        <v>0.70588235294117652</v>
      </c>
      <c r="M10" s="6">
        <v>0.25735294117647056</v>
      </c>
      <c r="N10" s="6">
        <v>1.4705882352941176E-2</v>
      </c>
      <c r="AB10" s="4" t="s">
        <v>2271</v>
      </c>
      <c r="AC10" s="6">
        <v>0.11290322580645161</v>
      </c>
      <c r="AD10" s="6">
        <v>0.58064516129032262</v>
      </c>
      <c r="AE10" s="6">
        <v>0.24193548387096775</v>
      </c>
      <c r="AF10" s="6">
        <v>6.4516129032258063E-2</v>
      </c>
      <c r="AG10" s="6">
        <v>1</v>
      </c>
      <c r="AJ10" s="7" t="s">
        <v>2394</v>
      </c>
      <c r="AK10" s="16">
        <v>1.1542775991805114E-2</v>
      </c>
      <c r="AL10" s="16">
        <v>0.27484928642683548</v>
      </c>
      <c r="AM10" s="16">
        <v>0.58499027619590238</v>
      </c>
      <c r="AN10" s="16">
        <v>7.3956176461755396E-2</v>
      </c>
      <c r="AO10" s="16">
        <v>4.3909364677950057E-2</v>
      </c>
      <c r="AP10" s="16">
        <v>1.0752120245751551E-2</v>
      </c>
    </row>
    <row r="11" spans="1:42" x14ac:dyDescent="0.25">
      <c r="A11" s="7" t="s">
        <v>2421</v>
      </c>
      <c r="B11" s="6">
        <f>SUM(B6:B7)</f>
        <v>0.28458498023715412</v>
      </c>
      <c r="I11" s="30"/>
      <c r="J11" s="4" t="s">
        <v>2274</v>
      </c>
      <c r="K11" s="6">
        <v>5.2238805970149252E-2</v>
      </c>
      <c r="L11" s="6">
        <v>0.65671641791044777</v>
      </c>
      <c r="M11" s="6">
        <v>0.26865671641791045</v>
      </c>
      <c r="N11" s="6">
        <v>2.2388059701492536E-2</v>
      </c>
      <c r="AB11" s="4" t="s">
        <v>2272</v>
      </c>
      <c r="AC11" s="6">
        <v>2.2988505747126436E-2</v>
      </c>
      <c r="AD11" s="6">
        <v>0.6954022988505747</v>
      </c>
      <c r="AE11" s="6">
        <v>0.26436781609195403</v>
      </c>
      <c r="AF11" s="6">
        <v>1.7241379310344827E-2</v>
      </c>
      <c r="AG11" s="6">
        <v>1</v>
      </c>
      <c r="AK11" s="16"/>
      <c r="AL11" s="16"/>
      <c r="AM11" s="16"/>
      <c r="AN11" s="16"/>
      <c r="AO11" s="7"/>
      <c r="AP11" s="7"/>
    </row>
    <row r="12" spans="1:42" x14ac:dyDescent="0.25">
      <c r="I12" s="30" t="s">
        <v>2278</v>
      </c>
      <c r="J12" s="4" t="s">
        <v>372</v>
      </c>
      <c r="K12" s="6">
        <v>0</v>
      </c>
      <c r="L12" s="6">
        <v>0.5</v>
      </c>
      <c r="M12" s="6">
        <v>0.5</v>
      </c>
      <c r="N12" s="6">
        <v>0</v>
      </c>
      <c r="AB12" s="4" t="s">
        <v>2273</v>
      </c>
      <c r="AC12" s="6">
        <v>2.2058823529411766E-2</v>
      </c>
      <c r="AD12" s="6">
        <v>0.70588235294117652</v>
      </c>
      <c r="AE12" s="6">
        <v>0.25735294117647056</v>
      </c>
      <c r="AF12" s="6">
        <v>1.4705882352941176E-2</v>
      </c>
      <c r="AG12" s="6">
        <v>1</v>
      </c>
      <c r="AJ12" s="39" t="s">
        <v>2397</v>
      </c>
      <c r="AK12" s="39"/>
      <c r="AL12" s="39"/>
      <c r="AM12" s="39"/>
      <c r="AN12" s="39"/>
    </row>
    <row r="13" spans="1:42" x14ac:dyDescent="0.25">
      <c r="I13" s="30"/>
      <c r="J13" s="4" t="s">
        <v>2407</v>
      </c>
      <c r="K13" s="6">
        <v>2.4390243902439025E-2</v>
      </c>
      <c r="L13" s="6">
        <v>0.70731707317073167</v>
      </c>
      <c r="M13" s="6">
        <v>0.21951219512195122</v>
      </c>
      <c r="N13" s="6">
        <v>4.878048780487805E-2</v>
      </c>
      <c r="AB13" s="4" t="s">
        <v>2274</v>
      </c>
      <c r="AC13" s="6">
        <v>5.2238805970149252E-2</v>
      </c>
      <c r="AD13" s="6">
        <v>0.65671641791044777</v>
      </c>
      <c r="AE13" s="6">
        <v>0.26865671641791045</v>
      </c>
      <c r="AF13" s="6">
        <v>2.2388059701492536E-2</v>
      </c>
      <c r="AG13" s="6">
        <v>1</v>
      </c>
      <c r="AJ13" s="39"/>
      <c r="AK13" s="39"/>
      <c r="AL13" s="39"/>
      <c r="AM13" s="39"/>
      <c r="AN13" s="39"/>
    </row>
    <row r="14" spans="1:42" x14ac:dyDescent="0.25">
      <c r="I14" s="30"/>
      <c r="J14" s="4" t="s">
        <v>2408</v>
      </c>
      <c r="K14" s="6">
        <v>4.5977011494252873E-2</v>
      </c>
      <c r="L14" s="6">
        <v>0.68390804597701149</v>
      </c>
      <c r="M14" s="6">
        <v>0.25287356321839083</v>
      </c>
      <c r="N14" s="6">
        <v>1.7241379310344827E-2</v>
      </c>
      <c r="AB14" s="4" t="s">
        <v>2165</v>
      </c>
      <c r="AC14" s="6">
        <v>4.1501976284584984E-2</v>
      </c>
      <c r="AD14" s="6">
        <v>0.67391304347826086</v>
      </c>
      <c r="AE14" s="6">
        <v>0.2608695652173913</v>
      </c>
      <c r="AF14" s="6">
        <v>2.3715415019762844E-2</v>
      </c>
      <c r="AG14" s="6">
        <v>1</v>
      </c>
      <c r="AJ14" t="s">
        <v>2387</v>
      </c>
      <c r="AK14" s="7" t="s">
        <v>2388</v>
      </c>
      <c r="AL14" s="7" t="s">
        <v>2389</v>
      </c>
      <c r="AM14" s="7" t="s">
        <v>2390</v>
      </c>
      <c r="AN14" s="7" t="s">
        <v>2391</v>
      </c>
    </row>
    <row r="15" spans="1:42" x14ac:dyDescent="0.25">
      <c r="I15" s="30"/>
      <c r="J15" s="4" t="s">
        <v>2409</v>
      </c>
      <c r="K15" s="6">
        <v>0</v>
      </c>
      <c r="L15" s="6">
        <v>0.68421052631578949</v>
      </c>
      <c r="M15" s="6">
        <v>0.28947368421052633</v>
      </c>
      <c r="N15" s="6">
        <v>2.6315789473684209E-2</v>
      </c>
      <c r="AJ15" t="s">
        <v>2395</v>
      </c>
      <c r="AK15" s="6">
        <v>4.1501976284584984E-2</v>
      </c>
      <c r="AL15" s="6">
        <v>0.67391304347826086</v>
      </c>
      <c r="AM15" s="6">
        <v>0.2608695652173913</v>
      </c>
      <c r="AN15" s="6">
        <v>2.3715415019762844E-2</v>
      </c>
    </row>
    <row r="16" spans="1:42" x14ac:dyDescent="0.25">
      <c r="I16" s="30"/>
      <c r="J16" s="4" t="s">
        <v>2410</v>
      </c>
      <c r="K16" s="6">
        <v>4.5685279187817257E-2</v>
      </c>
      <c r="L16" s="6">
        <v>0.68020304568527923</v>
      </c>
      <c r="M16" s="6">
        <v>0.26903553299492383</v>
      </c>
      <c r="N16" s="6">
        <v>5.076142131979695E-3</v>
      </c>
      <c r="AB16" s="3" t="s">
        <v>2277</v>
      </c>
      <c r="AC16" s="3" t="s">
        <v>2268</v>
      </c>
    </row>
    <row r="17" spans="9:38" x14ac:dyDescent="0.25">
      <c r="I17" s="30"/>
      <c r="J17" s="4" t="s">
        <v>2411</v>
      </c>
      <c r="K17" s="6">
        <v>4.1666666666666664E-2</v>
      </c>
      <c r="L17" s="6">
        <v>0.58333333333333337</v>
      </c>
      <c r="M17" s="6">
        <v>0.27083333333333331</v>
      </c>
      <c r="N17" s="6">
        <v>0.10416666666666667</v>
      </c>
      <c r="AB17" s="3" t="s">
        <v>2164</v>
      </c>
      <c r="AC17" t="s">
        <v>362</v>
      </c>
      <c r="AD17" t="s">
        <v>237</v>
      </c>
      <c r="AE17" t="s">
        <v>259</v>
      </c>
      <c r="AF17" t="s">
        <v>261</v>
      </c>
      <c r="AG17" t="s">
        <v>2165</v>
      </c>
    </row>
    <row r="18" spans="9:38" x14ac:dyDescent="0.25">
      <c r="I18" s="30"/>
      <c r="J18" s="4" t="s">
        <v>2412</v>
      </c>
      <c r="K18" s="6">
        <v>0.16666666666666666</v>
      </c>
      <c r="L18" s="6">
        <v>0.66666666666666663</v>
      </c>
      <c r="M18" s="6">
        <v>0.16666666666666666</v>
      </c>
      <c r="N18" s="6">
        <v>0</v>
      </c>
      <c r="AB18" s="4" t="s">
        <v>1174</v>
      </c>
      <c r="AC18" s="6">
        <v>0</v>
      </c>
      <c r="AD18" s="6">
        <v>0.5</v>
      </c>
      <c r="AE18" s="6">
        <v>0.5</v>
      </c>
      <c r="AF18" s="6">
        <v>0</v>
      </c>
      <c r="AG18" s="6">
        <v>1</v>
      </c>
      <c r="AK18" s="3" t="s">
        <v>2164</v>
      </c>
      <c r="AL18" t="s">
        <v>2396</v>
      </c>
    </row>
    <row r="19" spans="9:38" x14ac:dyDescent="0.25">
      <c r="AB19" s="4" t="s">
        <v>612</v>
      </c>
      <c r="AC19" s="6">
        <v>2.4390243902439025E-2</v>
      </c>
      <c r="AD19" s="6">
        <v>0.70731707317073167</v>
      </c>
      <c r="AE19" s="6">
        <v>0.21951219512195122</v>
      </c>
      <c r="AF19" s="6">
        <v>4.878048780487805E-2</v>
      </c>
      <c r="AG19" s="6">
        <v>1</v>
      </c>
      <c r="AK19" s="4" t="s">
        <v>362</v>
      </c>
      <c r="AL19" s="6">
        <v>4.1501976284584984E-2</v>
      </c>
    </row>
    <row r="20" spans="9:38" x14ac:dyDescent="0.25">
      <c r="AB20" s="4" t="s">
        <v>252</v>
      </c>
      <c r="AC20" s="6">
        <v>4.5977011494252873E-2</v>
      </c>
      <c r="AD20" s="6">
        <v>0.68390804597701149</v>
      </c>
      <c r="AE20" s="6">
        <v>0.25287356321839083</v>
      </c>
      <c r="AF20" s="6">
        <v>1.7241379310344827E-2</v>
      </c>
      <c r="AG20" s="6">
        <v>1</v>
      </c>
      <c r="AK20" s="4" t="s">
        <v>237</v>
      </c>
      <c r="AL20" s="6">
        <v>0.67391304347826086</v>
      </c>
    </row>
    <row r="21" spans="9:38" x14ac:dyDescent="0.25">
      <c r="AB21" s="4" t="s">
        <v>321</v>
      </c>
      <c r="AC21" s="6">
        <v>0</v>
      </c>
      <c r="AD21" s="6">
        <v>0.68421052631578949</v>
      </c>
      <c r="AE21" s="6">
        <v>0.28947368421052633</v>
      </c>
      <c r="AF21" s="6">
        <v>2.6315789473684209E-2</v>
      </c>
      <c r="AG21" s="6">
        <v>1</v>
      </c>
      <c r="AK21" s="4" t="s">
        <v>259</v>
      </c>
      <c r="AL21" s="6">
        <v>0.2608695652173913</v>
      </c>
    </row>
    <row r="22" spans="9:38" x14ac:dyDescent="0.25">
      <c r="AB22" s="4" t="s">
        <v>228</v>
      </c>
      <c r="AC22" s="6">
        <v>4.5685279187817257E-2</v>
      </c>
      <c r="AD22" s="6">
        <v>0.68020304568527923</v>
      </c>
      <c r="AE22" s="6">
        <v>0.26903553299492383</v>
      </c>
      <c r="AF22" s="6">
        <v>5.076142131979695E-3</v>
      </c>
      <c r="AG22" s="6">
        <v>1</v>
      </c>
      <c r="AK22" s="4" t="s">
        <v>261</v>
      </c>
      <c r="AL22" s="6">
        <v>2.3715415019762844E-2</v>
      </c>
    </row>
    <row r="23" spans="9:38" x14ac:dyDescent="0.25">
      <c r="AB23" s="4" t="s">
        <v>272</v>
      </c>
      <c r="AC23" s="6">
        <v>4.1666666666666664E-2</v>
      </c>
      <c r="AD23" s="6">
        <v>0.58333333333333337</v>
      </c>
      <c r="AE23" s="6">
        <v>0.27083333333333331</v>
      </c>
      <c r="AF23" s="6">
        <v>0.10416666666666667</v>
      </c>
      <c r="AG23" s="6">
        <v>1</v>
      </c>
      <c r="AK23" s="4" t="s">
        <v>2165</v>
      </c>
      <c r="AL23" s="6">
        <v>1</v>
      </c>
    </row>
    <row r="24" spans="9:38" x14ac:dyDescent="0.25">
      <c r="AB24" s="4" t="s">
        <v>393</v>
      </c>
      <c r="AC24" s="6">
        <v>0.16666666666666666</v>
      </c>
      <c r="AD24" s="6">
        <v>0.66666666666666663</v>
      </c>
      <c r="AE24" s="6">
        <v>0.16666666666666666</v>
      </c>
      <c r="AF24" s="6">
        <v>0</v>
      </c>
      <c r="AG24" s="6">
        <v>1</v>
      </c>
    </row>
    <row r="25" spans="9:38" x14ac:dyDescent="0.25">
      <c r="AB25" s="4" t="s">
        <v>2165</v>
      </c>
      <c r="AC25" s="6">
        <v>4.1501976284584984E-2</v>
      </c>
      <c r="AD25" s="6">
        <v>0.67391304347826086</v>
      </c>
      <c r="AE25" s="6">
        <v>0.2608695652173913</v>
      </c>
      <c r="AF25" s="6">
        <v>2.3715415019762844E-2</v>
      </c>
      <c r="AG25" s="6">
        <v>1</v>
      </c>
    </row>
    <row r="33" spans="12:28" x14ac:dyDescent="0.25">
      <c r="L33" s="3" t="s">
        <v>2164</v>
      </c>
      <c r="M33" t="s">
        <v>2190</v>
      </c>
    </row>
    <row r="34" spans="12:28" x14ac:dyDescent="0.25">
      <c r="L34" s="4" t="s">
        <v>362</v>
      </c>
      <c r="M34" s="6">
        <v>5.9288537549407111E-3</v>
      </c>
      <c r="O34" s="4" t="s">
        <v>2388</v>
      </c>
      <c r="P34" s="4" t="s">
        <v>2389</v>
      </c>
      <c r="Q34" s="4" t="s">
        <v>2390</v>
      </c>
      <c r="R34" s="4" t="s">
        <v>2391</v>
      </c>
      <c r="S34" s="4" t="s">
        <v>2398</v>
      </c>
      <c r="T34" s="4" t="s">
        <v>2334</v>
      </c>
      <c r="V34" s="4" t="s">
        <v>2423</v>
      </c>
      <c r="W34" s="4" t="s">
        <v>2388</v>
      </c>
      <c r="X34" s="4" t="s">
        <v>2389</v>
      </c>
      <c r="Y34" s="4" t="s">
        <v>2390</v>
      </c>
      <c r="Z34" s="4" t="s">
        <v>2391</v>
      </c>
      <c r="AA34" s="4" t="s">
        <v>2398</v>
      </c>
      <c r="AB34" s="4" t="s">
        <v>2334</v>
      </c>
    </row>
    <row r="35" spans="12:28" x14ac:dyDescent="0.25">
      <c r="L35" s="4" t="s">
        <v>237</v>
      </c>
      <c r="M35" s="6">
        <v>0.23122529644268774</v>
      </c>
      <c r="N35" t="s">
        <v>2280</v>
      </c>
      <c r="O35" s="6">
        <v>5.9288537549407111E-3</v>
      </c>
      <c r="P35" s="6">
        <v>0.23122529644268774</v>
      </c>
      <c r="Q35" s="6">
        <v>0.59881422924901184</v>
      </c>
      <c r="R35" s="6">
        <v>7.5098814229249009E-2</v>
      </c>
      <c r="S35" s="6">
        <v>7.5098814229249009E-2</v>
      </c>
      <c r="T35" s="6">
        <v>1.383399209486166E-2</v>
      </c>
      <c r="V35" t="s">
        <v>2280</v>
      </c>
      <c r="W35" s="6">
        <v>5.9288537549407111E-3</v>
      </c>
      <c r="X35" s="6">
        <v>0.23122529644268774</v>
      </c>
      <c r="Y35" s="6">
        <v>0.59881422924901184</v>
      </c>
      <c r="Z35" s="6">
        <v>7.5098814229249009E-2</v>
      </c>
      <c r="AA35" s="6">
        <v>7.5098814229249009E-2</v>
      </c>
      <c r="AB35" s="6">
        <v>1.383399209486166E-2</v>
      </c>
    </row>
    <row r="36" spans="12:28" x14ac:dyDescent="0.25">
      <c r="L36" s="4" t="s">
        <v>259</v>
      </c>
      <c r="M36" s="6">
        <v>0.59881422924901184</v>
      </c>
      <c r="N36" t="s">
        <v>2279</v>
      </c>
      <c r="O36" s="6">
        <v>7.9051383399209481E-3</v>
      </c>
      <c r="P36" s="6">
        <v>0.28063241106719367</v>
      </c>
      <c r="Q36" s="6">
        <v>0.59288537549407117</v>
      </c>
      <c r="R36" s="6">
        <v>4.7430830039525688E-2</v>
      </c>
      <c r="S36" s="6">
        <v>5.731225296442688E-2</v>
      </c>
      <c r="T36" s="6">
        <v>1.383399209486166E-2</v>
      </c>
      <c r="V36" t="s">
        <v>2279</v>
      </c>
      <c r="W36" s="6">
        <v>7.9051383399209481E-3</v>
      </c>
      <c r="X36" s="6">
        <v>0.28063241106719367</v>
      </c>
      <c r="Y36" s="6">
        <v>0.59288537549407117</v>
      </c>
      <c r="Z36" s="6">
        <v>4.7430830039525688E-2</v>
      </c>
      <c r="AA36" s="6">
        <v>5.731225296442688E-2</v>
      </c>
      <c r="AB36" s="6">
        <v>1.383399209486166E-2</v>
      </c>
    </row>
    <row r="37" spans="12:28" x14ac:dyDescent="0.25">
      <c r="L37" s="4" t="s">
        <v>261</v>
      </c>
      <c r="M37" s="6">
        <v>7.5098814229249009E-2</v>
      </c>
      <c r="N37" t="s">
        <v>2281</v>
      </c>
      <c r="O37" s="6">
        <v>1.383399209486166E-2</v>
      </c>
      <c r="P37" s="6">
        <v>0.49604743083003955</v>
      </c>
      <c r="Q37" s="6">
        <v>0.4268774703557312</v>
      </c>
      <c r="R37" s="6">
        <v>4.7430830039525688E-2</v>
      </c>
      <c r="S37" s="6">
        <v>1.383399209486166E-2</v>
      </c>
      <c r="T37" s="6">
        <v>1.976284584980237E-3</v>
      </c>
      <c r="V37" t="s">
        <v>2281</v>
      </c>
      <c r="W37" s="6">
        <v>1.383399209486166E-2</v>
      </c>
      <c r="X37" s="6">
        <v>0.49604743083003955</v>
      </c>
      <c r="Y37" s="6">
        <v>0.4268774703557312</v>
      </c>
      <c r="Z37" s="6">
        <v>4.7430830039525688E-2</v>
      </c>
      <c r="AA37" s="6">
        <v>1.383399209486166E-2</v>
      </c>
      <c r="AB37" s="6">
        <v>1.976284584980237E-3</v>
      </c>
    </row>
    <row r="38" spans="12:28" x14ac:dyDescent="0.25">
      <c r="L38" s="4" t="s">
        <v>239</v>
      </c>
      <c r="M38" s="6">
        <v>7.5098814229249009E-2</v>
      </c>
      <c r="N38" t="s">
        <v>2285</v>
      </c>
      <c r="O38" s="6">
        <v>1.383399209486166E-2</v>
      </c>
      <c r="P38" s="6">
        <v>0.1324110671936759</v>
      </c>
      <c r="Q38" s="6">
        <v>0.37351778656126483</v>
      </c>
      <c r="R38" s="6">
        <v>0.22924901185770752</v>
      </c>
      <c r="S38" s="6">
        <v>0.24110671936758893</v>
      </c>
      <c r="T38" s="6">
        <v>9.881422924901186E-3</v>
      </c>
      <c r="V38" t="s">
        <v>2285</v>
      </c>
      <c r="W38" s="6">
        <v>1.383399209486166E-2</v>
      </c>
      <c r="X38" s="6">
        <v>0.1324110671936759</v>
      </c>
      <c r="Y38" s="6">
        <v>0.37351778656126483</v>
      </c>
      <c r="Z38" s="6">
        <v>0.22924901185770752</v>
      </c>
      <c r="AA38" s="6">
        <v>0.24110671936758893</v>
      </c>
      <c r="AB38" s="6">
        <v>9.881422924901186E-3</v>
      </c>
    </row>
    <row r="39" spans="12:28" x14ac:dyDescent="0.25">
      <c r="L39" s="4" t="s">
        <v>308</v>
      </c>
      <c r="M39" s="6">
        <v>1.383399209486166E-2</v>
      </c>
      <c r="N39" t="s">
        <v>2282</v>
      </c>
      <c r="O39" s="6">
        <v>1.9762845849802372E-2</v>
      </c>
      <c r="P39" s="6">
        <v>0.37549407114624506</v>
      </c>
      <c r="Q39" s="6">
        <v>0.33992094861660077</v>
      </c>
      <c r="R39" s="6">
        <v>3.9525691699604744E-2</v>
      </c>
      <c r="S39" s="6">
        <v>0.1857707509881423</v>
      </c>
      <c r="T39" s="6">
        <v>3.9525691699604744E-2</v>
      </c>
      <c r="V39" t="s">
        <v>2282</v>
      </c>
      <c r="W39" s="6">
        <v>1.9762845849802372E-2</v>
      </c>
      <c r="X39" s="6">
        <v>0.37549407114624506</v>
      </c>
      <c r="Y39" s="6">
        <v>0.33992094861660077</v>
      </c>
      <c r="Z39" s="6">
        <v>3.9525691699604744E-2</v>
      </c>
      <c r="AA39" s="6">
        <v>0.1857707509881423</v>
      </c>
      <c r="AB39" s="6">
        <v>3.9525691699604744E-2</v>
      </c>
    </row>
    <row r="40" spans="12:28" x14ac:dyDescent="0.25">
      <c r="L40" s="4" t="s">
        <v>2165</v>
      </c>
      <c r="M40" s="6">
        <v>1</v>
      </c>
      <c r="N40" t="s">
        <v>2284</v>
      </c>
      <c r="O40" s="6">
        <v>2.766798418972332E-2</v>
      </c>
      <c r="P40" s="6">
        <v>0.59881422924901184</v>
      </c>
      <c r="Q40" s="6">
        <v>0.31818181818181818</v>
      </c>
      <c r="R40" s="6">
        <v>2.9644268774703556E-2</v>
      </c>
      <c r="S40" s="6">
        <v>2.5691699604743084E-2</v>
      </c>
      <c r="T40" s="6">
        <v>0</v>
      </c>
      <c r="V40" t="s">
        <v>2284</v>
      </c>
      <c r="W40" s="6">
        <v>2.766798418972332E-2</v>
      </c>
      <c r="X40" s="6">
        <v>0.59881422924901184</v>
      </c>
      <c r="Y40" s="6">
        <v>0.31818181818181818</v>
      </c>
      <c r="Z40" s="6">
        <v>2.9644268774703556E-2</v>
      </c>
      <c r="AA40" s="6">
        <v>2.5691699604743084E-2</v>
      </c>
      <c r="AB40" s="6">
        <v>0</v>
      </c>
    </row>
    <row r="41" spans="12:28" x14ac:dyDescent="0.25">
      <c r="N41" t="s">
        <v>2283</v>
      </c>
      <c r="O41" s="6">
        <v>1.7786561264822136E-2</v>
      </c>
      <c r="P41" s="6">
        <v>0.61067193675889331</v>
      </c>
      <c r="Q41" s="6">
        <v>0.1857707509881423</v>
      </c>
      <c r="R41" s="6">
        <v>3.952569169960474E-3</v>
      </c>
      <c r="S41" s="6">
        <v>0.14229249011857709</v>
      </c>
      <c r="T41" s="6">
        <v>3.9525691699604744E-2</v>
      </c>
      <c r="V41" t="s">
        <v>2283</v>
      </c>
      <c r="W41" s="6">
        <v>1.7786561264822136E-2</v>
      </c>
      <c r="X41" s="6">
        <v>0.61067193675889331</v>
      </c>
      <c r="Y41" s="6">
        <v>0.1857707509881423</v>
      </c>
      <c r="Z41" s="6">
        <v>3.952569169960474E-3</v>
      </c>
      <c r="AA41" s="6">
        <v>0.14229249011857709</v>
      </c>
      <c r="AB41" s="6">
        <v>3.9525691699604744E-2</v>
      </c>
    </row>
    <row r="42" spans="12:28" x14ac:dyDescent="0.25">
      <c r="L42" s="3" t="s">
        <v>2164</v>
      </c>
      <c r="M42" t="s">
        <v>2191</v>
      </c>
    </row>
    <row r="43" spans="12:28" x14ac:dyDescent="0.25">
      <c r="L43" s="4" t="s">
        <v>362</v>
      </c>
      <c r="M43" s="6">
        <v>1.383399209486166E-2</v>
      </c>
    </row>
    <row r="44" spans="12:28" x14ac:dyDescent="0.25">
      <c r="L44" s="4" t="s">
        <v>237</v>
      </c>
      <c r="M44" s="6">
        <v>0.49604743083003955</v>
      </c>
    </row>
    <row r="45" spans="12:28" x14ac:dyDescent="0.25">
      <c r="L45" s="4" t="s">
        <v>259</v>
      </c>
      <c r="M45" s="6">
        <v>0.4268774703557312</v>
      </c>
    </row>
    <row r="46" spans="12:28" x14ac:dyDescent="0.25">
      <c r="L46" s="4" t="s">
        <v>261</v>
      </c>
      <c r="M46" s="6">
        <v>4.7430830039525688E-2</v>
      </c>
    </row>
    <row r="47" spans="12:28" x14ac:dyDescent="0.25">
      <c r="L47" s="4" t="s">
        <v>239</v>
      </c>
      <c r="M47" s="6">
        <v>1.383399209486166E-2</v>
      </c>
    </row>
    <row r="48" spans="12:28" x14ac:dyDescent="0.25">
      <c r="L48" s="4" t="s">
        <v>308</v>
      </c>
      <c r="M48" s="6">
        <v>1.976284584980237E-3</v>
      </c>
    </row>
    <row r="49" spans="12:13" x14ac:dyDescent="0.25">
      <c r="L49" s="4" t="s">
        <v>2165</v>
      </c>
      <c r="M49" s="6">
        <v>1</v>
      </c>
    </row>
    <row r="51" spans="12:13" x14ac:dyDescent="0.25">
      <c r="L51" s="3" t="s">
        <v>2164</v>
      </c>
      <c r="M51" t="s">
        <v>2192</v>
      </c>
    </row>
    <row r="52" spans="12:13" x14ac:dyDescent="0.25">
      <c r="L52" s="4" t="s">
        <v>362</v>
      </c>
      <c r="M52" s="6">
        <v>7.9051383399209481E-3</v>
      </c>
    </row>
    <row r="53" spans="12:13" x14ac:dyDescent="0.25">
      <c r="L53" s="4" t="s">
        <v>237</v>
      </c>
      <c r="M53" s="6">
        <v>0.28063241106719367</v>
      </c>
    </row>
    <row r="54" spans="12:13" x14ac:dyDescent="0.25">
      <c r="L54" s="4" t="s">
        <v>259</v>
      </c>
      <c r="M54" s="6">
        <v>0.59288537549407117</v>
      </c>
    </row>
    <row r="55" spans="12:13" x14ac:dyDescent="0.25">
      <c r="L55" s="4" t="s">
        <v>261</v>
      </c>
      <c r="M55" s="6">
        <v>4.7430830039525688E-2</v>
      </c>
    </row>
    <row r="56" spans="12:13" x14ac:dyDescent="0.25">
      <c r="L56" s="4" t="s">
        <v>239</v>
      </c>
      <c r="M56" s="6">
        <v>5.731225296442688E-2</v>
      </c>
    </row>
    <row r="57" spans="12:13" x14ac:dyDescent="0.25">
      <c r="L57" s="4" t="s">
        <v>308</v>
      </c>
      <c r="M57" s="6">
        <v>1.383399209486166E-2</v>
      </c>
    </row>
    <row r="58" spans="12:13" x14ac:dyDescent="0.25">
      <c r="L58" s="4" t="s">
        <v>2165</v>
      </c>
      <c r="M58" s="6">
        <v>1</v>
      </c>
    </row>
    <row r="60" spans="12:13" x14ac:dyDescent="0.25">
      <c r="L60" s="3" t="s">
        <v>2164</v>
      </c>
      <c r="M60" t="s">
        <v>2193</v>
      </c>
    </row>
    <row r="61" spans="12:13" x14ac:dyDescent="0.25">
      <c r="L61" s="4" t="s">
        <v>362</v>
      </c>
      <c r="M61" s="6">
        <v>1.9762845849802372E-2</v>
      </c>
    </row>
    <row r="62" spans="12:13" x14ac:dyDescent="0.25">
      <c r="L62" s="4" t="s">
        <v>237</v>
      </c>
      <c r="M62" s="6">
        <v>0.37549407114624506</v>
      </c>
    </row>
    <row r="63" spans="12:13" x14ac:dyDescent="0.25">
      <c r="L63" s="4" t="s">
        <v>259</v>
      </c>
      <c r="M63" s="6">
        <v>0.33992094861660077</v>
      </c>
    </row>
    <row r="64" spans="12:13" x14ac:dyDescent="0.25">
      <c r="L64" s="4" t="s">
        <v>261</v>
      </c>
      <c r="M64" s="6">
        <v>3.9525691699604744E-2</v>
      </c>
    </row>
    <row r="65" spans="12:13" x14ac:dyDescent="0.25">
      <c r="L65" s="4" t="s">
        <v>239</v>
      </c>
      <c r="M65" s="6">
        <v>0.1857707509881423</v>
      </c>
    </row>
    <row r="66" spans="12:13" x14ac:dyDescent="0.25">
      <c r="L66" s="4" t="s">
        <v>308</v>
      </c>
      <c r="M66" s="6">
        <v>3.9525691699604744E-2</v>
      </c>
    </row>
    <row r="67" spans="12:13" x14ac:dyDescent="0.25">
      <c r="L67" s="4" t="s">
        <v>2165</v>
      </c>
      <c r="M67" s="6">
        <v>1</v>
      </c>
    </row>
    <row r="69" spans="12:13" x14ac:dyDescent="0.25">
      <c r="L69" s="3" t="s">
        <v>2164</v>
      </c>
      <c r="M69" t="s">
        <v>2194</v>
      </c>
    </row>
    <row r="70" spans="12:13" x14ac:dyDescent="0.25">
      <c r="L70" s="4" t="s">
        <v>362</v>
      </c>
      <c r="M70" s="6">
        <v>1.7786561264822136E-2</v>
      </c>
    </row>
    <row r="71" spans="12:13" x14ac:dyDescent="0.25">
      <c r="L71" s="4" t="s">
        <v>237</v>
      </c>
      <c r="M71" s="6">
        <v>0.61067193675889331</v>
      </c>
    </row>
    <row r="72" spans="12:13" x14ac:dyDescent="0.25">
      <c r="L72" s="4" t="s">
        <v>259</v>
      </c>
      <c r="M72" s="6">
        <v>0.1857707509881423</v>
      </c>
    </row>
    <row r="73" spans="12:13" x14ac:dyDescent="0.25">
      <c r="L73" s="4" t="s">
        <v>261</v>
      </c>
      <c r="M73" s="6">
        <v>3.952569169960474E-3</v>
      </c>
    </row>
    <row r="74" spans="12:13" x14ac:dyDescent="0.25">
      <c r="L74" s="4" t="s">
        <v>239</v>
      </c>
      <c r="M74" s="6">
        <v>0.14229249011857709</v>
      </c>
    </row>
    <row r="75" spans="12:13" x14ac:dyDescent="0.25">
      <c r="L75" s="4" t="s">
        <v>308</v>
      </c>
      <c r="M75" s="6">
        <v>3.9525691699604744E-2</v>
      </c>
    </row>
    <row r="76" spans="12:13" x14ac:dyDescent="0.25">
      <c r="L76" s="4" t="s">
        <v>2165</v>
      </c>
      <c r="M76" s="6">
        <v>1</v>
      </c>
    </row>
    <row r="78" spans="12:13" x14ac:dyDescent="0.25">
      <c r="L78" s="3" t="s">
        <v>2164</v>
      </c>
      <c r="M78" t="s">
        <v>2195</v>
      </c>
    </row>
    <row r="79" spans="12:13" x14ac:dyDescent="0.25">
      <c r="L79" s="4" t="s">
        <v>362</v>
      </c>
      <c r="M79" s="6">
        <v>2.766798418972332E-2</v>
      </c>
    </row>
    <row r="80" spans="12:13" x14ac:dyDescent="0.25">
      <c r="L80" s="4" t="s">
        <v>237</v>
      </c>
      <c r="M80" s="6">
        <v>0.59881422924901184</v>
      </c>
    </row>
    <row r="81" spans="12:13" x14ac:dyDescent="0.25">
      <c r="L81" s="4" t="s">
        <v>259</v>
      </c>
      <c r="M81" s="6">
        <v>0.31818181818181818</v>
      </c>
    </row>
    <row r="82" spans="12:13" x14ac:dyDescent="0.25">
      <c r="L82" s="4" t="s">
        <v>261</v>
      </c>
      <c r="M82" s="6">
        <v>2.9644268774703556E-2</v>
      </c>
    </row>
    <row r="83" spans="12:13" x14ac:dyDescent="0.25">
      <c r="L83" s="4" t="s">
        <v>239</v>
      </c>
      <c r="M83" s="6">
        <v>2.5691699604743084E-2</v>
      </c>
    </row>
    <row r="84" spans="12:13" x14ac:dyDescent="0.25">
      <c r="L84" s="4" t="s">
        <v>2165</v>
      </c>
      <c r="M84" s="6">
        <v>1</v>
      </c>
    </row>
    <row r="86" spans="12:13" x14ac:dyDescent="0.25">
      <c r="L86" s="3" t="s">
        <v>2164</v>
      </c>
      <c r="M86" t="s">
        <v>2196</v>
      </c>
    </row>
    <row r="87" spans="12:13" x14ac:dyDescent="0.25">
      <c r="L87" s="4" t="s">
        <v>362</v>
      </c>
      <c r="M87" s="6">
        <v>1.383399209486166E-2</v>
      </c>
    </row>
    <row r="88" spans="12:13" x14ac:dyDescent="0.25">
      <c r="L88" s="4" t="s">
        <v>237</v>
      </c>
      <c r="M88" s="6">
        <v>0.1324110671936759</v>
      </c>
    </row>
    <row r="89" spans="12:13" x14ac:dyDescent="0.25">
      <c r="L89" s="4" t="s">
        <v>259</v>
      </c>
      <c r="M89" s="6">
        <v>0.37351778656126483</v>
      </c>
    </row>
    <row r="90" spans="12:13" x14ac:dyDescent="0.25">
      <c r="L90" s="4" t="s">
        <v>261</v>
      </c>
      <c r="M90" s="6">
        <v>0.22924901185770752</v>
      </c>
    </row>
    <row r="91" spans="12:13" x14ac:dyDescent="0.25">
      <c r="L91" s="4" t="s">
        <v>239</v>
      </c>
      <c r="M91" s="6">
        <v>0.24110671936758893</v>
      </c>
    </row>
    <row r="92" spans="12:13" x14ac:dyDescent="0.25">
      <c r="L92" s="4" t="s">
        <v>308</v>
      </c>
      <c r="M92" s="6">
        <v>9.881422924901186E-3</v>
      </c>
    </row>
    <row r="93" spans="12:13" x14ac:dyDescent="0.25">
      <c r="L93" s="4" t="s">
        <v>2165</v>
      </c>
      <c r="M93" s="6">
        <v>1</v>
      </c>
    </row>
    <row r="98" spans="10:35" x14ac:dyDescent="0.25">
      <c r="M98" s="4" t="s">
        <v>2399</v>
      </c>
      <c r="N98" s="4" t="s">
        <v>2400</v>
      </c>
      <c r="O98" s="4" t="s">
        <v>2401</v>
      </c>
      <c r="P98" s="4" t="s">
        <v>2402</v>
      </c>
    </row>
    <row r="99" spans="10:35" x14ac:dyDescent="0.25">
      <c r="J99" s="3" t="s">
        <v>2164</v>
      </c>
      <c r="K99" t="s">
        <v>2198</v>
      </c>
      <c r="L99" t="s">
        <v>2286</v>
      </c>
      <c r="M99" s="6">
        <v>0.1007905138339921</v>
      </c>
      <c r="N99" s="6">
        <v>0.69565217391304346</v>
      </c>
      <c r="O99" s="6">
        <v>0.16996047430830039</v>
      </c>
      <c r="P99" s="6">
        <v>3.3596837944664032E-2</v>
      </c>
      <c r="R99" s="3" t="s">
        <v>2269</v>
      </c>
      <c r="S99" s="3" t="s">
        <v>2268</v>
      </c>
      <c r="X99" s="3" t="s">
        <v>2276</v>
      </c>
      <c r="Y99" s="3" t="s">
        <v>2268</v>
      </c>
      <c r="AF99" s="4" t="s">
        <v>2399</v>
      </c>
      <c r="AG99" s="4" t="s">
        <v>2400</v>
      </c>
      <c r="AH99" s="4" t="s">
        <v>2401</v>
      </c>
      <c r="AI99" s="4" t="s">
        <v>2402</v>
      </c>
    </row>
    <row r="100" spans="10:35" x14ac:dyDescent="0.25">
      <c r="J100" s="4" t="s">
        <v>242</v>
      </c>
      <c r="K100" s="6">
        <v>0.1007905138339921</v>
      </c>
      <c r="L100" t="s">
        <v>2287</v>
      </c>
      <c r="M100" s="6">
        <v>4.1501976284584984E-2</v>
      </c>
      <c r="N100" s="6">
        <v>0.47035573122529645</v>
      </c>
      <c r="O100" s="6">
        <v>0.24308300395256918</v>
      </c>
      <c r="P100" s="6">
        <v>0.24505928853754941</v>
      </c>
      <c r="R100" s="3" t="s">
        <v>2164</v>
      </c>
      <c r="S100" t="s">
        <v>242</v>
      </c>
      <c r="T100" t="s">
        <v>264</v>
      </c>
      <c r="U100" t="s">
        <v>243</v>
      </c>
      <c r="V100" t="s">
        <v>328</v>
      </c>
      <c r="W100" t="s">
        <v>2165</v>
      </c>
      <c r="X100" s="3" t="s">
        <v>2164</v>
      </c>
      <c r="Y100" t="s">
        <v>242</v>
      </c>
      <c r="Z100" t="s">
        <v>264</v>
      </c>
      <c r="AA100" t="s">
        <v>243</v>
      </c>
      <c r="AB100" t="s">
        <v>328</v>
      </c>
      <c r="AC100" t="s">
        <v>2165</v>
      </c>
      <c r="AD100" s="33" t="s">
        <v>2267</v>
      </c>
      <c r="AE100" s="4" t="s">
        <v>2404</v>
      </c>
      <c r="AF100" s="6">
        <v>0.10569105691056911</v>
      </c>
      <c r="AG100" s="6">
        <v>0.71951219512195119</v>
      </c>
      <c r="AH100" s="6">
        <v>0.14634146341463414</v>
      </c>
      <c r="AI100" s="6">
        <v>2.8455284552845527E-2</v>
      </c>
    </row>
    <row r="101" spans="10:35" x14ac:dyDescent="0.25">
      <c r="J101" s="4" t="s">
        <v>264</v>
      </c>
      <c r="K101" s="6">
        <v>0.69565217391304346</v>
      </c>
      <c r="L101" t="s">
        <v>2288</v>
      </c>
      <c r="M101" s="6">
        <v>4.9407114624505928E-2</v>
      </c>
      <c r="N101" s="6">
        <v>0.49604743083003955</v>
      </c>
      <c r="O101" s="6">
        <v>0.23517786561264822</v>
      </c>
      <c r="P101" s="6">
        <v>0.21936758893280633</v>
      </c>
      <c r="R101" s="4" t="s">
        <v>225</v>
      </c>
      <c r="S101" s="6">
        <v>0.10569105691056911</v>
      </c>
      <c r="T101" s="6">
        <v>0.71951219512195119</v>
      </c>
      <c r="U101" s="6">
        <v>0.14634146341463414</v>
      </c>
      <c r="V101" s="6">
        <v>2.8455284552845527E-2</v>
      </c>
      <c r="W101" s="6">
        <v>1</v>
      </c>
      <c r="X101" s="4" t="s">
        <v>2271</v>
      </c>
      <c r="Y101" s="6">
        <v>6.4516129032258063E-2</v>
      </c>
      <c r="Z101" s="6">
        <v>0.75806451612903225</v>
      </c>
      <c r="AA101" s="6">
        <v>0.16129032258064516</v>
      </c>
      <c r="AB101" s="6">
        <v>1.6129032258064516E-2</v>
      </c>
      <c r="AC101" s="6">
        <v>1</v>
      </c>
      <c r="AD101" s="33"/>
      <c r="AE101" s="4" t="s">
        <v>2405</v>
      </c>
      <c r="AF101" s="6">
        <v>9.6153846153846159E-2</v>
      </c>
      <c r="AG101" s="6">
        <v>0.67307692307692313</v>
      </c>
      <c r="AH101" s="6">
        <v>0.19230769230769232</v>
      </c>
      <c r="AI101" s="6">
        <v>3.8461538461538464E-2</v>
      </c>
    </row>
    <row r="102" spans="10:35" x14ac:dyDescent="0.25">
      <c r="J102" s="4" t="s">
        <v>243</v>
      </c>
      <c r="K102" s="6">
        <v>0.16996047430830039</v>
      </c>
      <c r="R102" s="4" t="s">
        <v>291</v>
      </c>
      <c r="S102" s="6">
        <v>9.6153846153846159E-2</v>
      </c>
      <c r="T102" s="6">
        <v>0.67307692307692313</v>
      </c>
      <c r="U102" s="6">
        <v>0.19230769230769232</v>
      </c>
      <c r="V102" s="6">
        <v>3.8461538461538464E-2</v>
      </c>
      <c r="W102" s="6">
        <v>1</v>
      </c>
      <c r="X102" s="4" t="s">
        <v>2272</v>
      </c>
      <c r="Y102" s="6">
        <v>0.10919540229885058</v>
      </c>
      <c r="Z102" s="6">
        <v>0.7068965517241379</v>
      </c>
      <c r="AA102" s="6">
        <v>0.17241379310344829</v>
      </c>
      <c r="AB102" s="6">
        <v>1.1494252873563218E-2</v>
      </c>
      <c r="AC102" s="6">
        <v>1</v>
      </c>
      <c r="AD102" s="30" t="s">
        <v>2270</v>
      </c>
      <c r="AE102" s="4" t="s">
        <v>2271</v>
      </c>
      <c r="AF102" s="6">
        <v>6.4516129032258063E-2</v>
      </c>
      <c r="AG102" s="6">
        <v>0.75806451612903225</v>
      </c>
      <c r="AH102" s="6">
        <v>0.16129032258064516</v>
      </c>
      <c r="AI102" s="6">
        <v>1.6129032258064516E-2</v>
      </c>
    </row>
    <row r="103" spans="10:35" x14ac:dyDescent="0.25">
      <c r="J103" s="4" t="s">
        <v>328</v>
      </c>
      <c r="K103" s="6">
        <v>3.3596837944664032E-2</v>
      </c>
      <c r="R103" s="4" t="s">
        <v>2165</v>
      </c>
      <c r="S103" s="6">
        <v>0.1007905138339921</v>
      </c>
      <c r="T103" s="6">
        <v>0.69565217391304346</v>
      </c>
      <c r="U103" s="6">
        <v>0.16996047430830039</v>
      </c>
      <c r="V103" s="6">
        <v>3.3596837944664032E-2</v>
      </c>
      <c r="W103" s="6">
        <v>1</v>
      </c>
      <c r="X103" s="4" t="s">
        <v>2273</v>
      </c>
      <c r="Y103" s="6">
        <v>6.6176470588235295E-2</v>
      </c>
      <c r="Z103" s="6">
        <v>0.69117647058823528</v>
      </c>
      <c r="AA103" s="6">
        <v>0.19117647058823528</v>
      </c>
      <c r="AB103" s="6">
        <v>5.1470588235294115E-2</v>
      </c>
      <c r="AC103" s="6">
        <v>1</v>
      </c>
      <c r="AD103" s="30"/>
      <c r="AE103" s="4" t="s">
        <v>2272</v>
      </c>
      <c r="AF103" s="6">
        <v>0.10919540229885058</v>
      </c>
      <c r="AG103" s="6">
        <v>0.7068965517241379</v>
      </c>
      <c r="AH103" s="6">
        <v>0.17241379310344829</v>
      </c>
      <c r="AI103" s="6">
        <v>1.1494252873563218E-2</v>
      </c>
    </row>
    <row r="104" spans="10:35" x14ac:dyDescent="0.25">
      <c r="J104" s="4" t="s">
        <v>2165</v>
      </c>
      <c r="K104" s="6">
        <v>1</v>
      </c>
      <c r="X104" s="4" t="s">
        <v>2274</v>
      </c>
      <c r="Y104" s="6">
        <v>0.1417910447761194</v>
      </c>
      <c r="Z104" s="6">
        <v>0.65671641791044777</v>
      </c>
      <c r="AA104" s="6">
        <v>0.14925373134328357</v>
      </c>
      <c r="AB104" s="6">
        <v>5.2238805970149252E-2</v>
      </c>
      <c r="AC104" s="6">
        <v>1</v>
      </c>
      <c r="AD104" s="30"/>
      <c r="AE104" s="4" t="s">
        <v>2273</v>
      </c>
      <c r="AF104" s="6">
        <v>6.6176470588235295E-2</v>
      </c>
      <c r="AG104" s="6">
        <v>0.69117647058823528</v>
      </c>
      <c r="AH104" s="6">
        <v>0.19117647058823528</v>
      </c>
      <c r="AI104" s="6">
        <v>5.1470588235294115E-2</v>
      </c>
    </row>
    <row r="105" spans="10:35" x14ac:dyDescent="0.25">
      <c r="X105" s="4" t="s">
        <v>2165</v>
      </c>
      <c r="Y105" s="6">
        <v>0.1007905138339921</v>
      </c>
      <c r="Z105" s="6">
        <v>0.69565217391304346</v>
      </c>
      <c r="AA105" s="6">
        <v>0.16996047430830039</v>
      </c>
      <c r="AB105" s="6">
        <v>3.3596837944664032E-2</v>
      </c>
      <c r="AC105" s="6">
        <v>1</v>
      </c>
      <c r="AD105" s="30"/>
      <c r="AE105" s="4" t="s">
        <v>2274</v>
      </c>
      <c r="AF105" s="6">
        <v>0.1417910447761194</v>
      </c>
      <c r="AG105" s="6">
        <v>0.65671641791044777</v>
      </c>
      <c r="AH105" s="6">
        <v>0.14925373134328357</v>
      </c>
      <c r="AI105" s="6">
        <v>5.2238805970149252E-2</v>
      </c>
    </row>
    <row r="106" spans="10:35" x14ac:dyDescent="0.25">
      <c r="J106" s="3" t="s">
        <v>2164</v>
      </c>
      <c r="K106" t="s">
        <v>2200</v>
      </c>
      <c r="R106" s="3" t="s">
        <v>2269</v>
      </c>
      <c r="S106" s="3" t="s">
        <v>2268</v>
      </c>
      <c r="X106" s="3" t="s">
        <v>2276</v>
      </c>
      <c r="Y106" s="3" t="s">
        <v>2268</v>
      </c>
    </row>
    <row r="107" spans="10:35" x14ac:dyDescent="0.25">
      <c r="J107" s="4" t="s">
        <v>242</v>
      </c>
      <c r="K107" s="6">
        <v>4.1501976284584984E-2</v>
      </c>
      <c r="M107" s="4" t="s">
        <v>2403</v>
      </c>
      <c r="N107" s="4" t="s">
        <v>2296</v>
      </c>
      <c r="R107" s="3" t="s">
        <v>2164</v>
      </c>
      <c r="S107" t="s">
        <v>242</v>
      </c>
      <c r="T107" t="s">
        <v>264</v>
      </c>
      <c r="U107" t="s">
        <v>243</v>
      </c>
      <c r="V107" t="s">
        <v>328</v>
      </c>
      <c r="W107" t="s">
        <v>2165</v>
      </c>
      <c r="X107" s="3" t="s">
        <v>2164</v>
      </c>
      <c r="Y107" t="s">
        <v>242</v>
      </c>
      <c r="Z107" t="s">
        <v>264</v>
      </c>
      <c r="AA107" t="s">
        <v>243</v>
      </c>
      <c r="AB107" t="s">
        <v>328</v>
      </c>
      <c r="AC107" t="s">
        <v>2165</v>
      </c>
      <c r="AF107" s="4" t="s">
        <v>2399</v>
      </c>
      <c r="AG107" s="4" t="s">
        <v>2400</v>
      </c>
      <c r="AH107" s="4" t="s">
        <v>2401</v>
      </c>
      <c r="AI107" s="4" t="s">
        <v>2402</v>
      </c>
    </row>
    <row r="108" spans="10:35" x14ac:dyDescent="0.25">
      <c r="J108" s="4" t="s">
        <v>264</v>
      </c>
      <c r="K108" s="6">
        <v>0.47035573122529645</v>
      </c>
      <c r="L108" t="s">
        <v>2289</v>
      </c>
      <c r="M108" s="6">
        <v>0.21936758893280633</v>
      </c>
      <c r="N108" s="6">
        <v>0.78063241106719372</v>
      </c>
      <c r="R108" s="4" t="s">
        <v>225</v>
      </c>
      <c r="S108" s="6">
        <v>4.4715447154471545E-2</v>
      </c>
      <c r="T108" s="6">
        <v>0.47967479674796748</v>
      </c>
      <c r="U108" s="6">
        <v>0.24796747967479674</v>
      </c>
      <c r="V108" s="6">
        <v>0.22764227642276422</v>
      </c>
      <c r="W108" s="6">
        <v>1</v>
      </c>
      <c r="X108" s="4" t="s">
        <v>2271</v>
      </c>
      <c r="Y108" s="6">
        <v>6.4516129032258063E-2</v>
      </c>
      <c r="Z108" s="6">
        <v>0.5</v>
      </c>
      <c r="AA108" s="6">
        <v>0.29032258064516131</v>
      </c>
      <c r="AB108" s="6">
        <v>0.14516129032258066</v>
      </c>
      <c r="AC108" s="6">
        <v>1</v>
      </c>
      <c r="AD108" s="33" t="s">
        <v>2267</v>
      </c>
      <c r="AE108" s="4" t="s">
        <v>2404</v>
      </c>
      <c r="AF108" s="6">
        <v>4.4715447154471545E-2</v>
      </c>
      <c r="AG108" s="6">
        <v>0.47967479674796748</v>
      </c>
      <c r="AH108" s="6">
        <v>0.24796747967479674</v>
      </c>
      <c r="AI108" s="6">
        <v>0.22764227642276422</v>
      </c>
    </row>
    <row r="109" spans="10:35" x14ac:dyDescent="0.25">
      <c r="J109" s="4" t="s">
        <v>243</v>
      </c>
      <c r="K109" s="6">
        <v>0.24308300395256918</v>
      </c>
      <c r="R109" s="4" t="s">
        <v>291</v>
      </c>
      <c r="S109" s="6">
        <v>3.8461538461538464E-2</v>
      </c>
      <c r="T109" s="6">
        <v>0.46153846153846156</v>
      </c>
      <c r="U109" s="6">
        <v>0.23846153846153847</v>
      </c>
      <c r="V109" s="6">
        <v>0.26153846153846155</v>
      </c>
      <c r="W109" s="6">
        <v>1</v>
      </c>
      <c r="X109" s="4" t="s">
        <v>2272</v>
      </c>
      <c r="Y109" s="6">
        <v>4.0229885057471264E-2</v>
      </c>
      <c r="Z109" s="6">
        <v>0.4942528735632184</v>
      </c>
      <c r="AA109" s="6">
        <v>0.27586206896551724</v>
      </c>
      <c r="AB109" s="6">
        <v>0.18965517241379309</v>
      </c>
      <c r="AC109" s="6">
        <v>1</v>
      </c>
      <c r="AD109" s="33"/>
      <c r="AE109" s="4" t="s">
        <v>2405</v>
      </c>
      <c r="AF109" s="6">
        <v>3.8461538461538464E-2</v>
      </c>
      <c r="AG109" s="6">
        <v>0.46153846153846156</v>
      </c>
      <c r="AH109" s="6">
        <v>0.23846153846153847</v>
      </c>
      <c r="AI109" s="6">
        <v>0.26153846153846155</v>
      </c>
    </row>
    <row r="110" spans="10:35" x14ac:dyDescent="0.25">
      <c r="J110" s="4" t="s">
        <v>328</v>
      </c>
      <c r="K110" s="6">
        <v>0.24505928853754941</v>
      </c>
      <c r="R110" s="4" t="s">
        <v>2165</v>
      </c>
      <c r="S110" s="6">
        <v>4.1501976284584984E-2</v>
      </c>
      <c r="T110" s="6">
        <v>0.47035573122529645</v>
      </c>
      <c r="U110" s="6">
        <v>0.24308300395256918</v>
      </c>
      <c r="V110" s="6">
        <v>0.24505928853754941</v>
      </c>
      <c r="W110" s="6">
        <v>1</v>
      </c>
      <c r="X110" s="4" t="s">
        <v>2273</v>
      </c>
      <c r="Y110" s="6">
        <v>2.9411764705882353E-2</v>
      </c>
      <c r="Z110" s="6">
        <v>0.4485294117647059</v>
      </c>
      <c r="AA110" s="6">
        <v>0.25</v>
      </c>
      <c r="AB110" s="6">
        <v>0.27205882352941174</v>
      </c>
      <c r="AC110" s="6">
        <v>1</v>
      </c>
      <c r="AD110" s="30" t="s">
        <v>2270</v>
      </c>
      <c r="AE110" s="4" t="s">
        <v>2271</v>
      </c>
      <c r="AF110" s="6">
        <v>6.4516129032258063E-2</v>
      </c>
      <c r="AG110" s="6">
        <v>0.5</v>
      </c>
      <c r="AH110" s="6">
        <v>0.29032258064516131</v>
      </c>
      <c r="AI110" s="6">
        <v>0.14516129032258066</v>
      </c>
    </row>
    <row r="111" spans="10:35" x14ac:dyDescent="0.25">
      <c r="J111" s="4" t="s">
        <v>2165</v>
      </c>
      <c r="K111" s="6">
        <v>1</v>
      </c>
      <c r="X111" s="4" t="s">
        <v>2274</v>
      </c>
      <c r="Y111" s="6">
        <v>4.4776119402985072E-2</v>
      </c>
      <c r="Z111" s="6">
        <v>0.44776119402985076</v>
      </c>
      <c r="AA111" s="6">
        <v>0.17164179104477612</v>
      </c>
      <c r="AB111" s="6">
        <v>0.33582089552238809</v>
      </c>
      <c r="AC111" s="6">
        <v>1</v>
      </c>
      <c r="AD111" s="30"/>
      <c r="AE111" s="4" t="s">
        <v>2272</v>
      </c>
      <c r="AF111" s="6">
        <v>4.0229885057471264E-2</v>
      </c>
      <c r="AG111" s="6">
        <v>0.4942528735632184</v>
      </c>
      <c r="AH111" s="6">
        <v>0.27586206896551724</v>
      </c>
      <c r="AI111" s="6">
        <v>0.18965517241379309</v>
      </c>
    </row>
    <row r="112" spans="10:35" x14ac:dyDescent="0.25">
      <c r="X112" s="4" t="s">
        <v>2165</v>
      </c>
      <c r="Y112" s="6">
        <v>4.1501976284584984E-2</v>
      </c>
      <c r="Z112" s="6">
        <v>0.47035573122529645</v>
      </c>
      <c r="AA112" s="6">
        <v>0.24308300395256918</v>
      </c>
      <c r="AB112" s="6">
        <v>0.24505928853754941</v>
      </c>
      <c r="AC112" s="6">
        <v>1</v>
      </c>
      <c r="AD112" s="30"/>
      <c r="AE112" s="4" t="s">
        <v>2273</v>
      </c>
      <c r="AF112" s="6">
        <v>2.9411764705882353E-2</v>
      </c>
      <c r="AG112" s="6">
        <v>0.4485294117647059</v>
      </c>
      <c r="AH112" s="6">
        <v>0.25</v>
      </c>
      <c r="AI112" s="6">
        <v>0.27205882352941174</v>
      </c>
    </row>
    <row r="113" spans="10:35" x14ac:dyDescent="0.25">
      <c r="J113" s="3" t="s">
        <v>2164</v>
      </c>
      <c r="K113" t="s">
        <v>2201</v>
      </c>
      <c r="R113" s="3" t="s">
        <v>2269</v>
      </c>
      <c r="S113" s="3" t="s">
        <v>2268</v>
      </c>
      <c r="X113" s="3" t="s">
        <v>2276</v>
      </c>
      <c r="Y113" s="3" t="s">
        <v>2268</v>
      </c>
      <c r="AD113" s="30"/>
      <c r="AE113" s="4" t="s">
        <v>2274</v>
      </c>
      <c r="AF113" s="6">
        <v>4.4776119402985072E-2</v>
      </c>
      <c r="AG113" s="6">
        <v>0.44776119402985076</v>
      </c>
      <c r="AH113" s="6">
        <v>0.17164179104477612</v>
      </c>
      <c r="AI113" s="6">
        <v>0.33582089552238809</v>
      </c>
    </row>
    <row r="114" spans="10:35" x14ac:dyDescent="0.25">
      <c r="J114" s="4" t="s">
        <v>242</v>
      </c>
      <c r="K114" s="6">
        <v>4.9407114624505928E-2</v>
      </c>
      <c r="R114" s="3" t="s">
        <v>2164</v>
      </c>
      <c r="S114" t="s">
        <v>242</v>
      </c>
      <c r="T114" t="s">
        <v>264</v>
      </c>
      <c r="U114" t="s">
        <v>243</v>
      </c>
      <c r="V114" t="s">
        <v>328</v>
      </c>
      <c r="W114" t="s">
        <v>2165</v>
      </c>
      <c r="X114" s="3" t="s">
        <v>2164</v>
      </c>
      <c r="Y114" t="s">
        <v>242</v>
      </c>
      <c r="Z114" t="s">
        <v>264</v>
      </c>
      <c r="AA114" t="s">
        <v>243</v>
      </c>
      <c r="AB114" t="s">
        <v>328</v>
      </c>
      <c r="AC114" t="s">
        <v>2165</v>
      </c>
    </row>
    <row r="115" spans="10:35" x14ac:dyDescent="0.25">
      <c r="J115" s="4" t="s">
        <v>264</v>
      </c>
      <c r="K115" s="6">
        <v>0.49604743083003955</v>
      </c>
      <c r="R115" s="4" t="s">
        <v>225</v>
      </c>
      <c r="S115" s="6">
        <v>5.6910569105691054E-2</v>
      </c>
      <c r="T115" s="6">
        <v>0.53658536585365857</v>
      </c>
      <c r="U115" s="6">
        <v>0.21138211382113822</v>
      </c>
      <c r="V115" s="6">
        <v>0.1951219512195122</v>
      </c>
      <c r="W115" s="6">
        <v>1</v>
      </c>
      <c r="X115" s="4" t="s">
        <v>2271</v>
      </c>
      <c r="Y115" s="6">
        <v>4.8387096774193547E-2</v>
      </c>
      <c r="Z115" s="6">
        <v>0.61290322580645162</v>
      </c>
      <c r="AA115" s="6">
        <v>0.22580645161290322</v>
      </c>
      <c r="AB115" s="6">
        <v>0.11290322580645161</v>
      </c>
      <c r="AC115" s="6">
        <v>1</v>
      </c>
      <c r="AF115" s="4" t="s">
        <v>2399</v>
      </c>
      <c r="AG115" s="4" t="s">
        <v>2400</v>
      </c>
      <c r="AH115" s="4" t="s">
        <v>2401</v>
      </c>
      <c r="AI115" s="4" t="s">
        <v>2402</v>
      </c>
    </row>
    <row r="116" spans="10:35" x14ac:dyDescent="0.25">
      <c r="J116" s="4" t="s">
        <v>243</v>
      </c>
      <c r="K116" s="6">
        <v>0.23517786561264822</v>
      </c>
      <c r="R116" s="4" t="s">
        <v>291</v>
      </c>
      <c r="S116" s="6">
        <v>4.230769230769231E-2</v>
      </c>
      <c r="T116" s="6">
        <v>0.45769230769230768</v>
      </c>
      <c r="U116" s="6">
        <v>0.25769230769230766</v>
      </c>
      <c r="V116" s="6">
        <v>0.24230769230769231</v>
      </c>
      <c r="W116" s="6">
        <v>1</v>
      </c>
      <c r="X116" s="4" t="s">
        <v>2272</v>
      </c>
      <c r="Y116" s="6">
        <v>5.7471264367816091E-2</v>
      </c>
      <c r="Z116" s="6">
        <v>0.52873563218390807</v>
      </c>
      <c r="AA116" s="6">
        <v>0.2471264367816092</v>
      </c>
      <c r="AB116" s="6">
        <v>0.16666666666666666</v>
      </c>
      <c r="AC116" s="6">
        <v>1</v>
      </c>
      <c r="AD116" s="33" t="s">
        <v>2267</v>
      </c>
      <c r="AE116" s="4" t="s">
        <v>2404</v>
      </c>
      <c r="AF116" s="6">
        <v>5.6910569105691054E-2</v>
      </c>
      <c r="AG116" s="6">
        <v>0.53658536585365857</v>
      </c>
      <c r="AH116" s="6">
        <v>0.21138211382113822</v>
      </c>
      <c r="AI116" s="6">
        <v>0.1951219512195122</v>
      </c>
    </row>
    <row r="117" spans="10:35" x14ac:dyDescent="0.25">
      <c r="J117" s="4" t="s">
        <v>328</v>
      </c>
      <c r="K117" s="6">
        <v>0.21936758893280633</v>
      </c>
      <c r="R117" s="4" t="s">
        <v>2165</v>
      </c>
      <c r="S117" s="6">
        <v>4.9407114624505928E-2</v>
      </c>
      <c r="T117" s="6">
        <v>0.49604743083003955</v>
      </c>
      <c r="U117" s="6">
        <v>0.23517786561264822</v>
      </c>
      <c r="V117" s="6">
        <v>0.21936758893280633</v>
      </c>
      <c r="W117" s="6">
        <v>1</v>
      </c>
      <c r="X117" s="4" t="s">
        <v>2273</v>
      </c>
      <c r="Y117" s="6">
        <v>2.9411764705882353E-2</v>
      </c>
      <c r="Z117" s="6">
        <v>0.5220588235294118</v>
      </c>
      <c r="AA117" s="6">
        <v>0.23529411764705882</v>
      </c>
      <c r="AB117" s="6">
        <v>0.21323529411764705</v>
      </c>
      <c r="AC117" s="6">
        <v>1</v>
      </c>
      <c r="AD117" s="33"/>
      <c r="AE117" s="4" t="s">
        <v>2405</v>
      </c>
      <c r="AF117" s="6">
        <v>4.230769230769231E-2</v>
      </c>
      <c r="AG117" s="6">
        <v>0.45769230769230768</v>
      </c>
      <c r="AH117" s="6">
        <v>0.25769230769230766</v>
      </c>
      <c r="AI117" s="6">
        <v>0.24230769230769231</v>
      </c>
    </row>
    <row r="118" spans="10:35" x14ac:dyDescent="0.25">
      <c r="J118" s="4" t="s">
        <v>2165</v>
      </c>
      <c r="K118" s="6">
        <v>1</v>
      </c>
      <c r="X118" s="4" t="s">
        <v>2274</v>
      </c>
      <c r="Y118" s="6">
        <v>5.9701492537313432E-2</v>
      </c>
      <c r="Z118" s="6">
        <v>0.37313432835820898</v>
      </c>
      <c r="AA118" s="6">
        <v>0.22388059701492538</v>
      </c>
      <c r="AB118" s="6">
        <v>0.34328358208955223</v>
      </c>
      <c r="AC118" s="6">
        <v>1</v>
      </c>
      <c r="AD118" s="30" t="s">
        <v>2270</v>
      </c>
      <c r="AE118" s="4" t="s">
        <v>2271</v>
      </c>
      <c r="AF118" s="6">
        <v>4.8387096774193547E-2</v>
      </c>
      <c r="AG118" s="6">
        <v>0.61290322580645162</v>
      </c>
      <c r="AH118" s="6">
        <v>0.22580645161290322</v>
      </c>
      <c r="AI118" s="6">
        <v>0.11290322580645161</v>
      </c>
    </row>
    <row r="119" spans="10:35" x14ac:dyDescent="0.25">
      <c r="X119" s="4" t="s">
        <v>2165</v>
      </c>
      <c r="Y119" s="6">
        <v>4.9407114624505928E-2</v>
      </c>
      <c r="Z119" s="6">
        <v>0.49604743083003955</v>
      </c>
      <c r="AA119" s="6">
        <v>0.23517786561264822</v>
      </c>
      <c r="AB119" s="6">
        <v>0.21936758893280633</v>
      </c>
      <c r="AC119" s="6">
        <v>1</v>
      </c>
      <c r="AD119" s="30"/>
      <c r="AE119" s="4" t="s">
        <v>2272</v>
      </c>
      <c r="AF119" s="6">
        <v>5.7471264367816091E-2</v>
      </c>
      <c r="AG119" s="6">
        <v>0.52873563218390807</v>
      </c>
      <c r="AH119" s="6">
        <v>0.2471264367816092</v>
      </c>
      <c r="AI119" s="6">
        <v>0.16666666666666666</v>
      </c>
    </row>
    <row r="120" spans="10:35" x14ac:dyDescent="0.25">
      <c r="J120" s="3" t="s">
        <v>2164</v>
      </c>
      <c r="K120" t="s">
        <v>2202</v>
      </c>
      <c r="AD120" s="30"/>
      <c r="AE120" s="4" t="s">
        <v>2273</v>
      </c>
      <c r="AF120" s="6">
        <v>2.9411764705882353E-2</v>
      </c>
      <c r="AG120" s="6">
        <v>0.5220588235294118</v>
      </c>
      <c r="AH120" s="6">
        <v>0.23529411764705882</v>
      </c>
      <c r="AI120" s="6">
        <v>0.21323529411764705</v>
      </c>
    </row>
    <row r="121" spans="10:35" x14ac:dyDescent="0.25">
      <c r="J121" s="4" t="s">
        <v>226</v>
      </c>
      <c r="K121" s="6">
        <v>0.21936758893280633</v>
      </c>
      <c r="AD121" s="30"/>
      <c r="AE121" s="4" t="s">
        <v>2274</v>
      </c>
      <c r="AF121" s="6">
        <v>5.9701492537313432E-2</v>
      </c>
      <c r="AG121" s="6">
        <v>0.37313432835820898</v>
      </c>
      <c r="AH121" s="6">
        <v>0.22388059701492538</v>
      </c>
      <c r="AI121" s="6">
        <v>0.34328358208955223</v>
      </c>
    </row>
    <row r="122" spans="10:35" x14ac:dyDescent="0.25">
      <c r="J122" s="4" t="s">
        <v>236</v>
      </c>
      <c r="K122" s="6">
        <v>0.78063241106719372</v>
      </c>
    </row>
    <row r="123" spans="10:35" x14ac:dyDescent="0.25">
      <c r="J123" s="4" t="s">
        <v>2165</v>
      </c>
      <c r="K123" s="6">
        <v>1</v>
      </c>
    </row>
    <row r="125" spans="10:35" x14ac:dyDescent="0.25">
      <c r="O125" s="5"/>
      <c r="P125" s="5"/>
      <c r="Q125" s="5"/>
      <c r="R125" s="5"/>
    </row>
    <row r="126" spans="10:35" x14ac:dyDescent="0.25">
      <c r="M126" s="33"/>
      <c r="N126" s="4"/>
      <c r="O126" s="6"/>
      <c r="P126" s="6"/>
      <c r="Q126" s="6"/>
      <c r="R126" s="6"/>
    </row>
    <row r="127" spans="10:35" x14ac:dyDescent="0.25">
      <c r="M127" s="33"/>
      <c r="N127" s="4"/>
      <c r="O127" s="6"/>
      <c r="P127" s="6"/>
      <c r="Q127" s="6"/>
      <c r="R127" s="6"/>
    </row>
    <row r="130" spans="12:21" x14ac:dyDescent="0.25">
      <c r="O130" s="4" t="s">
        <v>2403</v>
      </c>
      <c r="P130" s="4" t="s">
        <v>2296</v>
      </c>
      <c r="Q130" s="4"/>
      <c r="R130" s="4"/>
    </row>
    <row r="131" spans="12:21" x14ac:dyDescent="0.25">
      <c r="L131" s="3" t="s">
        <v>2164</v>
      </c>
      <c r="M131" t="s">
        <v>2202</v>
      </c>
      <c r="N131" t="s">
        <v>2289</v>
      </c>
      <c r="O131" s="6">
        <v>0.21936758893280633</v>
      </c>
      <c r="P131" s="6">
        <v>0.78063241106719372</v>
      </c>
      <c r="Q131" s="6"/>
      <c r="R131" s="6"/>
    </row>
    <row r="132" spans="12:21" x14ac:dyDescent="0.25">
      <c r="L132" s="4" t="s">
        <v>226</v>
      </c>
      <c r="M132" s="6">
        <v>0.21936758893280633</v>
      </c>
      <c r="O132" s="6"/>
      <c r="P132" s="6"/>
      <c r="Q132" s="6"/>
      <c r="R132" s="6"/>
    </row>
    <row r="133" spans="12:21" x14ac:dyDescent="0.25">
      <c r="L133" s="4" t="s">
        <v>236</v>
      </c>
      <c r="M133" s="6">
        <v>0.78063241106719372</v>
      </c>
      <c r="O133" s="6"/>
      <c r="P133" s="6"/>
      <c r="Q133" s="6"/>
      <c r="R133" s="6"/>
    </row>
    <row r="134" spans="12:21" x14ac:dyDescent="0.25">
      <c r="L134" s="4" t="s">
        <v>2165</v>
      </c>
      <c r="M134" s="6">
        <v>1</v>
      </c>
    </row>
    <row r="136" spans="12:21" x14ac:dyDescent="0.25">
      <c r="L136" s="3" t="s">
        <v>2269</v>
      </c>
      <c r="M136" s="3" t="s">
        <v>2268</v>
      </c>
      <c r="R136" s="3" t="s">
        <v>2276</v>
      </c>
      <c r="S136" s="3" t="s">
        <v>2268</v>
      </c>
    </row>
    <row r="137" spans="12:21" x14ac:dyDescent="0.25">
      <c r="L137" s="3" t="s">
        <v>2164</v>
      </c>
      <c r="M137" t="s">
        <v>226</v>
      </c>
      <c r="N137" t="s">
        <v>236</v>
      </c>
      <c r="O137" t="s">
        <v>2165</v>
      </c>
      <c r="R137" s="3" t="s">
        <v>2164</v>
      </c>
      <c r="S137" t="s">
        <v>226</v>
      </c>
      <c r="T137" t="s">
        <v>236</v>
      </c>
      <c r="U137" t="s">
        <v>2165</v>
      </c>
    </row>
    <row r="138" spans="12:21" x14ac:dyDescent="0.25">
      <c r="L138" s="4" t="s">
        <v>225</v>
      </c>
      <c r="M138" s="6">
        <v>0.1951219512195122</v>
      </c>
      <c r="N138" s="6">
        <v>0.80487804878048785</v>
      </c>
      <c r="O138" s="6">
        <v>1</v>
      </c>
      <c r="R138" s="4" t="s">
        <v>2271</v>
      </c>
      <c r="S138" s="6">
        <v>0.32258064516129031</v>
      </c>
      <c r="T138" s="6">
        <v>0.67741935483870963</v>
      </c>
      <c r="U138" s="6">
        <v>1</v>
      </c>
    </row>
    <row r="139" spans="12:21" x14ac:dyDescent="0.25">
      <c r="L139" s="4" t="s">
        <v>291</v>
      </c>
      <c r="M139" s="6">
        <v>0.24230769230769231</v>
      </c>
      <c r="N139" s="6">
        <v>0.75769230769230766</v>
      </c>
      <c r="O139" s="6">
        <v>1</v>
      </c>
      <c r="R139" s="4" t="s">
        <v>2272</v>
      </c>
      <c r="S139" s="6">
        <v>0.2471264367816092</v>
      </c>
      <c r="T139" s="6">
        <v>0.75287356321839083</v>
      </c>
      <c r="U139" s="6">
        <v>1</v>
      </c>
    </row>
    <row r="140" spans="12:21" x14ac:dyDescent="0.25">
      <c r="L140" s="4" t="s">
        <v>2165</v>
      </c>
      <c r="M140" s="6">
        <v>0.21936758893280633</v>
      </c>
      <c r="N140" s="6">
        <v>0.78063241106719372</v>
      </c>
      <c r="O140" s="6">
        <v>1</v>
      </c>
      <c r="R140" s="4" t="s">
        <v>2273</v>
      </c>
      <c r="S140" s="6">
        <v>0.21323529411764705</v>
      </c>
      <c r="T140" s="6">
        <v>0.78676470588235292</v>
      </c>
      <c r="U140" s="6">
        <v>1</v>
      </c>
    </row>
    <row r="141" spans="12:21" x14ac:dyDescent="0.25">
      <c r="R141" s="4" t="s">
        <v>2274</v>
      </c>
      <c r="S141" s="6">
        <v>0.1417910447761194</v>
      </c>
      <c r="T141" s="6">
        <v>0.85820895522388063</v>
      </c>
      <c r="U141" s="6">
        <v>1</v>
      </c>
    </row>
    <row r="142" spans="12:21" x14ac:dyDescent="0.25">
      <c r="R142" s="4" t="s">
        <v>2165</v>
      </c>
      <c r="S142" s="6">
        <v>0.21936758893280633</v>
      </c>
      <c r="T142" s="6">
        <v>0.78063241106719372</v>
      </c>
      <c r="U142" s="6">
        <v>1</v>
      </c>
    </row>
    <row r="143" spans="12:21" x14ac:dyDescent="0.25">
      <c r="M143" t="s">
        <v>2290</v>
      </c>
      <c r="N143" s="4" t="s">
        <v>2403</v>
      </c>
      <c r="O143" s="4" t="s">
        <v>2296</v>
      </c>
    </row>
    <row r="144" spans="12:21" x14ac:dyDescent="0.25">
      <c r="L144" s="33" t="s">
        <v>2267</v>
      </c>
      <c r="M144" s="4" t="s">
        <v>2404</v>
      </c>
      <c r="N144" s="6">
        <v>0.1951219512195122</v>
      </c>
      <c r="O144" s="6">
        <v>0.80487804878048785</v>
      </c>
    </row>
    <row r="145" spans="12:15" x14ac:dyDescent="0.25">
      <c r="L145" s="33"/>
      <c r="M145" s="4" t="s">
        <v>2405</v>
      </c>
      <c r="N145" s="6">
        <v>0.24230769230769231</v>
      </c>
      <c r="O145" s="6">
        <v>0.75769230769230766</v>
      </c>
    </row>
    <row r="146" spans="12:15" x14ac:dyDescent="0.25">
      <c r="L146" s="33" t="s">
        <v>2270</v>
      </c>
      <c r="M146" s="4" t="s">
        <v>2271</v>
      </c>
      <c r="N146" s="6">
        <v>0.32258064516129031</v>
      </c>
      <c r="O146" s="6">
        <v>0.67741935483870963</v>
      </c>
    </row>
    <row r="147" spans="12:15" x14ac:dyDescent="0.25">
      <c r="L147" s="33"/>
      <c r="M147" s="4" t="s">
        <v>2272</v>
      </c>
      <c r="N147" s="6">
        <v>0.2471264367816092</v>
      </c>
      <c r="O147" s="6">
        <v>0.75287356321839083</v>
      </c>
    </row>
    <row r="148" spans="12:15" x14ac:dyDescent="0.25">
      <c r="L148" s="33"/>
      <c r="M148" s="4" t="s">
        <v>2273</v>
      </c>
      <c r="N148" s="6">
        <v>0.21323529411764705</v>
      </c>
      <c r="O148" s="6">
        <v>0.78676470588235292</v>
      </c>
    </row>
    <row r="149" spans="12:15" x14ac:dyDescent="0.25">
      <c r="L149" s="33"/>
      <c r="M149" s="4" t="s">
        <v>2274</v>
      </c>
      <c r="N149" s="6">
        <v>0.1417910447761194</v>
      </c>
      <c r="O149" s="6">
        <v>0.85820895522388063</v>
      </c>
    </row>
    <row r="169" spans="8:15" x14ac:dyDescent="0.25">
      <c r="H169" s="3" t="s">
        <v>2164</v>
      </c>
      <c r="I169" t="s">
        <v>2204</v>
      </c>
    </row>
    <row r="170" spans="8:15" x14ac:dyDescent="0.25">
      <c r="H170" s="4" t="s">
        <v>226</v>
      </c>
      <c r="I170" s="6">
        <v>4.9407114624505928E-2</v>
      </c>
      <c r="K170" s="4" t="s">
        <v>2403</v>
      </c>
      <c r="L170" s="4" t="s">
        <v>2296</v>
      </c>
    </row>
    <row r="171" spans="8:15" x14ac:dyDescent="0.25">
      <c r="H171" s="4" t="s">
        <v>236</v>
      </c>
      <c r="I171" s="6">
        <v>0.95059288537549402</v>
      </c>
      <c r="K171" s="6">
        <v>4.9407114624505928E-2</v>
      </c>
      <c r="L171" s="6">
        <v>0.95059288537549402</v>
      </c>
    </row>
    <row r="172" spans="8:15" x14ac:dyDescent="0.25">
      <c r="H172" s="4" t="s">
        <v>2165</v>
      </c>
      <c r="I172" s="6">
        <v>1</v>
      </c>
    </row>
    <row r="174" spans="8:15" x14ac:dyDescent="0.25">
      <c r="H174" s="3" t="s">
        <v>2269</v>
      </c>
      <c r="I174" s="3" t="s">
        <v>2268</v>
      </c>
      <c r="L174" s="3" t="s">
        <v>2277</v>
      </c>
      <c r="M174" s="3" t="s">
        <v>2268</v>
      </c>
    </row>
    <row r="175" spans="8:15" x14ac:dyDescent="0.25">
      <c r="H175" s="3" t="s">
        <v>2164</v>
      </c>
      <c r="I175" t="s">
        <v>226</v>
      </c>
      <c r="J175" t="s">
        <v>236</v>
      </c>
      <c r="K175" t="s">
        <v>2165</v>
      </c>
      <c r="L175" s="3" t="s">
        <v>2164</v>
      </c>
      <c r="M175" t="s">
        <v>226</v>
      </c>
      <c r="N175" t="s">
        <v>236</v>
      </c>
      <c r="O175" t="s">
        <v>2165</v>
      </c>
    </row>
    <row r="176" spans="8:15" x14ac:dyDescent="0.25">
      <c r="H176" s="4" t="s">
        <v>225</v>
      </c>
      <c r="I176" s="6">
        <v>4.4715447154471545E-2</v>
      </c>
      <c r="J176" s="6">
        <v>0.95528455284552849</v>
      </c>
      <c r="K176" s="6">
        <v>1</v>
      </c>
      <c r="L176" s="4" t="s">
        <v>1174</v>
      </c>
      <c r="M176" s="6">
        <v>0</v>
      </c>
      <c r="N176" s="6">
        <v>1</v>
      </c>
      <c r="O176" s="6">
        <v>1</v>
      </c>
    </row>
    <row r="177" spans="8:19" x14ac:dyDescent="0.25">
      <c r="H177" s="4" t="s">
        <v>291</v>
      </c>
      <c r="I177" s="6">
        <v>5.3846153846153849E-2</v>
      </c>
      <c r="J177" s="6">
        <v>0.94615384615384612</v>
      </c>
      <c r="K177" s="6">
        <v>1</v>
      </c>
      <c r="L177" s="4" t="s">
        <v>612</v>
      </c>
      <c r="M177" s="6">
        <v>4.878048780487805E-2</v>
      </c>
      <c r="N177" s="6">
        <v>0.95121951219512191</v>
      </c>
      <c r="O177" s="6">
        <v>1</v>
      </c>
    </row>
    <row r="178" spans="8:19" x14ac:dyDescent="0.25">
      <c r="H178" s="4" t="s">
        <v>2165</v>
      </c>
      <c r="I178" s="6">
        <v>4.9407114624505928E-2</v>
      </c>
      <c r="J178" s="6">
        <v>0.95059288537549402</v>
      </c>
      <c r="K178" s="6">
        <v>1</v>
      </c>
      <c r="L178" s="4" t="s">
        <v>252</v>
      </c>
      <c r="M178" s="6">
        <v>2.8735632183908046E-2</v>
      </c>
      <c r="N178" s="6">
        <v>0.97126436781609193</v>
      </c>
      <c r="O178" s="6">
        <v>1</v>
      </c>
    </row>
    <row r="179" spans="8:19" x14ac:dyDescent="0.25">
      <c r="L179" s="4" t="s">
        <v>321</v>
      </c>
      <c r="M179" s="6">
        <v>2.6315789473684209E-2</v>
      </c>
      <c r="N179" s="6">
        <v>0.97368421052631582</v>
      </c>
      <c r="O179" s="6">
        <v>1</v>
      </c>
    </row>
    <row r="180" spans="8:19" x14ac:dyDescent="0.25">
      <c r="H180" s="3" t="s">
        <v>2276</v>
      </c>
      <c r="I180" s="3" t="s">
        <v>2268</v>
      </c>
      <c r="L180" s="4" t="s">
        <v>228</v>
      </c>
      <c r="M180" s="6">
        <v>6.0913705583756347E-2</v>
      </c>
      <c r="N180" s="6">
        <v>0.93908629441624369</v>
      </c>
      <c r="O180" s="6">
        <v>1</v>
      </c>
    </row>
    <row r="181" spans="8:19" x14ac:dyDescent="0.25">
      <c r="H181" s="3" t="s">
        <v>2164</v>
      </c>
      <c r="I181" t="s">
        <v>226</v>
      </c>
      <c r="J181" t="s">
        <v>236</v>
      </c>
      <c r="K181" t="s">
        <v>2165</v>
      </c>
      <c r="L181" s="4" t="s">
        <v>272</v>
      </c>
      <c r="M181" s="6">
        <v>0.10416666666666667</v>
      </c>
      <c r="N181" s="6">
        <v>0.89583333333333337</v>
      </c>
      <c r="O181" s="6">
        <v>1</v>
      </c>
    </row>
    <row r="182" spans="8:19" x14ac:dyDescent="0.25">
      <c r="H182" s="4" t="s">
        <v>2271</v>
      </c>
      <c r="I182" s="6">
        <v>0.11290322580645161</v>
      </c>
      <c r="J182" s="6">
        <v>0.88709677419354838</v>
      </c>
      <c r="K182" s="6">
        <v>1</v>
      </c>
      <c r="L182" s="4" t="s">
        <v>393</v>
      </c>
      <c r="M182" s="6">
        <v>0</v>
      </c>
      <c r="N182" s="6">
        <v>1</v>
      </c>
      <c r="O182" s="6">
        <v>1</v>
      </c>
    </row>
    <row r="183" spans="8:19" x14ac:dyDescent="0.25">
      <c r="H183" s="4" t="s">
        <v>2272</v>
      </c>
      <c r="I183" s="6">
        <v>6.8965517241379309E-2</v>
      </c>
      <c r="J183" s="6">
        <v>0.93103448275862066</v>
      </c>
      <c r="K183" s="6">
        <v>1</v>
      </c>
      <c r="L183" s="4" t="s">
        <v>2165</v>
      </c>
      <c r="M183" s="6">
        <v>4.9407114624505928E-2</v>
      </c>
      <c r="N183" s="6">
        <v>0.95059288537549402</v>
      </c>
      <c r="O183" s="6">
        <v>1</v>
      </c>
    </row>
    <row r="184" spans="8:19" x14ac:dyDescent="0.25">
      <c r="H184" s="4" t="s">
        <v>2273</v>
      </c>
      <c r="I184" s="6">
        <v>4.4117647058823532E-2</v>
      </c>
      <c r="J184" s="6">
        <v>0.95588235294117652</v>
      </c>
      <c r="K184" s="6">
        <v>1</v>
      </c>
    </row>
    <row r="185" spans="8:19" x14ac:dyDescent="0.25">
      <c r="H185" s="4" t="s">
        <v>2274</v>
      </c>
      <c r="I185" s="6">
        <v>0</v>
      </c>
      <c r="J185" s="6">
        <v>1</v>
      </c>
      <c r="K185" s="6">
        <v>1</v>
      </c>
    </row>
    <row r="186" spans="8:19" x14ac:dyDescent="0.25">
      <c r="H186" s="4" t="s">
        <v>2165</v>
      </c>
      <c r="I186" s="6">
        <v>4.9407114624505928E-2</v>
      </c>
      <c r="J186" s="6">
        <v>0.95059288537549402</v>
      </c>
      <c r="K186" s="6">
        <v>1</v>
      </c>
    </row>
    <row r="188" spans="8:19" x14ac:dyDescent="0.25">
      <c r="J188" s="5" t="s">
        <v>2403</v>
      </c>
      <c r="K188" s="5" t="s">
        <v>2296</v>
      </c>
    </row>
    <row r="189" spans="8:19" x14ac:dyDescent="0.25">
      <c r="H189" s="30" t="s">
        <v>2267</v>
      </c>
      <c r="I189" s="4" t="s">
        <v>2404</v>
      </c>
      <c r="J189" s="6">
        <v>4.4715447154471545E-2</v>
      </c>
      <c r="K189" s="6">
        <v>0.95528455284552849</v>
      </c>
    </row>
    <row r="190" spans="8:19" x14ac:dyDescent="0.25">
      <c r="H190" s="30"/>
      <c r="I190" s="4" t="s">
        <v>2405</v>
      </c>
      <c r="J190" s="6">
        <v>5.3846153846153849E-2</v>
      </c>
      <c r="K190" s="6">
        <v>0.94615384615384612</v>
      </c>
      <c r="R190" s="3" t="s">
        <v>2164</v>
      </c>
      <c r="S190" t="s">
        <v>2291</v>
      </c>
    </row>
    <row r="191" spans="8:19" x14ac:dyDescent="0.25">
      <c r="H191" s="30" t="s">
        <v>2270</v>
      </c>
      <c r="I191" s="4" t="s">
        <v>2271</v>
      </c>
      <c r="J191" s="6">
        <v>0.11290322580645161</v>
      </c>
      <c r="K191" s="6">
        <v>0.88709677419354838</v>
      </c>
      <c r="R191" s="4" t="s">
        <v>1037</v>
      </c>
      <c r="S191">
        <v>2</v>
      </c>
    </row>
    <row r="192" spans="8:19" x14ac:dyDescent="0.25">
      <c r="H192" s="30"/>
      <c r="I192" s="4" t="s">
        <v>2272</v>
      </c>
      <c r="J192" s="6">
        <v>6.8965517241379309E-2</v>
      </c>
      <c r="K192" s="6">
        <v>0.93103448275862066</v>
      </c>
      <c r="R192" s="4" t="s">
        <v>599</v>
      </c>
      <c r="S192">
        <v>4</v>
      </c>
    </row>
    <row r="193" spans="8:20" x14ac:dyDescent="0.25">
      <c r="H193" s="30"/>
      <c r="I193" s="4" t="s">
        <v>2273</v>
      </c>
      <c r="J193" s="6">
        <v>4.4117647058823532E-2</v>
      </c>
      <c r="K193" s="6">
        <v>0.95588235294117652</v>
      </c>
      <c r="R193" s="4" t="s">
        <v>315</v>
      </c>
      <c r="S193">
        <v>8</v>
      </c>
    </row>
    <row r="194" spans="8:20" x14ac:dyDescent="0.25">
      <c r="H194" s="30"/>
      <c r="I194" s="4" t="s">
        <v>2274</v>
      </c>
      <c r="J194" s="6">
        <v>0</v>
      </c>
      <c r="K194" s="6">
        <v>1</v>
      </c>
      <c r="R194" s="4" t="s">
        <v>887</v>
      </c>
      <c r="S194">
        <v>2</v>
      </c>
    </row>
    <row r="195" spans="8:20" x14ac:dyDescent="0.25">
      <c r="H195" s="30" t="s">
        <v>2278</v>
      </c>
      <c r="I195" s="4" t="s">
        <v>2407</v>
      </c>
      <c r="J195" s="6">
        <v>4.878048780487805E-2</v>
      </c>
      <c r="K195" s="6">
        <v>0.95121951219512191</v>
      </c>
      <c r="R195" s="4" t="s">
        <v>1724</v>
      </c>
      <c r="S195">
        <v>1</v>
      </c>
    </row>
    <row r="196" spans="8:20" x14ac:dyDescent="0.25">
      <c r="H196" s="30"/>
      <c r="I196" s="4" t="s">
        <v>2408</v>
      </c>
      <c r="J196" s="6">
        <v>2.8735632183908046E-2</v>
      </c>
      <c r="K196" s="6">
        <v>0.97126436781609193</v>
      </c>
      <c r="R196" s="4" t="s">
        <v>1576</v>
      </c>
      <c r="S196">
        <v>1</v>
      </c>
    </row>
    <row r="197" spans="8:20" x14ac:dyDescent="0.25">
      <c r="H197" s="30"/>
      <c r="I197" s="4" t="s">
        <v>2409</v>
      </c>
      <c r="J197" s="6">
        <v>2.6315789473684209E-2</v>
      </c>
      <c r="K197" s="6">
        <v>0.97368421052631582</v>
      </c>
      <c r="R197" s="4" t="s">
        <v>574</v>
      </c>
      <c r="S197">
        <v>3</v>
      </c>
    </row>
    <row r="198" spans="8:20" x14ac:dyDescent="0.25">
      <c r="H198" s="30"/>
      <c r="I198" s="4" t="s">
        <v>2410</v>
      </c>
      <c r="J198" s="6">
        <v>6.0913705583756347E-2</v>
      </c>
      <c r="K198" s="6">
        <v>0.93908629441624369</v>
      </c>
      <c r="R198" s="4" t="s">
        <v>1668</v>
      </c>
      <c r="S198">
        <v>1</v>
      </c>
    </row>
    <row r="199" spans="8:20" x14ac:dyDescent="0.25">
      <c r="H199" s="30"/>
      <c r="I199" s="4" t="s">
        <v>2411</v>
      </c>
      <c r="J199" s="6">
        <v>0.10416666666666667</v>
      </c>
      <c r="K199" s="6">
        <v>0.89583333333333337</v>
      </c>
      <c r="R199" s="4" t="s">
        <v>519</v>
      </c>
      <c r="S199">
        <v>1</v>
      </c>
    </row>
    <row r="200" spans="8:20" x14ac:dyDescent="0.25">
      <c r="H200" s="18"/>
      <c r="I200" s="4"/>
      <c r="J200" s="6"/>
      <c r="K200" s="6"/>
      <c r="R200" s="4" t="s">
        <v>1873</v>
      </c>
      <c r="S200">
        <v>1</v>
      </c>
    </row>
    <row r="201" spans="8:20" x14ac:dyDescent="0.25">
      <c r="H201" s="18"/>
      <c r="I201" s="4"/>
      <c r="J201" s="6"/>
      <c r="K201" s="6"/>
      <c r="R201" s="4" t="s">
        <v>1643</v>
      </c>
      <c r="S201">
        <v>1</v>
      </c>
    </row>
    <row r="202" spans="8:20" x14ac:dyDescent="0.25">
      <c r="R202" s="4" t="s">
        <v>2177</v>
      </c>
    </row>
    <row r="203" spans="8:20" x14ac:dyDescent="0.25">
      <c r="R203" s="4" t="s">
        <v>2165</v>
      </c>
      <c r="S203">
        <v>25</v>
      </c>
    </row>
    <row r="205" spans="8:20" x14ac:dyDescent="0.25">
      <c r="R205" s="4" t="s">
        <v>2292</v>
      </c>
    </row>
    <row r="206" spans="8:20" x14ac:dyDescent="0.25">
      <c r="R206" s="4" t="s">
        <v>2413</v>
      </c>
      <c r="S206" s="8">
        <v>0.27906976744186046</v>
      </c>
      <c r="T206">
        <v>12</v>
      </c>
    </row>
    <row r="207" spans="8:20" x14ac:dyDescent="0.25">
      <c r="R207" s="4" t="s">
        <v>2414</v>
      </c>
      <c r="S207" s="8">
        <v>0.13953488372093023</v>
      </c>
      <c r="T207">
        <v>6</v>
      </c>
    </row>
    <row r="208" spans="8:20" x14ac:dyDescent="0.25">
      <c r="R208" s="4" t="s">
        <v>2414</v>
      </c>
      <c r="S208" s="8">
        <v>0.13953488372093023</v>
      </c>
      <c r="T208">
        <v>6</v>
      </c>
    </row>
    <row r="209" spans="1:20" x14ac:dyDescent="0.25">
      <c r="R209" s="4" t="s">
        <v>2415</v>
      </c>
      <c r="S209" s="8">
        <v>0.11627906976744186</v>
      </c>
      <c r="T209">
        <v>5</v>
      </c>
    </row>
    <row r="210" spans="1:20" x14ac:dyDescent="0.25">
      <c r="R210" s="4" t="s">
        <v>2416</v>
      </c>
      <c r="S210" s="8">
        <v>0.11627906976744186</v>
      </c>
      <c r="T210">
        <v>5</v>
      </c>
    </row>
    <row r="211" spans="1:20" x14ac:dyDescent="0.25">
      <c r="R211" s="4" t="s">
        <v>2414</v>
      </c>
      <c r="S211" s="8">
        <v>9.3023255813953487E-2</v>
      </c>
      <c r="T211">
        <v>4</v>
      </c>
    </row>
    <row r="212" spans="1:20" x14ac:dyDescent="0.25">
      <c r="R212" s="4" t="s">
        <v>2417</v>
      </c>
      <c r="S212" s="8">
        <v>6.9767441860465115E-2</v>
      </c>
      <c r="T212">
        <v>3</v>
      </c>
    </row>
    <row r="213" spans="1:20" x14ac:dyDescent="0.25">
      <c r="R213" s="4" t="s">
        <v>2418</v>
      </c>
      <c r="S213" s="8">
        <v>2.3255813953488372E-2</v>
      </c>
      <c r="T213">
        <v>1</v>
      </c>
    </row>
    <row r="214" spans="1:20" x14ac:dyDescent="0.25">
      <c r="R214" s="4" t="s">
        <v>2419</v>
      </c>
      <c r="S214" s="8">
        <v>2.3255813953488372E-2</v>
      </c>
      <c r="T214">
        <v>1</v>
      </c>
    </row>
    <row r="217" spans="1:20" ht="18.75" customHeight="1" x14ac:dyDescent="0.25">
      <c r="B217" s="31"/>
      <c r="C217" s="37" t="s">
        <v>2293</v>
      </c>
      <c r="D217" s="37"/>
      <c r="E217" s="38"/>
      <c r="F217" s="34" t="s">
        <v>2294</v>
      </c>
      <c r="G217" s="35"/>
      <c r="H217" s="36"/>
    </row>
    <row r="218" spans="1:20" ht="57" thickBot="1" x14ac:dyDescent="0.3">
      <c r="B218" s="32"/>
      <c r="C218" s="9" t="s">
        <v>2295</v>
      </c>
      <c r="D218" s="10" t="s">
        <v>2296</v>
      </c>
      <c r="E218" s="10" t="s">
        <v>2334</v>
      </c>
      <c r="F218" s="10" t="s">
        <v>2297</v>
      </c>
      <c r="G218" s="10" t="s">
        <v>2298</v>
      </c>
      <c r="H218" s="10" t="s">
        <v>2299</v>
      </c>
    </row>
    <row r="219" spans="1:20" ht="18.75" customHeight="1" x14ac:dyDescent="0.35">
      <c r="A219" s="26" t="s">
        <v>2319</v>
      </c>
      <c r="B219" s="27"/>
      <c r="C219" s="6">
        <v>0.30237154150197626</v>
      </c>
      <c r="D219" s="6">
        <v>0.69762845849802368</v>
      </c>
      <c r="E219" s="6">
        <v>0</v>
      </c>
      <c r="F219" s="6">
        <v>0.5816993464052288</v>
      </c>
      <c r="G219" s="6">
        <v>0.31372549019607843</v>
      </c>
      <c r="H219" s="6">
        <v>0.10457516339869281</v>
      </c>
      <c r="I219" s="3" t="s">
        <v>2164</v>
      </c>
      <c r="J219" t="s">
        <v>2205</v>
      </c>
      <c r="K219" s="3" t="s">
        <v>2164</v>
      </c>
      <c r="L219" t="s">
        <v>2302</v>
      </c>
    </row>
    <row r="220" spans="1:20" ht="18.75" customHeight="1" x14ac:dyDescent="0.35">
      <c r="A220" s="26" t="s">
        <v>2320</v>
      </c>
      <c r="B220" s="27"/>
      <c r="C220" s="6">
        <v>0.24308300395256918</v>
      </c>
      <c r="D220" s="6">
        <v>0.75494071146245056</v>
      </c>
      <c r="E220" s="6">
        <v>1.976284584980237E-3</v>
      </c>
      <c r="F220" s="6">
        <v>0.45528455284552843</v>
      </c>
      <c r="G220" s="6">
        <v>0.4065040650406504</v>
      </c>
      <c r="H220" s="6">
        <v>0.13821138211382114</v>
      </c>
      <c r="I220" s="4" t="s">
        <v>226</v>
      </c>
      <c r="J220" s="6">
        <v>0.30237154150197626</v>
      </c>
      <c r="K220" s="4" t="s">
        <v>244</v>
      </c>
      <c r="L220" s="6">
        <v>0.5816993464052288</v>
      </c>
    </row>
    <row r="221" spans="1:20" ht="18.75" customHeight="1" x14ac:dyDescent="0.35">
      <c r="A221" s="26" t="s">
        <v>2321</v>
      </c>
      <c r="B221" s="27"/>
      <c r="C221" s="6">
        <v>0.61660079051383399</v>
      </c>
      <c r="D221" s="6">
        <v>0.38339920948616601</v>
      </c>
      <c r="E221" s="6">
        <v>0</v>
      </c>
      <c r="F221" s="6">
        <v>0.34615384615384615</v>
      </c>
      <c r="G221" s="6">
        <v>0.48076923076923078</v>
      </c>
      <c r="H221" s="6">
        <v>0.17307692307692307</v>
      </c>
      <c r="I221" s="4" t="s">
        <v>236</v>
      </c>
      <c r="J221" s="6">
        <v>0.69762845849802368</v>
      </c>
      <c r="K221" s="4" t="s">
        <v>245</v>
      </c>
      <c r="L221" s="6">
        <v>0.31372549019607843</v>
      </c>
    </row>
    <row r="222" spans="1:20" ht="18.75" customHeight="1" x14ac:dyDescent="0.35">
      <c r="A222" s="26" t="s">
        <v>2322</v>
      </c>
      <c r="B222" s="27"/>
      <c r="C222" s="6">
        <v>0.6541501976284585</v>
      </c>
      <c r="D222" s="6">
        <v>0.3458498023715415</v>
      </c>
      <c r="E222" s="6">
        <v>0</v>
      </c>
      <c r="F222" s="6">
        <v>0.37160120845921452</v>
      </c>
      <c r="G222" s="6">
        <v>0.45921450151057402</v>
      </c>
      <c r="H222" s="6">
        <v>0.16918429003021149</v>
      </c>
      <c r="I222" s="4" t="s">
        <v>2165</v>
      </c>
      <c r="J222" s="6">
        <v>1</v>
      </c>
      <c r="K222" s="4" t="s">
        <v>265</v>
      </c>
      <c r="L222" s="6">
        <v>0.10457516339869281</v>
      </c>
    </row>
    <row r="223" spans="1:20" ht="18.75" customHeight="1" x14ac:dyDescent="0.35">
      <c r="A223" s="26" t="s">
        <v>2323</v>
      </c>
      <c r="B223" s="27"/>
      <c r="C223" s="6">
        <v>0.28853754940711462</v>
      </c>
      <c r="D223" s="6">
        <v>0.62055335968379444</v>
      </c>
      <c r="E223" s="6">
        <v>9.0909090909090912E-2</v>
      </c>
      <c r="F223" s="6">
        <v>0.33561643835616439</v>
      </c>
      <c r="G223" s="6">
        <v>0.47945205479452052</v>
      </c>
      <c r="H223" s="6">
        <v>0.18493150684931506</v>
      </c>
      <c r="K223" s="4" t="s">
        <v>2165</v>
      </c>
      <c r="L223" s="6">
        <v>1</v>
      </c>
    </row>
    <row r="224" spans="1:20" ht="18.75" customHeight="1" x14ac:dyDescent="0.35">
      <c r="A224" s="26" t="s">
        <v>2324</v>
      </c>
      <c r="B224" s="27"/>
      <c r="C224" s="6">
        <v>0.18774703557312253</v>
      </c>
      <c r="D224" s="6">
        <v>0.80237154150197632</v>
      </c>
      <c r="E224" s="6">
        <v>9.881422924901186E-3</v>
      </c>
      <c r="F224" s="6">
        <v>0.64210526315789473</v>
      </c>
      <c r="G224" s="6">
        <v>0.3473684210526316</v>
      </c>
      <c r="H224" s="6">
        <v>1.0526315789473684E-2</v>
      </c>
      <c r="I224" s="3" t="s">
        <v>2164</v>
      </c>
      <c r="J224" t="s">
        <v>2207</v>
      </c>
      <c r="K224" s="3" t="s">
        <v>2164</v>
      </c>
      <c r="L224" t="s">
        <v>2303</v>
      </c>
    </row>
    <row r="225" spans="1:12" ht="18.75" customHeight="1" x14ac:dyDescent="0.35">
      <c r="A225" s="26" t="s">
        <v>2325</v>
      </c>
      <c r="B225" s="27"/>
      <c r="C225" s="6">
        <v>0.59090909090909094</v>
      </c>
      <c r="D225" s="6">
        <v>0.40118577075098816</v>
      </c>
      <c r="E225" s="6">
        <v>7.9051383399209481E-3</v>
      </c>
      <c r="F225" s="6">
        <v>0.47826086956521741</v>
      </c>
      <c r="G225" s="6">
        <v>0.3612040133779264</v>
      </c>
      <c r="H225" s="6">
        <v>0.16053511705685619</v>
      </c>
      <c r="I225" s="4" t="s">
        <v>226</v>
      </c>
      <c r="J225" s="6">
        <v>0.24308300395256918</v>
      </c>
      <c r="K225" s="4" t="s">
        <v>244</v>
      </c>
      <c r="L225" s="6">
        <v>0.45528455284552843</v>
      </c>
    </row>
    <row r="226" spans="1:12" ht="18.75" customHeight="1" x14ac:dyDescent="0.35">
      <c r="A226" s="26" t="s">
        <v>2326</v>
      </c>
      <c r="B226" s="27"/>
      <c r="C226" s="6">
        <v>0.34189723320158105</v>
      </c>
      <c r="D226" s="6">
        <v>0.65810276679841895</v>
      </c>
      <c r="E226" s="6">
        <v>0</v>
      </c>
      <c r="F226" s="6">
        <v>0.4913294797687861</v>
      </c>
      <c r="G226" s="6">
        <v>0.41040462427745666</v>
      </c>
      <c r="H226" s="6">
        <v>9.8265895953757232E-2</v>
      </c>
      <c r="I226" s="4" t="s">
        <v>236</v>
      </c>
      <c r="J226" s="6">
        <v>0.75494071146245056</v>
      </c>
      <c r="K226" s="4" t="s">
        <v>245</v>
      </c>
      <c r="L226" s="6">
        <v>0.4065040650406504</v>
      </c>
    </row>
    <row r="227" spans="1:12" ht="18.75" customHeight="1" x14ac:dyDescent="0.35">
      <c r="A227" s="26" t="s">
        <v>2327</v>
      </c>
      <c r="B227" s="27"/>
      <c r="C227" s="6">
        <v>9.4861660079051377E-2</v>
      </c>
      <c r="D227" s="6">
        <v>0.90316205533596838</v>
      </c>
      <c r="E227" s="6">
        <v>1.976284584980237E-3</v>
      </c>
      <c r="F227" s="6">
        <v>0.52083333333333337</v>
      </c>
      <c r="G227" s="6">
        <v>0.35416666666666669</v>
      </c>
      <c r="H227" s="6">
        <v>0.125</v>
      </c>
      <c r="I227" s="4" t="s">
        <v>308</v>
      </c>
      <c r="J227" s="6">
        <v>1.976284584980237E-3</v>
      </c>
      <c r="K227" s="4" t="s">
        <v>265</v>
      </c>
      <c r="L227" s="6">
        <v>0.13821138211382114</v>
      </c>
    </row>
    <row r="228" spans="1:12" ht="16.5" x14ac:dyDescent="0.35">
      <c r="A228" s="26" t="s">
        <v>2328</v>
      </c>
      <c r="B228" s="27" t="s">
        <v>2328</v>
      </c>
      <c r="C228" s="6">
        <v>0.33201581027667987</v>
      </c>
      <c r="D228" s="6">
        <v>0.66798418972332019</v>
      </c>
      <c r="E228" s="6">
        <v>0</v>
      </c>
      <c r="F228" s="6">
        <v>0.29166666666666669</v>
      </c>
      <c r="G228" s="6">
        <v>0.49404761904761907</v>
      </c>
      <c r="H228" s="6">
        <v>0.21428571428571427</v>
      </c>
      <c r="I228" s="4" t="s">
        <v>2165</v>
      </c>
      <c r="J228" s="6">
        <v>1</v>
      </c>
      <c r="K228" s="4" t="s">
        <v>2165</v>
      </c>
      <c r="L228" s="6">
        <v>1</v>
      </c>
    </row>
    <row r="229" spans="1:12" ht="16.5" x14ac:dyDescent="0.35">
      <c r="A229" s="26" t="s">
        <v>2329</v>
      </c>
      <c r="B229" s="27" t="s">
        <v>2328</v>
      </c>
      <c r="C229" s="6">
        <v>0.12055335968379446</v>
      </c>
      <c r="D229" s="6">
        <v>0.87747035573122534</v>
      </c>
      <c r="E229" s="6">
        <v>1.976284584980237E-3</v>
      </c>
      <c r="F229" s="6">
        <v>0.32786885245901637</v>
      </c>
      <c r="G229" s="6">
        <v>0.42622950819672129</v>
      </c>
      <c r="H229" s="6">
        <v>0.24590163934426229</v>
      </c>
    </row>
    <row r="230" spans="1:12" ht="16.5" x14ac:dyDescent="0.35">
      <c r="A230" s="26" t="s">
        <v>2300</v>
      </c>
      <c r="B230" s="27" t="s">
        <v>2328</v>
      </c>
      <c r="C230" s="6">
        <v>0.25691699604743085</v>
      </c>
      <c r="D230" s="6">
        <v>0.73913043478260865</v>
      </c>
      <c r="E230" s="6">
        <v>3.952569169960474E-3</v>
      </c>
      <c r="F230" s="6">
        <v>0.53846153846153844</v>
      </c>
      <c r="G230" s="6">
        <v>0.3923076923076923</v>
      </c>
      <c r="H230" s="6">
        <v>6.9230769230769235E-2</v>
      </c>
      <c r="I230" s="3" t="s">
        <v>2164</v>
      </c>
      <c r="J230" t="s">
        <v>2208</v>
      </c>
      <c r="K230" s="3" t="s">
        <v>2164</v>
      </c>
      <c r="L230" t="s">
        <v>2304</v>
      </c>
    </row>
    <row r="231" spans="1:12" ht="16.5" x14ac:dyDescent="0.35">
      <c r="A231" s="26" t="s">
        <v>2330</v>
      </c>
      <c r="B231" s="27" t="s">
        <v>2328</v>
      </c>
      <c r="C231" s="6">
        <v>0.39525691699604742</v>
      </c>
      <c r="D231" s="6">
        <v>0.60276679841897229</v>
      </c>
      <c r="E231" s="6">
        <v>1.976284584980237E-3</v>
      </c>
      <c r="F231" s="6">
        <v>0.55500000000000005</v>
      </c>
      <c r="G231" s="6">
        <v>0.35</v>
      </c>
      <c r="H231" s="6">
        <v>9.5000000000000001E-2</v>
      </c>
      <c r="I231" s="4" t="s">
        <v>226</v>
      </c>
      <c r="J231" s="6">
        <v>0.61660079051383399</v>
      </c>
      <c r="K231" s="4" t="s">
        <v>244</v>
      </c>
      <c r="L231" s="6">
        <v>0.34615384615384615</v>
      </c>
    </row>
    <row r="232" spans="1:12" ht="16.5" x14ac:dyDescent="0.35">
      <c r="A232" s="26" t="s">
        <v>2331</v>
      </c>
      <c r="B232" s="27" t="s">
        <v>2328</v>
      </c>
      <c r="C232" s="6">
        <v>0.57707509881422925</v>
      </c>
      <c r="D232" s="6">
        <v>0.42292490118577075</v>
      </c>
      <c r="E232" s="6">
        <v>0</v>
      </c>
      <c r="F232" s="6">
        <v>0.49315068493150682</v>
      </c>
      <c r="G232" s="6">
        <v>0.3904109589041096</v>
      </c>
      <c r="H232" s="6">
        <v>0.11643835616438356</v>
      </c>
      <c r="I232" s="4" t="s">
        <v>236</v>
      </c>
      <c r="J232" s="6">
        <v>0.38339920948616601</v>
      </c>
      <c r="K232" s="4" t="s">
        <v>245</v>
      </c>
      <c r="L232" s="6">
        <v>0.48076923076923078</v>
      </c>
    </row>
    <row r="233" spans="1:12" ht="16.5" x14ac:dyDescent="0.35">
      <c r="A233" s="26" t="s">
        <v>2332</v>
      </c>
      <c r="B233" s="27" t="s">
        <v>2328</v>
      </c>
      <c r="C233" s="6">
        <v>3.5573122529644272E-2</v>
      </c>
      <c r="D233" s="6">
        <v>0.9486166007905138</v>
      </c>
      <c r="E233" s="6">
        <v>1.5810276679841896E-2</v>
      </c>
      <c r="F233" s="6">
        <v>0.55555555555555558</v>
      </c>
      <c r="G233" s="6">
        <v>0.3888888888888889</v>
      </c>
      <c r="H233" s="6">
        <v>5.5555555555555552E-2</v>
      </c>
      <c r="I233" s="4" t="s">
        <v>2165</v>
      </c>
      <c r="J233" s="6">
        <v>1</v>
      </c>
      <c r="K233" s="4" t="s">
        <v>265</v>
      </c>
      <c r="L233" s="6">
        <v>0.17307692307692307</v>
      </c>
    </row>
    <row r="234" spans="1:12" ht="16.5" x14ac:dyDescent="0.35">
      <c r="A234" s="26" t="s">
        <v>2301</v>
      </c>
      <c r="B234" s="27" t="s">
        <v>2328</v>
      </c>
      <c r="C234" s="6">
        <v>0.39920948616600793</v>
      </c>
      <c r="D234" s="6">
        <v>0.59683794466403162</v>
      </c>
      <c r="E234" s="6">
        <v>3.952569169960474E-3</v>
      </c>
      <c r="F234" s="6">
        <v>0.42574257425742573</v>
      </c>
      <c r="G234" s="6">
        <v>0.48019801980198018</v>
      </c>
      <c r="H234" s="6">
        <v>9.405940594059406E-2</v>
      </c>
      <c r="K234" s="4" t="s">
        <v>2165</v>
      </c>
      <c r="L234" s="6">
        <v>1</v>
      </c>
    </row>
    <row r="235" spans="1:12" ht="16.5" x14ac:dyDescent="0.35">
      <c r="A235" s="26" t="s">
        <v>2333</v>
      </c>
      <c r="B235" s="27" t="s">
        <v>2328</v>
      </c>
      <c r="C235" s="6">
        <v>4.9407114624505928E-2</v>
      </c>
      <c r="D235" s="6">
        <v>0.95059288537549402</v>
      </c>
      <c r="E235" s="6">
        <v>0</v>
      </c>
      <c r="F235" s="6">
        <v>0.26923076923076922</v>
      </c>
      <c r="G235" s="6">
        <v>0.46153846153846156</v>
      </c>
      <c r="H235" s="6">
        <v>0.26923076923076922</v>
      </c>
      <c r="I235" s="3" t="s">
        <v>2164</v>
      </c>
      <c r="J235" t="s">
        <v>2209</v>
      </c>
      <c r="K235" s="3" t="s">
        <v>2164</v>
      </c>
      <c r="L235" t="s">
        <v>2305</v>
      </c>
    </row>
    <row r="236" spans="1:12" x14ac:dyDescent="0.25">
      <c r="I236" s="4" t="s">
        <v>226</v>
      </c>
      <c r="J236" s="6">
        <v>0.6541501976284585</v>
      </c>
      <c r="K236" s="4" t="s">
        <v>244</v>
      </c>
      <c r="L236" s="6">
        <v>0.37160120845921452</v>
      </c>
    </row>
    <row r="237" spans="1:12" x14ac:dyDescent="0.25">
      <c r="I237" s="4" t="s">
        <v>236</v>
      </c>
      <c r="J237" s="6">
        <v>0.3458498023715415</v>
      </c>
      <c r="K237" s="4" t="s">
        <v>245</v>
      </c>
      <c r="L237" s="6">
        <v>0.45921450151057402</v>
      </c>
    </row>
    <row r="238" spans="1:12" x14ac:dyDescent="0.25">
      <c r="I238" s="4" t="s">
        <v>2165</v>
      </c>
      <c r="J238" s="6">
        <v>1</v>
      </c>
      <c r="K238" s="4" t="s">
        <v>265</v>
      </c>
      <c r="L238" s="6">
        <v>0.16918429003021149</v>
      </c>
    </row>
    <row r="239" spans="1:12" x14ac:dyDescent="0.25">
      <c r="K239" s="4" t="s">
        <v>2165</v>
      </c>
      <c r="L239" s="6">
        <v>1</v>
      </c>
    </row>
    <row r="240" spans="1:12" x14ac:dyDescent="0.25">
      <c r="E240" t="s">
        <v>2295</v>
      </c>
      <c r="F240" t="s">
        <v>2296</v>
      </c>
      <c r="G240" t="s">
        <v>2343</v>
      </c>
      <c r="I240" s="3" t="s">
        <v>2164</v>
      </c>
      <c r="J240" t="s">
        <v>2210</v>
      </c>
      <c r="K240" s="3" t="s">
        <v>2164</v>
      </c>
      <c r="L240" t="s">
        <v>2306</v>
      </c>
    </row>
    <row r="241" spans="3:12" x14ac:dyDescent="0.25">
      <c r="C241" t="s">
        <v>2322</v>
      </c>
      <c r="D241" t="s">
        <v>2322</v>
      </c>
      <c r="E241" s="8">
        <v>0.6541501976284585</v>
      </c>
      <c r="F241" s="8">
        <v>0.3458498023715415</v>
      </c>
      <c r="H241" s="6"/>
      <c r="I241" s="4" t="s">
        <v>226</v>
      </c>
      <c r="J241" s="6">
        <v>0.28853754940711462</v>
      </c>
      <c r="K241" s="4" t="s">
        <v>244</v>
      </c>
      <c r="L241" s="6">
        <v>0.33561643835616439</v>
      </c>
    </row>
    <row r="242" spans="3:12" x14ac:dyDescent="0.25">
      <c r="C242" t="s">
        <v>2321</v>
      </c>
      <c r="D242" t="s">
        <v>2321</v>
      </c>
      <c r="E242" s="8">
        <v>0.61660079051383399</v>
      </c>
      <c r="F242" s="8">
        <v>0.38339920948616601</v>
      </c>
      <c r="H242" s="6"/>
      <c r="I242" s="4" t="s">
        <v>236</v>
      </c>
      <c r="J242" s="6">
        <v>0.62055335968379444</v>
      </c>
      <c r="K242" s="4" t="s">
        <v>245</v>
      </c>
      <c r="L242" s="6">
        <v>0.47945205479452052</v>
      </c>
    </row>
    <row r="243" spans="3:12" x14ac:dyDescent="0.25">
      <c r="C243" t="s">
        <v>2325</v>
      </c>
      <c r="D243" t="s">
        <v>2325</v>
      </c>
      <c r="E243" s="8">
        <v>0.59090909090909094</v>
      </c>
      <c r="F243" s="8">
        <v>0.40118577075098816</v>
      </c>
      <c r="G243" s="6">
        <v>7.9051383399209481E-3</v>
      </c>
      <c r="H243" s="6"/>
      <c r="I243" s="4" t="s">
        <v>308</v>
      </c>
      <c r="J243" s="6">
        <v>9.0909090909090912E-2</v>
      </c>
      <c r="K243" s="4" t="s">
        <v>265</v>
      </c>
      <c r="L243" s="6">
        <v>0.18493150684931506</v>
      </c>
    </row>
    <row r="244" spans="3:12" x14ac:dyDescent="0.25">
      <c r="C244" t="s">
        <v>2331</v>
      </c>
      <c r="D244" t="s">
        <v>2331</v>
      </c>
      <c r="E244" s="8">
        <v>0.57707509881422925</v>
      </c>
      <c r="F244" s="8">
        <v>0.42292490118577075</v>
      </c>
      <c r="G244" s="6"/>
      <c r="H244" s="6"/>
      <c r="I244" s="4" t="s">
        <v>2165</v>
      </c>
      <c r="J244" s="6">
        <v>1</v>
      </c>
      <c r="K244" s="4" t="s">
        <v>2165</v>
      </c>
      <c r="L244" s="6">
        <v>1</v>
      </c>
    </row>
    <row r="245" spans="3:12" x14ac:dyDescent="0.25">
      <c r="C245" t="s">
        <v>2301</v>
      </c>
      <c r="D245" t="s">
        <v>2301</v>
      </c>
      <c r="E245" s="8">
        <v>0.39920948616600793</v>
      </c>
      <c r="F245" s="8">
        <v>0.59683794466403162</v>
      </c>
      <c r="G245" s="6">
        <v>3.952569169960474E-3</v>
      </c>
      <c r="H245" s="6"/>
    </row>
    <row r="246" spans="3:12" x14ac:dyDescent="0.25">
      <c r="C246" t="s">
        <v>2330</v>
      </c>
      <c r="D246" t="s">
        <v>2330</v>
      </c>
      <c r="E246" s="8">
        <v>0.39525691699604742</v>
      </c>
      <c r="F246" s="8">
        <v>0.60276679841897229</v>
      </c>
      <c r="G246" s="6">
        <v>1.976284584980237E-3</v>
      </c>
      <c r="H246" s="6"/>
      <c r="I246" s="3" t="s">
        <v>2164</v>
      </c>
      <c r="J246" t="s">
        <v>2211</v>
      </c>
      <c r="K246" s="3" t="s">
        <v>2164</v>
      </c>
      <c r="L246" t="s">
        <v>2307</v>
      </c>
    </row>
    <row r="247" spans="3:12" x14ac:dyDescent="0.25">
      <c r="C247" t="s">
        <v>2326</v>
      </c>
      <c r="D247" t="s">
        <v>2326</v>
      </c>
      <c r="E247" s="8">
        <v>0.34189723320158105</v>
      </c>
      <c r="F247" s="8">
        <v>0.65810276679841895</v>
      </c>
      <c r="H247" s="6"/>
      <c r="I247" s="4" t="s">
        <v>226</v>
      </c>
      <c r="J247" s="6">
        <v>0.18774703557312253</v>
      </c>
      <c r="K247" s="4" t="s">
        <v>244</v>
      </c>
      <c r="L247" s="6">
        <v>0.64210526315789473</v>
      </c>
    </row>
    <row r="248" spans="3:12" x14ac:dyDescent="0.25">
      <c r="C248" t="s">
        <v>2328</v>
      </c>
      <c r="D248" t="s">
        <v>2328</v>
      </c>
      <c r="E248" s="8">
        <v>0.33201581027667987</v>
      </c>
      <c r="F248" s="8">
        <v>0.66798418972332019</v>
      </c>
      <c r="H248" s="6"/>
      <c r="I248" s="4" t="s">
        <v>236</v>
      </c>
      <c r="J248" s="6">
        <v>0.80237154150197632</v>
      </c>
      <c r="K248" s="4" t="s">
        <v>245</v>
      </c>
      <c r="L248" s="6">
        <v>0.3473684210526316</v>
      </c>
    </row>
    <row r="249" spans="3:12" x14ac:dyDescent="0.25">
      <c r="C249" t="s">
        <v>2319</v>
      </c>
      <c r="D249" t="s">
        <v>2319</v>
      </c>
      <c r="E249" s="8">
        <v>0.30237154150197626</v>
      </c>
      <c r="F249" s="8">
        <v>0.69762845849802368</v>
      </c>
      <c r="H249" s="6"/>
      <c r="I249" s="4" t="s">
        <v>308</v>
      </c>
      <c r="J249" s="6">
        <v>9.881422924901186E-3</v>
      </c>
      <c r="K249" s="4" t="s">
        <v>265</v>
      </c>
      <c r="L249" s="6">
        <v>1.0526315789473684E-2</v>
      </c>
    </row>
    <row r="250" spans="3:12" x14ac:dyDescent="0.25">
      <c r="C250" t="s">
        <v>2323</v>
      </c>
      <c r="D250" t="s">
        <v>2323</v>
      </c>
      <c r="E250" s="8">
        <v>0.28853754940711462</v>
      </c>
      <c r="F250" s="8">
        <v>0.62055335968379444</v>
      </c>
      <c r="G250" s="6">
        <v>9.0909090909090912E-2</v>
      </c>
      <c r="H250" s="6"/>
      <c r="I250" s="4" t="s">
        <v>2165</v>
      </c>
      <c r="J250" s="6">
        <v>1</v>
      </c>
      <c r="K250" s="4" t="s">
        <v>2165</v>
      </c>
      <c r="L250" s="6">
        <v>1</v>
      </c>
    </row>
    <row r="251" spans="3:12" x14ac:dyDescent="0.25">
      <c r="C251" t="s">
        <v>2300</v>
      </c>
      <c r="D251" t="s">
        <v>2300</v>
      </c>
      <c r="E251" s="8">
        <v>0.25691699604743085</v>
      </c>
      <c r="F251" s="8">
        <v>0.73913043478260865</v>
      </c>
      <c r="G251" s="6">
        <v>3.952569169960474E-3</v>
      </c>
      <c r="H251" s="6"/>
    </row>
    <row r="252" spans="3:12" x14ac:dyDescent="0.25">
      <c r="C252" t="s">
        <v>2320</v>
      </c>
      <c r="D252" t="s">
        <v>2320</v>
      </c>
      <c r="E252" s="8">
        <v>0.24308300395256918</v>
      </c>
      <c r="F252" s="8">
        <v>0.75494071146245056</v>
      </c>
      <c r="G252" s="6">
        <v>1.976284584980237E-3</v>
      </c>
      <c r="H252" s="6"/>
      <c r="I252" s="3" t="s">
        <v>2164</v>
      </c>
      <c r="J252" t="s">
        <v>2212</v>
      </c>
      <c r="K252" s="3" t="s">
        <v>2164</v>
      </c>
      <c r="L252" t="s">
        <v>2308</v>
      </c>
    </row>
    <row r="253" spans="3:12" x14ac:dyDescent="0.25">
      <c r="C253" t="s">
        <v>2324</v>
      </c>
      <c r="D253" t="s">
        <v>2324</v>
      </c>
      <c r="E253" s="8">
        <v>0.18774703557312253</v>
      </c>
      <c r="F253" s="8">
        <v>0.80237154150197632</v>
      </c>
      <c r="G253" s="6">
        <v>9.881422924901186E-3</v>
      </c>
      <c r="H253" s="6"/>
      <c r="I253" s="4" t="s">
        <v>226</v>
      </c>
      <c r="J253" s="6">
        <v>0.59090909090909094</v>
      </c>
      <c r="K253" s="4" t="s">
        <v>244</v>
      </c>
      <c r="L253" s="6">
        <v>0.47826086956521741</v>
      </c>
    </row>
    <row r="254" spans="3:12" x14ac:dyDescent="0.25">
      <c r="C254" t="s">
        <v>2329</v>
      </c>
      <c r="D254" t="s">
        <v>2329</v>
      </c>
      <c r="E254" s="8">
        <v>0.12055335968379446</v>
      </c>
      <c r="F254" s="8">
        <v>0.87747035573122534</v>
      </c>
      <c r="G254" s="6">
        <v>1.976284584980237E-3</v>
      </c>
      <c r="H254" s="6"/>
      <c r="I254" s="4" t="s">
        <v>236</v>
      </c>
      <c r="J254" s="6">
        <v>0.40118577075098816</v>
      </c>
      <c r="K254" s="4" t="s">
        <v>245</v>
      </c>
      <c r="L254" s="6">
        <v>0.3612040133779264</v>
      </c>
    </row>
    <row r="255" spans="3:12" x14ac:dyDescent="0.25">
      <c r="C255" t="s">
        <v>2327</v>
      </c>
      <c r="D255" t="s">
        <v>2327</v>
      </c>
      <c r="E255" s="8">
        <v>9.4861660079051377E-2</v>
      </c>
      <c r="F255" s="8">
        <v>0.90316205533596838</v>
      </c>
      <c r="G255" s="6">
        <v>1.976284584980237E-3</v>
      </c>
      <c r="H255" s="6"/>
      <c r="I255" s="4" t="s">
        <v>308</v>
      </c>
      <c r="J255" s="6">
        <v>7.9051383399209481E-3</v>
      </c>
      <c r="K255" s="4" t="s">
        <v>265</v>
      </c>
      <c r="L255" s="6">
        <v>0.16053511705685619</v>
      </c>
    </row>
    <row r="256" spans="3:12" x14ac:dyDescent="0.25">
      <c r="C256" t="s">
        <v>2333</v>
      </c>
      <c r="D256" t="s">
        <v>2333</v>
      </c>
      <c r="E256" s="8">
        <v>4.9407114624505928E-2</v>
      </c>
      <c r="F256" s="8">
        <v>0.95059288537549402</v>
      </c>
      <c r="H256" s="6"/>
      <c r="I256" s="4" t="s">
        <v>2165</v>
      </c>
      <c r="J256" s="6">
        <v>1</v>
      </c>
      <c r="K256" s="4" t="s">
        <v>2165</v>
      </c>
      <c r="L256" s="6">
        <v>1</v>
      </c>
    </row>
    <row r="257" spans="3:12" x14ac:dyDescent="0.25">
      <c r="C257" t="s">
        <v>2332</v>
      </c>
      <c r="D257" t="s">
        <v>2332</v>
      </c>
      <c r="E257" s="8">
        <v>3.5573122529644272E-2</v>
      </c>
      <c r="F257" s="8">
        <v>0.9486166007905138</v>
      </c>
      <c r="G257" s="6">
        <v>1.5810276679841896E-2</v>
      </c>
      <c r="H257" s="6"/>
    </row>
    <row r="258" spans="3:12" x14ac:dyDescent="0.25">
      <c r="I258" s="3" t="s">
        <v>2164</v>
      </c>
      <c r="J258" t="s">
        <v>2213</v>
      </c>
      <c r="K258" s="3" t="s">
        <v>2164</v>
      </c>
      <c r="L258" t="s">
        <v>2309</v>
      </c>
    </row>
    <row r="259" spans="3:12" x14ac:dyDescent="0.25">
      <c r="I259" s="4" t="s">
        <v>226</v>
      </c>
      <c r="J259" s="6">
        <v>0.34189723320158105</v>
      </c>
      <c r="K259" s="4" t="s">
        <v>244</v>
      </c>
      <c r="L259" s="6">
        <v>0.4913294797687861</v>
      </c>
    </row>
    <row r="260" spans="3:12" ht="57" thickBot="1" x14ac:dyDescent="0.3">
      <c r="E260" s="10" t="s">
        <v>2297</v>
      </c>
      <c r="F260" s="10" t="s">
        <v>2298</v>
      </c>
      <c r="G260" s="10" t="s">
        <v>2299</v>
      </c>
      <c r="I260" s="4" t="s">
        <v>236</v>
      </c>
      <c r="J260" s="6">
        <v>0.65810276679841895</v>
      </c>
      <c r="K260" s="4" t="s">
        <v>245</v>
      </c>
      <c r="L260" s="6">
        <v>0.41040462427745666</v>
      </c>
    </row>
    <row r="261" spans="3:12" x14ac:dyDescent="0.25">
      <c r="C261" t="s">
        <v>2322</v>
      </c>
      <c r="D261" t="s">
        <v>2322</v>
      </c>
      <c r="E261" s="8">
        <f>VLOOKUP(C261,$A$219:$H$235,6,0)</f>
        <v>0.37160120845921452</v>
      </c>
      <c r="F261" s="8">
        <f>VLOOKUP(C261,$A$219:$H$235,7,0)</f>
        <v>0.45921450151057402</v>
      </c>
      <c r="G261" s="8">
        <f>VLOOKUP(C261,$A$219:$H$235,8,0)</f>
        <v>0.16918429003021149</v>
      </c>
      <c r="I261" s="4" t="s">
        <v>2165</v>
      </c>
      <c r="J261" s="6">
        <v>1</v>
      </c>
      <c r="K261" s="4" t="s">
        <v>265</v>
      </c>
      <c r="L261" s="6">
        <v>9.8265895953757232E-2</v>
      </c>
    </row>
    <row r="262" spans="3:12" x14ac:dyDescent="0.25">
      <c r="C262" t="s">
        <v>2321</v>
      </c>
      <c r="D262" t="s">
        <v>2321</v>
      </c>
      <c r="E262" s="8">
        <f t="shared" ref="E262:E277" si="0">VLOOKUP(C262,$A$219:$H$235,6,0)</f>
        <v>0.34615384615384615</v>
      </c>
      <c r="F262" s="8">
        <f t="shared" ref="F262:F277" si="1">VLOOKUP(C262,$A$219:$H$235,7,0)</f>
        <v>0.48076923076923078</v>
      </c>
      <c r="G262" s="8">
        <f t="shared" ref="G262:G277" si="2">VLOOKUP(C262,$A$219:$H$235,8,0)</f>
        <v>0.17307692307692307</v>
      </c>
      <c r="K262" s="4" t="s">
        <v>2165</v>
      </c>
      <c r="L262" s="6">
        <v>1</v>
      </c>
    </row>
    <row r="263" spans="3:12" x14ac:dyDescent="0.25">
      <c r="C263" t="s">
        <v>2325</v>
      </c>
      <c r="D263" t="s">
        <v>2325</v>
      </c>
      <c r="E263" s="8">
        <f t="shared" si="0"/>
        <v>0.47826086956521741</v>
      </c>
      <c r="F263" s="8">
        <f t="shared" si="1"/>
        <v>0.3612040133779264</v>
      </c>
      <c r="G263" s="8">
        <f t="shared" si="2"/>
        <v>0.16053511705685619</v>
      </c>
    </row>
    <row r="264" spans="3:12" x14ac:dyDescent="0.25">
      <c r="C264" t="s">
        <v>2331</v>
      </c>
      <c r="D264" t="s">
        <v>2331</v>
      </c>
      <c r="E264" s="8">
        <f t="shared" si="0"/>
        <v>0.49315068493150682</v>
      </c>
      <c r="F264" s="8">
        <f t="shared" si="1"/>
        <v>0.3904109589041096</v>
      </c>
      <c r="G264" s="8">
        <f t="shared" si="2"/>
        <v>0.11643835616438356</v>
      </c>
      <c r="I264" s="3" t="s">
        <v>2164</v>
      </c>
      <c r="J264" t="s">
        <v>2214</v>
      </c>
      <c r="K264" s="3" t="s">
        <v>2164</v>
      </c>
      <c r="L264" t="s">
        <v>2310</v>
      </c>
    </row>
    <row r="265" spans="3:12" x14ac:dyDescent="0.25">
      <c r="C265" t="s">
        <v>2301</v>
      </c>
      <c r="D265" t="s">
        <v>2301</v>
      </c>
      <c r="E265" s="8">
        <f t="shared" si="0"/>
        <v>0.42574257425742573</v>
      </c>
      <c r="F265" s="8">
        <f t="shared" si="1"/>
        <v>0.48019801980198018</v>
      </c>
      <c r="G265" s="8">
        <f t="shared" si="2"/>
        <v>9.405940594059406E-2</v>
      </c>
      <c r="I265" s="4" t="s">
        <v>226</v>
      </c>
      <c r="J265" s="6">
        <v>9.4861660079051377E-2</v>
      </c>
      <c r="K265" s="4" t="s">
        <v>244</v>
      </c>
      <c r="L265" s="6">
        <v>0.52083333333333337</v>
      </c>
    </row>
    <row r="266" spans="3:12" x14ac:dyDescent="0.25">
      <c r="C266" t="s">
        <v>2330</v>
      </c>
      <c r="D266" t="s">
        <v>2330</v>
      </c>
      <c r="E266" s="8">
        <f t="shared" si="0"/>
        <v>0.55500000000000005</v>
      </c>
      <c r="F266" s="8">
        <f t="shared" si="1"/>
        <v>0.35</v>
      </c>
      <c r="G266" s="8">
        <f t="shared" si="2"/>
        <v>9.5000000000000001E-2</v>
      </c>
      <c r="I266" s="4" t="s">
        <v>236</v>
      </c>
      <c r="J266" s="6">
        <v>0.90316205533596838</v>
      </c>
      <c r="K266" s="4" t="s">
        <v>245</v>
      </c>
      <c r="L266" s="6">
        <v>0.35416666666666669</v>
      </c>
    </row>
    <row r="267" spans="3:12" x14ac:dyDescent="0.25">
      <c r="C267" t="s">
        <v>2326</v>
      </c>
      <c r="D267" t="s">
        <v>2326</v>
      </c>
      <c r="E267" s="8">
        <f t="shared" si="0"/>
        <v>0.4913294797687861</v>
      </c>
      <c r="F267" s="8">
        <f t="shared" si="1"/>
        <v>0.41040462427745666</v>
      </c>
      <c r="G267" s="8">
        <f t="shared" si="2"/>
        <v>9.8265895953757232E-2</v>
      </c>
      <c r="I267" s="4" t="s">
        <v>308</v>
      </c>
      <c r="J267" s="6">
        <v>1.976284584980237E-3</v>
      </c>
      <c r="K267" s="4" t="s">
        <v>265</v>
      </c>
      <c r="L267" s="6">
        <v>0.125</v>
      </c>
    </row>
    <row r="268" spans="3:12" x14ac:dyDescent="0.25">
      <c r="C268" t="s">
        <v>2328</v>
      </c>
      <c r="D268" t="s">
        <v>2328</v>
      </c>
      <c r="E268" s="8">
        <f t="shared" si="0"/>
        <v>0.29166666666666669</v>
      </c>
      <c r="F268" s="8">
        <f t="shared" si="1"/>
        <v>0.49404761904761907</v>
      </c>
      <c r="G268" s="8">
        <f t="shared" si="2"/>
        <v>0.21428571428571427</v>
      </c>
      <c r="I268" s="4" t="s">
        <v>2165</v>
      </c>
      <c r="J268" s="6">
        <v>1</v>
      </c>
      <c r="K268" s="4" t="s">
        <v>2165</v>
      </c>
      <c r="L268" s="6">
        <v>1</v>
      </c>
    </row>
    <row r="269" spans="3:12" x14ac:dyDescent="0.25">
      <c r="C269" t="s">
        <v>2319</v>
      </c>
      <c r="D269" t="s">
        <v>2319</v>
      </c>
      <c r="E269" s="8">
        <f t="shared" si="0"/>
        <v>0.5816993464052288</v>
      </c>
      <c r="F269" s="8">
        <f t="shared" si="1"/>
        <v>0.31372549019607843</v>
      </c>
      <c r="G269" s="8">
        <f t="shared" si="2"/>
        <v>0.10457516339869281</v>
      </c>
    </row>
    <row r="270" spans="3:12" x14ac:dyDescent="0.25">
      <c r="C270" t="s">
        <v>2323</v>
      </c>
      <c r="D270" t="s">
        <v>2323</v>
      </c>
      <c r="E270" s="8">
        <f t="shared" si="0"/>
        <v>0.33561643835616439</v>
      </c>
      <c r="F270" s="8">
        <f t="shared" si="1"/>
        <v>0.47945205479452052</v>
      </c>
      <c r="G270" s="8">
        <f t="shared" si="2"/>
        <v>0.18493150684931506</v>
      </c>
      <c r="I270" s="3" t="s">
        <v>2164</v>
      </c>
      <c r="J270" s="11" t="s">
        <v>2215</v>
      </c>
      <c r="K270" s="3" t="s">
        <v>2164</v>
      </c>
      <c r="L270" t="s">
        <v>2311</v>
      </c>
    </row>
    <row r="271" spans="3:12" x14ac:dyDescent="0.25">
      <c r="C271" t="s">
        <v>2300</v>
      </c>
      <c r="D271" t="s">
        <v>2300</v>
      </c>
      <c r="E271" s="8">
        <f t="shared" si="0"/>
        <v>0.53846153846153844</v>
      </c>
      <c r="F271" s="8">
        <f t="shared" si="1"/>
        <v>0.3923076923076923</v>
      </c>
      <c r="G271" s="8">
        <f t="shared" si="2"/>
        <v>6.9230769230769235E-2</v>
      </c>
      <c r="I271" s="4" t="s">
        <v>226</v>
      </c>
      <c r="J271" s="6">
        <v>0.33201581027667987</v>
      </c>
      <c r="K271" s="4" t="s">
        <v>244</v>
      </c>
      <c r="L271" s="6">
        <v>0.29166666666666669</v>
      </c>
    </row>
    <row r="272" spans="3:12" x14ac:dyDescent="0.25">
      <c r="C272" t="s">
        <v>2320</v>
      </c>
      <c r="D272" t="s">
        <v>2320</v>
      </c>
      <c r="E272" s="8">
        <f t="shared" si="0"/>
        <v>0.45528455284552843</v>
      </c>
      <c r="F272" s="8">
        <f t="shared" si="1"/>
        <v>0.4065040650406504</v>
      </c>
      <c r="G272" s="8">
        <f t="shared" si="2"/>
        <v>0.13821138211382114</v>
      </c>
      <c r="I272" s="4" t="s">
        <v>236</v>
      </c>
      <c r="J272" s="6">
        <v>0.66798418972332019</v>
      </c>
      <c r="K272" s="4" t="s">
        <v>245</v>
      </c>
      <c r="L272" s="6">
        <v>0.49404761904761907</v>
      </c>
    </row>
    <row r="273" spans="3:12" x14ac:dyDescent="0.25">
      <c r="C273" t="s">
        <v>2324</v>
      </c>
      <c r="D273" t="s">
        <v>2324</v>
      </c>
      <c r="E273" s="8">
        <f t="shared" si="0"/>
        <v>0.64210526315789473</v>
      </c>
      <c r="F273" s="8">
        <f t="shared" si="1"/>
        <v>0.3473684210526316</v>
      </c>
      <c r="G273" s="8">
        <f t="shared" si="2"/>
        <v>1.0526315789473684E-2</v>
      </c>
      <c r="I273" s="4" t="s">
        <v>2165</v>
      </c>
      <c r="J273" s="6">
        <v>1</v>
      </c>
      <c r="K273" s="4" t="s">
        <v>265</v>
      </c>
      <c r="L273" s="6">
        <v>0.21428571428571427</v>
      </c>
    </row>
    <row r="274" spans="3:12" x14ac:dyDescent="0.25">
      <c r="C274" t="s">
        <v>2329</v>
      </c>
      <c r="D274" t="s">
        <v>2329</v>
      </c>
      <c r="E274" s="8">
        <f t="shared" si="0"/>
        <v>0.32786885245901637</v>
      </c>
      <c r="F274" s="8">
        <f t="shared" si="1"/>
        <v>0.42622950819672129</v>
      </c>
      <c r="G274" s="8">
        <f t="shared" si="2"/>
        <v>0.24590163934426229</v>
      </c>
      <c r="K274" s="4" t="s">
        <v>2165</v>
      </c>
      <c r="L274" s="6">
        <v>1</v>
      </c>
    </row>
    <row r="275" spans="3:12" x14ac:dyDescent="0.25">
      <c r="C275" t="s">
        <v>2327</v>
      </c>
      <c r="D275" t="s">
        <v>2327</v>
      </c>
      <c r="E275" s="8">
        <f t="shared" si="0"/>
        <v>0.52083333333333337</v>
      </c>
      <c r="F275" s="8">
        <f t="shared" si="1"/>
        <v>0.35416666666666669</v>
      </c>
      <c r="G275" s="8">
        <f t="shared" si="2"/>
        <v>0.125</v>
      </c>
      <c r="I275" s="3" t="s">
        <v>2164</v>
      </c>
      <c r="J275" s="11" t="s">
        <v>2216</v>
      </c>
      <c r="K275" s="3" t="s">
        <v>2164</v>
      </c>
      <c r="L275" t="s">
        <v>2312</v>
      </c>
    </row>
    <row r="276" spans="3:12" x14ac:dyDescent="0.25">
      <c r="C276" t="s">
        <v>2333</v>
      </c>
      <c r="D276" t="s">
        <v>2333</v>
      </c>
      <c r="E276" s="8">
        <f t="shared" si="0"/>
        <v>0.26923076923076922</v>
      </c>
      <c r="F276" s="8">
        <f t="shared" si="1"/>
        <v>0.46153846153846156</v>
      </c>
      <c r="G276" s="8">
        <f t="shared" si="2"/>
        <v>0.26923076923076922</v>
      </c>
      <c r="I276" s="4" t="s">
        <v>226</v>
      </c>
      <c r="J276" s="6">
        <v>0.12055335968379446</v>
      </c>
      <c r="K276" s="4" t="s">
        <v>244</v>
      </c>
      <c r="L276" s="6">
        <v>0.32786885245901637</v>
      </c>
    </row>
    <row r="277" spans="3:12" x14ac:dyDescent="0.25">
      <c r="C277" t="s">
        <v>2332</v>
      </c>
      <c r="D277" t="s">
        <v>2332</v>
      </c>
      <c r="E277" s="8">
        <f t="shared" si="0"/>
        <v>0.55555555555555558</v>
      </c>
      <c r="F277" s="8">
        <f t="shared" si="1"/>
        <v>0.3888888888888889</v>
      </c>
      <c r="G277" s="8">
        <f t="shared" si="2"/>
        <v>5.5555555555555552E-2</v>
      </c>
      <c r="I277" s="4" t="s">
        <v>236</v>
      </c>
      <c r="J277" s="6">
        <v>0.87747035573122534</v>
      </c>
      <c r="K277" s="4" t="s">
        <v>245</v>
      </c>
      <c r="L277" s="6">
        <v>0.42622950819672129</v>
      </c>
    </row>
    <row r="278" spans="3:12" x14ac:dyDescent="0.25">
      <c r="I278" s="4" t="s">
        <v>308</v>
      </c>
      <c r="J278" s="6">
        <v>1.976284584980237E-3</v>
      </c>
      <c r="K278" s="4" t="s">
        <v>265</v>
      </c>
      <c r="L278" s="6">
        <v>0.24590163934426229</v>
      </c>
    </row>
    <row r="279" spans="3:12" x14ac:dyDescent="0.25">
      <c r="I279" s="4" t="s">
        <v>2165</v>
      </c>
      <c r="J279" s="6">
        <v>1</v>
      </c>
      <c r="K279" s="4" t="s">
        <v>2165</v>
      </c>
      <c r="L279" s="6">
        <v>1</v>
      </c>
    </row>
    <row r="281" spans="3:12" x14ac:dyDescent="0.25">
      <c r="I281" s="3" t="s">
        <v>2164</v>
      </c>
      <c r="J281" s="11" t="s">
        <v>2217</v>
      </c>
      <c r="K281" s="3" t="s">
        <v>2164</v>
      </c>
      <c r="L281" t="s">
        <v>2313</v>
      </c>
    </row>
    <row r="282" spans="3:12" x14ac:dyDescent="0.25">
      <c r="I282" s="4" t="s">
        <v>226</v>
      </c>
      <c r="J282" s="6">
        <v>0.25691699604743085</v>
      </c>
      <c r="K282" s="4" t="s">
        <v>244</v>
      </c>
      <c r="L282" s="6">
        <v>0.53846153846153844</v>
      </c>
    </row>
    <row r="283" spans="3:12" x14ac:dyDescent="0.25">
      <c r="I283" s="4" t="s">
        <v>236</v>
      </c>
      <c r="J283" s="6">
        <v>0.73913043478260865</v>
      </c>
      <c r="K283" s="4" t="s">
        <v>245</v>
      </c>
      <c r="L283" s="6">
        <v>0.3923076923076923</v>
      </c>
    </row>
    <row r="284" spans="3:12" x14ac:dyDescent="0.25">
      <c r="I284" s="4" t="s">
        <v>308</v>
      </c>
      <c r="J284" s="6">
        <v>3.952569169960474E-3</v>
      </c>
      <c r="K284" s="4" t="s">
        <v>265</v>
      </c>
      <c r="L284" s="6">
        <v>6.9230769230769235E-2</v>
      </c>
    </row>
    <row r="285" spans="3:12" x14ac:dyDescent="0.25">
      <c r="I285" s="4" t="s">
        <v>2165</v>
      </c>
      <c r="J285" s="6">
        <v>1</v>
      </c>
      <c r="K285" s="4" t="s">
        <v>2165</v>
      </c>
      <c r="L285" s="6">
        <v>1</v>
      </c>
    </row>
    <row r="287" spans="3:12" x14ac:dyDescent="0.25">
      <c r="I287" s="3" t="s">
        <v>2164</v>
      </c>
      <c r="J287" s="11" t="s">
        <v>2218</v>
      </c>
      <c r="K287" s="3" t="s">
        <v>2164</v>
      </c>
      <c r="L287" t="s">
        <v>2314</v>
      </c>
    </row>
    <row r="288" spans="3:12" x14ac:dyDescent="0.25">
      <c r="I288" s="4" t="s">
        <v>226</v>
      </c>
      <c r="J288" s="6">
        <v>0.39525691699604742</v>
      </c>
      <c r="K288" s="4" t="s">
        <v>244</v>
      </c>
      <c r="L288" s="6">
        <v>0.55500000000000005</v>
      </c>
    </row>
    <row r="289" spans="9:12" x14ac:dyDescent="0.25">
      <c r="I289" s="4" t="s">
        <v>236</v>
      </c>
      <c r="J289" s="6">
        <v>0.60276679841897229</v>
      </c>
      <c r="K289" s="4" t="s">
        <v>245</v>
      </c>
      <c r="L289" s="6">
        <v>0.35</v>
      </c>
    </row>
    <row r="290" spans="9:12" x14ac:dyDescent="0.25">
      <c r="I290" s="4" t="s">
        <v>308</v>
      </c>
      <c r="J290" s="6">
        <v>1.976284584980237E-3</v>
      </c>
      <c r="K290" s="4" t="s">
        <v>265</v>
      </c>
      <c r="L290" s="6">
        <v>9.5000000000000001E-2</v>
      </c>
    </row>
    <row r="291" spans="9:12" x14ac:dyDescent="0.25">
      <c r="I291" s="4" t="s">
        <v>2165</v>
      </c>
      <c r="J291" s="6">
        <v>1</v>
      </c>
      <c r="K291" s="4" t="s">
        <v>2165</v>
      </c>
      <c r="L291" s="6">
        <v>1</v>
      </c>
    </row>
    <row r="293" spans="9:12" x14ac:dyDescent="0.25">
      <c r="I293" s="3" t="s">
        <v>2164</v>
      </c>
      <c r="J293" s="11" t="s">
        <v>2219</v>
      </c>
      <c r="K293" s="3" t="s">
        <v>2164</v>
      </c>
      <c r="L293" t="s">
        <v>2315</v>
      </c>
    </row>
    <row r="294" spans="9:12" x14ac:dyDescent="0.25">
      <c r="I294" s="4" t="s">
        <v>226</v>
      </c>
      <c r="J294" s="6">
        <v>0.57707509881422925</v>
      </c>
      <c r="K294" s="4" t="s">
        <v>244</v>
      </c>
      <c r="L294" s="6">
        <v>0.49315068493150682</v>
      </c>
    </row>
    <row r="295" spans="9:12" x14ac:dyDescent="0.25">
      <c r="I295" s="4" t="s">
        <v>236</v>
      </c>
      <c r="J295" s="6">
        <v>0.42292490118577075</v>
      </c>
      <c r="K295" s="4" t="s">
        <v>245</v>
      </c>
      <c r="L295" s="6">
        <v>0.3904109589041096</v>
      </c>
    </row>
    <row r="296" spans="9:12" x14ac:dyDescent="0.25">
      <c r="I296" s="4" t="s">
        <v>2165</v>
      </c>
      <c r="J296" s="6">
        <v>1</v>
      </c>
      <c r="K296" s="4" t="s">
        <v>265</v>
      </c>
      <c r="L296" s="6">
        <v>0.11643835616438356</v>
      </c>
    </row>
    <row r="297" spans="9:12" x14ac:dyDescent="0.25">
      <c r="K297" s="4" t="s">
        <v>2165</v>
      </c>
      <c r="L297" s="6">
        <v>1</v>
      </c>
    </row>
    <row r="298" spans="9:12" x14ac:dyDescent="0.25">
      <c r="I298" s="3" t="s">
        <v>2164</v>
      </c>
      <c r="J298" s="11" t="s">
        <v>2220</v>
      </c>
      <c r="K298" s="3" t="s">
        <v>2164</v>
      </c>
      <c r="L298" t="s">
        <v>2316</v>
      </c>
    </row>
    <row r="299" spans="9:12" x14ac:dyDescent="0.25">
      <c r="I299" s="4" t="s">
        <v>226</v>
      </c>
      <c r="J299" s="6">
        <v>3.5573122529644272E-2</v>
      </c>
      <c r="K299" s="4" t="s">
        <v>244</v>
      </c>
      <c r="L299" s="6">
        <v>0.55555555555555558</v>
      </c>
    </row>
    <row r="300" spans="9:12" x14ac:dyDescent="0.25">
      <c r="I300" s="4" t="s">
        <v>236</v>
      </c>
      <c r="J300" s="6">
        <v>0.9486166007905138</v>
      </c>
      <c r="K300" s="4" t="s">
        <v>245</v>
      </c>
      <c r="L300" s="6">
        <v>0.3888888888888889</v>
      </c>
    </row>
    <row r="301" spans="9:12" x14ac:dyDescent="0.25">
      <c r="I301" s="4" t="s">
        <v>308</v>
      </c>
      <c r="J301" s="6">
        <v>1.5810276679841896E-2</v>
      </c>
      <c r="K301" s="4" t="s">
        <v>265</v>
      </c>
      <c r="L301" s="6">
        <v>5.5555555555555552E-2</v>
      </c>
    </row>
    <row r="302" spans="9:12" x14ac:dyDescent="0.25">
      <c r="I302" s="4" t="s">
        <v>2165</v>
      </c>
      <c r="J302" s="6">
        <v>1</v>
      </c>
      <c r="K302" s="4" t="s">
        <v>2165</v>
      </c>
      <c r="L302" s="6">
        <v>1</v>
      </c>
    </row>
    <row r="304" spans="9:12" x14ac:dyDescent="0.25">
      <c r="I304" s="3" t="s">
        <v>2164</v>
      </c>
      <c r="J304" s="11" t="s">
        <v>2221</v>
      </c>
      <c r="K304" s="3" t="s">
        <v>2164</v>
      </c>
      <c r="L304" t="s">
        <v>2317</v>
      </c>
    </row>
    <row r="305" spans="9:12" x14ac:dyDescent="0.25">
      <c r="I305" s="4" t="s">
        <v>226</v>
      </c>
      <c r="J305" s="6">
        <v>0.39920948616600793</v>
      </c>
      <c r="K305" s="4" t="s">
        <v>244</v>
      </c>
      <c r="L305" s="6">
        <v>0.42574257425742573</v>
      </c>
    </row>
    <row r="306" spans="9:12" x14ac:dyDescent="0.25">
      <c r="I306" s="4" t="s">
        <v>236</v>
      </c>
      <c r="J306" s="6">
        <v>0.59683794466403162</v>
      </c>
      <c r="K306" s="4" t="s">
        <v>245</v>
      </c>
      <c r="L306" s="6">
        <v>0.48019801980198018</v>
      </c>
    </row>
    <row r="307" spans="9:12" x14ac:dyDescent="0.25">
      <c r="I307" s="4" t="s">
        <v>308</v>
      </c>
      <c r="J307" s="6">
        <v>3.952569169960474E-3</v>
      </c>
      <c r="K307" s="4" t="s">
        <v>265</v>
      </c>
      <c r="L307" s="6">
        <v>9.405940594059406E-2</v>
      </c>
    </row>
    <row r="308" spans="9:12" x14ac:dyDescent="0.25">
      <c r="I308" s="4" t="s">
        <v>2165</v>
      </c>
      <c r="J308" s="6">
        <v>1</v>
      </c>
      <c r="K308" s="4" t="s">
        <v>2165</v>
      </c>
      <c r="L308" s="6">
        <v>1</v>
      </c>
    </row>
    <row r="310" spans="9:12" x14ac:dyDescent="0.25">
      <c r="I310" s="3" t="s">
        <v>2164</v>
      </c>
      <c r="J310" t="s">
        <v>2222</v>
      </c>
      <c r="K310" s="3" t="s">
        <v>2164</v>
      </c>
      <c r="L310" t="s">
        <v>2318</v>
      </c>
    </row>
    <row r="311" spans="9:12" x14ac:dyDescent="0.25">
      <c r="I311" s="4" t="s">
        <v>226</v>
      </c>
      <c r="J311" s="6">
        <v>4.9407114624505928E-2</v>
      </c>
      <c r="K311" s="4" t="s">
        <v>244</v>
      </c>
      <c r="L311" s="6">
        <v>0.26923076923076922</v>
      </c>
    </row>
    <row r="312" spans="9:12" x14ac:dyDescent="0.25">
      <c r="I312" s="4" t="s">
        <v>236</v>
      </c>
      <c r="J312" s="6">
        <v>0.95059288537549402</v>
      </c>
      <c r="K312" s="4" t="s">
        <v>245</v>
      </c>
      <c r="L312" s="6">
        <v>0.46153846153846156</v>
      </c>
    </row>
    <row r="313" spans="9:12" x14ac:dyDescent="0.25">
      <c r="I313" s="4" t="s">
        <v>2165</v>
      </c>
      <c r="J313" s="6">
        <v>1</v>
      </c>
      <c r="K313" s="4" t="s">
        <v>265</v>
      </c>
      <c r="L313" s="6">
        <v>0.26923076923076922</v>
      </c>
    </row>
    <row r="314" spans="9:12" x14ac:dyDescent="0.25">
      <c r="K314" s="4" t="s">
        <v>2165</v>
      </c>
      <c r="L314" s="6">
        <v>1</v>
      </c>
    </row>
    <row r="321" spans="1:19" ht="36" customHeight="1" x14ac:dyDescent="0.25">
      <c r="B321" s="28" t="s">
        <v>2335</v>
      </c>
      <c r="C321" s="23" t="s">
        <v>2336</v>
      </c>
      <c r="D321" s="24"/>
      <c r="E321" s="25" t="s">
        <v>2337</v>
      </c>
      <c r="F321" s="24"/>
      <c r="G321" s="25" t="s">
        <v>2338</v>
      </c>
      <c r="H321" s="23"/>
      <c r="I321" s="23"/>
      <c r="J321" s="23"/>
      <c r="K321" s="24"/>
      <c r="L321" s="4" t="s">
        <v>2236</v>
      </c>
      <c r="O321" t="s">
        <v>2247</v>
      </c>
    </row>
    <row r="322" spans="1:19" ht="15.75" thickBot="1" x14ac:dyDescent="0.3">
      <c r="B322" s="29"/>
      <c r="C322" s="12" t="s">
        <v>2295</v>
      </c>
      <c r="D322" s="13" t="s">
        <v>2296</v>
      </c>
      <c r="E322" s="13" t="s">
        <v>2295</v>
      </c>
      <c r="F322" s="13" t="s">
        <v>2296</v>
      </c>
      <c r="G322" s="13" t="s">
        <v>2339</v>
      </c>
      <c r="H322" s="13" t="s">
        <v>2340</v>
      </c>
      <c r="I322" s="13" t="s">
        <v>2341</v>
      </c>
      <c r="J322" s="13" t="s">
        <v>2342</v>
      </c>
      <c r="K322" s="13" t="s">
        <v>2343</v>
      </c>
      <c r="L322" s="3" t="s">
        <v>2164</v>
      </c>
      <c r="M322" s="11" t="s">
        <v>2235</v>
      </c>
      <c r="O322" s="3" t="s">
        <v>2164</v>
      </c>
      <c r="P322" t="s">
        <v>2246</v>
      </c>
      <c r="R322" s="3" t="s">
        <v>2164</v>
      </c>
      <c r="S322" t="s">
        <v>2257</v>
      </c>
    </row>
    <row r="323" spans="1:19" ht="15.75" x14ac:dyDescent="0.3">
      <c r="A323" s="21" t="s">
        <v>2350</v>
      </c>
      <c r="B323" s="22"/>
      <c r="C323" s="6">
        <v>0.5513833992094862</v>
      </c>
      <c r="D323" s="6">
        <v>0.44861660079051385</v>
      </c>
      <c r="E323" s="6">
        <v>0.36330935251798563</v>
      </c>
      <c r="F323" s="6">
        <v>0.63669064748201443</v>
      </c>
      <c r="G323" s="6">
        <v>0.21782178217821782</v>
      </c>
      <c r="H323" s="6">
        <v>0.76237623762376239</v>
      </c>
      <c r="I323" s="6">
        <v>0</v>
      </c>
      <c r="J323" s="6">
        <v>9.9009900990099011E-3</v>
      </c>
      <c r="K323" s="6">
        <v>9.9009900990099011E-3</v>
      </c>
      <c r="L323" s="4" t="s">
        <v>226</v>
      </c>
      <c r="M323" s="6">
        <v>0.5513833992094862</v>
      </c>
      <c r="O323" s="4" t="s">
        <v>226</v>
      </c>
      <c r="P323" s="6">
        <v>0.36330935251798563</v>
      </c>
      <c r="R323" s="4" t="s">
        <v>267</v>
      </c>
      <c r="S323" s="6">
        <v>0.21782178217821782</v>
      </c>
    </row>
    <row r="324" spans="1:19" ht="15.75" x14ac:dyDescent="0.3">
      <c r="A324" s="21" t="s">
        <v>2351</v>
      </c>
      <c r="B324" s="22"/>
      <c r="C324" s="6">
        <v>0.2608695652173913</v>
      </c>
      <c r="D324" s="6">
        <v>0.73913043478260865</v>
      </c>
      <c r="E324" s="6">
        <v>0.4621212121212121</v>
      </c>
      <c r="F324" s="6">
        <v>0.53787878787878785</v>
      </c>
      <c r="G324" s="6">
        <v>0.26229508196721313</v>
      </c>
      <c r="H324" s="6">
        <v>0.72131147540983609</v>
      </c>
      <c r="I324" s="6">
        <v>1.6393442622950821E-2</v>
      </c>
      <c r="J324" s="6">
        <v>0</v>
      </c>
      <c r="K324" s="6">
        <v>0</v>
      </c>
      <c r="L324" s="4" t="s">
        <v>236</v>
      </c>
      <c r="M324" s="6">
        <v>0.44861660079051385</v>
      </c>
      <c r="O324" s="4" t="s">
        <v>236</v>
      </c>
      <c r="P324" s="6">
        <v>0.63669064748201443</v>
      </c>
      <c r="R324" s="4" t="s">
        <v>266</v>
      </c>
      <c r="S324" s="6">
        <v>0.76237623762376239</v>
      </c>
    </row>
    <row r="325" spans="1:19" ht="15.75" x14ac:dyDescent="0.3">
      <c r="A325" s="21" t="s">
        <v>2344</v>
      </c>
      <c r="B325" s="22"/>
      <c r="C325" s="6">
        <v>7.9051383399209488E-2</v>
      </c>
      <c r="D325" s="6">
        <v>0.92094861660079053</v>
      </c>
      <c r="E325" s="6">
        <v>0.47499999999999998</v>
      </c>
      <c r="F325" s="6">
        <v>0.52500000000000002</v>
      </c>
      <c r="G325" s="6">
        <v>0.26315789473684209</v>
      </c>
      <c r="H325" s="6">
        <v>0.68421052631578949</v>
      </c>
      <c r="I325" s="6">
        <v>5.2631578947368418E-2</v>
      </c>
      <c r="J325" s="6">
        <v>0</v>
      </c>
      <c r="K325" s="6">
        <v>0</v>
      </c>
      <c r="L325" s="4" t="s">
        <v>2165</v>
      </c>
      <c r="M325" s="6">
        <v>1</v>
      </c>
      <c r="O325" s="4" t="s">
        <v>2165</v>
      </c>
      <c r="P325" s="6">
        <v>1</v>
      </c>
      <c r="R325" s="4" t="s">
        <v>570</v>
      </c>
      <c r="S325" s="6">
        <v>9.9009900990099011E-3</v>
      </c>
    </row>
    <row r="326" spans="1:19" ht="15.75" x14ac:dyDescent="0.3">
      <c r="A326" s="21" t="s">
        <v>2345</v>
      </c>
      <c r="B326" s="22"/>
      <c r="C326" s="6">
        <v>0.71739130434782605</v>
      </c>
      <c r="D326" s="6">
        <v>0.28260869565217389</v>
      </c>
      <c r="E326" s="6">
        <v>0.41873278236914602</v>
      </c>
      <c r="F326" s="6">
        <v>0.58126721763085398</v>
      </c>
      <c r="G326" s="6">
        <v>0.26973684210526316</v>
      </c>
      <c r="H326" s="6">
        <v>0.68421052631578949</v>
      </c>
      <c r="I326" s="6">
        <v>4.6052631578947366E-2</v>
      </c>
      <c r="J326" s="6">
        <v>0</v>
      </c>
      <c r="K326" s="6">
        <v>0</v>
      </c>
      <c r="R326" s="4" t="s">
        <v>308</v>
      </c>
      <c r="S326" s="6">
        <v>9.9009900990099011E-3</v>
      </c>
    </row>
    <row r="327" spans="1:19" ht="15.75" x14ac:dyDescent="0.3">
      <c r="A327" s="21" t="s">
        <v>2346</v>
      </c>
      <c r="B327" s="22"/>
      <c r="C327" s="6">
        <v>0.15217391304347827</v>
      </c>
      <c r="D327" s="6">
        <v>0.84782608695652173</v>
      </c>
      <c r="E327" s="6">
        <v>0.37662337662337664</v>
      </c>
      <c r="F327" s="6">
        <v>0.62337662337662336</v>
      </c>
      <c r="G327" s="6">
        <v>0.41379310344827586</v>
      </c>
      <c r="H327" s="6">
        <v>0.55172413793103448</v>
      </c>
      <c r="I327" s="6">
        <v>0</v>
      </c>
      <c r="J327" s="6">
        <v>0</v>
      </c>
      <c r="K327" s="6">
        <v>3.4482758620689655E-2</v>
      </c>
      <c r="L327" s="3" t="s">
        <v>2164</v>
      </c>
      <c r="M327" s="11" t="s">
        <v>2237</v>
      </c>
      <c r="O327" s="3" t="s">
        <v>2164</v>
      </c>
      <c r="P327" t="s">
        <v>2248</v>
      </c>
      <c r="R327" s="4" t="s">
        <v>2165</v>
      </c>
      <c r="S327" s="6">
        <v>1</v>
      </c>
    </row>
    <row r="328" spans="1:19" ht="15.75" x14ac:dyDescent="0.3">
      <c r="A328" s="21" t="s">
        <v>2347</v>
      </c>
      <c r="B328" s="22"/>
      <c r="C328" s="6">
        <v>0.34782608695652173</v>
      </c>
      <c r="D328" s="6">
        <v>0.65217391304347827</v>
      </c>
      <c r="E328" s="6">
        <v>0.41477272727272729</v>
      </c>
      <c r="F328" s="6">
        <v>0.58522727272727271</v>
      </c>
      <c r="G328" s="6">
        <v>0.34246575342465752</v>
      </c>
      <c r="H328" s="6">
        <v>0.61643835616438358</v>
      </c>
      <c r="I328" s="6">
        <v>4.1095890410958902E-2</v>
      </c>
      <c r="J328" s="6">
        <v>0</v>
      </c>
      <c r="K328" s="6">
        <v>0</v>
      </c>
      <c r="L328" s="4" t="s">
        <v>226</v>
      </c>
      <c r="M328" s="6">
        <v>0.2608695652173913</v>
      </c>
      <c r="O328" s="4" t="s">
        <v>226</v>
      </c>
      <c r="P328" s="6">
        <v>0.4621212121212121</v>
      </c>
    </row>
    <row r="329" spans="1:19" ht="15.75" x14ac:dyDescent="0.3">
      <c r="A329" s="21" t="s">
        <v>2348</v>
      </c>
      <c r="B329" s="22"/>
      <c r="C329" s="6">
        <v>0.78458498023715417</v>
      </c>
      <c r="D329" s="6">
        <v>0.21541501976284586</v>
      </c>
      <c r="E329" s="6">
        <v>0.68010075566750627</v>
      </c>
      <c r="F329" s="6">
        <v>0.31989924433249373</v>
      </c>
      <c r="G329" s="6">
        <v>0.48888888888888887</v>
      </c>
      <c r="H329" s="6">
        <v>0.4777777777777778</v>
      </c>
      <c r="I329" s="6">
        <v>2.9629629629629631E-2</v>
      </c>
      <c r="J329" s="6">
        <v>3.7037037037037038E-3</v>
      </c>
      <c r="K329" s="6">
        <v>0</v>
      </c>
      <c r="L329" s="4" t="s">
        <v>236</v>
      </c>
      <c r="M329" s="6">
        <v>0.73913043478260865</v>
      </c>
      <c r="O329" s="4" t="s">
        <v>236</v>
      </c>
      <c r="P329" s="6">
        <v>0.53787878787878785</v>
      </c>
      <c r="R329" s="3" t="s">
        <v>2164</v>
      </c>
      <c r="S329" t="s">
        <v>2258</v>
      </c>
    </row>
    <row r="330" spans="1:19" ht="15.75" x14ac:dyDescent="0.3">
      <c r="A330" s="21" t="s">
        <v>2352</v>
      </c>
      <c r="B330" s="22"/>
      <c r="C330" s="6">
        <v>0.79644268774703553</v>
      </c>
      <c r="D330" s="6">
        <v>0.20355731225296442</v>
      </c>
      <c r="E330" s="6">
        <v>0.5186104218362283</v>
      </c>
      <c r="F330" s="6">
        <v>0.4813895781637717</v>
      </c>
      <c r="G330" s="6">
        <v>0.32535885167464113</v>
      </c>
      <c r="H330" s="6">
        <v>0.58851674641148322</v>
      </c>
      <c r="I330" s="6">
        <v>7.1770334928229665E-2</v>
      </c>
      <c r="J330" s="6">
        <v>1.4354066985645933E-2</v>
      </c>
      <c r="K330" s="6">
        <v>0</v>
      </c>
      <c r="L330" s="4" t="s">
        <v>2165</v>
      </c>
      <c r="M330" s="6">
        <v>1</v>
      </c>
      <c r="O330" s="4" t="s">
        <v>2165</v>
      </c>
      <c r="P330" s="6">
        <v>1</v>
      </c>
      <c r="R330" s="4" t="s">
        <v>267</v>
      </c>
      <c r="S330" s="6">
        <v>0.26229508196721313</v>
      </c>
    </row>
    <row r="331" spans="1:19" ht="15.75" x14ac:dyDescent="0.3">
      <c r="A331" s="21" t="s">
        <v>2349</v>
      </c>
      <c r="B331" s="22"/>
      <c r="C331" s="6">
        <v>0.20355731225296442</v>
      </c>
      <c r="D331" s="6">
        <v>0.79644268774703553</v>
      </c>
      <c r="E331" s="6">
        <v>0.47115384615384615</v>
      </c>
      <c r="F331" s="6">
        <v>0.52884615384615385</v>
      </c>
      <c r="G331" s="6">
        <v>0.33333333333333331</v>
      </c>
      <c r="H331" s="6">
        <v>0.625</v>
      </c>
      <c r="I331" s="6">
        <v>2.0833333333333332E-2</v>
      </c>
      <c r="J331" s="6">
        <v>2.0833333333333332E-2</v>
      </c>
      <c r="K331" s="6">
        <v>0</v>
      </c>
      <c r="R331" s="4" t="s">
        <v>266</v>
      </c>
      <c r="S331" s="6">
        <v>0.72131147540983609</v>
      </c>
    </row>
    <row r="332" spans="1:19" ht="15.75" x14ac:dyDescent="0.3">
      <c r="A332" s="21" t="s">
        <v>2353</v>
      </c>
      <c r="B332" s="22"/>
      <c r="C332" s="6">
        <v>5.9288537549407112E-2</v>
      </c>
      <c r="D332" s="6">
        <v>0.94071146245059289</v>
      </c>
      <c r="E332" s="6">
        <v>0.5</v>
      </c>
      <c r="F332" s="6">
        <v>0.5</v>
      </c>
      <c r="G332" s="6">
        <v>0.2</v>
      </c>
      <c r="H332" s="6">
        <v>0.8</v>
      </c>
      <c r="I332" s="6">
        <v>0</v>
      </c>
      <c r="J332" s="6">
        <v>0</v>
      </c>
      <c r="K332" s="6">
        <v>0</v>
      </c>
      <c r="L332" s="3" t="s">
        <v>2164</v>
      </c>
      <c r="M332" s="11" t="s">
        <v>2238</v>
      </c>
      <c r="O332" s="3" t="s">
        <v>2164</v>
      </c>
      <c r="P332" t="s">
        <v>2249</v>
      </c>
      <c r="R332" s="4" t="s">
        <v>570</v>
      </c>
      <c r="S332" s="6">
        <v>1.6393442622950821E-2</v>
      </c>
    </row>
    <row r="333" spans="1:19" x14ac:dyDescent="0.25">
      <c r="L333" s="4" t="s">
        <v>226</v>
      </c>
      <c r="M333" s="6">
        <v>7.9051383399209488E-2</v>
      </c>
      <c r="O333" s="4" t="s">
        <v>226</v>
      </c>
      <c r="P333" s="6">
        <v>0.47499999999999998</v>
      </c>
      <c r="R333" s="4" t="s">
        <v>2165</v>
      </c>
      <c r="S333" s="6">
        <v>1</v>
      </c>
    </row>
    <row r="334" spans="1:19" x14ac:dyDescent="0.25">
      <c r="L334" s="4" t="s">
        <v>236</v>
      </c>
      <c r="M334" s="6">
        <v>0.92094861660079053</v>
      </c>
      <c r="O334" s="4" t="s">
        <v>236</v>
      </c>
      <c r="P334" s="6">
        <v>0.52500000000000002</v>
      </c>
    </row>
    <row r="335" spans="1:19" x14ac:dyDescent="0.25">
      <c r="L335" s="4" t="s">
        <v>2165</v>
      </c>
      <c r="M335" s="6">
        <v>1</v>
      </c>
      <c r="O335" s="4" t="s">
        <v>2165</v>
      </c>
      <c r="P335" s="6">
        <v>1</v>
      </c>
      <c r="R335" s="3" t="s">
        <v>2164</v>
      </c>
      <c r="S335" t="s">
        <v>2259</v>
      </c>
    </row>
    <row r="336" spans="1:19" ht="15.75" thickBot="1" x14ac:dyDescent="0.3">
      <c r="E336" s="13" t="s">
        <v>2295</v>
      </c>
      <c r="F336" s="13" t="s">
        <v>2296</v>
      </c>
      <c r="R336" s="4" t="s">
        <v>267</v>
      </c>
      <c r="S336" s="6">
        <v>0.26315789473684209</v>
      </c>
    </row>
    <row r="337" spans="2:19" ht="15.75" customHeight="1" x14ac:dyDescent="0.3">
      <c r="B337" s="19" t="s">
        <v>2352</v>
      </c>
      <c r="D337" s="19" t="s">
        <v>2352</v>
      </c>
      <c r="E337" s="6">
        <v>0.79644268774703553</v>
      </c>
      <c r="F337" s="6">
        <v>0.20355731225296442</v>
      </c>
      <c r="L337" s="3" t="s">
        <v>2164</v>
      </c>
      <c r="M337" s="11" t="s">
        <v>2239</v>
      </c>
      <c r="O337" s="3" t="s">
        <v>2164</v>
      </c>
      <c r="P337" t="s">
        <v>2250</v>
      </c>
      <c r="R337" s="4" t="s">
        <v>266</v>
      </c>
      <c r="S337" s="6">
        <v>0.68421052631578949</v>
      </c>
    </row>
    <row r="338" spans="2:19" ht="15.75" customHeight="1" x14ac:dyDescent="0.3">
      <c r="B338" s="19" t="s">
        <v>2348</v>
      </c>
      <c r="D338" s="19" t="s">
        <v>2348</v>
      </c>
      <c r="E338" s="6">
        <v>0.78458498023715417</v>
      </c>
      <c r="F338" s="6">
        <v>0.21541501976284586</v>
      </c>
      <c r="L338" s="4" t="s">
        <v>226</v>
      </c>
      <c r="M338" s="6">
        <v>0.71739130434782605</v>
      </c>
      <c r="O338" s="4" t="s">
        <v>226</v>
      </c>
      <c r="P338" s="6">
        <v>0.41873278236914602</v>
      </c>
      <c r="R338" s="4" t="s">
        <v>570</v>
      </c>
      <c r="S338" s="6">
        <v>5.2631578947368418E-2</v>
      </c>
    </row>
    <row r="339" spans="2:19" ht="15.75" customHeight="1" x14ac:dyDescent="0.3">
      <c r="B339" s="19" t="s">
        <v>2345</v>
      </c>
      <c r="D339" s="19" t="s">
        <v>2345</v>
      </c>
      <c r="E339" s="6">
        <v>0.71739130434782605</v>
      </c>
      <c r="F339" s="6">
        <v>0.28260869565217389</v>
      </c>
      <c r="L339" s="4" t="s">
        <v>236</v>
      </c>
      <c r="M339" s="6">
        <v>0.28260869565217389</v>
      </c>
      <c r="O339" s="4" t="s">
        <v>236</v>
      </c>
      <c r="P339" s="6">
        <v>0.58126721763085398</v>
      </c>
      <c r="R339" s="4" t="s">
        <v>2165</v>
      </c>
      <c r="S339" s="6">
        <v>1</v>
      </c>
    </row>
    <row r="340" spans="2:19" ht="15.75" customHeight="1" x14ac:dyDescent="0.3">
      <c r="B340" s="19" t="s">
        <v>2350</v>
      </c>
      <c r="D340" s="19" t="s">
        <v>2350</v>
      </c>
      <c r="E340" s="6">
        <v>0.5513833992094862</v>
      </c>
      <c r="F340" s="6">
        <v>0.44861660079051385</v>
      </c>
      <c r="L340" s="4" t="s">
        <v>2165</v>
      </c>
      <c r="M340" s="6">
        <v>1</v>
      </c>
      <c r="O340" s="4" t="s">
        <v>2165</v>
      </c>
      <c r="P340" s="6">
        <v>1</v>
      </c>
    </row>
    <row r="341" spans="2:19" ht="15.75" customHeight="1" x14ac:dyDescent="0.3">
      <c r="B341" s="19" t="s">
        <v>2347</v>
      </c>
      <c r="D341" s="19" t="s">
        <v>2347</v>
      </c>
      <c r="E341" s="6">
        <v>0.34782608695652173</v>
      </c>
      <c r="F341" s="6">
        <v>0.65217391304347827</v>
      </c>
      <c r="R341" s="3" t="s">
        <v>2164</v>
      </c>
      <c r="S341" t="s">
        <v>2260</v>
      </c>
    </row>
    <row r="342" spans="2:19" ht="15.75" customHeight="1" x14ac:dyDescent="0.3">
      <c r="B342" s="19" t="s">
        <v>2351</v>
      </c>
      <c r="D342" s="19" t="s">
        <v>2351</v>
      </c>
      <c r="E342" s="6">
        <v>0.2608695652173913</v>
      </c>
      <c r="F342" s="6">
        <v>0.73913043478260865</v>
      </c>
      <c r="L342" s="3" t="s">
        <v>2164</v>
      </c>
      <c r="M342" s="11" t="s">
        <v>2240</v>
      </c>
      <c r="O342" s="3" t="s">
        <v>2164</v>
      </c>
      <c r="P342" t="s">
        <v>2251</v>
      </c>
      <c r="R342" s="4" t="s">
        <v>267</v>
      </c>
      <c r="S342" s="6">
        <v>0.26973684210526316</v>
      </c>
    </row>
    <row r="343" spans="2:19" ht="15.75" customHeight="1" x14ac:dyDescent="0.3">
      <c r="B343" s="19" t="s">
        <v>2349</v>
      </c>
      <c r="D343" s="19" t="s">
        <v>2349</v>
      </c>
      <c r="E343" s="6">
        <v>0.20355731225296442</v>
      </c>
      <c r="F343" s="6">
        <v>0.79644268774703553</v>
      </c>
      <c r="L343" s="4" t="s">
        <v>226</v>
      </c>
      <c r="M343" s="6">
        <v>0.15217391304347827</v>
      </c>
      <c r="O343" s="4" t="s">
        <v>226</v>
      </c>
      <c r="P343" s="6">
        <v>0.37662337662337664</v>
      </c>
      <c r="R343" s="4" t="s">
        <v>266</v>
      </c>
      <c r="S343" s="6">
        <v>0.68421052631578949</v>
      </c>
    </row>
    <row r="344" spans="2:19" ht="15.75" customHeight="1" x14ac:dyDescent="0.3">
      <c r="B344" s="19" t="s">
        <v>2346</v>
      </c>
      <c r="D344" s="19" t="s">
        <v>2346</v>
      </c>
      <c r="E344" s="6">
        <v>0.15217391304347827</v>
      </c>
      <c r="F344" s="6">
        <v>0.84782608695652173</v>
      </c>
      <c r="L344" s="4" t="s">
        <v>236</v>
      </c>
      <c r="M344" s="6">
        <v>0.84782608695652173</v>
      </c>
      <c r="O344" s="4" t="s">
        <v>236</v>
      </c>
      <c r="P344" s="6">
        <v>0.62337662337662336</v>
      </c>
      <c r="R344" s="4" t="s">
        <v>570</v>
      </c>
      <c r="S344" s="6">
        <v>4.6052631578947366E-2</v>
      </c>
    </row>
    <row r="345" spans="2:19" ht="15.75" customHeight="1" x14ac:dyDescent="0.3">
      <c r="B345" s="19" t="s">
        <v>2344</v>
      </c>
      <c r="D345" s="19" t="s">
        <v>2344</v>
      </c>
      <c r="E345" s="6">
        <v>7.9051383399209488E-2</v>
      </c>
      <c r="F345" s="6">
        <v>0.92094861660079053</v>
      </c>
      <c r="L345" s="4" t="s">
        <v>2165</v>
      </c>
      <c r="M345" s="6">
        <v>1</v>
      </c>
      <c r="O345" s="4" t="s">
        <v>2165</v>
      </c>
      <c r="P345" s="6">
        <v>1</v>
      </c>
      <c r="R345" s="4" t="s">
        <v>2165</v>
      </c>
      <c r="S345" s="6">
        <v>1</v>
      </c>
    </row>
    <row r="346" spans="2:19" ht="15.75" customHeight="1" x14ac:dyDescent="0.3">
      <c r="B346" s="19" t="s">
        <v>2353</v>
      </c>
      <c r="D346" s="19" t="s">
        <v>2353</v>
      </c>
      <c r="E346" s="6">
        <v>5.9288537549407112E-2</v>
      </c>
      <c r="F346" s="6">
        <v>0.94071146245059289</v>
      </c>
    </row>
    <row r="347" spans="2:19" x14ac:dyDescent="0.25">
      <c r="L347" s="3" t="s">
        <v>2164</v>
      </c>
      <c r="M347" s="11" t="s">
        <v>2241</v>
      </c>
      <c r="O347" s="3" t="s">
        <v>2164</v>
      </c>
      <c r="P347" t="s">
        <v>2252</v>
      </c>
      <c r="R347" s="3" t="s">
        <v>2164</v>
      </c>
      <c r="S347" t="s">
        <v>2261</v>
      </c>
    </row>
    <row r="348" spans="2:19" x14ac:dyDescent="0.25">
      <c r="L348" s="4" t="s">
        <v>226</v>
      </c>
      <c r="M348" s="6">
        <v>0.34782608695652173</v>
      </c>
      <c r="O348" s="4" t="s">
        <v>226</v>
      </c>
      <c r="P348" s="6">
        <v>0.41477272727272729</v>
      </c>
      <c r="R348" s="4" t="s">
        <v>267</v>
      </c>
      <c r="S348" s="6">
        <v>0.41379310344827586</v>
      </c>
    </row>
    <row r="349" spans="2:19" x14ac:dyDescent="0.25">
      <c r="L349" s="4" t="s">
        <v>236</v>
      </c>
      <c r="M349" s="6">
        <v>0.65217391304347827</v>
      </c>
      <c r="O349" s="4" t="s">
        <v>236</v>
      </c>
      <c r="P349" s="6">
        <v>0.58522727272727271</v>
      </c>
      <c r="R349" s="4" t="s">
        <v>266</v>
      </c>
      <c r="S349" s="6">
        <v>0.55172413793103448</v>
      </c>
    </row>
    <row r="350" spans="2:19" x14ac:dyDescent="0.25">
      <c r="L350" s="4" t="s">
        <v>2165</v>
      </c>
      <c r="M350" s="6">
        <v>1</v>
      </c>
      <c r="O350" s="4" t="s">
        <v>2165</v>
      </c>
      <c r="P350" s="6">
        <v>1</v>
      </c>
      <c r="R350" s="4" t="s">
        <v>308</v>
      </c>
      <c r="S350" s="6">
        <v>3.4482758620689655E-2</v>
      </c>
    </row>
    <row r="351" spans="2:19" x14ac:dyDescent="0.25">
      <c r="R351" s="4" t="s">
        <v>2165</v>
      </c>
      <c r="S351" s="6">
        <v>1</v>
      </c>
    </row>
    <row r="352" spans="2:19" x14ac:dyDescent="0.25">
      <c r="L352" s="3" t="s">
        <v>2164</v>
      </c>
      <c r="M352" s="11" t="s">
        <v>2242</v>
      </c>
      <c r="O352" s="3" t="s">
        <v>2164</v>
      </c>
      <c r="P352" t="s">
        <v>2253</v>
      </c>
    </row>
    <row r="353" spans="2:19" x14ac:dyDescent="0.25">
      <c r="L353" s="4" t="s">
        <v>226</v>
      </c>
      <c r="M353" s="6">
        <v>0.78458498023715417</v>
      </c>
      <c r="O353" s="4" t="s">
        <v>226</v>
      </c>
      <c r="P353" s="6">
        <v>0.68010075566750627</v>
      </c>
      <c r="R353" s="3" t="s">
        <v>2164</v>
      </c>
      <c r="S353" t="s">
        <v>2262</v>
      </c>
    </row>
    <row r="354" spans="2:19" x14ac:dyDescent="0.25">
      <c r="L354" s="4" t="s">
        <v>236</v>
      </c>
      <c r="M354" s="6">
        <v>0.21541501976284586</v>
      </c>
      <c r="O354" s="4" t="s">
        <v>236</v>
      </c>
      <c r="P354" s="6">
        <v>0.31989924433249373</v>
      </c>
      <c r="R354" s="4" t="s">
        <v>267</v>
      </c>
      <c r="S354" s="6">
        <v>0.34246575342465752</v>
      </c>
    </row>
    <row r="355" spans="2:19" x14ac:dyDescent="0.25">
      <c r="L355" s="4" t="s">
        <v>2165</v>
      </c>
      <c r="M355" s="6">
        <v>1</v>
      </c>
      <c r="O355" s="4" t="s">
        <v>2165</v>
      </c>
      <c r="P355" s="6">
        <v>1</v>
      </c>
      <c r="R355" s="4" t="s">
        <v>266</v>
      </c>
      <c r="S355" s="6">
        <v>0.61643835616438358</v>
      </c>
    </row>
    <row r="356" spans="2:19" x14ac:dyDescent="0.25">
      <c r="R356" s="4" t="s">
        <v>570</v>
      </c>
      <c r="S356" s="6">
        <v>4.1095890410958902E-2</v>
      </c>
    </row>
    <row r="357" spans="2:19" x14ac:dyDescent="0.25">
      <c r="E357" t="s">
        <v>2295</v>
      </c>
      <c r="F357" t="s">
        <v>2296</v>
      </c>
      <c r="L357" s="3" t="s">
        <v>2164</v>
      </c>
      <c r="M357" s="11" t="s">
        <v>2243</v>
      </c>
      <c r="O357" s="3" t="s">
        <v>2164</v>
      </c>
      <c r="P357" t="s">
        <v>2254</v>
      </c>
      <c r="R357" s="4" t="s">
        <v>2165</v>
      </c>
      <c r="S357" s="6">
        <v>1</v>
      </c>
    </row>
    <row r="358" spans="2:19" x14ac:dyDescent="0.25">
      <c r="B358" t="s">
        <v>2352</v>
      </c>
      <c r="D358" t="s">
        <v>2352</v>
      </c>
      <c r="E358" s="6">
        <f>VLOOKUP(D358,$A$323:$E$332,5,0)</f>
        <v>0.5186104218362283</v>
      </c>
      <c r="F358" s="6">
        <f>VLOOKUP(D358,$A$323:$F$332,6,0)</f>
        <v>0.4813895781637717</v>
      </c>
      <c r="G358" s="6"/>
      <c r="L358" s="4" t="s">
        <v>226</v>
      </c>
      <c r="M358" s="6">
        <v>0.79644268774703553</v>
      </c>
      <c r="O358" s="4" t="s">
        <v>226</v>
      </c>
      <c r="P358" s="6">
        <v>0.5186104218362283</v>
      </c>
    </row>
    <row r="359" spans="2:19" x14ac:dyDescent="0.25">
      <c r="B359" t="s">
        <v>2348</v>
      </c>
      <c r="D359" t="s">
        <v>2348</v>
      </c>
      <c r="E359" s="6">
        <f t="shared" ref="E359:E367" si="3">VLOOKUP(D359,$A$323:$E$332,5,0)</f>
        <v>0.68010075566750627</v>
      </c>
      <c r="F359" s="6">
        <f t="shared" ref="F359:F367" si="4">VLOOKUP(D359,$A$323:$F$332,6,0)</f>
        <v>0.31989924433249373</v>
      </c>
      <c r="G359" s="6"/>
      <c r="L359" s="4" t="s">
        <v>236</v>
      </c>
      <c r="M359" s="6">
        <v>0.20355731225296442</v>
      </c>
      <c r="O359" s="4" t="s">
        <v>236</v>
      </c>
      <c r="P359" s="6">
        <v>0.4813895781637717</v>
      </c>
      <c r="R359" s="3" t="s">
        <v>2164</v>
      </c>
      <c r="S359" t="s">
        <v>2263</v>
      </c>
    </row>
    <row r="360" spans="2:19" x14ac:dyDescent="0.25">
      <c r="B360" t="s">
        <v>2345</v>
      </c>
      <c r="D360" t="s">
        <v>2345</v>
      </c>
      <c r="E360" s="6">
        <f t="shared" si="3"/>
        <v>0.41873278236914602</v>
      </c>
      <c r="F360" s="6">
        <f t="shared" si="4"/>
        <v>0.58126721763085398</v>
      </c>
      <c r="G360" s="6"/>
      <c r="L360" s="4" t="s">
        <v>2165</v>
      </c>
      <c r="M360" s="6">
        <v>1</v>
      </c>
      <c r="O360" s="4" t="s">
        <v>2165</v>
      </c>
      <c r="P360" s="6">
        <v>1</v>
      </c>
      <c r="R360" s="4" t="s">
        <v>267</v>
      </c>
      <c r="S360" s="6">
        <v>0.48888888888888887</v>
      </c>
    </row>
    <row r="361" spans="2:19" x14ac:dyDescent="0.25">
      <c r="B361" t="s">
        <v>2350</v>
      </c>
      <c r="D361" t="s">
        <v>2350</v>
      </c>
      <c r="E361" s="6">
        <f t="shared" si="3"/>
        <v>0.36330935251798563</v>
      </c>
      <c r="F361" s="6">
        <f t="shared" si="4"/>
        <v>0.63669064748201443</v>
      </c>
      <c r="G361" s="6"/>
      <c r="R361" s="4" t="s">
        <v>266</v>
      </c>
      <c r="S361" s="6">
        <v>0.4777777777777778</v>
      </c>
    </row>
    <row r="362" spans="2:19" x14ac:dyDescent="0.25">
      <c r="B362" t="s">
        <v>2347</v>
      </c>
      <c r="D362" t="s">
        <v>2347</v>
      </c>
      <c r="E362" s="6">
        <f t="shared" si="3"/>
        <v>0.41477272727272729</v>
      </c>
      <c r="F362" s="6">
        <f t="shared" si="4"/>
        <v>0.58522727272727271</v>
      </c>
      <c r="G362" s="6"/>
      <c r="L362" s="3" t="s">
        <v>2164</v>
      </c>
      <c r="M362" s="11" t="s">
        <v>2244</v>
      </c>
      <c r="O362" s="3" t="s">
        <v>2164</v>
      </c>
      <c r="P362" t="s">
        <v>2255</v>
      </c>
      <c r="R362" s="4" t="s">
        <v>570</v>
      </c>
      <c r="S362" s="6">
        <v>2.9629629629629631E-2</v>
      </c>
    </row>
    <row r="363" spans="2:19" x14ac:dyDescent="0.25">
      <c r="B363" t="s">
        <v>2351</v>
      </c>
      <c r="D363" t="s">
        <v>2351</v>
      </c>
      <c r="E363" s="6">
        <f t="shared" si="3"/>
        <v>0.4621212121212121</v>
      </c>
      <c r="F363" s="6">
        <f t="shared" si="4"/>
        <v>0.53787878787878785</v>
      </c>
      <c r="G363" s="6"/>
      <c r="L363" s="4" t="s">
        <v>226</v>
      </c>
      <c r="M363" s="6">
        <v>0.20355731225296442</v>
      </c>
      <c r="O363" s="4" t="s">
        <v>226</v>
      </c>
      <c r="P363" s="6">
        <v>0.47115384615384615</v>
      </c>
      <c r="R363" s="4" t="s">
        <v>601</v>
      </c>
      <c r="S363" s="6">
        <v>3.7037037037037038E-3</v>
      </c>
    </row>
    <row r="364" spans="2:19" x14ac:dyDescent="0.25">
      <c r="B364" t="s">
        <v>2349</v>
      </c>
      <c r="D364" t="s">
        <v>2349</v>
      </c>
      <c r="E364" s="6">
        <f t="shared" si="3"/>
        <v>0.47115384615384615</v>
      </c>
      <c r="F364" s="6">
        <f t="shared" si="4"/>
        <v>0.52884615384615385</v>
      </c>
      <c r="G364" s="6"/>
      <c r="L364" s="4" t="s">
        <v>236</v>
      </c>
      <c r="M364" s="6">
        <v>0.79644268774703553</v>
      </c>
      <c r="O364" s="4" t="s">
        <v>236</v>
      </c>
      <c r="P364" s="6">
        <v>0.52884615384615385</v>
      </c>
      <c r="R364" s="4" t="s">
        <v>2165</v>
      </c>
      <c r="S364" s="6">
        <v>1</v>
      </c>
    </row>
    <row r="365" spans="2:19" x14ac:dyDescent="0.25">
      <c r="B365" t="s">
        <v>2346</v>
      </c>
      <c r="D365" t="s">
        <v>2346</v>
      </c>
      <c r="E365" s="6">
        <f t="shared" si="3"/>
        <v>0.37662337662337664</v>
      </c>
      <c r="F365" s="6">
        <f t="shared" si="4"/>
        <v>0.62337662337662336</v>
      </c>
      <c r="G365" s="6"/>
      <c r="L365" s="4" t="s">
        <v>2165</v>
      </c>
      <c r="M365" s="6">
        <v>1</v>
      </c>
      <c r="O365" s="4" t="s">
        <v>2165</v>
      </c>
      <c r="P365" s="6">
        <v>1</v>
      </c>
    </row>
    <row r="366" spans="2:19" x14ac:dyDescent="0.25">
      <c r="B366" t="s">
        <v>2344</v>
      </c>
      <c r="D366" t="s">
        <v>2344</v>
      </c>
      <c r="E366" s="6">
        <f t="shared" si="3"/>
        <v>0.47499999999999998</v>
      </c>
      <c r="F366" s="6">
        <f t="shared" si="4"/>
        <v>0.52500000000000002</v>
      </c>
      <c r="G366" s="6"/>
      <c r="R366" s="3" t="s">
        <v>2164</v>
      </c>
      <c r="S366" t="s">
        <v>2264</v>
      </c>
    </row>
    <row r="367" spans="2:19" x14ac:dyDescent="0.25">
      <c r="B367" t="s">
        <v>2353</v>
      </c>
      <c r="D367" t="s">
        <v>2353</v>
      </c>
      <c r="E367" s="6">
        <f t="shared" si="3"/>
        <v>0.5</v>
      </c>
      <c r="F367" s="6">
        <f t="shared" si="4"/>
        <v>0.5</v>
      </c>
      <c r="G367" s="6"/>
      <c r="L367" s="3" t="s">
        <v>2164</v>
      </c>
      <c r="M367" t="s">
        <v>2245</v>
      </c>
      <c r="O367" s="3" t="s">
        <v>2164</v>
      </c>
      <c r="P367" t="s">
        <v>2256</v>
      </c>
      <c r="R367" s="4" t="s">
        <v>267</v>
      </c>
      <c r="S367" s="6">
        <v>0.32535885167464113</v>
      </c>
    </row>
    <row r="368" spans="2:19" x14ac:dyDescent="0.25">
      <c r="L368" s="4" t="s">
        <v>226</v>
      </c>
      <c r="M368" s="6">
        <v>5.9288537549407112E-2</v>
      </c>
      <c r="O368" s="4" t="s">
        <v>226</v>
      </c>
      <c r="P368" s="6">
        <v>0.5</v>
      </c>
      <c r="R368" s="4" t="s">
        <v>266</v>
      </c>
      <c r="S368" s="6">
        <v>0.58851674641148322</v>
      </c>
    </row>
    <row r="369" spans="8:19" x14ac:dyDescent="0.25">
      <c r="L369" s="4" t="s">
        <v>236</v>
      </c>
      <c r="M369" s="6">
        <v>0.94071146245059289</v>
      </c>
      <c r="O369" s="4" t="s">
        <v>236</v>
      </c>
      <c r="P369" s="6">
        <v>0.5</v>
      </c>
      <c r="R369" s="4" t="s">
        <v>570</v>
      </c>
      <c r="S369" s="6">
        <v>7.1770334928229665E-2</v>
      </c>
    </row>
    <row r="370" spans="8:19" x14ac:dyDescent="0.25">
      <c r="L370" s="4" t="s">
        <v>2165</v>
      </c>
      <c r="M370" s="6">
        <v>1</v>
      </c>
      <c r="O370" s="4" t="s">
        <v>2165</v>
      </c>
      <c r="P370" s="6">
        <v>1</v>
      </c>
      <c r="R370" s="4" t="s">
        <v>601</v>
      </c>
      <c r="S370" s="6">
        <v>1.4354066985645933E-2</v>
      </c>
    </row>
    <row r="371" spans="8:19" x14ac:dyDescent="0.25">
      <c r="R371" s="4" t="s">
        <v>2165</v>
      </c>
      <c r="S371" s="6">
        <v>1</v>
      </c>
    </row>
    <row r="373" spans="8:19" x14ac:dyDescent="0.25">
      <c r="R373" s="3" t="s">
        <v>2164</v>
      </c>
      <c r="S373" t="s">
        <v>2265</v>
      </c>
    </row>
    <row r="374" spans="8:19" x14ac:dyDescent="0.25">
      <c r="R374" s="4" t="s">
        <v>267</v>
      </c>
      <c r="S374" s="6">
        <v>0.33333333333333331</v>
      </c>
    </row>
    <row r="375" spans="8:19" x14ac:dyDescent="0.25">
      <c r="R375" s="4" t="s">
        <v>266</v>
      </c>
      <c r="S375" s="6">
        <v>0.625</v>
      </c>
    </row>
    <row r="376" spans="8:19" x14ac:dyDescent="0.25">
      <c r="R376" s="4" t="s">
        <v>570</v>
      </c>
      <c r="S376" s="6">
        <v>2.0833333333333332E-2</v>
      </c>
    </row>
    <row r="377" spans="8:19" x14ac:dyDescent="0.25">
      <c r="R377" s="4" t="s">
        <v>601</v>
      </c>
      <c r="S377" s="6">
        <v>2.0833333333333332E-2</v>
      </c>
    </row>
    <row r="378" spans="8:19" x14ac:dyDescent="0.25">
      <c r="R378" s="4" t="s">
        <v>2165</v>
      </c>
      <c r="S378" s="6">
        <v>1</v>
      </c>
    </row>
    <row r="379" spans="8:19" x14ac:dyDescent="0.25">
      <c r="K379" s="3" t="s">
        <v>2164</v>
      </c>
      <c r="L379" t="s">
        <v>2227</v>
      </c>
    </row>
    <row r="380" spans="8:19" x14ac:dyDescent="0.25">
      <c r="K380" s="4" t="s">
        <v>226</v>
      </c>
      <c r="L380" s="6">
        <v>6.9169960474308304E-2</v>
      </c>
      <c r="R380" s="3" t="s">
        <v>2164</v>
      </c>
      <c r="S380" t="s">
        <v>2266</v>
      </c>
    </row>
    <row r="381" spans="8:19" x14ac:dyDescent="0.25">
      <c r="K381" s="4" t="s">
        <v>236</v>
      </c>
      <c r="L381" s="6">
        <v>0.93083003952569165</v>
      </c>
      <c r="R381" s="4" t="s">
        <v>267</v>
      </c>
      <c r="S381" s="6">
        <v>0.2</v>
      </c>
    </row>
    <row r="382" spans="8:19" x14ac:dyDescent="0.25">
      <c r="K382" s="4" t="s">
        <v>2165</v>
      </c>
      <c r="L382" s="6">
        <v>1</v>
      </c>
      <c r="R382" s="4" t="s">
        <v>266</v>
      </c>
      <c r="S382" s="6">
        <v>0.8</v>
      </c>
    </row>
    <row r="383" spans="8:19" x14ac:dyDescent="0.25">
      <c r="H383" t="s">
        <v>2355</v>
      </c>
      <c r="I383" s="8">
        <f>J383/SUM($J$383:$J$387)</f>
        <v>0.625</v>
      </c>
      <c r="J383">
        <v>25</v>
      </c>
      <c r="R383" s="4" t="s">
        <v>2165</v>
      </c>
      <c r="S383" s="6">
        <v>1</v>
      </c>
    </row>
    <row r="384" spans="8:19" x14ac:dyDescent="0.25">
      <c r="H384" t="s">
        <v>2354</v>
      </c>
      <c r="I384" s="8">
        <f t="shared" ref="I384:I387" si="5">J384/SUM($J$383:$J$387)</f>
        <v>0.27500000000000002</v>
      </c>
      <c r="J384">
        <v>11</v>
      </c>
    </row>
    <row r="385" spans="8:12" x14ac:dyDescent="0.25">
      <c r="H385" t="s">
        <v>2356</v>
      </c>
      <c r="I385" s="8">
        <f t="shared" si="5"/>
        <v>0.05</v>
      </c>
      <c r="J385">
        <v>2</v>
      </c>
    </row>
    <row r="386" spans="8:12" x14ac:dyDescent="0.25">
      <c r="H386" t="s">
        <v>2357</v>
      </c>
      <c r="I386" s="8">
        <f t="shared" si="5"/>
        <v>2.5000000000000001E-2</v>
      </c>
      <c r="J386">
        <v>1</v>
      </c>
      <c r="K386" s="3" t="s">
        <v>2164</v>
      </c>
      <c r="L386" t="s">
        <v>2228</v>
      </c>
    </row>
    <row r="387" spans="8:12" x14ac:dyDescent="0.25">
      <c r="H387" t="s">
        <v>2358</v>
      </c>
      <c r="I387" s="8">
        <f t="shared" si="5"/>
        <v>2.5000000000000001E-2</v>
      </c>
      <c r="J387">
        <v>1</v>
      </c>
      <c r="K387" s="4">
        <v>1</v>
      </c>
      <c r="L387">
        <v>11</v>
      </c>
    </row>
    <row r="388" spans="8:12" x14ac:dyDescent="0.25">
      <c r="K388" s="4" t="s">
        <v>2165</v>
      </c>
      <c r="L388">
        <v>11</v>
      </c>
    </row>
    <row r="390" spans="8:12" x14ac:dyDescent="0.25">
      <c r="K390" s="3" t="s">
        <v>2164</v>
      </c>
      <c r="L390" t="s">
        <v>2229</v>
      </c>
    </row>
    <row r="391" spans="8:12" x14ac:dyDescent="0.25">
      <c r="H391" s="4" t="s">
        <v>2403</v>
      </c>
      <c r="I391" s="4" t="s">
        <v>2296</v>
      </c>
      <c r="K391" s="4">
        <v>1</v>
      </c>
      <c r="L391">
        <v>25</v>
      </c>
    </row>
    <row r="392" spans="8:12" x14ac:dyDescent="0.25">
      <c r="H392" s="6">
        <v>6.9169960474308304E-2</v>
      </c>
      <c r="I392" s="6">
        <v>0.93083003952569165</v>
      </c>
      <c r="K392" s="4" t="s">
        <v>2165</v>
      </c>
      <c r="L392">
        <v>25</v>
      </c>
    </row>
    <row r="394" spans="8:12" x14ac:dyDescent="0.25">
      <c r="K394" s="3" t="s">
        <v>2164</v>
      </c>
      <c r="L394" t="s">
        <v>2230</v>
      </c>
    </row>
    <row r="395" spans="8:12" x14ac:dyDescent="0.25">
      <c r="K395" s="4">
        <v>1</v>
      </c>
      <c r="L395">
        <v>2</v>
      </c>
    </row>
    <row r="396" spans="8:12" x14ac:dyDescent="0.25">
      <c r="K396" s="4" t="s">
        <v>2165</v>
      </c>
      <c r="L396">
        <v>2</v>
      </c>
    </row>
    <row r="398" spans="8:12" x14ac:dyDescent="0.25">
      <c r="K398" s="3" t="s">
        <v>2164</v>
      </c>
      <c r="L398" t="s">
        <v>2231</v>
      </c>
    </row>
    <row r="399" spans="8:12" x14ac:dyDescent="0.25">
      <c r="K399" s="4">
        <v>1</v>
      </c>
      <c r="L399">
        <v>1</v>
      </c>
    </row>
    <row r="400" spans="8:12" x14ac:dyDescent="0.25">
      <c r="K400" s="4" t="s">
        <v>2165</v>
      </c>
      <c r="L400">
        <v>1</v>
      </c>
    </row>
    <row r="402" spans="7:12" x14ac:dyDescent="0.25">
      <c r="G402" t="s">
        <v>2359</v>
      </c>
      <c r="K402" s="3" t="s">
        <v>2164</v>
      </c>
      <c r="L402" t="s">
        <v>2232</v>
      </c>
    </row>
    <row r="403" spans="7:12" x14ac:dyDescent="0.25">
      <c r="K403" s="4">
        <v>1</v>
      </c>
      <c r="L403">
        <v>1</v>
      </c>
    </row>
    <row r="404" spans="7:12" x14ac:dyDescent="0.25">
      <c r="H404" s="6">
        <v>0.89328063241106714</v>
      </c>
      <c r="I404" s="6">
        <v>0.1067193675889328</v>
      </c>
      <c r="K404" s="4" t="s">
        <v>2165</v>
      </c>
      <c r="L404">
        <v>1</v>
      </c>
    </row>
    <row r="405" spans="7:12" x14ac:dyDescent="0.25">
      <c r="H405" s="6">
        <v>0.29646017699115046</v>
      </c>
      <c r="I405" s="6">
        <v>0.70353982300884954</v>
      </c>
      <c r="K405" s="4"/>
    </row>
    <row r="406" spans="7:12" x14ac:dyDescent="0.25">
      <c r="K406" s="4"/>
    </row>
    <row r="407" spans="7:12" x14ac:dyDescent="0.25">
      <c r="H407" s="3" t="s">
        <v>2164</v>
      </c>
      <c r="I407" t="s">
        <v>2225</v>
      </c>
    </row>
    <row r="408" spans="7:12" x14ac:dyDescent="0.25">
      <c r="H408" s="4" t="s">
        <v>226</v>
      </c>
      <c r="I408" s="6">
        <v>0.29646017699115046</v>
      </c>
      <c r="K408" s="3" t="s">
        <v>167</v>
      </c>
      <c r="L408" t="s">
        <v>226</v>
      </c>
    </row>
    <row r="409" spans="7:12" x14ac:dyDescent="0.25">
      <c r="H409" s="4" t="s">
        <v>236</v>
      </c>
      <c r="I409" s="6">
        <v>0.70353982300884954</v>
      </c>
    </row>
    <row r="410" spans="7:12" x14ac:dyDescent="0.25">
      <c r="H410" s="4" t="s">
        <v>2177</v>
      </c>
      <c r="I410" s="6">
        <v>0</v>
      </c>
      <c r="K410" s="3" t="s">
        <v>2164</v>
      </c>
      <c r="L410" t="s">
        <v>2233</v>
      </c>
    </row>
    <row r="411" spans="7:12" x14ac:dyDescent="0.25">
      <c r="H411" s="4" t="s">
        <v>2165</v>
      </c>
      <c r="I411" s="6">
        <v>1</v>
      </c>
      <c r="K411" s="4" t="s">
        <v>226</v>
      </c>
      <c r="L411" s="6">
        <v>0.5714285714285714</v>
      </c>
    </row>
    <row r="412" spans="7:12" x14ac:dyDescent="0.25">
      <c r="K412" s="4" t="s">
        <v>236</v>
      </c>
      <c r="L412" s="6">
        <v>0.42857142857142855</v>
      </c>
    </row>
    <row r="413" spans="7:12" x14ac:dyDescent="0.25">
      <c r="K413" s="4" t="s">
        <v>2165</v>
      </c>
      <c r="L413" s="6">
        <v>1</v>
      </c>
    </row>
    <row r="416" spans="7:12" x14ac:dyDescent="0.25">
      <c r="H416" s="4" t="s">
        <v>2403</v>
      </c>
      <c r="I416" s="4" t="s">
        <v>2296</v>
      </c>
    </row>
    <row r="417" spans="8:9" x14ac:dyDescent="0.25">
      <c r="H417" s="6">
        <v>0.5714285714285714</v>
      </c>
      <c r="I417" s="6">
        <v>0.42857142857142855</v>
      </c>
    </row>
    <row r="420" spans="8:9" x14ac:dyDescent="0.25">
      <c r="H420" t="s">
        <v>2360</v>
      </c>
    </row>
    <row r="433" spans="9:14" x14ac:dyDescent="0.25">
      <c r="L433" s="15" t="s">
        <v>2361</v>
      </c>
    </row>
    <row r="434" spans="9:14" x14ac:dyDescent="0.25">
      <c r="I434" s="3" t="s">
        <v>2164</v>
      </c>
      <c r="J434" t="s">
        <v>2166</v>
      </c>
      <c r="L434" t="s">
        <v>2364</v>
      </c>
      <c r="M434">
        <v>256</v>
      </c>
    </row>
    <row r="435" spans="9:14" x14ac:dyDescent="0.25">
      <c r="I435" s="4">
        <v>1</v>
      </c>
      <c r="J435">
        <v>256</v>
      </c>
      <c r="L435" t="s">
        <v>2365</v>
      </c>
      <c r="M435">
        <v>23</v>
      </c>
    </row>
    <row r="436" spans="9:14" x14ac:dyDescent="0.25">
      <c r="I436" s="4" t="s">
        <v>2165</v>
      </c>
      <c r="J436">
        <v>256</v>
      </c>
      <c r="L436" t="s">
        <v>2366</v>
      </c>
      <c r="M436">
        <v>19</v>
      </c>
    </row>
    <row r="437" spans="9:14" x14ac:dyDescent="0.25">
      <c r="L437" t="s">
        <v>2367</v>
      </c>
      <c r="M437">
        <v>119</v>
      </c>
    </row>
    <row r="438" spans="9:14" x14ac:dyDescent="0.25">
      <c r="I438" s="3" t="s">
        <v>2164</v>
      </c>
      <c r="J438" t="s">
        <v>2167</v>
      </c>
      <c r="L438" t="s">
        <v>2368</v>
      </c>
      <c r="M438">
        <v>151</v>
      </c>
    </row>
    <row r="439" spans="9:14" x14ac:dyDescent="0.25">
      <c r="I439" s="4">
        <v>1</v>
      </c>
      <c r="J439">
        <v>23</v>
      </c>
      <c r="L439" t="s">
        <v>2369</v>
      </c>
      <c r="M439">
        <v>32</v>
      </c>
    </row>
    <row r="440" spans="9:14" x14ac:dyDescent="0.25">
      <c r="I440" s="4" t="s">
        <v>2165</v>
      </c>
      <c r="J440">
        <v>23</v>
      </c>
    </row>
    <row r="442" spans="9:14" x14ac:dyDescent="0.25">
      <c r="I442" s="3" t="s">
        <v>2164</v>
      </c>
      <c r="J442" t="s">
        <v>2168</v>
      </c>
      <c r="L442" s="15" t="s">
        <v>2362</v>
      </c>
    </row>
    <row r="443" spans="9:14" x14ac:dyDescent="0.25">
      <c r="I443" s="4">
        <v>1</v>
      </c>
      <c r="J443">
        <v>19</v>
      </c>
      <c r="L443" t="s">
        <v>2370</v>
      </c>
      <c r="M443" s="8">
        <f>N443/SUM($N$443:$N$446)</f>
        <v>4.0707964601769911E-2</v>
      </c>
      <c r="N443">
        <v>23</v>
      </c>
    </row>
    <row r="444" spans="9:14" x14ac:dyDescent="0.25">
      <c r="I444" s="4" t="s">
        <v>2165</v>
      </c>
      <c r="J444">
        <v>19</v>
      </c>
      <c r="L444" t="s">
        <v>2371</v>
      </c>
      <c r="M444" s="8">
        <f t="shared" ref="M444:M446" si="6">N444/SUM($N$443:$N$446)</f>
        <v>0.67079646017699113</v>
      </c>
      <c r="N444">
        <v>379</v>
      </c>
    </row>
    <row r="445" spans="9:14" x14ac:dyDescent="0.25">
      <c r="L445" t="s">
        <v>2372</v>
      </c>
      <c r="M445" s="8">
        <f t="shared" si="6"/>
        <v>0.26371681415929205</v>
      </c>
      <c r="N445">
        <v>149</v>
      </c>
    </row>
    <row r="446" spans="9:14" x14ac:dyDescent="0.25">
      <c r="L446" t="s">
        <v>2373</v>
      </c>
      <c r="M446" s="8">
        <f t="shared" si="6"/>
        <v>2.4778761061946902E-2</v>
      </c>
      <c r="N446">
        <v>14</v>
      </c>
    </row>
    <row r="447" spans="9:14" x14ac:dyDescent="0.25">
      <c r="I447" s="3" t="s">
        <v>2164</v>
      </c>
      <c r="J447" t="s">
        <v>2169</v>
      </c>
    </row>
    <row r="448" spans="9:14" x14ac:dyDescent="0.25">
      <c r="I448" s="4">
        <v>1</v>
      </c>
      <c r="J448">
        <v>119</v>
      </c>
    </row>
    <row r="449" spans="9:26" x14ac:dyDescent="0.25">
      <c r="I449" s="4" t="s">
        <v>2165</v>
      </c>
      <c r="J449">
        <v>119</v>
      </c>
    </row>
    <row r="450" spans="9:26" x14ac:dyDescent="0.25">
      <c r="L450" s="3" t="s">
        <v>2164</v>
      </c>
      <c r="M450" t="s">
        <v>2176</v>
      </c>
    </row>
    <row r="451" spans="9:26" x14ac:dyDescent="0.25">
      <c r="L451" s="4" t="s">
        <v>2382</v>
      </c>
      <c r="M451" s="6">
        <v>0.21541501976284586</v>
      </c>
    </row>
    <row r="452" spans="9:26" x14ac:dyDescent="0.25">
      <c r="I452" s="3" t="s">
        <v>2164</v>
      </c>
      <c r="J452" t="s">
        <v>2170</v>
      </c>
      <c r="L452" s="4" t="s">
        <v>2383</v>
      </c>
      <c r="M452" s="6">
        <v>0.44071146245059289</v>
      </c>
    </row>
    <row r="453" spans="9:26" x14ac:dyDescent="0.25">
      <c r="I453" s="4">
        <v>1</v>
      </c>
      <c r="J453">
        <v>151</v>
      </c>
      <c r="L453" s="4" t="s">
        <v>2384</v>
      </c>
      <c r="M453" s="6">
        <v>0.24505928853754941</v>
      </c>
    </row>
    <row r="454" spans="9:26" x14ac:dyDescent="0.25">
      <c r="I454" s="4" t="s">
        <v>2165</v>
      </c>
      <c r="J454">
        <v>151</v>
      </c>
      <c r="L454" s="4" t="s">
        <v>2385</v>
      </c>
      <c r="M454" s="6">
        <v>9.8814229249011856E-2</v>
      </c>
    </row>
    <row r="455" spans="9:26" x14ac:dyDescent="0.25">
      <c r="L455" s="4" t="s">
        <v>2165</v>
      </c>
      <c r="M455" s="6">
        <v>1</v>
      </c>
    </row>
    <row r="457" spans="9:26" x14ac:dyDescent="0.25">
      <c r="I457" s="3" t="s">
        <v>2164</v>
      </c>
      <c r="J457" t="s">
        <v>2171</v>
      </c>
    </row>
    <row r="458" spans="9:26" x14ac:dyDescent="0.25">
      <c r="I458" s="4">
        <v>1</v>
      </c>
      <c r="J458">
        <v>32</v>
      </c>
      <c r="L458" s="14" t="s">
        <v>2363</v>
      </c>
      <c r="U458" t="s">
        <v>2374</v>
      </c>
    </row>
    <row r="459" spans="9:26" x14ac:dyDescent="0.25">
      <c r="I459" s="4" t="s">
        <v>2165</v>
      </c>
      <c r="J459">
        <v>32</v>
      </c>
      <c r="L459" t="s">
        <v>2375</v>
      </c>
      <c r="M459" s="8">
        <v>0.28700906344410876</v>
      </c>
      <c r="N459">
        <v>105</v>
      </c>
      <c r="U459" t="s">
        <v>275</v>
      </c>
      <c r="V459" s="8">
        <v>0.28700906344410876</v>
      </c>
      <c r="X459" t="s">
        <v>2378</v>
      </c>
      <c r="Y459">
        <v>105</v>
      </c>
      <c r="Z459" s="8">
        <f>Y459/SUM($Y$459:$Y$465)</f>
        <v>0.15861027190332327</v>
      </c>
    </row>
    <row r="460" spans="9:26" x14ac:dyDescent="0.25">
      <c r="L460" t="s">
        <v>2376</v>
      </c>
      <c r="M460" s="8">
        <v>0.18429003021148035</v>
      </c>
      <c r="N460">
        <v>15</v>
      </c>
      <c r="U460" t="s">
        <v>235</v>
      </c>
      <c r="V460" s="8">
        <v>0.18429003021148035</v>
      </c>
      <c r="X460" t="s">
        <v>2381</v>
      </c>
      <c r="Y460">
        <v>15</v>
      </c>
      <c r="Z460" s="8">
        <f t="shared" ref="Z460:Z465" si="7">Y460/SUM($Y$459:$Y$465)</f>
        <v>2.2658610271903322E-2</v>
      </c>
    </row>
    <row r="461" spans="9:26" x14ac:dyDescent="0.25">
      <c r="L461" t="s">
        <v>2377</v>
      </c>
      <c r="M461" s="8">
        <v>0.1646525679758308</v>
      </c>
      <c r="N461">
        <v>109</v>
      </c>
      <c r="U461" t="s">
        <v>382</v>
      </c>
      <c r="V461" s="8">
        <v>0.1646525679758308</v>
      </c>
      <c r="X461" t="s">
        <v>2377</v>
      </c>
      <c r="Y461">
        <v>109</v>
      </c>
      <c r="Z461" s="8">
        <f t="shared" si="7"/>
        <v>0.1646525679758308</v>
      </c>
    </row>
    <row r="462" spans="9:26" x14ac:dyDescent="0.25">
      <c r="I462" s="3" t="s">
        <v>2164</v>
      </c>
      <c r="J462" t="s">
        <v>2172</v>
      </c>
      <c r="L462" t="s">
        <v>2378</v>
      </c>
      <c r="M462" s="8">
        <v>0.15861027190332327</v>
      </c>
      <c r="N462">
        <v>122</v>
      </c>
      <c r="U462" t="s">
        <v>294</v>
      </c>
      <c r="V462" s="8">
        <v>0.15861027190332327</v>
      </c>
      <c r="X462" t="s">
        <v>2376</v>
      </c>
      <c r="Y462">
        <v>122</v>
      </c>
      <c r="Z462" s="8">
        <f t="shared" si="7"/>
        <v>0.18429003021148035</v>
      </c>
    </row>
    <row r="463" spans="9:26" x14ac:dyDescent="0.25">
      <c r="I463" s="4">
        <v>1</v>
      </c>
      <c r="J463">
        <v>23</v>
      </c>
      <c r="L463" t="s">
        <v>2379</v>
      </c>
      <c r="M463" s="8">
        <v>0.10876132930513595</v>
      </c>
      <c r="N463">
        <v>49</v>
      </c>
      <c r="U463" t="s">
        <v>369</v>
      </c>
      <c r="V463" s="8">
        <v>0.10876132930513595</v>
      </c>
      <c r="X463" t="s">
        <v>2380</v>
      </c>
      <c r="Y463">
        <v>49</v>
      </c>
      <c r="Z463" s="8">
        <f t="shared" si="7"/>
        <v>7.4018126888217517E-2</v>
      </c>
    </row>
    <row r="464" spans="9:26" x14ac:dyDescent="0.25">
      <c r="I464" s="4" t="s">
        <v>2165</v>
      </c>
      <c r="J464">
        <v>23</v>
      </c>
      <c r="L464" t="s">
        <v>2380</v>
      </c>
      <c r="M464" s="8">
        <v>7.4018126888217517E-2</v>
      </c>
      <c r="N464">
        <v>190</v>
      </c>
      <c r="U464" t="s">
        <v>353</v>
      </c>
      <c r="V464" s="8">
        <v>7.4018126888217517E-2</v>
      </c>
      <c r="X464" t="s">
        <v>2375</v>
      </c>
      <c r="Y464">
        <v>190</v>
      </c>
      <c r="Z464" s="8">
        <f t="shared" si="7"/>
        <v>0.28700906344410876</v>
      </c>
    </row>
    <row r="465" spans="9:26" x14ac:dyDescent="0.25">
      <c r="L465" t="s">
        <v>2381</v>
      </c>
      <c r="M465" s="8">
        <v>2.2658610271903322E-2</v>
      </c>
      <c r="N465">
        <v>72</v>
      </c>
      <c r="U465" t="s">
        <v>1562</v>
      </c>
      <c r="V465" s="8">
        <v>2.2658610271903322E-2</v>
      </c>
      <c r="X465" t="s">
        <v>2422</v>
      </c>
      <c r="Y465">
        <v>72</v>
      </c>
      <c r="Z465" s="8">
        <f t="shared" si="7"/>
        <v>0.10876132930513595</v>
      </c>
    </row>
    <row r="467" spans="9:26" x14ac:dyDescent="0.25">
      <c r="I467" s="3" t="s">
        <v>2164</v>
      </c>
      <c r="J467" t="s">
        <v>2173</v>
      </c>
      <c r="L467" s="3" t="s">
        <v>2164</v>
      </c>
      <c r="M467" t="s">
        <v>2185</v>
      </c>
    </row>
    <row r="468" spans="9:26" x14ac:dyDescent="0.25">
      <c r="I468" s="4">
        <v>1</v>
      </c>
      <c r="J468">
        <v>379</v>
      </c>
      <c r="L468" s="4" t="s">
        <v>226</v>
      </c>
      <c r="M468" s="6">
        <v>0.67786561264822132</v>
      </c>
    </row>
    <row r="469" spans="9:26" x14ac:dyDescent="0.25">
      <c r="I469" s="4" t="s">
        <v>2165</v>
      </c>
      <c r="J469">
        <v>379</v>
      </c>
      <c r="L469" s="4" t="s">
        <v>236</v>
      </c>
      <c r="M469" s="6">
        <v>0.32213438735177868</v>
      </c>
    </row>
    <row r="470" spans="9:26" x14ac:dyDescent="0.25">
      <c r="L470" s="4" t="s">
        <v>2165</v>
      </c>
      <c r="M470" s="6">
        <v>1</v>
      </c>
    </row>
    <row r="472" spans="9:26" x14ac:dyDescent="0.25">
      <c r="I472" s="3" t="s">
        <v>2164</v>
      </c>
      <c r="J472" t="s">
        <v>2174</v>
      </c>
      <c r="L472" s="3" t="s">
        <v>48</v>
      </c>
      <c r="M472" t="s">
        <v>226</v>
      </c>
    </row>
    <row r="473" spans="9:26" x14ac:dyDescent="0.25">
      <c r="I473" s="4">
        <v>1</v>
      </c>
      <c r="J473">
        <v>149</v>
      </c>
    </row>
    <row r="474" spans="9:26" x14ac:dyDescent="0.25">
      <c r="I474" s="4" t="s">
        <v>2165</v>
      </c>
      <c r="J474">
        <v>149</v>
      </c>
      <c r="L474" s="3" t="s">
        <v>2164</v>
      </c>
      <c r="M474" t="s">
        <v>2186</v>
      </c>
    </row>
    <row r="475" spans="9:26" x14ac:dyDescent="0.25">
      <c r="L475" s="4" t="s">
        <v>226</v>
      </c>
      <c r="M475" s="6">
        <v>0.81924198250728864</v>
      </c>
    </row>
    <row r="476" spans="9:26" x14ac:dyDescent="0.25">
      <c r="L476" s="4" t="s">
        <v>236</v>
      </c>
      <c r="M476" s="6">
        <v>0.18075801749271136</v>
      </c>
    </row>
    <row r="477" spans="9:26" x14ac:dyDescent="0.25">
      <c r="I477" s="3" t="s">
        <v>2164</v>
      </c>
      <c r="J477" t="s">
        <v>2175</v>
      </c>
      <c r="L477" s="4" t="s">
        <v>2165</v>
      </c>
      <c r="M477" s="6">
        <v>1</v>
      </c>
    </row>
    <row r="478" spans="9:26" x14ac:dyDescent="0.25">
      <c r="I478" s="4">
        <v>1</v>
      </c>
      <c r="J478">
        <v>14</v>
      </c>
    </row>
    <row r="479" spans="9:26" x14ac:dyDescent="0.25">
      <c r="I479" s="4" t="s">
        <v>2165</v>
      </c>
      <c r="J479">
        <v>14</v>
      </c>
    </row>
    <row r="482" spans="9:22" x14ac:dyDescent="0.25">
      <c r="U482" t="s">
        <v>2374</v>
      </c>
    </row>
    <row r="483" spans="9:22" x14ac:dyDescent="0.25">
      <c r="L483" s="4" t="s">
        <v>2383</v>
      </c>
      <c r="M483" s="6">
        <v>0.44071146245059289</v>
      </c>
      <c r="U483" s="4" t="s">
        <v>2383</v>
      </c>
      <c r="V483" s="6">
        <v>0.44071146245059289</v>
      </c>
    </row>
    <row r="484" spans="9:22" x14ac:dyDescent="0.25">
      <c r="L484" s="4" t="s">
        <v>2384</v>
      </c>
      <c r="M484" s="6">
        <v>0.24505928853754941</v>
      </c>
      <c r="U484" s="4" t="s">
        <v>2384</v>
      </c>
      <c r="V484" s="6">
        <v>0.24505928853754941</v>
      </c>
    </row>
    <row r="485" spans="9:22" x14ac:dyDescent="0.25">
      <c r="L485" s="4" t="s">
        <v>2382</v>
      </c>
      <c r="M485" s="6">
        <v>0.21541501976284586</v>
      </c>
      <c r="U485" s="4" t="s">
        <v>2382</v>
      </c>
      <c r="V485" s="6">
        <v>0.21541501976284586</v>
      </c>
    </row>
    <row r="486" spans="9:22" x14ac:dyDescent="0.25">
      <c r="L486" s="4" t="s">
        <v>2385</v>
      </c>
      <c r="M486" s="6">
        <v>9.8814229249011856E-2</v>
      </c>
      <c r="U486" s="4" t="s">
        <v>2385</v>
      </c>
      <c r="V486" s="6">
        <v>9.8814229249011856E-2</v>
      </c>
    </row>
    <row r="489" spans="9:22" x14ac:dyDescent="0.25">
      <c r="I489" s="3" t="s">
        <v>2164</v>
      </c>
      <c r="J489" t="s">
        <v>2178</v>
      </c>
    </row>
    <row r="490" spans="9:22" x14ac:dyDescent="0.25">
      <c r="I490" s="4">
        <v>0</v>
      </c>
      <c r="J490">
        <v>0</v>
      </c>
    </row>
    <row r="491" spans="9:22" x14ac:dyDescent="0.25">
      <c r="I491" s="4">
        <v>1</v>
      </c>
      <c r="J491">
        <v>105</v>
      </c>
    </row>
    <row r="492" spans="9:22" x14ac:dyDescent="0.25">
      <c r="I492" s="4" t="s">
        <v>2177</v>
      </c>
    </row>
    <row r="493" spans="9:22" x14ac:dyDescent="0.25">
      <c r="I493" s="4" t="s">
        <v>2165</v>
      </c>
      <c r="J493">
        <v>105</v>
      </c>
    </row>
    <row r="495" spans="9:22" x14ac:dyDescent="0.25">
      <c r="I495" s="3" t="s">
        <v>2164</v>
      </c>
      <c r="J495" t="s">
        <v>2179</v>
      </c>
    </row>
    <row r="496" spans="9:22" x14ac:dyDescent="0.25">
      <c r="I496" s="4">
        <v>0</v>
      </c>
      <c r="J496">
        <v>0</v>
      </c>
    </row>
    <row r="497" spans="9:13" x14ac:dyDescent="0.25">
      <c r="I497" s="4">
        <v>1</v>
      </c>
      <c r="J497">
        <v>15</v>
      </c>
    </row>
    <row r="498" spans="9:13" x14ac:dyDescent="0.25">
      <c r="I498" s="4" t="s">
        <v>2177</v>
      </c>
    </row>
    <row r="499" spans="9:13" x14ac:dyDescent="0.25">
      <c r="I499" s="4" t="s">
        <v>2165</v>
      </c>
      <c r="J499">
        <v>15</v>
      </c>
    </row>
    <row r="501" spans="9:13" x14ac:dyDescent="0.25">
      <c r="I501" s="3" t="s">
        <v>2164</v>
      </c>
      <c r="J501" t="s">
        <v>2180</v>
      </c>
    </row>
    <row r="502" spans="9:13" x14ac:dyDescent="0.25">
      <c r="I502" s="4">
        <v>0</v>
      </c>
      <c r="J502">
        <v>0</v>
      </c>
    </row>
    <row r="503" spans="9:13" x14ac:dyDescent="0.25">
      <c r="I503" s="4">
        <v>1</v>
      </c>
      <c r="J503">
        <v>109</v>
      </c>
    </row>
    <row r="504" spans="9:13" x14ac:dyDescent="0.25">
      <c r="I504" s="4" t="s">
        <v>2177</v>
      </c>
      <c r="L504" s="4" t="s">
        <v>2403</v>
      </c>
      <c r="M504" s="6">
        <v>0.67786561264822132</v>
      </c>
    </row>
    <row r="505" spans="9:13" x14ac:dyDescent="0.25">
      <c r="I505" s="4" t="s">
        <v>2165</v>
      </c>
      <c r="J505">
        <v>109</v>
      </c>
      <c r="L505" s="4" t="s">
        <v>2296</v>
      </c>
      <c r="M505" s="6">
        <v>0.32213438735177868</v>
      </c>
    </row>
    <row r="506" spans="9:13" x14ac:dyDescent="0.25">
      <c r="L506" s="4" t="s">
        <v>2403</v>
      </c>
      <c r="M506" s="6">
        <v>0.81924198250728864</v>
      </c>
    </row>
    <row r="507" spans="9:13" x14ac:dyDescent="0.25">
      <c r="I507" s="3" t="s">
        <v>2164</v>
      </c>
      <c r="J507" t="s">
        <v>2181</v>
      </c>
      <c r="L507" s="4" t="s">
        <v>2296</v>
      </c>
      <c r="M507" s="6">
        <v>0.18075801749271136</v>
      </c>
    </row>
    <row r="508" spans="9:13" x14ac:dyDescent="0.25">
      <c r="I508" s="4">
        <v>0</v>
      </c>
      <c r="J508">
        <v>0</v>
      </c>
    </row>
    <row r="509" spans="9:13" x14ac:dyDescent="0.25">
      <c r="I509" s="4">
        <v>1</v>
      </c>
      <c r="J509">
        <v>122</v>
      </c>
    </row>
    <row r="510" spans="9:13" x14ac:dyDescent="0.25">
      <c r="I510" s="4" t="s">
        <v>2177</v>
      </c>
    </row>
    <row r="511" spans="9:13" x14ac:dyDescent="0.25">
      <c r="I511" s="4" t="s">
        <v>2165</v>
      </c>
      <c r="J511">
        <v>122</v>
      </c>
    </row>
    <row r="513" spans="9:10" x14ac:dyDescent="0.25">
      <c r="I513" s="3" t="s">
        <v>2164</v>
      </c>
      <c r="J513" t="s">
        <v>2182</v>
      </c>
    </row>
    <row r="514" spans="9:10" x14ac:dyDescent="0.25">
      <c r="I514" s="4">
        <v>0</v>
      </c>
      <c r="J514">
        <v>0</v>
      </c>
    </row>
    <row r="515" spans="9:10" x14ac:dyDescent="0.25">
      <c r="I515" s="4">
        <v>1</v>
      </c>
      <c r="J515">
        <v>49</v>
      </c>
    </row>
    <row r="516" spans="9:10" x14ac:dyDescent="0.25">
      <c r="I516" s="4" t="s">
        <v>2177</v>
      </c>
    </row>
    <row r="517" spans="9:10" x14ac:dyDescent="0.25">
      <c r="I517" s="4" t="s">
        <v>2165</v>
      </c>
      <c r="J517">
        <v>49</v>
      </c>
    </row>
    <row r="519" spans="9:10" x14ac:dyDescent="0.25">
      <c r="I519" s="3" t="s">
        <v>2164</v>
      </c>
      <c r="J519" t="s">
        <v>2183</v>
      </c>
    </row>
    <row r="520" spans="9:10" x14ac:dyDescent="0.25">
      <c r="I520" s="4">
        <v>0</v>
      </c>
      <c r="J520">
        <v>0</v>
      </c>
    </row>
    <row r="521" spans="9:10" x14ac:dyDescent="0.25">
      <c r="I521" s="4">
        <v>1</v>
      </c>
      <c r="J521">
        <v>190</v>
      </c>
    </row>
    <row r="522" spans="9:10" x14ac:dyDescent="0.25">
      <c r="I522" s="4" t="s">
        <v>2177</v>
      </c>
    </row>
    <row r="523" spans="9:10" x14ac:dyDescent="0.25">
      <c r="I523" s="4" t="s">
        <v>2165</v>
      </c>
      <c r="J523">
        <v>190</v>
      </c>
    </row>
    <row r="525" spans="9:10" x14ac:dyDescent="0.25">
      <c r="I525" s="3" t="s">
        <v>2164</v>
      </c>
      <c r="J525" t="s">
        <v>2184</v>
      </c>
    </row>
    <row r="526" spans="9:10" x14ac:dyDescent="0.25">
      <c r="I526" s="4">
        <v>0</v>
      </c>
      <c r="J526">
        <v>0</v>
      </c>
    </row>
    <row r="527" spans="9:10" x14ac:dyDescent="0.25">
      <c r="I527" s="4">
        <v>1</v>
      </c>
      <c r="J527">
        <v>72</v>
      </c>
    </row>
    <row r="528" spans="9:10" x14ac:dyDescent="0.25">
      <c r="I528" s="4" t="s">
        <v>2177</v>
      </c>
    </row>
    <row r="529" spans="9:10" x14ac:dyDescent="0.25">
      <c r="I529" s="4" t="s">
        <v>2165</v>
      </c>
      <c r="J529">
        <v>72</v>
      </c>
    </row>
  </sheetData>
  <autoFilter ref="V34:AB41">
    <sortState ref="V35:AB41">
      <sortCondition descending="1" ref="Y34:Y41"/>
    </sortState>
  </autoFilter>
  <mergeCells count="51">
    <mergeCell ref="M126:M127"/>
    <mergeCell ref="AD100:AD101"/>
    <mergeCell ref="AD102:AD105"/>
    <mergeCell ref="AD108:AD109"/>
    <mergeCell ref="AD110:AD113"/>
    <mergeCell ref="AD116:AD117"/>
    <mergeCell ref="AD118:AD121"/>
    <mergeCell ref="AJ5:AP7"/>
    <mergeCell ref="AJ12:AN13"/>
    <mergeCell ref="I6:I7"/>
    <mergeCell ref="I8:I11"/>
    <mergeCell ref="I12:I18"/>
    <mergeCell ref="H191:H194"/>
    <mergeCell ref="B217:B218"/>
    <mergeCell ref="A219:B219"/>
    <mergeCell ref="L144:L145"/>
    <mergeCell ref="L146:L149"/>
    <mergeCell ref="H189:H190"/>
    <mergeCell ref="F217:H217"/>
    <mergeCell ref="C217:E217"/>
    <mergeCell ref="H195:H199"/>
    <mergeCell ref="A229:B229"/>
    <mergeCell ref="A230:B230"/>
    <mergeCell ref="A231:B231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32:B232"/>
    <mergeCell ref="A233:B233"/>
    <mergeCell ref="A234:B234"/>
    <mergeCell ref="A235:B235"/>
    <mergeCell ref="B321:B322"/>
    <mergeCell ref="C321:D321"/>
    <mergeCell ref="E321:F321"/>
    <mergeCell ref="G321:K321"/>
    <mergeCell ref="A323:B323"/>
    <mergeCell ref="A331:B331"/>
    <mergeCell ref="A324:B324"/>
    <mergeCell ref="A332:B332"/>
    <mergeCell ref="A325:B325"/>
    <mergeCell ref="A326:B326"/>
    <mergeCell ref="A327:B327"/>
    <mergeCell ref="A328:B328"/>
    <mergeCell ref="A329:B329"/>
    <mergeCell ref="A330:B330"/>
  </mergeCells>
  <conditionalFormatting sqref="C323:D323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4:D324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5:D325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6:D326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7:D327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8:D328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9:D329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0:D330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1:D331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2:D332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9:E219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0:E220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1:E221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2:E22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3:E223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4:E224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5:E225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6:E226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7:E227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8:E228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9:E229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0:E230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1:E231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2:E23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3:E233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4:E234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5:E235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3:F323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4:F324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5:F325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6:F326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7:F327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8:F328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29:F329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0:F330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1:F331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2:F332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7:F337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8:F338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39:F339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0:F340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1:F34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2:F342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3:F34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4:F34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5:F34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46:F346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58:F367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19:H219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0:H220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1:H221">
    <cfRule type="colorScale" priority="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2:H222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3:H223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4:H224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5:H225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6:H226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7:H227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8:H228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29:H229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0:H230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1:H231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2:H232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3:H233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4:H23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35:H235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3:K323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4:K324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5:K325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6:K326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7:K327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8:K328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29:K32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0:K330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1:K331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32:K332">
    <cfRule type="colorScale" priority="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22"/>
  <drawing r:id="rId1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3b5ca95-f29d-4812-ba7b-f535f70cee1a" xsi:nil="true"/>
    <lcf76f155ced4ddcb4097134ff3c332f xmlns="be319be2-81fb-419e-b75f-d4a2a4bc46f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01EC4F9D59FD49A441B095F8C63A72" ma:contentTypeVersion="11" ma:contentTypeDescription="Crear nuevo documento." ma:contentTypeScope="" ma:versionID="821a96015744468474bcab8d474beb1b">
  <xsd:schema xmlns:xsd="http://www.w3.org/2001/XMLSchema" xmlns:xs="http://www.w3.org/2001/XMLSchema" xmlns:p="http://schemas.microsoft.com/office/2006/metadata/properties" xmlns:ns2="be319be2-81fb-419e-b75f-d4a2a4bc46f1" xmlns:ns3="f3b5ca95-f29d-4812-ba7b-f535f70cee1a" targetNamespace="http://schemas.microsoft.com/office/2006/metadata/properties" ma:root="true" ma:fieldsID="ccc84f955ff98198f46e862a369010a2" ns2:_="" ns3:_="">
    <xsd:import namespace="be319be2-81fb-419e-b75f-d4a2a4bc46f1"/>
    <xsd:import namespace="f3b5ca95-f29d-4812-ba7b-f535f70cee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19be2-81fb-419e-b75f-d4a2a4bc46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6c48d153-5d17-4f59-9cca-06bb7141b4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b5ca95-f29d-4812-ba7b-f535f70cee1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49d6b8-0108-4a70-96f2-e851ca81f023}" ma:internalName="TaxCatchAll" ma:showField="CatchAllData" ma:web="f3b5ca95-f29d-4812-ba7b-f535f70cee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6827590-25EC-41B8-A1C5-EF3ECDCC0C61}">
  <ds:schemaRefs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be319be2-81fb-419e-b75f-d4a2a4bc46f1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f3b5ca95-f29d-4812-ba7b-f535f70cee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C242BF8-E4A7-4B2F-9D97-00BFF476D5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BC4734-8C81-4F17-A946-734947E32E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319be2-81fb-419e-b75f-d4a2a4bc46f1"/>
    <ds:schemaRef ds:uri="f3b5ca95-f29d-4812-ba7b-f535f70cee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eda</vt:lpstr>
      <vt:lpstr>grafos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Alexis Fernando Coronado Espin</cp:lastModifiedBy>
  <dcterms:created xsi:type="dcterms:W3CDTF">2025-04-28T00:10:42Z</dcterms:created>
  <dcterms:modified xsi:type="dcterms:W3CDTF">2026-04-28T16:50:17Z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0x0101002C01EC4F9D59FD49A441B095F8C63A72</vt:lpwstr>
  </property>
</Properties>
</file>