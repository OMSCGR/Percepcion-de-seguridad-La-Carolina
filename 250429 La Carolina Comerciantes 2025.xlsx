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ivotTables/pivotTable61.xml" ContentType="application/vnd.openxmlformats-officedocument.spreadsheetml.pivotTable+xml"/>
  <Override PartName="/xl/pivotTables/pivotTable62.xml" ContentType="application/vnd.openxmlformats-officedocument.spreadsheetml.pivotTable+xml"/>
  <Override PartName="/xl/pivotTables/pivotTable63.xml" ContentType="application/vnd.openxmlformats-officedocument.spreadsheetml.pivotTable+xml"/>
  <Override PartName="/xl/pivotTables/pivotTable64.xml" ContentType="application/vnd.openxmlformats-officedocument.spreadsheetml.pivotTable+xml"/>
  <Override PartName="/xl/pivotTables/pivotTable65.xml" ContentType="application/vnd.openxmlformats-officedocument.spreadsheetml.pivotTable+xml"/>
  <Override PartName="/xl/pivotTables/pivotTable66.xml" ContentType="application/vnd.openxmlformats-officedocument.spreadsheetml.pivotTable+xml"/>
  <Override PartName="/xl/pivotTables/pivotTable67.xml" ContentType="application/vnd.openxmlformats-officedocument.spreadsheetml.pivotTable+xml"/>
  <Override PartName="/xl/pivotTables/pivotTable68.xml" ContentType="application/vnd.openxmlformats-officedocument.spreadsheetml.pivotTable+xml"/>
  <Override PartName="/xl/pivotTables/pivotTable69.xml" ContentType="application/vnd.openxmlformats-officedocument.spreadsheetml.pivotTable+xml"/>
  <Override PartName="/xl/pivotTables/pivotTable70.xml" ContentType="application/vnd.openxmlformats-officedocument.spreadsheetml.pivotTable+xml"/>
  <Override PartName="/xl/pivotTables/pivotTable71.xml" ContentType="application/vnd.openxmlformats-officedocument.spreadsheetml.pivotTable+xml"/>
  <Override PartName="/xl/pivotTables/pivotTable72.xml" ContentType="application/vnd.openxmlformats-officedocument.spreadsheetml.pivotTable+xml"/>
  <Override PartName="/xl/pivotTables/pivotTable73.xml" ContentType="application/vnd.openxmlformats-officedocument.spreadsheetml.pivotTable+xml"/>
  <Override PartName="/xl/pivotTables/pivotTable74.xml" ContentType="application/vnd.openxmlformats-officedocument.spreadsheetml.pivotTable+xml"/>
  <Override PartName="/xl/pivotTables/pivotTable75.xml" ContentType="application/vnd.openxmlformats-officedocument.spreadsheetml.pivotTable+xml"/>
  <Override PartName="/xl/pivotTables/pivotTable76.xml" ContentType="application/vnd.openxmlformats-officedocument.spreadsheetml.pivotTable+xml"/>
  <Override PartName="/xl/pivotTables/pivotTable77.xml" ContentType="application/vnd.openxmlformats-officedocument.spreadsheetml.pivotTable+xml"/>
  <Override PartName="/xl/pivotTables/pivotTable78.xml" ContentType="application/vnd.openxmlformats-officedocument.spreadsheetml.pivotTable+xml"/>
  <Override PartName="/xl/pivotTables/pivotTable79.xml" ContentType="application/vnd.openxmlformats-officedocument.spreadsheetml.pivotTable+xml"/>
  <Override PartName="/xl/pivotTables/pivotTable80.xml" ContentType="application/vnd.openxmlformats-officedocument.spreadsheetml.pivotTable+xml"/>
  <Override PartName="/xl/pivotTables/pivotTable81.xml" ContentType="application/vnd.openxmlformats-officedocument.spreadsheetml.pivotTable+xml"/>
  <Override PartName="/xl/pivotTables/pivotTable82.xml" ContentType="application/vnd.openxmlformats-officedocument.spreadsheetml.pivotTable+xml"/>
  <Override PartName="/xl/pivotTables/pivotTable83.xml" ContentType="application/vnd.openxmlformats-officedocument.spreadsheetml.pivotTable+xml"/>
  <Override PartName="/xl/pivotTables/pivotTable84.xml" ContentType="application/vnd.openxmlformats-officedocument.spreadsheetml.pivotTable+xml"/>
  <Override PartName="/xl/pivotTables/pivotTable85.xml" ContentType="application/vnd.openxmlformats-officedocument.spreadsheetml.pivotTable+xml"/>
  <Override PartName="/xl/pivotTables/pivotTable86.xml" ContentType="application/vnd.openxmlformats-officedocument.spreadsheetml.pivotTable+xml"/>
  <Override PartName="/xl/pivotTables/pivotTable87.xml" ContentType="application/vnd.openxmlformats-officedocument.spreadsheetml.pivotTable+xml"/>
  <Override PartName="/xl/pivotTables/pivotTable88.xml" ContentType="application/vnd.openxmlformats-officedocument.spreadsheetml.pivotTable+xml"/>
  <Override PartName="/xl/pivotTables/pivotTable89.xml" ContentType="application/vnd.openxmlformats-officedocument.spreadsheetml.pivotTable+xml"/>
  <Override PartName="/xl/pivotTables/pivotTable90.xml" ContentType="application/vnd.openxmlformats-officedocument.spreadsheetml.pivotTable+xml"/>
  <Override PartName="/xl/pivotTables/pivotTable91.xml" ContentType="application/vnd.openxmlformats-officedocument.spreadsheetml.pivotTable+xml"/>
  <Override PartName="/xl/pivotTables/pivotTable92.xml" ContentType="application/vnd.openxmlformats-officedocument.spreadsheetml.pivotTable+xml"/>
  <Override PartName="/xl/pivotTables/pivotTable93.xml" ContentType="application/vnd.openxmlformats-officedocument.spreadsheetml.pivotTable+xml"/>
  <Override PartName="/xl/pivotTables/pivotTable94.xml" ContentType="application/vnd.openxmlformats-officedocument.spreadsheetml.pivotTable+xml"/>
  <Override PartName="/xl/pivotTables/pivotTable95.xml" ContentType="application/vnd.openxmlformats-officedocument.spreadsheetml.pivotTable+xml"/>
  <Override PartName="/xl/pivotTables/pivotTable96.xml" ContentType="application/vnd.openxmlformats-officedocument.spreadsheetml.pivotTable+xml"/>
  <Override PartName="/xl/pivotTables/pivotTable97.xml" ContentType="application/vnd.openxmlformats-officedocument.spreadsheetml.pivotTable+xml"/>
  <Override PartName="/xl/pivotTables/pivotTable98.xml" ContentType="application/vnd.openxmlformats-officedocument.spreadsheetml.pivotTable+xml"/>
  <Override PartName="/xl/pivotTables/pivotTable99.xml" ContentType="application/vnd.openxmlformats-officedocument.spreadsheetml.pivotTable+xml"/>
  <Override PartName="/xl/pivotTables/pivotTable100.xml" ContentType="application/vnd.openxmlformats-officedocument.spreadsheetml.pivotTable+xml"/>
  <Override PartName="/xl/pivotTables/pivotTable101.xml" ContentType="application/vnd.openxmlformats-officedocument.spreadsheetml.pivotTable+xml"/>
  <Override PartName="/xl/pivotTables/pivotTable102.xml" ContentType="application/vnd.openxmlformats-officedocument.spreadsheetml.pivotTable+xml"/>
  <Override PartName="/xl/pivotTables/pivotTable103.xml" ContentType="application/vnd.openxmlformats-officedocument.spreadsheetml.pivotTable+xml"/>
  <Override PartName="/xl/pivotTables/pivotTable104.xml" ContentType="application/vnd.openxmlformats-officedocument.spreadsheetml.pivotTable+xml"/>
  <Override PartName="/xl/pivotTables/pivotTable105.xml" ContentType="application/vnd.openxmlformats-officedocument.spreadsheetml.pivotTable+xml"/>
  <Override PartName="/xl/pivotTables/pivotTable106.xml" ContentType="application/vnd.openxmlformats-officedocument.spreadsheetml.pivotTable+xml"/>
  <Override PartName="/xl/pivotTables/pivotTable107.xml" ContentType="application/vnd.openxmlformats-officedocument.spreadsheetml.pivotTable+xml"/>
  <Override PartName="/xl/pivotTables/pivotTable108.xml" ContentType="application/vnd.openxmlformats-officedocument.spreadsheetml.pivotTable+xml"/>
  <Override PartName="/xl/pivotTables/pivotTable109.xml" ContentType="application/vnd.openxmlformats-officedocument.spreadsheetml.pivotTable+xml"/>
  <Override PartName="/xl/pivotTables/pivotTable110.xml" ContentType="application/vnd.openxmlformats-officedocument.spreadsheetml.pivotTable+xml"/>
  <Override PartName="/xl/pivotTables/pivotTable111.xml" ContentType="application/vnd.openxmlformats-officedocument.spreadsheetml.pivotTable+xml"/>
  <Override PartName="/xl/pivotTables/pivotTable112.xml" ContentType="application/vnd.openxmlformats-officedocument.spreadsheetml.pivotTable+xml"/>
  <Override PartName="/xl/pivotTables/pivotTable113.xml" ContentType="application/vnd.openxmlformats-officedocument.spreadsheetml.pivotTable+xml"/>
  <Override PartName="/xl/pivotTables/pivotTable114.xml" ContentType="application/vnd.openxmlformats-officedocument.spreadsheetml.pivotTable+xml"/>
  <Override PartName="/xl/pivotTables/pivotTable115.xml" ContentType="application/vnd.openxmlformats-officedocument.spreadsheetml.pivotTable+xml"/>
  <Override PartName="/xl/pivotTables/pivotTable116.xml" ContentType="application/vnd.openxmlformats-officedocument.spreadsheetml.pivotTable+xml"/>
  <Override PartName="/xl/pivotTables/pivotTable117.xml" ContentType="application/vnd.openxmlformats-officedocument.spreadsheetml.pivotTable+xml"/>
  <Override PartName="/xl/pivotTables/pivotTable118.xml" ContentType="application/vnd.openxmlformats-officedocument.spreadsheetml.pivotTable+xml"/>
  <Override PartName="/xl/pivotTables/pivotTable119.xml" ContentType="application/vnd.openxmlformats-officedocument.spreadsheetml.pivotTable+xml"/>
  <Override PartName="/xl/pivotTables/pivotTable120.xml" ContentType="application/vnd.openxmlformats-officedocument.spreadsheetml.pivotTable+xml"/>
  <Override PartName="/xl/pivotTables/pivotTable121.xml" ContentType="application/vnd.openxmlformats-officedocument.spreadsheetml.pivotTable+xml"/>
  <Override PartName="/xl/pivotTables/pivotTable122.xml" ContentType="application/vnd.openxmlformats-officedocument.spreadsheetml.pivotTable+xml"/>
  <Override PartName="/xl/pivotTables/pivotTable123.xml" ContentType="application/vnd.openxmlformats-officedocument.spreadsheetml.pivotTable+xml"/>
  <Override PartName="/xl/pivotTables/pivotTable124.xml" ContentType="application/vnd.openxmlformats-officedocument.spreadsheetml.pivotTable+xml"/>
  <Override PartName="/xl/pivotTables/pivotTable125.xml" ContentType="application/vnd.openxmlformats-officedocument.spreadsheetml.pivotTable+xml"/>
  <Override PartName="/xl/pivotTables/pivotTable126.xml" ContentType="application/vnd.openxmlformats-officedocument.spreadsheetml.pivotTable+xml"/>
  <Override PartName="/xl/pivotTables/pivotTable127.xml" ContentType="application/vnd.openxmlformats-officedocument.spreadsheetml.pivotTable+xml"/>
  <Override PartName="/xl/pivotTables/pivotTable128.xml" ContentType="application/vnd.openxmlformats-officedocument.spreadsheetml.pivotTable+xml"/>
  <Override PartName="/xl/pivotTables/pivotTable129.xml" ContentType="application/vnd.openxmlformats-officedocument.spreadsheetml.pivotTable+xml"/>
  <Override PartName="/xl/pivotTables/pivotTable130.xml" ContentType="application/vnd.openxmlformats-officedocument.spreadsheetml.pivotTable+xml"/>
  <Override PartName="/xl/pivotTables/pivotTable131.xml" ContentType="application/vnd.openxmlformats-officedocument.spreadsheetml.pivotTable+xml"/>
  <Override PartName="/xl/pivotTables/pivotTable132.xml" ContentType="application/vnd.openxmlformats-officedocument.spreadsheetml.pivotTable+xml"/>
  <Override PartName="/xl/pivotTables/pivotTable133.xml" ContentType="application/vnd.openxmlformats-officedocument.spreadsheetml.pivotTable+xml"/>
  <Override PartName="/xl/pivotTables/pivotTable134.xml" ContentType="application/vnd.openxmlformats-officedocument.spreadsheetml.pivotTable+xml"/>
  <Override PartName="/xl/pivotTables/pivotTable135.xml" ContentType="application/vnd.openxmlformats-officedocument.spreadsheetml.pivotTable+xml"/>
  <Override PartName="/xl/pivotTables/pivotTable136.xml" ContentType="application/vnd.openxmlformats-officedocument.spreadsheetml.pivotTable+xml"/>
  <Override PartName="/xl/pivotTables/pivotTable137.xml" ContentType="application/vnd.openxmlformats-officedocument.spreadsheetml.pivotTable+xml"/>
  <Override PartName="/xl/pivotTables/pivotTable138.xml" ContentType="application/vnd.openxmlformats-officedocument.spreadsheetml.pivotTable+xml"/>
  <Override PartName="/xl/pivotTables/pivotTable139.xml" ContentType="application/vnd.openxmlformats-officedocument.spreadsheetml.pivotTable+xml"/>
  <Override PartName="/xl/pivotTables/pivotTable140.xml" ContentType="application/vnd.openxmlformats-officedocument.spreadsheetml.pivotTable+xml"/>
  <Override PartName="/xl/pivotTables/pivotTable141.xml" ContentType="application/vnd.openxmlformats-officedocument.spreadsheetml.pivotTable+xml"/>
  <Override PartName="/xl/pivotTables/pivotTable142.xml" ContentType="application/vnd.openxmlformats-officedocument.spreadsheetml.pivotTable+xml"/>
  <Override PartName="/xl/pivotTables/pivotTable143.xml" ContentType="application/vnd.openxmlformats-officedocument.spreadsheetml.pivotTable+xml"/>
  <Override PartName="/xl/pivotTables/pivotTable144.xml" ContentType="application/vnd.openxmlformats-officedocument.spreadsheetml.pivotTable+xml"/>
  <Override PartName="/xl/pivotTables/pivotTable145.xml" ContentType="application/vnd.openxmlformats-officedocument.spreadsheetml.pivotTable+xml"/>
  <Override PartName="/xl/pivotTables/pivotTable146.xml" ContentType="application/vnd.openxmlformats-officedocument.spreadsheetml.pivotTable+xml"/>
  <Override PartName="/xl/pivotTables/pivotTable147.xml" ContentType="application/vnd.openxmlformats-officedocument.spreadsheetml.pivotTable+xml"/>
  <Override PartName="/xl/pivotTables/pivotTable148.xml" ContentType="application/vnd.openxmlformats-officedocument.spreadsheetml.pivotTable+xml"/>
  <Override PartName="/xl/pivotTables/pivotTable149.xml" ContentType="application/vnd.openxmlformats-officedocument.spreadsheetml.pivotTable+xml"/>
  <Override PartName="/xl/pivotTables/pivotTable150.xml" ContentType="application/vnd.openxmlformats-officedocument.spreadsheetml.pivotTable+xml"/>
  <Override PartName="/xl/pivotTables/pivotTable151.xml" ContentType="application/vnd.openxmlformats-officedocument.spreadsheetml.pivotTable+xml"/>
  <Override PartName="/xl/pivotTables/pivotTable152.xml" ContentType="application/vnd.openxmlformats-officedocument.spreadsheetml.pivotTable+xml"/>
  <Override PartName="/xl/pivotTables/pivotTable153.xml" ContentType="application/vnd.openxmlformats-officedocument.spreadsheetml.pivotTable+xml"/>
  <Override PartName="/xl/pivotTables/pivotTable154.xml" ContentType="application/vnd.openxmlformats-officedocument.spreadsheetml.pivotTable+xml"/>
  <Override PartName="/xl/pivotTables/pivotTable155.xml" ContentType="application/vnd.openxmlformats-officedocument.spreadsheetml.pivotTable+xml"/>
  <Override PartName="/xl/pivotTables/pivotTable156.xml" ContentType="application/vnd.openxmlformats-officedocument.spreadsheetml.pivotTable+xml"/>
  <Override PartName="/xl/pivotTables/pivotTable157.xml" ContentType="application/vnd.openxmlformats-officedocument.spreadsheetml.pivotTable+xml"/>
  <Override PartName="/xl/pivotTables/pivotTable158.xml" ContentType="application/vnd.openxmlformats-officedocument.spreadsheetml.pivotTable+xml"/>
  <Override PartName="/xl/pivotTables/pivotTable159.xml" ContentType="application/vnd.openxmlformats-officedocument.spreadsheetml.pivotTable+xml"/>
  <Override PartName="/xl/pivotTables/pivotTable160.xml" ContentType="application/vnd.openxmlformats-officedocument.spreadsheetml.pivotTable+xml"/>
  <Override PartName="/xl/pivotTables/pivotTable161.xml" ContentType="application/vnd.openxmlformats-officedocument.spreadsheetml.pivotTable+xml"/>
  <Override PartName="/xl/pivotTables/pivotTable162.xml" ContentType="application/vnd.openxmlformats-officedocument.spreadsheetml.pivotTable+xml"/>
  <Override PartName="/xl/pivotTables/pivotTable163.xml" ContentType="application/vnd.openxmlformats-officedocument.spreadsheetml.pivotTable+xml"/>
  <Override PartName="/xl/pivotTables/pivotTable164.xml" ContentType="application/vnd.openxmlformats-officedocument.spreadsheetml.pivotTable+xml"/>
  <Override PartName="/xl/pivotTables/pivotTable165.xml" ContentType="application/vnd.openxmlformats-officedocument.spreadsheetml.pivotTable+xml"/>
  <Override PartName="/xl/pivotTables/pivotTable166.xml" ContentType="application/vnd.openxmlformats-officedocument.spreadsheetml.pivotTable+xml"/>
  <Override PartName="/xl/pivotTables/pivotTable16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Records1.xml" ContentType="application/vnd.openxmlformats-officedocument.spreadsheetml.pivotCacheRecord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mdmqdireccioninformatica-my.sharepoint.com/personal/german_herrera_quito_gob_ec/Documents/Docs OMSC/11 Estudio Inseguridad La Carolina/entregables/02. Base de datos/"/>
    </mc:Choice>
  </mc:AlternateContent>
  <xr:revisionPtr revIDLastSave="462" documentId="8_{D58375F3-7F0E-4D57-8E7D-A6C6D8FCE11C}" xr6:coauthVersionLast="47" xr6:coauthVersionMax="47" xr10:uidLastSave="{F0D7B582-C4C8-48D1-98EE-CE5A606C8F8A}"/>
  <bookViews>
    <workbookView xWindow="-120" yWindow="-120" windowWidth="20730" windowHeight="11040" xr2:uid="{00000000-000D-0000-FFFF-FFFF00000000}"/>
  </bookViews>
  <sheets>
    <sheet name="Sheet" sheetId="1" r:id="rId1"/>
    <sheet name="eda" sheetId="2" r:id="rId2"/>
    <sheet name="grafos" sheetId="4" r:id="rId3"/>
  </sheets>
  <definedNames>
    <definedName name="_xlnm._FilterDatabase" localSheetId="2" hidden="1">grafos!$O$173:$Q$190</definedName>
    <definedName name="_xlnm._FilterDatabase" localSheetId="0" hidden="1">Sheet!$A$1:$FQ$167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75" i="4" l="1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74" i="4"/>
  <c r="P313" i="4"/>
  <c r="P314" i="4"/>
  <c r="P315" i="4"/>
  <c r="P316" i="4"/>
  <c r="P317" i="4"/>
  <c r="P318" i="4"/>
  <c r="P319" i="4"/>
  <c r="P320" i="4"/>
  <c r="P321" i="4"/>
  <c r="P312" i="4"/>
  <c r="O313" i="4"/>
  <c r="O314" i="4"/>
  <c r="O315" i="4"/>
  <c r="O316" i="4"/>
  <c r="O317" i="4"/>
  <c r="O318" i="4"/>
  <c r="O319" i="4"/>
  <c r="O320" i="4"/>
  <c r="O321" i="4"/>
  <c r="O312" i="4"/>
  <c r="H36" i="2"/>
  <c r="BW3" i="1"/>
  <c r="BW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2" i="1"/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2" i="1"/>
</calcChain>
</file>

<file path=xl/sharedStrings.xml><?xml version="1.0" encoding="utf-8"?>
<sst xmlns="http://schemas.openxmlformats.org/spreadsheetml/2006/main" count="13939" uniqueCount="1478">
  <si>
    <t>start</t>
  </si>
  <si>
    <t>end</t>
  </si>
  <si>
    <t>Digitador</t>
  </si>
  <si>
    <t>Cuestionario No.</t>
  </si>
  <si>
    <t>Fecha:</t>
  </si>
  <si>
    <t>Grupo:</t>
  </si>
  <si>
    <t>Encuestador:</t>
  </si>
  <si>
    <t>Supervisor:</t>
  </si>
  <si>
    <t>Latitud</t>
  </si>
  <si>
    <t>Longitud</t>
  </si>
  <si>
    <t>¿Usted cuenta con un permiso de funcionamiento?</t>
  </si>
  <si>
    <t>¿Cuánto tiempo lleva trabajando en este parque?( en años o meses)</t>
  </si>
  <si>
    <t>Tiempo:</t>
  </si>
  <si>
    <t>Rechazó la encuesta</t>
  </si>
  <si>
    <t>Menor de edad</t>
  </si>
  <si>
    <t>No termina la encuesta</t>
  </si>
  <si>
    <t>No cumple con el filtro</t>
  </si>
  <si>
    <t>DD. 1 Sexo Enc. Por observación</t>
  </si>
  <si>
    <t>DD.2 ¿Cuántos años tiene?</t>
  </si>
  <si>
    <t>DD. 3 ¿Su nacionalidad es ecuatoriana?</t>
  </si>
  <si>
    <t>DD3.1 ¿Cuál es su nacionalidad?</t>
  </si>
  <si>
    <t>DD. 4 ¿Cómo se identifica usted según su cultura y costumbres?:Enc. leer RU.</t>
  </si>
  <si>
    <t>DD.4.8 ¿Cuál?</t>
  </si>
  <si>
    <t>DD. 5 Actualmente, ¿cuál es su Estado Civil? Enc. respuesta espontánea y RU.</t>
  </si>
  <si>
    <t>DD.6 ¿Cuál es su nivel de estudios aprobados? Enc. respuesta espontánea y RU.</t>
  </si>
  <si>
    <t>DD.6.1 ¿Completa/Incompleta?</t>
  </si>
  <si>
    <t>DD. 7 ¿En qué rango se encuentra los ingresos mensuales de su hogar, es decir, de todas las personas que trabajan y/o reciben ingresos? (ingresos laborales, remesas, ayudas, rentas, bonos, entre otros) Enc. leer opciones y RU.</t>
  </si>
  <si>
    <t>PSC.1 En los últimos 6 meses, es decir, de septiembre 2024 a la fecha. EN TÉRMINOS DE SU SEGURIDAD PERSONAL,  ¿cómo se sintió usted en el parque? Enc. leer opciones y RU</t>
  </si>
  <si>
    <t>PSC.1.1 Razón 1</t>
  </si>
  <si>
    <t>PSC.1.2 Razón 2</t>
  </si>
  <si>
    <t>PSC.1.3 Razón 3</t>
  </si>
  <si>
    <t>PSC.2 En los últimos 6 meses, es decir,  de septiembre 2024 a la fecha. EN TÉRMINOS DE SEGURIDAD, ¿qué tan segura/o se siente usted cuando está atendiendo en este puesto?: Enc. leer opciones y RU</t>
  </si>
  <si>
    <t>PSC.3 ¿En qué horario? Enc. Respuesta Leer opciones. RM</t>
  </si>
  <si>
    <t>PSC.3 ¿En qué horario? Enc. Respuesta Leer opciones. RM/Madrugada (00:00 a 05:59)</t>
  </si>
  <si>
    <t>PSC.3 ¿En qué horario? Enc. Respuesta Leer opciones. RM/Mañana  (06:00 a 11:59)</t>
  </si>
  <si>
    <t>PSC.3 ¿En qué horario? Enc. Respuesta Leer opciones. RM/Tarde (12:00 a 17:59)</t>
  </si>
  <si>
    <t>PSC.3 ¿En qué horario? Enc. Respuesta Leer opciones. RM/Noche  (18:00 a 23:59)</t>
  </si>
  <si>
    <t>PSC.3 ¿En qué horario? Enc. Respuesta Leer opciones. RM/Todos los horarios</t>
  </si>
  <si>
    <t>PSC.4 ¿En los últimos 6 meses, es decir,  de septiembre 2024 a la fecha, considera que la situación de inseguridad en el parque? Enc. leer opciones y RU</t>
  </si>
  <si>
    <t>¿Ha cambiado su horario de venta al público?  Enc. respuesta espontánea y RU</t>
  </si>
  <si>
    <t>¿Ha evitado estar solo/a para atender al público? Enc. respuesta espontánea y RU</t>
  </si>
  <si>
    <t>¿Ha implementado medidas de seguridad en su negocio ? Como bates, palos, gas pimienta.    Enc. Si la respuesta es SI preguntar ¿cuáles?</t>
  </si>
  <si>
    <t>CH.1.1 ¿Cuáles?</t>
  </si>
  <si>
    <t>CH.1.1 ¿Cuáles?/1. Bate de béisbol</t>
  </si>
  <si>
    <t>CH.1.1 ¿Cuáles?/2. Gas pimienta</t>
  </si>
  <si>
    <t>CH.1.1 ¿Cuáles?/3. Palos</t>
  </si>
  <si>
    <t>CH.1.1 ¿Cuáles?/4. Armas blancas</t>
  </si>
  <si>
    <t>CH.1.1 ¿Cuáles?/5. Arma de fuego</t>
  </si>
  <si>
    <t>CH.1.1 ¿Cuáles?/6. Otros</t>
  </si>
  <si>
    <t>CH.1.1.1 ¿Cuál?</t>
  </si>
  <si>
    <t>VI.1 En los últimos 6 meses, es decir, de septiembre 2024 a la fecha. Ud. ha sido víctima de algún tipo de delito en el parque?</t>
  </si>
  <si>
    <t>¿De qué delitos fue víctima? Enc. respuesta espontáne. RM</t>
  </si>
  <si>
    <t>¿De qué delitos fue víctima? Enc. respuesta espontáne. RM/VI.2 Robo  (con violencia)</t>
  </si>
  <si>
    <t>¿De qué delitos fue víctima? Enc. respuesta espontáne. RM/VI.3 Hurto (sin violencia)</t>
  </si>
  <si>
    <t>¿De qué delitos fue víctima? Enc. respuesta espontáne. RM/VI.4 Extorsión</t>
  </si>
  <si>
    <t>¿De qué delitos fue víctima? Enc. respuesta espontáne. RM/VI.5 Estafa</t>
  </si>
  <si>
    <t>¿De qué delitos fue víctima? Enc. respuesta espontáne. RM/VI.6 Amenazas</t>
  </si>
  <si>
    <t>¿De qué delitos fue víctima? Enc. respuesta espontáne. RM/VI.7 Agresiones</t>
  </si>
  <si>
    <t>¿De qué delitos fue víctima? Enc. respuesta espontáne. RM/VI.8 Fraude bancario</t>
  </si>
  <si>
    <t>¿De qué delitos fue víctima? Enc. respuesta espontáne. RM/VI.9 Soborno</t>
  </si>
  <si>
    <t>¿De qué delitos fue víctima? Enc. respuesta espontáne. RM/VI.10 Agresión física</t>
  </si>
  <si>
    <t>¿De qué delitos fue víctima? Enc. respuesta espontáne. RM/VI.11 Agresión verbal</t>
  </si>
  <si>
    <t>¿De qué delitos fue víctima? Enc. respuesta espontáne. RM/VI.10 Otros</t>
  </si>
  <si>
    <t>VI.10.1 ¿Cuál?</t>
  </si>
  <si>
    <t>VI.12.1 ¿Denunció ese delito?</t>
  </si>
  <si>
    <t>VI.2.1 ¿Denunció Robo  (con violencia)?</t>
  </si>
  <si>
    <t>VI.3.1 ¿Denunció Hurto (sin violencia) ?</t>
  </si>
  <si>
    <t>VI.4.1 ¿Denunció Extorsión?</t>
  </si>
  <si>
    <t>VI.5.1 ¿Denunció Estafa?</t>
  </si>
  <si>
    <t>VI.6.1 ¿Denunció Amenazas?</t>
  </si>
  <si>
    <t>VI.7.1 ¿Denunció Agresiones?</t>
  </si>
  <si>
    <t>VI.8.1 ¿Denunció Fraude bancario?</t>
  </si>
  <si>
    <t>VI.9.1 ¿Denunció Soborno?</t>
  </si>
  <si>
    <t>En los últimos 6 meses, es decir, de septiembre 2024 a la fecha. ¿Usted ha presenciado y con qué frecuencia las siguientes situaciones en el espacio público de este parque, por ejemplo: Enc. leer opciones  RU. por situación</t>
  </si>
  <si>
    <t>CC.1 Alguien puso música a un volumen excesivo o hizo mucho ruido y eso le molestó?</t>
  </si>
  <si>
    <t>CC.1.1 ¿Con qué frecuencia?</t>
  </si>
  <si>
    <t>CC.2 Grafitis no artísticos que le molestaron?</t>
  </si>
  <si>
    <t>CC.2.1 ¿Con qué frecuencia?</t>
  </si>
  <si>
    <t>CC.3 Personas que orinan en el parque?</t>
  </si>
  <si>
    <t>CC.3.1 ¿Con qué frecuencia?</t>
  </si>
  <si>
    <t>CC.4 Desechos de animales ?</t>
  </si>
  <si>
    <t>CC.4.1 ¿Con qué frecuencia?</t>
  </si>
  <si>
    <t>CC.5 Áreas sin iluminación ?</t>
  </si>
  <si>
    <t>CC.5.1 ¿Con qué frecuencia?</t>
  </si>
  <si>
    <t>CC.6 Peleas o riñas ?</t>
  </si>
  <si>
    <t>CC.6.1 ¿Con qué frecuencia?</t>
  </si>
  <si>
    <t>CC.7 Habitantes en situación de calle (mendicidad) ?</t>
  </si>
  <si>
    <t>CC.7.1 ¿Con qué frecuencia?</t>
  </si>
  <si>
    <t>CC.8 Consumo de alcohol?</t>
  </si>
  <si>
    <t>CC.8.1 ¿Con qué frecuencia?</t>
  </si>
  <si>
    <t>CC.9 Venta de alcohol?</t>
  </si>
  <si>
    <t>CC.9.1 ¿Con qué frecuencia?</t>
  </si>
  <si>
    <t>CC.10 Consumo de drogas?</t>
  </si>
  <si>
    <t>CC.10.1 ¿Con qué frecuencia?</t>
  </si>
  <si>
    <t>CC.11 Venta de drogas?</t>
  </si>
  <si>
    <t>CC.11.1 ¿Con qué frecuencia?</t>
  </si>
  <si>
    <t>CC.12 Daño a la propiedad pública y privada?</t>
  </si>
  <si>
    <t>CC.12.1 ¿Con qué frecuencia?</t>
  </si>
  <si>
    <t>CC.13 Fauna Urbana? (animales sin hogar)</t>
  </si>
  <si>
    <t>CC.13.2 ¿Con qué frecuencia?</t>
  </si>
  <si>
    <t>CC.14 Basura y suciedad?</t>
  </si>
  <si>
    <t>CC.14.2 ¿Con qué frecuencia?</t>
  </si>
  <si>
    <t>CC.15 Trabajo sexual (prostitución)?</t>
  </si>
  <si>
    <t>CC.15.2 ¿Con qué frecuencia?</t>
  </si>
  <si>
    <t>CC.16 Aglomeración de personas?</t>
  </si>
  <si>
    <t>CC.16.2 ¿Con qué frecuencia?</t>
  </si>
  <si>
    <t>CC.17 ¿Alguna otra que no le haya mencionado?</t>
  </si>
  <si>
    <t>CC.17.1 ¿Cuál?</t>
  </si>
  <si>
    <t>CC.17.2 ¿Con qué frecuencia?</t>
  </si>
  <si>
    <t>PCA.1 En los últimos 6 meses, es decir, de septiembre 2024 a la fecha. ¿Usted ha presenciado ventas ambulantes en el parque ? Enc. RE y RU.</t>
  </si>
  <si>
    <t>PCA.1.0 ¿Con qué frecuencia?</t>
  </si>
  <si>
    <t>PCA.1.1 Le molestan las ventas ambulantes en el parque? Enc. RE y RU.</t>
  </si>
  <si>
    <t>En los últimos 6 meses, es decir, de septiembre 2024 a la fecha ¿Ud ha visto funcionarios de las siguientes instituciones? Enc. si la respuesta es "SI", por favor preguntar si utilizó algún servicio</t>
  </si>
  <si>
    <t>SSM.1 Agencia Metropolitana de Control (AMC)</t>
  </si>
  <si>
    <t>SSM.1.1 ¿Utilizó algún servicio o guía?</t>
  </si>
  <si>
    <t>SSM.1.2 ¿Cómo califica el servicio?</t>
  </si>
  <si>
    <t>SSM.2 Agencia Metropolitana de Control de Comercio (AMCC)</t>
  </si>
  <si>
    <t>SSM.2.1 ¿Utilizó algún servicio o guía?</t>
  </si>
  <si>
    <t>SSM.2.2 ¿Cómo califica el servicio?</t>
  </si>
  <si>
    <t>SSM.3 Patronato San José (UPMSJ)</t>
  </si>
  <si>
    <t>SSM.3.1 ¿Utilizó algún servicio o guía?</t>
  </si>
  <si>
    <t>SSM.3.2 ¿Cómo califica el servicio?</t>
  </si>
  <si>
    <t>SSM.4 Cuerpo de Agentes de Control Metropolitano de Quito (CACMQ)</t>
  </si>
  <si>
    <t>SSM.4.1 ¿Utilizó algún servicio o guía?</t>
  </si>
  <si>
    <t>SSM.4.2 ¿Cómo califica el servicio?</t>
  </si>
  <si>
    <t>SSM.5 Cuerpo de Bombero de Quito (CBQ)</t>
  </si>
  <si>
    <t>SSM.5.1 ¿Utilizó algún servicio o guía?</t>
  </si>
  <si>
    <t>SSM.5.2 ¿Cómo califica el servicio?</t>
  </si>
  <si>
    <t>SSM.6 Agencia Metropolitana de Tránsito (AMT)</t>
  </si>
  <si>
    <t>SSM.6.1 ¿Utilizó algún servicio o guía?</t>
  </si>
  <si>
    <t>SSM.6.2 ¿Cómo califica el servicio?</t>
  </si>
  <si>
    <t>SSM.7 Empresa Metropolitana de Aseo (EMASEO)</t>
  </si>
  <si>
    <t>SSM.7.1 ¿Utilizó algún servicio o guía?</t>
  </si>
  <si>
    <t>SSM.7.2 ¿Cómo califica el servicio?</t>
  </si>
  <si>
    <t>SSM.8 Policía Nacional (PN)</t>
  </si>
  <si>
    <t>SSM.8.1 ¿Utilizó algún servicio o guía?</t>
  </si>
  <si>
    <t>SSM.8.2 ¿Cómo califica el servicio?</t>
  </si>
  <si>
    <t>SSM.10 Fuerzas Armadas del Ecuador (FFAA)</t>
  </si>
  <si>
    <t>SSM.10.1 ¿Utilizó algún servicio o guía?</t>
  </si>
  <si>
    <t>SSM.10.2 ¿Cómo califica el servicio?</t>
  </si>
  <si>
    <t>SSM.11 Secretaría General de Seguridad Ciudadana y Gestión de Riesgos</t>
  </si>
  <si>
    <t>SSM.11.1 ¿Utilizó algún servicio o guía?</t>
  </si>
  <si>
    <t>SSM.11.2 ¿Cómo califica el servicio?</t>
  </si>
  <si>
    <t>SSM.10 Por favor me puede mencionar tres sentimientos que le generen cuando se encuentra en este parque  Enc. respuesta espontánea y RM.</t>
  </si>
  <si>
    <t>1.</t>
  </si>
  <si>
    <t>2.</t>
  </si>
  <si>
    <t>3.</t>
  </si>
  <si>
    <t>CA. 1 En relación con su espacio de trabajo actual, ¿le gustaría que se realicen mejoras (como mantenimiento o renovación de carpas, mobiliario, etc.) para optimizar su labor y la experiencia de sus clientes? Enc. Leer y RU</t>
  </si>
  <si>
    <t>CA. 2 Si se presentaran propuestas para mejorar las condiciones de trabajo de los comerciantes en el parque, ¿estaría interesado en conocerlas y evaluarlas, considerando que se respeten sus derechos y su trayectoria en este lugar? Enc. Leer y RU</t>
  </si>
  <si>
    <t>CARACTERIZACION DEL COMERCIO</t>
  </si>
  <si>
    <t>CARACTERIZACION DEL COMERCIO/Accesorios de celular</t>
  </si>
  <si>
    <t>CARACTERIZACION DEL COMERCIO/Bebidas/Confites/Comestibles industrializados/ Tabacos</t>
  </si>
  <si>
    <t>CARACTERIZACION DEL COMERCIO/Vestimenta y accesorios</t>
  </si>
  <si>
    <t>CARACTERIZACION DEL COMERCIO/Limpieza de calzado</t>
  </si>
  <si>
    <t>CARACTERIZACION DEL COMERCIO/Comida preparada</t>
  </si>
  <si>
    <t>CARACTERIZACION DEL COMERCIO/Frutas y Legumbres</t>
  </si>
  <si>
    <t>CARACTERIZACION DEL COMERCIO/Artesanías</t>
  </si>
  <si>
    <t>CARACTERIZACION DEL COMERCIO/Revistas y periódicos impresos</t>
  </si>
  <si>
    <t>CARACTERIZACION DEL COMERCIO/Otros:</t>
  </si>
  <si>
    <t>¿Cuál?</t>
  </si>
  <si>
    <t>Observaciones: ENC: REGISTRE AQUÍ CUALQUIER OBSERVACIÓN NO CONSIGNADA EN LAS PREGUNTAS DEL CUESTIONARIO.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</si>
  <si>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</si>
  <si>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</si>
  <si>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</si>
  <si>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</si>
  <si>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</si>
  <si>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</si>
  <si>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</si>
  <si>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</si>
  <si>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</si>
  <si>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</si>
  <si>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GH</t>
  </si>
  <si>
    <t>LS</t>
  </si>
  <si>
    <t>1. Sí</t>
  </si>
  <si>
    <t>1. Años</t>
  </si>
  <si>
    <t>1. Hombre</t>
  </si>
  <si>
    <t>6. Mestiza(o)</t>
  </si>
  <si>
    <t>2. Divorciada/o</t>
  </si>
  <si>
    <t>3. Secundaria/ Bachillerato</t>
  </si>
  <si>
    <t>1. Completa</t>
  </si>
  <si>
    <t>3. de $920 a $1339</t>
  </si>
  <si>
    <t>1. MUY SEGURO</t>
  </si>
  <si>
    <t>Madrugada (00:00 a 05:59)</t>
  </si>
  <si>
    <t>1. Empeoró</t>
  </si>
  <si>
    <t>2. Gas pimienta</t>
  </si>
  <si>
    <t>1. POCO FRECUENTE</t>
  </si>
  <si>
    <t>2. FRECUENTE</t>
  </si>
  <si>
    <t>3. MUY FRECUENTE</t>
  </si>
  <si>
    <t>1. MUY BUENO</t>
  </si>
  <si>
    <t>99. NS/NC</t>
  </si>
  <si>
    <t>3. MALO</t>
  </si>
  <si>
    <t>2. BUENO</t>
  </si>
  <si>
    <t>2. No</t>
  </si>
  <si>
    <t>submitted_via_web</t>
  </si>
  <si>
    <t>vpsziw45rUquZQYxjPdXa5</t>
  </si>
  <si>
    <t>AFC</t>
  </si>
  <si>
    <t>GB-FG</t>
  </si>
  <si>
    <t>KV</t>
  </si>
  <si>
    <t>-0,18098</t>
  </si>
  <si>
    <t>-78,48296</t>
  </si>
  <si>
    <t>5. Soltera/o</t>
  </si>
  <si>
    <t>2. de $471 a $919</t>
  </si>
  <si>
    <t>2. SEGURO</t>
  </si>
  <si>
    <t>POR APOYO DE LA GENTE Y PRESENCIA DE SEGURIDAD</t>
  </si>
  <si>
    <t>Mañana  (06:00 a 11:59)</t>
  </si>
  <si>
    <t>3. Mejoró</t>
  </si>
  <si>
    <t>1. Bate de béisbol</t>
  </si>
  <si>
    <t>BIEN PORQUE HAY SEGURIDAD</t>
  </si>
  <si>
    <t>Comida preparada</t>
  </si>
  <si>
    <t>IMPLEMENTAR MAS BATERIAS SANITARIAS</t>
  </si>
  <si>
    <t>e2a3693c-9fed-461a-85e9-18daebbc47c1</t>
  </si>
  <si>
    <t>CC</t>
  </si>
  <si>
    <t>-0,18139</t>
  </si>
  <si>
    <t>-78,48331</t>
  </si>
  <si>
    <t>4. Casada/o</t>
  </si>
  <si>
    <t>1. Menos de $470</t>
  </si>
  <si>
    <t>3. INSEGURO</t>
  </si>
  <si>
    <t>DELINCUENCIA</t>
  </si>
  <si>
    <t>CONFLICTO ENTRE VENDEDORES INFORMALES</t>
  </si>
  <si>
    <t>NO PRESENCIA DE POLICIA NACIONAL CONSTANTE</t>
  </si>
  <si>
    <t>TRANQUILO</t>
  </si>
  <si>
    <t>PAZ</t>
  </si>
  <si>
    <t>CONTACTO CON LA NATURALEZA</t>
  </si>
  <si>
    <t>Otros:</t>
  </si>
  <si>
    <t>VENTA DE JUGUETES Y VARIEDADES</t>
  </si>
  <si>
    <t>5f10c65d-a94d-499e-b436-c00dcd6f2a02</t>
  </si>
  <si>
    <t>AMC</t>
  </si>
  <si>
    <t>GB-EG</t>
  </si>
  <si>
    <t>JA</t>
  </si>
  <si>
    <t>-0,18004</t>
  </si>
  <si>
    <t>-78,48361</t>
  </si>
  <si>
    <t>PORQUE  HAY BUENA SEGURIDAD POLICIAL</t>
  </si>
  <si>
    <t>Tarde (12:00 a 17:59)</t>
  </si>
  <si>
    <t>ME SIENTO BIEN PORQUE VENGO A MI LUGAR DE TRABAJO</t>
  </si>
  <si>
    <t>fba087a0-5595-4f42-8a48-dd31e311d531</t>
  </si>
  <si>
    <t>GB-NC</t>
  </si>
  <si>
    <t>-0,178796</t>
  </si>
  <si>
    <t>-78,485790</t>
  </si>
  <si>
    <t>1. Indígena</t>
  </si>
  <si>
    <t>2. Primaria</t>
  </si>
  <si>
    <t>2. Incompleta</t>
  </si>
  <si>
    <t>VIENE A TRABAJAR</t>
  </si>
  <si>
    <t>ES UN PARQUE LIMPIO</t>
  </si>
  <si>
    <t>TIENE LIMPIO SU COCHE</t>
  </si>
  <si>
    <t>Mañana  (06:00 a 11:59) Tarde (12:00 a 17:59)</t>
  </si>
  <si>
    <t>MUY BIEN</t>
  </si>
  <si>
    <t>TRABAJAN TODA LA VIDA EN EL PARQUE</t>
  </si>
  <si>
    <t>Bebidas/Confites/Comestibles industrializados/ Tabacos</t>
  </si>
  <si>
    <t>26b49df8-f8d5-49ec-a552-8bf27535f162</t>
  </si>
  <si>
    <t>-0,17999</t>
  </si>
  <si>
    <t>-78,48360</t>
  </si>
  <si>
    <t>2. Mujer</t>
  </si>
  <si>
    <t>FALTA DE POLICIAS</t>
  </si>
  <si>
    <t>VENTAS INFORMALES</t>
  </si>
  <si>
    <t>VI.3 Hurto (sin violencia)</t>
  </si>
  <si>
    <t>IMPOTENCIA</t>
  </si>
  <si>
    <t>MALESTAR</t>
  </si>
  <si>
    <t>RESENTIMIENTO</t>
  </si>
  <si>
    <t>Comida preparada Frutas y Legumbres</t>
  </si>
  <si>
    <t>LA SEÑORA REQUIERE REUBICACION POR TEMAS DE SALUBRIDAD ESTA JUNTO AL BAÑO</t>
  </si>
  <si>
    <t>5d90a9ba-952f-4bf9-965f-d97d780f815e</t>
  </si>
  <si>
    <t>-0,17976</t>
  </si>
  <si>
    <t>-78,48322</t>
  </si>
  <si>
    <t>3. Viuda/o</t>
  </si>
  <si>
    <t>HAY SEGURIDAD POLICIAL</t>
  </si>
  <si>
    <t>HAY GUARDABOSQUES EN EL PARQUE</t>
  </si>
  <si>
    <t>Noche  (18:00 a 23:59)</t>
  </si>
  <si>
    <t>MUCHA TRANQUILIDAD Y EMOCION ATENDER A LOS USUARIOS</t>
  </si>
  <si>
    <t>MAS ILUMINACION EN EL PARQUE PARA QUE HAYA MAS VENTAS</t>
  </si>
  <si>
    <t>caba45b9-1b7a-4079-b07b-c41e481db884</t>
  </si>
  <si>
    <t>-0,17906</t>
  </si>
  <si>
    <t>-78,48345</t>
  </si>
  <si>
    <t>FALTA MEJORAMIENTO</t>
  </si>
  <si>
    <t>FALTA CONTROL DE LOS PUESTOS</t>
  </si>
  <si>
    <t>SE SIENTE BIEN</t>
  </si>
  <si>
    <t>DISTRAE</t>
  </si>
  <si>
    <t>BENEFICIO PARA LOS HIJOS EN EL PARQUE(JUEGOS)</t>
  </si>
  <si>
    <t>Vestimenta y accesorios</t>
  </si>
  <si>
    <t>IMPLEMENTAR ATRACTICOS TURISTICOS</t>
  </si>
  <si>
    <t>1813cd02-f06a-4e1d-9eab-d6825e0fc2c3</t>
  </si>
  <si>
    <t>BP</t>
  </si>
  <si>
    <t>-0,18109</t>
  </si>
  <si>
    <t>-78,48342</t>
  </si>
  <si>
    <t>2. Meses</t>
  </si>
  <si>
    <t>SE VE POLICIAS A CABALLO</t>
  </si>
  <si>
    <t>HAY UN POCO MAS DE CONTROL</t>
  </si>
  <si>
    <t>HAY MAS GUARDIAS POR EL PARQUE</t>
  </si>
  <si>
    <t>Todos los horarios</t>
  </si>
  <si>
    <t>SE SIENTE BIEN TRABAJANDO EN EL PARQUE</t>
  </si>
  <si>
    <t>PORQUE ES DE LA TERCERA EDAD Y PUEDE TRABAJAR</t>
  </si>
  <si>
    <t>REPARACION DE BICIS</t>
  </si>
  <si>
    <t>7d70fb0f-aaa3-46bb-badc-2d0cd52e93de</t>
  </si>
  <si>
    <t>BC</t>
  </si>
  <si>
    <t>-0,17861</t>
  </si>
  <si>
    <t>-78,48338</t>
  </si>
  <si>
    <t>PORQUE HAY SEGURIDAD EN EL PARQUE</t>
  </si>
  <si>
    <t>HAY POLICIAS</t>
  </si>
  <si>
    <t>2. Esta igual</t>
  </si>
  <si>
    <t>6. Otros</t>
  </si>
  <si>
    <t>VARILLAS</t>
  </si>
  <si>
    <t>SE SIENTE FELIZ DE TRABAJAR EN EL PARQUE</t>
  </si>
  <si>
    <t>HAY SEGURIDAD</t>
  </si>
  <si>
    <t>5372c353-ef2a-4922-8d34-e017c829ef15</t>
  </si>
  <si>
    <t>-0,180279</t>
  </si>
  <si>
    <t>-78,483678</t>
  </si>
  <si>
    <t>MUCHA DELINCUENCIA</t>
  </si>
  <si>
    <t>VENTA DE DROGA</t>
  </si>
  <si>
    <t>CONSUMO DE ALCOHOL</t>
  </si>
  <si>
    <t>3. Palos</t>
  </si>
  <si>
    <t>ALEGRE</t>
  </si>
  <si>
    <t>MOTIVADO</t>
  </si>
  <si>
    <t>Bebidas/Confites/Comestibles industrializados/ Tabacos Comida preparada Otros:</t>
  </si>
  <si>
    <t>ALGODON DE AZUCAR Y GRANIZADOS DE FRUTAS</t>
  </si>
  <si>
    <t>1bd9cf7e-9409-4ec0-a89a-4f370b111f03</t>
  </si>
  <si>
    <t>GP-GC</t>
  </si>
  <si>
    <t>-0,17882</t>
  </si>
  <si>
    <t>-78,48401</t>
  </si>
  <si>
    <t>3. Negra(o)</t>
  </si>
  <si>
    <t>1. Unión de Hecho/Libre</t>
  </si>
  <si>
    <t>NO HAY LADRONES</t>
  </si>
  <si>
    <t>SEGURO POLICIA NACIONAL</t>
  </si>
  <si>
    <t>GUARDABOSQUES</t>
  </si>
  <si>
    <t>BIEN</t>
  </si>
  <si>
    <t>CONTENTO</t>
  </si>
  <si>
    <t>2cbbf89e-ad0a-4219-b716-2058978f0057</t>
  </si>
  <si>
    <t>-0,17924</t>
  </si>
  <si>
    <t>-78,48404</t>
  </si>
  <si>
    <t>VE MILITARES Y POLICIAS</t>
  </si>
  <si>
    <t>HAY SEGURIDAD PRIVADA</t>
  </si>
  <si>
    <t>GRUPO DE WHATSAPP</t>
  </si>
  <si>
    <t>SI ES UN LUGAR PARA TRABAJAR</t>
  </si>
  <si>
    <t>PERO FALTA UN POCO DE SEGURIDAD</t>
  </si>
  <si>
    <t>TIRO AL BLANCO</t>
  </si>
  <si>
    <t>2d6fc160-3154-43a9-ad1e-ef0e11d11016</t>
  </si>
  <si>
    <t>JP</t>
  </si>
  <si>
    <t>GB-CCH</t>
  </si>
  <si>
    <t>OM</t>
  </si>
  <si>
    <t>-0,18276</t>
  </si>
  <si>
    <t>-78,48307</t>
  </si>
  <si>
    <t>4. MUY INSEGURO</t>
  </si>
  <si>
    <t>MUCHOS DELITOS</t>
  </si>
  <si>
    <t>NO HAY POLICIA</t>
  </si>
  <si>
    <t>MUCHO MEJOR POR SU TRABAJO</t>
  </si>
  <si>
    <t>HELADOS PINGUINO</t>
  </si>
  <si>
    <t>722044a3-c5bf-4326-8efb-fb1f5a30c970</t>
  </si>
  <si>
    <t>-0,17919</t>
  </si>
  <si>
    <t>-78,48402</t>
  </si>
  <si>
    <t>PORQUE EXISTEN LOS LADRONES</t>
  </si>
  <si>
    <t>FELIZ</t>
  </si>
  <si>
    <t>TRANQUILIDAD</t>
  </si>
  <si>
    <t>GRANIZADOS Y ALGODON DE AZUCAR</t>
  </si>
  <si>
    <t>865c5dd0-8e0c-4c65-9199-b4fed40e8020</t>
  </si>
  <si>
    <t>JC</t>
  </si>
  <si>
    <t>-0,980642</t>
  </si>
  <si>
    <t>-78,483730</t>
  </si>
  <si>
    <t>5. Universitario</t>
  </si>
  <si>
    <t>PRESENCIA DE POLICIA NACIONAL</t>
  </si>
  <si>
    <t>ILUMINACION EN EL PARQUE</t>
  </si>
  <si>
    <t>AGLOMERACION DE GENTE</t>
  </si>
  <si>
    <t>AGRADECIDA</t>
  </si>
  <si>
    <t>SEGURA</t>
  </si>
  <si>
    <t>TABLERO DE CHICLES TIRO AL BLANCO</t>
  </si>
  <si>
    <t>e6caa3c1-b847-4239-bd89-04a125163fac</t>
  </si>
  <si>
    <t>-0,17492</t>
  </si>
  <si>
    <t>4. Tecnicatura/Tecnología</t>
  </si>
  <si>
    <t>NO HAY POLICIA NACIONAL</t>
  </si>
  <si>
    <t>MIEDO A LOS EXTRANJEROS</t>
  </si>
  <si>
    <t>EN LA NOCHE PELIGROSO</t>
  </si>
  <si>
    <t>INSEGURA</t>
  </si>
  <si>
    <t>MAL POR LAS VENTAS INFORMALES</t>
  </si>
  <si>
    <t>b00ec2a1-ece6-471a-ba4b-4ebc7c59a659</t>
  </si>
  <si>
    <t>-0,178881</t>
  </si>
  <si>
    <t>-78,485664</t>
  </si>
  <si>
    <t>PORQUE ESTAN CERCA DE LA COMANDACIA DE LA POLICIA</t>
  </si>
  <si>
    <t>CAMARAS DE SEGURIDAD</t>
  </si>
  <si>
    <t>SE SIENTE FELIZ PORQUE PUEDE TRABAJAR</t>
  </si>
  <si>
    <t>CONOCE GENTE DE SU EDAD</t>
  </si>
  <si>
    <t>PERO SI SE DEBERIA MEJOR A LA SEGURIDAD</t>
  </si>
  <si>
    <t>1e8c2942-2a7b-4e3f-948c-a908503018b3</t>
  </si>
  <si>
    <t>LB</t>
  </si>
  <si>
    <t>-0,18188</t>
  </si>
  <si>
    <t>-78,48317</t>
  </si>
  <si>
    <t>NO HAY PELIGRO YA QUE VIVE DESDE LA MAÑANA</t>
  </si>
  <si>
    <t>PRESENCIA POLICIAL</t>
  </si>
  <si>
    <t>408ce921-0bb4-4025-9744-0e6e7020fe70</t>
  </si>
  <si>
    <t>DA</t>
  </si>
  <si>
    <t>-0,18201</t>
  </si>
  <si>
    <t>AFLUENCIA DE GENTE</t>
  </si>
  <si>
    <t>FELICIDAD</t>
  </si>
  <si>
    <t>NOSTALGIA</t>
  </si>
  <si>
    <t>JUEGO DE NIÑOS</t>
  </si>
  <si>
    <t>SERVICIOS HIGIENICOS EN EL SECTOR</t>
  </si>
  <si>
    <t>6794b720-df12-48f0-ab33-4082d20d3808</t>
  </si>
  <si>
    <t>-0,180039</t>
  </si>
  <si>
    <t>-78,484108</t>
  </si>
  <si>
    <t>HA DEJADO DE VENIR GENTE EN EL PARQUE</t>
  </si>
  <si>
    <t>HABIA MAS ALFUENCIA DE GENTE POR LA INSEGURIDAD Y YA NO VIENEN</t>
  </si>
  <si>
    <t>SE SIENTE TRANQUILO PORQUE PUEDE TRABAJAR</t>
  </si>
  <si>
    <t>HASTA AHORA NO LE HA PASADO NADA</t>
  </si>
  <si>
    <t>ALQUILER DE CARRITOS A BATERIA PARA NIÑOS</t>
  </si>
  <si>
    <t>f2e9dd45-54fb-4191-8045-5c37256435fa</t>
  </si>
  <si>
    <t>-0,18165</t>
  </si>
  <si>
    <t>-78,48355</t>
  </si>
  <si>
    <t>FALTA DE ILUMINACION</t>
  </si>
  <si>
    <t>AUSENCIA DE LA POLICIA</t>
  </si>
  <si>
    <t>TRANQUILA</t>
  </si>
  <si>
    <t>JUGUETES</t>
  </si>
  <si>
    <t>MAS ILUMINACION, MAS SEGURIDAD Y RETIRO DE VENTAS AMBULANTES</t>
  </si>
  <si>
    <t>fa4ab788-290c-464d-9181-13d1baf93d3f</t>
  </si>
  <si>
    <t>-0,18158</t>
  </si>
  <si>
    <t>-78,48366</t>
  </si>
  <si>
    <t>GUARDAPARQUES</t>
  </si>
  <si>
    <t>MOLESTIA PORQUE NO HAY BASURERO</t>
  </si>
  <si>
    <t>MUCHA PRESENCIA DE VENEZOLANOS</t>
  </si>
  <si>
    <t>83204df4-b684-4c89-8528-78353ace6fb8</t>
  </si>
  <si>
    <t>-0,18277</t>
  </si>
  <si>
    <t>-78,48656</t>
  </si>
  <si>
    <t>SE SIENTE SEGURA PORQUE ESTA AL LADO DE LA UPC</t>
  </si>
  <si>
    <t>VI.2 Robo  (con violencia)</t>
  </si>
  <si>
    <t>TRABAJA EN EL PARQUE</t>
  </si>
  <si>
    <t>988ef450-93f0-4ab9-835c-68fcbdaabe68</t>
  </si>
  <si>
    <t>-0,181313</t>
  </si>
  <si>
    <t>-78,48335</t>
  </si>
  <si>
    <t>VISTO ROBO EN EL PARQUE</t>
  </si>
  <si>
    <t>VI.6 Amenazas</t>
  </si>
  <si>
    <t>AGRADECIDA CON LA NATURALEZA</t>
  </si>
  <si>
    <t>SE SIENTE BIEN EN EL PARQUE</t>
  </si>
  <si>
    <t>JUEGO SALTARIN</t>
  </si>
  <si>
    <t>5c6cc843-0aff-4a7a-9622-5350cd698877</t>
  </si>
  <si>
    <t>MQ</t>
  </si>
  <si>
    <t>-0,18773</t>
  </si>
  <si>
    <t>-78,48356</t>
  </si>
  <si>
    <t>SITIO ESTA DESOLADO</t>
  </si>
  <si>
    <t>FALTA PATRULLAJE POLICIAL</t>
  </si>
  <si>
    <t>FALTA PATRULLAJE GUARDABOSQUES</t>
  </si>
  <si>
    <t>GUARDIAS PAGADOS ASOCIACION</t>
  </si>
  <si>
    <t>TRABAJAN CON CUIDADO</t>
  </si>
  <si>
    <t>371edbb2-7f42-40b1-a71d-f63ec4937f1b</t>
  </si>
  <si>
    <t>EB</t>
  </si>
  <si>
    <t>-0,18754</t>
  </si>
  <si>
    <t>-78,48383</t>
  </si>
  <si>
    <t>7. Blanca(o)</t>
  </si>
  <si>
    <t>CAMARA</t>
  </si>
  <si>
    <t>JUGOS Y FRUTAS</t>
  </si>
  <si>
    <t>1218ba95-c6ad-42de-8cd5-c03f55a87e36</t>
  </si>
  <si>
    <t>-0,18107</t>
  </si>
  <si>
    <t>-78,48328</t>
  </si>
  <si>
    <t>NO HA TENIDO INCONVENIENTE</t>
  </si>
  <si>
    <t>LA CONVIVENCIA ENTRE COMERCIANTES</t>
  </si>
  <si>
    <t>Mañana  (06:00 a 11:59) Tarde (12:00 a 17:59) Noche  (18:00 a 23:59)</t>
  </si>
  <si>
    <t>SE SIENTE MAL CON LAS VENTAS AMBULANTES</t>
  </si>
  <si>
    <t>MAL CON LOS HOMBRES QUE HACEN SUS NECESIDADES EN EL ARBOL</t>
  </si>
  <si>
    <t>Bebidas/Confites/Comestibles industrializados/ Tabacos Comida preparada</t>
  </si>
  <si>
    <t>8d744947-e5c2-486e-bfa6-c733acdd5fb5</t>
  </si>
  <si>
    <t>-0,181200</t>
  </si>
  <si>
    <t>-78,483820</t>
  </si>
  <si>
    <t>LA PRESENCIA DE POLICIA</t>
  </si>
  <si>
    <t>LA PRESENCIA DE GUARDAPARQUES</t>
  </si>
  <si>
    <t>EL SECTOR ES SEGURO</t>
  </si>
  <si>
    <t>SE SIENTE COMO EN CASA</t>
  </si>
  <si>
    <t>SEGURO</t>
  </si>
  <si>
    <t>fa08590e-dfe3-4ffb-9580-80f9e4e9e7c1</t>
  </si>
  <si>
    <t>GB-SCH</t>
  </si>
  <si>
    <t>-0,18770</t>
  </si>
  <si>
    <t>-78,48394</t>
  </si>
  <si>
    <t>1. Ninguno</t>
  </si>
  <si>
    <t>TRABAJA AÑOS Y CONOCE EL SECTOR</t>
  </si>
  <si>
    <t>REUBICACION SEGUN EL GIRO</t>
  </si>
  <si>
    <t>02004d80-7db8-4c8a-a977-386eeaee8d8f</t>
  </si>
  <si>
    <t>vsL33mCaFLo882kfJNCvYm</t>
  </si>
  <si>
    <t>CV</t>
  </si>
  <si>
    <t>-0,18758</t>
  </si>
  <si>
    <t>-78,48412</t>
  </si>
  <si>
    <t>PORQUE ESTA CON COMPAÑERO  COMERCIANTE</t>
  </si>
  <si>
    <t>LOS ARBOLES</t>
  </si>
  <si>
    <t>GASEOSA Y SALCHIPAPA</t>
  </si>
  <si>
    <t>a5b039a8-9676-438f-8dc2-8a4e58b2922a</t>
  </si>
  <si>
    <t>-0,18765</t>
  </si>
  <si>
    <t>-78,48392</t>
  </si>
  <si>
    <t>PORQUE HAY SEGURIDAD PRIVADA PAGADA POR LA ASOCIACION</t>
  </si>
  <si>
    <t>PORQUE HAY CONTROL SEGURIDAD GUARDABOSQUES</t>
  </si>
  <si>
    <t>GUARDIAS DE SEGURIDAD CONTRATADO POR LA ASOCIACION</t>
  </si>
  <si>
    <t>NO SE SIENTE INSEGURO</t>
  </si>
  <si>
    <t>CONFORME</t>
  </si>
  <si>
    <t>31b02c4a-8f5a-411e-baa6-abd50f3dd920</t>
  </si>
  <si>
    <t>-78,48390</t>
  </si>
  <si>
    <t>UNION DE LOS COMERCIANTES</t>
  </si>
  <si>
    <t>b652e2c1-1e8f-4571-b56b-5e5d07c99199</t>
  </si>
  <si>
    <t>AMENAZAS DE INDIGENTES AL PEDIR COMIDA (GENTE EXTRANJERA)</t>
  </si>
  <si>
    <t>MIEDO DE ESTAR EN EL PARQUE</t>
  </si>
  <si>
    <t>11ce9768-2984-4315-9a0e-1f027e015664</t>
  </si>
  <si>
    <t>-0,180174</t>
  </si>
  <si>
    <t>-78,484175</t>
  </si>
  <si>
    <t>PORQUE NO HE TENIDO INTENTOS DE ROBOS</t>
  </si>
  <si>
    <t>FELIZ Y CONTENTO PORQUE VENGO CON MI FAMILIA</t>
  </si>
  <si>
    <t>BALONES Y REDES DE VOLEY</t>
  </si>
  <si>
    <t>MAS TACHOS DE BASURA</t>
  </si>
  <si>
    <t>0f9a9459-f133-493c-b01e-885c21f1f5d8</t>
  </si>
  <si>
    <t>-0,18747</t>
  </si>
  <si>
    <t>-78,48418</t>
  </si>
  <si>
    <t>PRESENCIA DE GUARDA BOSQUES</t>
  </si>
  <si>
    <t>AGRADABLE</t>
  </si>
  <si>
    <t>d62fd8ae-0f57-43b6-acf5-1bf81e0a9511</t>
  </si>
  <si>
    <t>-0,179942</t>
  </si>
  <si>
    <t>-78,484146</t>
  </si>
  <si>
    <t>ME SIENTO FELIZ</t>
  </si>
  <si>
    <t>ME SIENTO ALEGRE PORQUE ME GUSTA LA NATURALEZA</t>
  </si>
  <si>
    <t>TACHOS DE BASURA Y PODA DE ARBOLES</t>
  </si>
  <si>
    <t>177fcda6-8746-4608-9514-f3b2bde99d61</t>
  </si>
  <si>
    <t>EC</t>
  </si>
  <si>
    <t>-0,180101</t>
  </si>
  <si>
    <t>-78,484086</t>
  </si>
  <si>
    <t>VENTA DE ALCOHOL</t>
  </si>
  <si>
    <t>PERSONAS INTIMIDANTES</t>
  </si>
  <si>
    <t>EN PAZ</t>
  </si>
  <si>
    <t>VENTA DE FRUTAS JUGOS Y GASEOSAS</t>
  </si>
  <si>
    <t>192ede60-6c5f-4d5d-ad89-3978f417c138</t>
  </si>
  <si>
    <t>-0,17912</t>
  </si>
  <si>
    <t>-78,48349</t>
  </si>
  <si>
    <t>PORQUE FALTA POLICIAS</t>
  </si>
  <si>
    <t>JUGUETES VARIEDADES</t>
  </si>
  <si>
    <t>edf65eb6-109e-46ac-b543-57dedc256f2e</t>
  </si>
  <si>
    <t>-0,180434</t>
  </si>
  <si>
    <t>-78,483681</t>
  </si>
  <si>
    <t>PASAN MOTOS DE  LOS POLICIAS CON LOS DELINCUENTES</t>
  </si>
  <si>
    <t>HA VISTO QUE TOMAN Y FOMAN</t>
  </si>
  <si>
    <t>SI ESTA BUENO PARA TRABAJAR</t>
  </si>
  <si>
    <t>PERO FALTA SEGURIDAD</t>
  </si>
  <si>
    <t>CONTROL A LAS VENTAS AMBULANTES</t>
  </si>
  <si>
    <t>Vestimenta y accesorios Artesanías</t>
  </si>
  <si>
    <t>d9610eb2-4f75-457d-9260-d276a5d8d6df</t>
  </si>
  <si>
    <t>-0,17957</t>
  </si>
  <si>
    <t>HAY DELINCUENCIA</t>
  </si>
  <si>
    <t>FUMAN DROGA</t>
  </si>
  <si>
    <t>NO SE SIENTE TAN SEGURO EN EL PARQUE</t>
  </si>
  <si>
    <t>LE GUSTA EL TRABAJO</t>
  </si>
  <si>
    <t>Frutas y Legumbres</t>
  </si>
  <si>
    <t>b604f208-8447-434d-a085-efeb6187519c</t>
  </si>
  <si>
    <t>-0,17901</t>
  </si>
  <si>
    <t>-78,48344</t>
  </si>
  <si>
    <t>LADRONES</t>
  </si>
  <si>
    <t>NO PRESENCIA POLICIAL</t>
  </si>
  <si>
    <t>CONTENTA</t>
  </si>
  <si>
    <t>77f5fc2f-0271-41c7-9a39-399738198163</t>
  </si>
  <si>
    <t>-0,178438</t>
  </si>
  <si>
    <t>-78,485662</t>
  </si>
  <si>
    <t>ASALTOS</t>
  </si>
  <si>
    <t>MENDIGOS</t>
  </si>
  <si>
    <t>INSEGURIDAD</t>
  </si>
  <si>
    <t>CALMADO</t>
  </si>
  <si>
    <t>Comida preparada Otros:</t>
  </si>
  <si>
    <t>PATIO DE COMIDAS</t>
  </si>
  <si>
    <t>79e519f8-dbab-4ec9-8e69-af4ad9c3b446</t>
  </si>
  <si>
    <t>-0,17848</t>
  </si>
  <si>
    <t>-78,49347</t>
  </si>
  <si>
    <t>HAY BANDAS DE DELINCUENTES</t>
  </si>
  <si>
    <t>Tarde (12:00 a 17:59) Noche  (18:00 a 23:59)</t>
  </si>
  <si>
    <t>LAS TARDES SE SIENTE INSEGURIDAD</t>
  </si>
  <si>
    <t>SALTARIN INFLABLES</t>
  </si>
  <si>
    <t>7cb256d4-251e-4488-802c-7bb1e0b6160b</t>
  </si>
  <si>
    <t>-0,17427</t>
  </si>
  <si>
    <t>-78,48408</t>
  </si>
  <si>
    <t>GENTE CONSUME DROGA</t>
  </si>
  <si>
    <t>CANSADA</t>
  </si>
  <si>
    <t>b04ede3d-7ade-4833-b0bb-e83b366c2195</t>
  </si>
  <si>
    <t>-0,180065</t>
  </si>
  <si>
    <t>-78,483997</t>
  </si>
  <si>
    <t>AL AMBIENTE</t>
  </si>
  <si>
    <t>ARMONIA CON LOS USUARIOS</t>
  </si>
  <si>
    <t>INFLABLE</t>
  </si>
  <si>
    <t>32804dde-51f4-4cb1-8d93-1c00c5e56c70</t>
  </si>
  <si>
    <t>-0,17941</t>
  </si>
  <si>
    <t>-78,48397</t>
  </si>
  <si>
    <t>NO HABIDO PROBLEMAS</t>
  </si>
  <si>
    <t>ALGO DE SEGURIDAD</t>
  </si>
  <si>
    <t>fd187e03-09c3-43f1-9b82-cb0566e4b82d</t>
  </si>
  <si>
    <t>-0,18736</t>
  </si>
  <si>
    <t>-78,48427</t>
  </si>
  <si>
    <t>PORQUE OTROS VENDEDORES DE JUGO, COLAS AMBULANTES AMENAZAN</t>
  </si>
  <si>
    <t>NO HAY CONTROL DE GUARDABOSQUES</t>
  </si>
  <si>
    <t>NO HAY CONTROL POLICIAL</t>
  </si>
  <si>
    <t>SEGURIDAD PUESTA POR LA ASOCIACION</t>
  </si>
  <si>
    <t>INDIGNADA POR NO CONTROLAR LAS AUTORIDADES</t>
  </si>
  <si>
    <t>JUGO DE COCO Y TAMARINDO</t>
  </si>
  <si>
    <t>208c5f2a-66a5-4e97-b045-587915aeeec5</t>
  </si>
  <si>
    <t>-0,17903</t>
  </si>
  <si>
    <t>PRESENCIA POLICIA NACIONAL</t>
  </si>
  <si>
    <t>POLICIA METROPOLITANA</t>
  </si>
  <si>
    <t>JUEGOS INFANTILES</t>
  </si>
  <si>
    <t>6e5ab275-a72f-4b0a-8ded-69b492cac05a</t>
  </si>
  <si>
    <t>-0,18733</t>
  </si>
  <si>
    <t>-78,48434</t>
  </si>
  <si>
    <t>COORDINACION CON POLICIA NACIONAL</t>
  </si>
  <si>
    <t>7b73c320-1d96-43a1-a78b-c79ef8240708</t>
  </si>
  <si>
    <t>-0,179617</t>
  </si>
  <si>
    <t>-78,484168</t>
  </si>
  <si>
    <t>PRESENCIA DE GUARDIAS</t>
  </si>
  <si>
    <t>SE VE BUENA</t>
  </si>
  <si>
    <t>Bebidas/Confites/Comestibles industrializados/ Tabacos Otros:</t>
  </si>
  <si>
    <t>JUGOS FRUTAS Y BEBIDAS</t>
  </si>
  <si>
    <t>ae5c54d5-dcc4-4fa0-9089-396e983088ca</t>
  </si>
  <si>
    <t>-78,48399</t>
  </si>
  <si>
    <t>DROGAS PERSONAS</t>
  </si>
  <si>
    <t>FALTA DE SEGURIDAD</t>
  </si>
  <si>
    <t>SE SIENTE CON AMOR</t>
  </si>
  <si>
    <t>SE SIENTE FELIZ</t>
  </si>
  <si>
    <t>62aa3b59-1f4e-4ef9-8aba-4f8b0edd01de</t>
  </si>
  <si>
    <t>-0,17853</t>
  </si>
  <si>
    <t>-78,48330</t>
  </si>
  <si>
    <t>HA VISTO QUE SE ROBAN LAS MOCHILAS DE LOS JOVENES</t>
  </si>
  <si>
    <t>EN LA NOCHE ROBAN Y SE DROGAN</t>
  </si>
  <si>
    <t>PARA TRABAJAR ESTA INSEGURO</t>
  </si>
  <si>
    <t>PERO TIENE EL PERMISO Y PUEDE TRABAJAR</t>
  </si>
  <si>
    <t>Bebidas/Confites/Comestibles industrializados/ Tabacos Frutas y Legumbres</t>
  </si>
  <si>
    <t>0b2f7350-16db-4d30-80fb-3e76f2299b95</t>
  </si>
  <si>
    <t>-0,178860</t>
  </si>
  <si>
    <t>-78,485673</t>
  </si>
  <si>
    <t>BASTANTE GENTE</t>
  </si>
  <si>
    <t>NO TRANSITA POR LA NOCHE</t>
  </si>
  <si>
    <t>GUARDA PARQUES</t>
  </si>
  <si>
    <t>BOTON DE PANICO</t>
  </si>
  <si>
    <t>ANGUSTIA</t>
  </si>
  <si>
    <t>96f4482d-4910-4fe7-8253-85bee308b718</t>
  </si>
  <si>
    <t>-0,178670</t>
  </si>
  <si>
    <t>-78,485957</t>
  </si>
  <si>
    <t>PORQUE HAY INCREMENTO DELINCUENCIAL</t>
  </si>
  <si>
    <t>ALEGRIA</t>
  </si>
  <si>
    <t>MUCHA TRANQUILIDAD</t>
  </si>
  <si>
    <t>ADOQUINAR EL PUESTO PARA QUE NO HAYA LODO</t>
  </si>
  <si>
    <t>42faf475-07e0-4f48-8474-386c3ab0f280</t>
  </si>
  <si>
    <t>-0,17890</t>
  </si>
  <si>
    <t>-78,49397</t>
  </si>
  <si>
    <t>VE POLICIAS CON PERRITOS</t>
  </si>
  <si>
    <t>POLICIAS EN CABALLOS</t>
  </si>
  <si>
    <t>SE SIENTE BIEN POR TRABAJAR EN EL PARQUE</t>
  </si>
  <si>
    <t>PUEDE TENER PLATA PARA MANTENERSE</t>
  </si>
  <si>
    <t>23d92e48-ded4-4e12-9953-a0d7aa67d9e6</t>
  </si>
  <si>
    <t>-0,17899</t>
  </si>
  <si>
    <t>-78,48425</t>
  </si>
  <si>
    <t>PERSONAS QUE ESTAN TOMANDO Y DAÑANDO LOS JUEGOS</t>
  </si>
  <si>
    <t>CADENA</t>
  </si>
  <si>
    <t>RECUERDOS</t>
  </si>
  <si>
    <t>JUEGOS MECANICOS</t>
  </si>
  <si>
    <t>2394cfd1-b3af-44b0-88ad-f49b17b59a9d</t>
  </si>
  <si>
    <t>-0,178386</t>
  </si>
  <si>
    <t>-78,483329</t>
  </si>
  <si>
    <t>EN LA TARDE HA VISTO QUE ROBAN</t>
  </si>
  <si>
    <t>NO HAY POLICIAS</t>
  </si>
  <si>
    <t>HA VISTO CON MACHETE</t>
  </si>
  <si>
    <t>HAY DEMASIADO VENTAS AMBULANTES</t>
  </si>
  <si>
    <t>HAY MUCHA COMPETENCIA</t>
  </si>
  <si>
    <t>f239b2d7-5aa3-4923-8486-97d1bd9e381b</t>
  </si>
  <si>
    <t>-0,18616</t>
  </si>
  <si>
    <t>-78,48486</t>
  </si>
  <si>
    <t>MUCHA GENTE EXTRANJERA</t>
  </si>
  <si>
    <t>ACCESORIOS, ARTESANIAS, JUGUETES</t>
  </si>
  <si>
    <t>b2b5ae0c-ff26-40bd-b9e5-b05eac3fb537</t>
  </si>
  <si>
    <t>-0,181276</t>
  </si>
  <si>
    <t>-78,483798</t>
  </si>
  <si>
    <t>VE MUCHACHOS ROBANDO</t>
  </si>
  <si>
    <t>LOS VENEZOLANOS VENDEN DROGA</t>
  </si>
  <si>
    <t>LAS VENTAS AMBULANTES HA CRECIDO EN EL PARQUE</t>
  </si>
  <si>
    <t>PARA TRABAJAR ES BUENO</t>
  </si>
  <si>
    <t>HAY COMPETENCIA DE LAS VENTAS AMBULANTES</t>
  </si>
  <si>
    <t>FALTA SEGURIDAD</t>
  </si>
  <si>
    <t>8edc3e9b-b7c7-4482-aaa8-8a667b22dc7a</t>
  </si>
  <si>
    <t>-0,18569</t>
  </si>
  <si>
    <t>-78,48478</t>
  </si>
  <si>
    <t>FALTA DE PATRULLAJE DE POLICIA NACIONAL</t>
  </si>
  <si>
    <t>COMERCIO INFORMAL</t>
  </si>
  <si>
    <t>ILUMINACION</t>
  </si>
  <si>
    <t>GUARDIAS CONTRATADOS</t>
  </si>
  <si>
    <t>CONTENTA TRABAJANDO</t>
  </si>
  <si>
    <t>4aa19ce1-9d70-4fe3-b4a7-eeb779219e2f</t>
  </si>
  <si>
    <t>-0,18006</t>
  </si>
  <si>
    <t>4. Mulata(o)</t>
  </si>
  <si>
    <t>PREOCUPACION</t>
  </si>
  <si>
    <t>VENTA DE JUGO</t>
  </si>
  <si>
    <t>1d1b551c-d62d-44d2-8d6f-0ed13ffb727a</t>
  </si>
  <si>
    <t>-0,18081</t>
  </si>
  <si>
    <t>-78,48286</t>
  </si>
  <si>
    <t>PORQUE HAY SEGURIDAD</t>
  </si>
  <si>
    <t>TRISTEZA</t>
  </si>
  <si>
    <t>COLOCAR BASUREROS Y MAS LIMPIEZA</t>
  </si>
  <si>
    <t>cb85e34c-ac90-45b0-9650-4798700d769d</t>
  </si>
  <si>
    <t>-0,17961</t>
  </si>
  <si>
    <t>-78,48354</t>
  </si>
  <si>
    <t>HAY GENTE</t>
  </si>
  <si>
    <t>HAY CONTROL DE LOS GUARDABOSQUES</t>
  </si>
  <si>
    <t>ES DE DIA</t>
  </si>
  <si>
    <t>SIENTE BIEN</t>
  </si>
  <si>
    <t>TRANQUILA CON SU VENTA</t>
  </si>
  <si>
    <t>c2f69a53-8e3a-4cbe-87d0-d28dabf4babe</t>
  </si>
  <si>
    <t>-0,18020</t>
  </si>
  <si>
    <t>-78,48365</t>
  </si>
  <si>
    <t>NO HAY PRESENCIA DE POLICIA NACIONAL</t>
  </si>
  <si>
    <t>FASTIDIO POR TANTA VENTA AMBULANTE</t>
  </si>
  <si>
    <t>FALTA DE TACHOS DE BASURA</t>
  </si>
  <si>
    <t>da2eee28-9909-4b1b-b26d-2ab457c83db9</t>
  </si>
  <si>
    <t>-0,178892</t>
  </si>
  <si>
    <t>-78,485784</t>
  </si>
  <si>
    <t>MUCHOS VENEZOLANOS</t>
  </si>
  <si>
    <t>DELINCUENTES</t>
  </si>
  <si>
    <t>GOMEROS</t>
  </si>
  <si>
    <t>INCONFORME</t>
  </si>
  <si>
    <t>TRISTE</t>
  </si>
  <si>
    <t>c1759d64-fa79-43ae-9bdb-5ef0141006a7</t>
  </si>
  <si>
    <t>-0,18715</t>
  </si>
  <si>
    <t>-78,48446</t>
  </si>
  <si>
    <t>POLICIA</t>
  </si>
  <si>
    <t>823a6ded-da9f-4c65-8660-5b9db49261f7</t>
  </si>
  <si>
    <t>-0,17863</t>
  </si>
  <si>
    <t>PORQUE NADIE LE MOLESTA</t>
  </si>
  <si>
    <t>POR LA PRESENCIA DE GUARDABOSQUES</t>
  </si>
  <si>
    <t>SIN NOVEDADES</t>
  </si>
  <si>
    <t>71ac9e4f-8c0c-4688-96d7-1350d47ed133</t>
  </si>
  <si>
    <t>-0,18657</t>
  </si>
  <si>
    <t>-78,48494</t>
  </si>
  <si>
    <t>POR LA DELINCUENCIA</t>
  </si>
  <si>
    <t>INDIGENTE VIENE AMEDRENTAR CON ARMAS BLANCAS PARA PEDIR COMIDA</t>
  </si>
  <si>
    <t>FALTA DE CONTROL POLICIAL</t>
  </si>
  <si>
    <t>SERVIR AL PUBLICO</t>
  </si>
  <si>
    <t>f2c611ca-ab05-4b2e-aece-416dca12eab4</t>
  </si>
  <si>
    <t>-0,18072</t>
  </si>
  <si>
    <t>SEGURIDAD PRIVADA</t>
  </si>
  <si>
    <t>VENTA DE ARTICULOS DEPORTIVOS</t>
  </si>
  <si>
    <t>dbcb31b8-be67-4df9-b9b4-2ef1a848fd35</t>
  </si>
  <si>
    <t>GB-CP</t>
  </si>
  <si>
    <t>-0,18659</t>
  </si>
  <si>
    <t>-78,48495</t>
  </si>
  <si>
    <t>HAY VENTAS ALEDAÑAS</t>
  </si>
  <si>
    <t>SE SIENTE BIEN EN TERMINOS DE SEGURIDAD</t>
  </si>
  <si>
    <t>GAFAS, PARAGUAS Y PULSERAS</t>
  </si>
  <si>
    <t>9374ff31-f6cb-474d-b5d0-40df0eb4a3da</t>
  </si>
  <si>
    <t>GP-CE</t>
  </si>
  <si>
    <t>-0,17773</t>
  </si>
  <si>
    <t>-78,48193</t>
  </si>
  <si>
    <t>POLICIA NACIONAL</t>
  </si>
  <si>
    <t>GUARDIAS</t>
  </si>
  <si>
    <t>1c644b41-c9e3-4adf-8544-154ee901fb6a</t>
  </si>
  <si>
    <t>-0,17768</t>
  </si>
  <si>
    <t>-78,48185</t>
  </si>
  <si>
    <t>5. Montubia(o)</t>
  </si>
  <si>
    <t>PRESENCIA DE GUARDABOSQUES</t>
  </si>
  <si>
    <t>SEGURIDAD SIEMPRE Y CUANDO HAYA PERSONAL DE GUARDABOSQUES</t>
  </si>
  <si>
    <t>VENTA DE BOLONES</t>
  </si>
  <si>
    <t>57e74ab7-deda-4b31-8cec-d2a79fa95a75</t>
  </si>
  <si>
    <t>-0,18567</t>
  </si>
  <si>
    <t>79ee0bfe-96a6-4731-803b-74bf2ef00ecd</t>
  </si>
  <si>
    <t>GB-GP</t>
  </si>
  <si>
    <t>-0,18563</t>
  </si>
  <si>
    <t>-78,48479</t>
  </si>
  <si>
    <t>S/C</t>
  </si>
  <si>
    <t>S/N</t>
  </si>
  <si>
    <t>HELADOS</t>
  </si>
  <si>
    <t>286fc9cc-409f-4855-a883-c9ae3e589169</t>
  </si>
  <si>
    <t>-0,180618</t>
  </si>
  <si>
    <t>-78,483693</t>
  </si>
  <si>
    <t>NO TIENE MIEDO</t>
  </si>
  <si>
    <t>PRESENCIA DE PERSONAS</t>
  </si>
  <si>
    <t>HAY MUCHA GENTE ENOJADA</t>
  </si>
  <si>
    <t>57c6e0a9-63ef-43f9-a937-9b45d7cd5ce0</t>
  </si>
  <si>
    <t>-0,180793</t>
  </si>
  <si>
    <t>-78,482887</t>
  </si>
  <si>
    <t>POR AMENAZA DE VENTAS AMBULANTES</t>
  </si>
  <si>
    <t>ME SIENTO FELIZ Y MUY TRANQUILA</t>
  </si>
  <si>
    <t>ALZAR LAS MALLAS PORQUE LLEGAN LOS BALONASOS A SU NEGOCIO</t>
  </si>
  <si>
    <t>c199d762-2102-4e20-aa4c-8490604e3719</t>
  </si>
  <si>
    <t>-0,180149</t>
  </si>
  <si>
    <t>-78,485657</t>
  </si>
  <si>
    <t>NO LE HA PASADO NADA</t>
  </si>
  <si>
    <t>NO SE VE DELINCUENCIA</t>
  </si>
  <si>
    <t>LE GUSTA SU TRABAJO</t>
  </si>
  <si>
    <t>Bebidas/Confites/Comestibles industrializados/ Tabacos Comida preparada Frutas y Legumbres</t>
  </si>
  <si>
    <t>3931d23a-59c1-4a0a-bdc7-99649cb33f81</t>
  </si>
  <si>
    <t>-0,180268</t>
  </si>
  <si>
    <t>-78,484230</t>
  </si>
  <si>
    <t>NO HAY SEGURIDAD</t>
  </si>
  <si>
    <t>FIERROS DE LAS CARPAS</t>
  </si>
  <si>
    <t>ES INSEGURO PARA TRABAJAR EN EL PARQUE</t>
  </si>
  <si>
    <t>HAY BANDAS DELINCUENCIALES EN EL PARQUE</t>
  </si>
  <si>
    <t>8e8d27b4-8c5b-458f-b04f-09063af2babf</t>
  </si>
  <si>
    <t>GB-EF</t>
  </si>
  <si>
    <t>-0,181176</t>
  </si>
  <si>
    <t>-78,483421</t>
  </si>
  <si>
    <t>NO HAY SEGURIDAD EN LA TARDE</t>
  </si>
  <si>
    <t>SIENTO MUCHA ALEGRIA POR ATENDER MI NEGOCIO</t>
  </si>
  <si>
    <t>MAS BAÑOS Y BASUREROS</t>
  </si>
  <si>
    <t>6f867784-ee69-4093-8e67-98f04ef76f95</t>
  </si>
  <si>
    <t>BP-KV</t>
  </si>
  <si>
    <t>-0,179097</t>
  </si>
  <si>
    <t>-78,485754</t>
  </si>
  <si>
    <t>HA VISTO ROBOS</t>
  </si>
  <si>
    <t>SE ROBARON IMPLEMENTOS DEL PARQUE</t>
  </si>
  <si>
    <t>1. Bate de béisbol 6. Otros</t>
  </si>
  <si>
    <t>FELIZ PORQUE AQUI CRECIO CON SU MAMA</t>
  </si>
  <si>
    <t>UN POCO TRISTE POR LAS VENTAS Y DELINCUENCIA</t>
  </si>
  <si>
    <t>2887087b-d930-447b-a2c6-996c533ddf42</t>
  </si>
  <si>
    <t>-0,18168</t>
  </si>
  <si>
    <t>-78,48359</t>
  </si>
  <si>
    <t>HA VISTO ROBOS ENTRE SEMANA</t>
  </si>
  <si>
    <t>EN LA TARDE PASA EL PARQUE BOTADO POR LA INSEGURIDAD</t>
  </si>
  <si>
    <t>TODO NORMAL</t>
  </si>
  <si>
    <t>POR QUE TRABAJA</t>
  </si>
  <si>
    <t>MANGO Y JUGO</t>
  </si>
  <si>
    <t>7e3a9451-fae7-449b-9a17-0cb03b98f6c4</t>
  </si>
  <si>
    <t>-0,18152</t>
  </si>
  <si>
    <t>PRESENCIA DE GUARDA PARQUES</t>
  </si>
  <si>
    <t>PRESENCIA DE LA CIUDADANIA</t>
  </si>
  <si>
    <t>AGLOMERACION</t>
  </si>
  <si>
    <t>BICICLETAS</t>
  </si>
  <si>
    <t>df99cf49-015f-4155-b0d1-5074d3c17b9a</t>
  </si>
  <si>
    <t>-0,18531</t>
  </si>
  <si>
    <t>-78,48468</t>
  </si>
  <si>
    <t>ROBOS</t>
  </si>
  <si>
    <t>2. Gas pimienta 3. Palos</t>
  </si>
  <si>
    <t>INTRANQUILA</t>
  </si>
  <si>
    <t>MAS SEGURIDAD</t>
  </si>
  <si>
    <t>ed3e8268-e60b-42a1-9bb5-89d7d22d6d07</t>
  </si>
  <si>
    <t>-0,18471</t>
  </si>
  <si>
    <t>-78,48428</t>
  </si>
  <si>
    <t>VENTA DE DROGAS</t>
  </si>
  <si>
    <t>MAS SEGURIDAD CONTROL DE VENTAS INFORMALES</t>
  </si>
  <si>
    <t>828ec793-34d0-4336-b330-98c7e207f7b9</t>
  </si>
  <si>
    <t>CCH</t>
  </si>
  <si>
    <t>-0,18464</t>
  </si>
  <si>
    <t>LA GENTE NO LE DA SEGURIDAD</t>
  </si>
  <si>
    <t>ES BONITO CUANDO LE VA BIEN EN EL PUESTO</t>
  </si>
  <si>
    <t>3f5a0fd0-1339-4762-a7ac-10831b4c85c7</t>
  </si>
  <si>
    <t>-0,18500</t>
  </si>
  <si>
    <t>-78,48458</t>
  </si>
  <si>
    <t>FUERA DEL ORDEN</t>
  </si>
  <si>
    <t>COMODIDAD</t>
  </si>
  <si>
    <t>SEGURIDAD</t>
  </si>
  <si>
    <t>MAS CONTROL DE VENTAS AMBULANTES</t>
  </si>
  <si>
    <t>6a7d45e6-db77-4537-989a-0f19b45842f2</t>
  </si>
  <si>
    <t>-0,18508</t>
  </si>
  <si>
    <t>-78,48463</t>
  </si>
  <si>
    <t>SEGURA YA QUE SALE SOLO LOS DOMINGOS</t>
  </si>
  <si>
    <t>AFLUENCIA DE POLICIA</t>
  </si>
  <si>
    <t>e62922f0-8ea4-490c-bb57-481e0b2d36d5</t>
  </si>
  <si>
    <t>-0,17854</t>
  </si>
  <si>
    <t>-78,48223</t>
  </si>
  <si>
    <t>703d4443-3fc9-4183-a415-101420b7b575</t>
  </si>
  <si>
    <t>-0,18484</t>
  </si>
  <si>
    <t>-78,48456</t>
  </si>
  <si>
    <t>MUY TRANQUILO PORQUE VIENE EL FIN DE SEMANA</t>
  </si>
  <si>
    <t>MUY FELIZ</t>
  </si>
  <si>
    <t>SOY MUY SOCIABLE</t>
  </si>
  <si>
    <t>JUEGUETES Y VARIEDADES</t>
  </si>
  <si>
    <t>ebc6c297-7ec5-4608-b2d8-0cdd5948697f</t>
  </si>
  <si>
    <t>-0,17792</t>
  </si>
  <si>
    <t>-78,48191</t>
  </si>
  <si>
    <t>MUCHA DELINCUENCIA, DROGADICTOS, GENTE DE CALLE</t>
  </si>
  <si>
    <t>FALTA CONTROL POLICIA NACIONAL</t>
  </si>
  <si>
    <t>INSEGURIDAD, QUE HAYA MAS CONTROL VENTAS AMBULANTES</t>
  </si>
  <si>
    <t>844b6282-87af-4b21-b76d-3d55fd59669f</t>
  </si>
  <si>
    <t>-78,48438</t>
  </si>
  <si>
    <t>FALTA DE GUARDIAS</t>
  </si>
  <si>
    <t>FALTA DE POLICIA</t>
  </si>
  <si>
    <t>HELADOS PINGÜINO</t>
  </si>
  <si>
    <t>MAS SEGURIDAD MAS PRESENCIA POLICIAL</t>
  </si>
  <si>
    <t>c3c4dcae-80c9-46e3-b219-f679700ce858</t>
  </si>
  <si>
    <t>-0,18021</t>
  </si>
  <si>
    <t>-78,48227</t>
  </si>
  <si>
    <t>NO HAY PRESENCIA POLICIAL</t>
  </si>
  <si>
    <t>TEMOR PORQUE HAY ROBOS</t>
  </si>
  <si>
    <t>QUE HAYA MAS CONTROL</t>
  </si>
  <si>
    <t>1fd7f105-ba09-479e-885b-69a7d3984cf6</t>
  </si>
  <si>
    <t>-78,48643</t>
  </si>
  <si>
    <t>PORQUE NO HAY ROBOS</t>
  </si>
  <si>
    <t>PATRULLAJE POLICIA NACIONAL</t>
  </si>
  <si>
    <t>OATRULLAJE GUARDABOSQUES</t>
  </si>
  <si>
    <t>Madrugada (00:00 a 05:59) Noche  (18:00 a 23:59)</t>
  </si>
  <si>
    <t>TRANQUILA PORQUE YA CONOCE SU AREA DE TRABAJO</t>
  </si>
  <si>
    <t>CABALLITOS</t>
  </si>
  <si>
    <t>EN EL AREA DE CABALLOS, PROPIETARIA INDICA QUE NECESSITA UN GRIFO CON AGUA PARA LOS ANIMALES</t>
  </si>
  <si>
    <t>1d1dd228-6a1d-4518-8380-148d75d23359</t>
  </si>
  <si>
    <t>-0,18787</t>
  </si>
  <si>
    <t>-78,48665</t>
  </si>
  <si>
    <t>BAÑO PUBLICO</t>
  </si>
  <si>
    <t>ab1d4069-4437-4d52-bf93-66a145f6e739</t>
  </si>
  <si>
    <t>GB-CE</t>
  </si>
  <si>
    <t>NO HAY CONTROL</t>
  </si>
  <si>
    <t>LOS POLICIAS PASAN RAPIDO</t>
  </si>
  <si>
    <t>NO HAY ILUMINACION</t>
  </si>
  <si>
    <t>TRANQUILIDAD AL MOMENTO QUE ESTA ACOMPAÑADA</t>
  </si>
  <si>
    <t>JUGUETES Y VARIEDADES</t>
  </si>
  <si>
    <t>251a5cbf-3bad-4c56-8655-90af7f4d857e</t>
  </si>
  <si>
    <t>-0,18734</t>
  </si>
  <si>
    <t>-78,48640</t>
  </si>
  <si>
    <t>CARRITOS ELECTRICOS</t>
  </si>
  <si>
    <t>52bccb22-23e6-4db8-8320-800c21f663c5</t>
  </si>
  <si>
    <t>-0,18760</t>
  </si>
  <si>
    <t>-78,48666</t>
  </si>
  <si>
    <t>HASTA EL MOMENTO NO HAN TENIDO NINGUN INCONVENIENTE</t>
  </si>
  <si>
    <t>DECEPCION (AL NO VENDER)</t>
  </si>
  <si>
    <t>c190dad0-5615-41fa-b234-6d0527010e02</t>
  </si>
  <si>
    <t>-0,18264</t>
  </si>
  <si>
    <t>-78,48534</t>
  </si>
  <si>
    <t>PORQUE HAY MAS GENTE</t>
  </si>
  <si>
    <t>LE GUSTA LA NATURALEZA</t>
  </si>
  <si>
    <t>97ed7aa5-1136-4e3f-a19a-6ecb63f7ba83</t>
  </si>
  <si>
    <t>-0,18748</t>
  </si>
  <si>
    <t>-78,48611</t>
  </si>
  <si>
    <t>MUCHO VENDEDOR INFORMAL AGRESIVO</t>
  </si>
  <si>
    <t>SEGURIDAD DE LA ASOCIACION</t>
  </si>
  <si>
    <t>ME SIENTO BIEN</t>
  </si>
  <si>
    <t>INSEGURA POR LOS COMERCIANTES INFORMALES</t>
  </si>
  <si>
    <t>adf6a8b8-45bd-4ba9-9f40-445b3c1ca500</t>
  </si>
  <si>
    <t>-0,18735</t>
  </si>
  <si>
    <t>-78,48636</t>
  </si>
  <si>
    <t>PREOCUPACION (POR LA DELINCUENCIA)</t>
  </si>
  <si>
    <t>HACER CONTROL DE VENTAS INFORMALES</t>
  </si>
  <si>
    <t>64ca6fbb-8acd-4f35-b2c5-d9dcc6a332be</t>
  </si>
  <si>
    <t>-0,18288</t>
  </si>
  <si>
    <t>-78,48553</t>
  </si>
  <si>
    <t>PERSONAL DE EMASEO QUE RECOJE LA BASURA</t>
  </si>
  <si>
    <t>PRESENCIA DE AMC</t>
  </si>
  <si>
    <t>ARREGLAR SU AREA DE TRABAJO Y VERIFICAR LAS INSTALACIONES</t>
  </si>
  <si>
    <t>9caa86f3-f8d1-4d5a-b665-d3b808c9f9e2</t>
  </si>
  <si>
    <t>-78,48608</t>
  </si>
  <si>
    <t>CONFORTABLE</t>
  </si>
  <si>
    <t>SALTARIN INFLABLE</t>
  </si>
  <si>
    <t>774016c1-f264-4bdb-81b4-09c390cb62ac</t>
  </si>
  <si>
    <t>-0,18292</t>
  </si>
  <si>
    <t>-78,48548</t>
  </si>
  <si>
    <t>AGENTES</t>
  </si>
  <si>
    <t>d26b600f-7ded-43a9-ad85-32549ec9fff5</t>
  </si>
  <si>
    <t>-0,18761</t>
  </si>
  <si>
    <t>-78,48571</t>
  </si>
  <si>
    <t>POR EL SECTOR INFANTIL AFLUENCIA DE LADRONES</t>
  </si>
  <si>
    <t>ALUMBRADO PUBLICO</t>
  </si>
  <si>
    <t>Madrugada (00:00 a 05:59) Mañana  (06:00 a 11:59) Noche  (18:00 a 23:59)</t>
  </si>
  <si>
    <t>GUARDIAS CONTRATADOS DE LA ASOCIACION, CHAT POLICIA, ASOCIACION</t>
  </si>
  <si>
    <t>ESPERANZA</t>
  </si>
  <si>
    <t>GRATITUD A DIOS Y LAS AUTORIDADES QUE PERMITEN TRABAJAR</t>
  </si>
  <si>
    <t>ALGODON DE AZUCAR Y REPOSTERIA</t>
  </si>
  <si>
    <t>a39491bf-90ef-4c95-90db-d788a94903e8</t>
  </si>
  <si>
    <t>-0,18898</t>
  </si>
  <si>
    <t>-78,48462</t>
  </si>
  <si>
    <t>6281a156-74ce-448f-96f6-f97abd870347</t>
  </si>
  <si>
    <t>-0,18302</t>
  </si>
  <si>
    <t>-78,48651</t>
  </si>
  <si>
    <t>ESTÁ CERCA DE UPC</t>
  </si>
  <si>
    <t>SIEMPRE ESTÁN LOS MOTORISADOS</t>
  </si>
  <si>
    <t>MAS PRESENCIA PERSONAL DE EMASEO</t>
  </si>
  <si>
    <t>AYUDA CON ALUMBRADO</t>
  </si>
  <si>
    <t>9f288562-e9d7-4364-b0ba-0a5ef9f8ac5f</t>
  </si>
  <si>
    <t>-0,18794</t>
  </si>
  <si>
    <t>-78,48396</t>
  </si>
  <si>
    <t>ORGANIZACION ENTRE VENDEDORES</t>
  </si>
  <si>
    <t>ALGODON DE AZUCAR</t>
  </si>
  <si>
    <t>8f74de8d-1115-4533-822a-196a2f67c790</t>
  </si>
  <si>
    <t>-0,18301</t>
  </si>
  <si>
    <t>-78,48655</t>
  </si>
  <si>
    <t>POR LA RAZON QUE ESTÁN JUNTO A UPC</t>
  </si>
  <si>
    <t>ANSIEDAD</t>
  </si>
  <si>
    <t>INTRANQUILIDAD</t>
  </si>
  <si>
    <t>PERMISO PARA INSTALAR SERVICIOS HIGIENICOS</t>
  </si>
  <si>
    <t>9ee9716b-8fca-4024-a502-f59ba0a81623</t>
  </si>
  <si>
    <t>-0,18568</t>
  </si>
  <si>
    <t>-78,48476</t>
  </si>
  <si>
    <t>PORQUE HAY GUARDIAS</t>
  </si>
  <si>
    <t>PORQUE ES DE DIA</t>
  </si>
  <si>
    <t>PORQUE HAY GENTE</t>
  </si>
  <si>
    <t>GUARDIAS CONTRATADOS POR ASOCIACION</t>
  </si>
  <si>
    <t>BONITO</t>
  </si>
  <si>
    <t>TRABAJAR EN MI PUESTO TODOS LOS DIAS</t>
  </si>
  <si>
    <t>3ff163e4-feab-4939-906a-6764530204db</t>
  </si>
  <si>
    <t>-0,18763</t>
  </si>
  <si>
    <t>HASTA EL MOMENTO NO LE HAN ROBADO</t>
  </si>
  <si>
    <t>FELICIDAD (ES SU FUENTE DE INGRESO)</t>
  </si>
  <si>
    <t>REUBICACION DE SECTOR</t>
  </si>
  <si>
    <t>057887ab-f2dc-4d2f-957a-449425a17586</t>
  </si>
  <si>
    <t>-0,18299</t>
  </si>
  <si>
    <t>PERUANA</t>
  </si>
  <si>
    <t>ESTÁ CERCA DEL UPC</t>
  </si>
  <si>
    <t>POR LOS GUARDIAS DE SEGURIDAD</t>
  </si>
  <si>
    <t>HACEN LENGUA TERAPIA FELIZ</t>
  </si>
  <si>
    <t>SEGURO EMOCIONADO</t>
  </si>
  <si>
    <t>AGUAS AROMÁTICAS</t>
  </si>
  <si>
    <t>7e7fd3bc-5faa-45cc-8b24-8e3750384914</t>
  </si>
  <si>
    <t>-0,18744</t>
  </si>
  <si>
    <t>-78,48371</t>
  </si>
  <si>
    <t>87522688-86ef-4db4-aa20-677484157f93</t>
  </si>
  <si>
    <t>-0,18752</t>
  </si>
  <si>
    <t>-78,48376</t>
  </si>
  <si>
    <t>NARCOTRAFICO</t>
  </si>
  <si>
    <t>VACUNAS</t>
  </si>
  <si>
    <t>87f94cef-3bb4-410e-a712-c1e617ceb5e0</t>
  </si>
  <si>
    <t>-0,18338</t>
  </si>
  <si>
    <t>-78,48566</t>
  </si>
  <si>
    <t>MUCHO VENEZOLANO</t>
  </si>
  <si>
    <t>MIEDO</t>
  </si>
  <si>
    <t>TEMOR</t>
  </si>
  <si>
    <t>be3d7ab0-fd60-4a28-8da4-b5dd398ddbde</t>
  </si>
  <si>
    <t>-0,18303</t>
  </si>
  <si>
    <t>-78,48646</t>
  </si>
  <si>
    <t>POR EL UPC JUNTO AL PUESTO</t>
  </si>
  <si>
    <t>NO HE SUFRIDO NINGUN INCIDENTE</t>
  </si>
  <si>
    <t>LIBRE</t>
  </si>
  <si>
    <t>TRANQUILAS</t>
  </si>
  <si>
    <t>BAÑOS PUBLICOS EN EL LUGAR</t>
  </si>
  <si>
    <t>c7a0ca59-5977-4baf-8e42-6b6b1d479fe9</t>
  </si>
  <si>
    <t>VENTAS DE DROGAS</t>
  </si>
  <si>
    <t>COMERCIO INFORMAL (AGREDEN)</t>
  </si>
  <si>
    <t>PRESENCIA DE VACUNADORES</t>
  </si>
  <si>
    <t>2. Gas pimienta 6. Otros</t>
  </si>
  <si>
    <t>TOLETE</t>
  </si>
  <si>
    <t>IRA</t>
  </si>
  <si>
    <t>INJUSTICIA</t>
  </si>
  <si>
    <t>QUE HAYA MAYOR CONTROL DE COMERCIO INFORMAL - MEJORAS EN EL PARQUE (ILUMINACION)</t>
  </si>
  <si>
    <t>a64a64d5-1174-4a35-9f11-9db0fa59791d</t>
  </si>
  <si>
    <t>GB-AG</t>
  </si>
  <si>
    <t>-0,18437</t>
  </si>
  <si>
    <t>SEGURIDAD DE PARQUE</t>
  </si>
  <si>
    <t>ESTRESADO POR VENTAS INFORMALES</t>
  </si>
  <si>
    <t>18e05754-eab8-4447-a923-2ea94ecf100a</t>
  </si>
  <si>
    <t>AG</t>
  </si>
  <si>
    <t>-0,18438</t>
  </si>
  <si>
    <t>-78,48364</t>
  </si>
  <si>
    <t>POR LA GENTE AMABLE</t>
  </si>
  <si>
    <t>POLICIA ESTA RONDANDO</t>
  </si>
  <si>
    <t>AGRADECIMIENTO</t>
  </si>
  <si>
    <t>f706e382-ee34-4d1a-898f-2585e1928967</t>
  </si>
  <si>
    <t>-0,18534</t>
  </si>
  <si>
    <t>-78,48473</t>
  </si>
  <si>
    <t>ACTIVIDAD SOCIAL</t>
  </si>
  <si>
    <t>POR LA PRESENCIA DE MUCHA GENTE</t>
  </si>
  <si>
    <t>EUFORIA</t>
  </si>
  <si>
    <t>CANSANCIO</t>
  </si>
  <si>
    <t>IMPARCIALIDAD</t>
  </si>
  <si>
    <t>3e0706cc-d372-424d-9e60-ec0e5f30a9eb</t>
  </si>
  <si>
    <t>JM</t>
  </si>
  <si>
    <t>-0,18339</t>
  </si>
  <si>
    <t>-78,48546</t>
  </si>
  <si>
    <t>PORQUE ESTA CERCA EL UPC</t>
  </si>
  <si>
    <t>RONDA DE POLICIAS</t>
  </si>
  <si>
    <t>FELIZ DE TRABAJAR EN ESTE PARQUE</t>
  </si>
  <si>
    <t>SE SIENTE SEGURO</t>
  </si>
  <si>
    <t>ALGODÓN DE AZUCAR Y MANGOS</t>
  </si>
  <si>
    <t>f416b1f0-8eec-4b70-b716-b6d79e04c352</t>
  </si>
  <si>
    <t>-0,18414</t>
  </si>
  <si>
    <t>-78,48528</t>
  </si>
  <si>
    <t>POR LA ADMINISTRACIÓN DEL PARQUE</t>
  </si>
  <si>
    <t>POR EL UPC</t>
  </si>
  <si>
    <t>INDIFNACIÓN PORQUE NO RECOJEN LOS DESECHOS DE LAS MASCOTAS</t>
  </si>
  <si>
    <t>FELIZ POR LOS ARBOLES</t>
  </si>
  <si>
    <t>CONTENTO POR SU TRABAJO</t>
  </si>
  <si>
    <t>GRANIZADOS CON FRUTA Y ENCEBOLLADOS</t>
  </si>
  <si>
    <t>da65da57-0b20-4da5-a788-04853c55c7af</t>
  </si>
  <si>
    <t>DP</t>
  </si>
  <si>
    <t>-0,18480</t>
  </si>
  <si>
    <t>-78,18432</t>
  </si>
  <si>
    <t>DROGADICTOS</t>
  </si>
  <si>
    <t>BORRACHOS</t>
  </si>
  <si>
    <t>PREOCUPADA</t>
  </si>
  <si>
    <t>RESIGNADA</t>
  </si>
  <si>
    <t>MÁS BASUREROS EN EL PARQUE</t>
  </si>
  <si>
    <t>fc0fe54c-8ffb-4ad3-9305-21748c95d42e</t>
  </si>
  <si>
    <t>-0,18472</t>
  </si>
  <si>
    <t>-78,48464</t>
  </si>
  <si>
    <t>PRESENCIA DE LOS VENEZOLANOS</t>
  </si>
  <si>
    <t>POCA PRESENCIA POLICIAL</t>
  </si>
  <si>
    <t>PREOCUPADO POR LA PRESENCIA DE VENEZOLANOS</t>
  </si>
  <si>
    <t>MÁS PRESENCIA DE POLICIA</t>
  </si>
  <si>
    <t>edd03d77-96e6-4966-91e7-f2202685ba4a</t>
  </si>
  <si>
    <t>-0,18518</t>
  </si>
  <si>
    <t>-78,48467</t>
  </si>
  <si>
    <t>POR VENEZOLANOS</t>
  </si>
  <si>
    <t>VENDEDORES AMBULANTES</t>
  </si>
  <si>
    <t>RESPIRA AIRE PURO</t>
  </si>
  <si>
    <t>ENTRETENIDO CON LAS PERSONAS</t>
  </si>
  <si>
    <t>FRUTAS ENCOFITADAS</t>
  </si>
  <si>
    <t>90fc0805-4dec-4060-81d0-d6d4ebce3d9e</t>
  </si>
  <si>
    <t>-0,18337</t>
  </si>
  <si>
    <t>-78,48555</t>
  </si>
  <si>
    <t>POR EL UPC POLICIA MONTADA</t>
  </si>
  <si>
    <t>ALEGRÍA</t>
  </si>
  <si>
    <t>INFLABLE SALTARÍN</t>
  </si>
  <si>
    <t>d2d253b6-8754-4d8f-bfff-1d29875dba91</t>
  </si>
  <si>
    <t>vVTBbbcBrmiSLVRNsT59sL</t>
  </si>
  <si>
    <t>-0,18529</t>
  </si>
  <si>
    <t>NUNCA VE POLICIAS</t>
  </si>
  <si>
    <t>Madrugada (00:00 a 05:59) Mañana  (06:00 a 11:59) Tarde (12:00 a 17:59)</t>
  </si>
  <si>
    <t>SOSOBRA</t>
  </si>
  <si>
    <t>46611066-4a9f-4d8d-bb6f-c622569d2b83</t>
  </si>
  <si>
    <t>-78,48573</t>
  </si>
  <si>
    <t>TRNAQUILIDAD SIEMPRE Y CUANDO ESTE ACOMPAÑADO</t>
  </si>
  <si>
    <t>10dd9109-18f6-408d-a79c-68ef18f36b54</t>
  </si>
  <si>
    <t>-0,18745</t>
  </si>
  <si>
    <t>-78,48618</t>
  </si>
  <si>
    <t>MUCHO DELINCUENTE</t>
  </si>
  <si>
    <t>0a71e713-db97-42e9-a7f7-7cd13eabb8c3</t>
  </si>
  <si>
    <t>-0,17843</t>
  </si>
  <si>
    <t>-78,48623</t>
  </si>
  <si>
    <t>POLICIA N.</t>
  </si>
  <si>
    <t>6c753d6c-58ca-40f5-84a1-83f6badcabf9</t>
  </si>
  <si>
    <t>-0,18756</t>
  </si>
  <si>
    <t>-78,48578</t>
  </si>
  <si>
    <t>POLICA</t>
  </si>
  <si>
    <t>METROPOLITANOS</t>
  </si>
  <si>
    <t>NADIE MOLESTA</t>
  </si>
  <si>
    <t>13d0a1f1-1682-4b10-9431-529139551e85</t>
  </si>
  <si>
    <t>-78,49383</t>
  </si>
  <si>
    <t>DROGAS</t>
  </si>
  <si>
    <t>fd843063-d8da-463c-910c-7d6eaef1266d</t>
  </si>
  <si>
    <t>-0,18048</t>
  </si>
  <si>
    <t>-78,48235</t>
  </si>
  <si>
    <t>fd32f603-edb7-4d46-bea6-caabedeae4e2</t>
  </si>
  <si>
    <t>-0,17814</t>
  </si>
  <si>
    <t>-78,48524</t>
  </si>
  <si>
    <t>SI HAY SEGURIDAD</t>
  </si>
  <si>
    <t>HAY GUARDIAS</t>
  </si>
  <si>
    <t>PERO SI HAY INSEGURIDAD</t>
  </si>
  <si>
    <t>TABLEROS PARA PINTAR CARITAS PINTADAS</t>
  </si>
  <si>
    <t>3fe33b78-b0a0-462b-80f1-78761fc587b8</t>
  </si>
  <si>
    <t>-0,17855</t>
  </si>
  <si>
    <t>GENTE RARA</t>
  </si>
  <si>
    <t>SATISFECHA</t>
  </si>
  <si>
    <t>VENTA DE JUGUETES</t>
  </si>
  <si>
    <t>0a9fdc3c-fbd1-4f83-a997-ddf0b0683f59</t>
  </si>
  <si>
    <t>-0,17829</t>
  </si>
  <si>
    <t>-78,48333</t>
  </si>
  <si>
    <t>PERSONAS CONSUMEN DROGA</t>
  </si>
  <si>
    <t>PERSONAS CONSUMEN ALCOHOL</t>
  </si>
  <si>
    <t>MUCHA GENTE MALA</t>
  </si>
  <si>
    <t>ec18d9b2-82a6-4b42-9b01-f41e35a29d35</t>
  </si>
  <si>
    <t>BG-GC</t>
  </si>
  <si>
    <t>-78,48391</t>
  </si>
  <si>
    <t>MILITARES</t>
  </si>
  <si>
    <t>CONFIADO</t>
  </si>
  <si>
    <t>SERVICIO AL CLIENTE INFLABLE</t>
  </si>
  <si>
    <t>da054d8a-ee4a-4e7c-bedb-56093937f63a</t>
  </si>
  <si>
    <t>-0,18709</t>
  </si>
  <si>
    <t>-78,48453</t>
  </si>
  <si>
    <t>VACUNADORES EN EL SECTOR</t>
  </si>
  <si>
    <t>3ce9e0b2-c70c-4ead-9fb9-5185165d98c6</t>
  </si>
  <si>
    <t>-0,18658</t>
  </si>
  <si>
    <t>SIN COMENTARIOS</t>
  </si>
  <si>
    <t>HELADOS Y POSTRES</t>
  </si>
  <si>
    <t>45bc0904-3613-49b1-bc7c-f4b17eade321</t>
  </si>
  <si>
    <t>-0,18627</t>
  </si>
  <si>
    <t>-78,48490</t>
  </si>
  <si>
    <t>LA DELINCUENCIA</t>
  </si>
  <si>
    <t>VENTAS AMBULANTES ME SIENTO MAL</t>
  </si>
  <si>
    <t>ed131cc3-523e-422a-8553-6abb6e12887a</t>
  </si>
  <si>
    <t>-78,48492</t>
  </si>
  <si>
    <t>PORQUE HAY CONTROL DE GUARDABOSQUES</t>
  </si>
  <si>
    <t>PORQUE HAY LOS GUARDIAS QUE CONTRATARON COMO ASOCIACION</t>
  </si>
  <si>
    <t>GUARDIAS CONTRATADOS POR LA ASOCIACION</t>
  </si>
  <si>
    <t>ALEGRE CUANDO VENDO</t>
  </si>
  <si>
    <t>TRISTE CUANDO NO VENDO POR EL COMERCIO INFORMAL</t>
  </si>
  <si>
    <t>45667d5c-f4c9-4414-bbe3-a7e843b715ac</t>
  </si>
  <si>
    <t>-0,17891</t>
  </si>
  <si>
    <t>8eb476b7-8d85-463f-9520-08f5f68b873d</t>
  </si>
  <si>
    <t>-0,17772</t>
  </si>
  <si>
    <t>-78,48190</t>
  </si>
  <si>
    <t>INFORMALES</t>
  </si>
  <si>
    <t>TRABAJAR</t>
  </si>
  <si>
    <t>694d5c49-0841-49ce-b9fd-17462a09c18f</t>
  </si>
  <si>
    <t>-0,18538</t>
  </si>
  <si>
    <t>-78,48471</t>
  </si>
  <si>
    <t>NO HAY SEGURIDAD POLICIAL</t>
  </si>
  <si>
    <t>POR LAS VENTAS INFORMALES</t>
  </si>
  <si>
    <t>BIEN POR EL TRABAJO</t>
  </si>
  <si>
    <t>FALTA DE COLABORACION PARA LOS PUESTOS</t>
  </si>
  <si>
    <t>a3c00725-aed1-47ec-8e47-b2a08186609b</t>
  </si>
  <si>
    <t>-78,48363</t>
  </si>
  <si>
    <t>FALTA DE PRESENCIA POLICIAL</t>
  </si>
  <si>
    <t>GRANIZADO</t>
  </si>
  <si>
    <t>MAS SEGURIDAD, MAS CONTROL DE VENTAS AMBULANTES</t>
  </si>
  <si>
    <t>3a185cfa-84e0-4de1-ab98-0f219f414234</t>
  </si>
  <si>
    <t>-78,48415</t>
  </si>
  <si>
    <t>GENTE AGENA</t>
  </si>
  <si>
    <t>PERSONAS TOMANDO</t>
  </si>
  <si>
    <t>PERSONAS QUE VIENEN A DESTRUIR LAS COSAS</t>
  </si>
  <si>
    <t>ENERMO</t>
  </si>
  <si>
    <t>af2d1176-8b09-4072-a3f8-cc9265d2ca78</t>
  </si>
  <si>
    <t>-0,18413</t>
  </si>
  <si>
    <t>-78,48525</t>
  </si>
  <si>
    <t>HAY AFLUENCIA DE GENTE</t>
  </si>
  <si>
    <t>ESTOY CERCA DEL UPC</t>
  </si>
  <si>
    <t>f296342b-d131-4a2d-8ec8-6f3ca50440a5</t>
  </si>
  <si>
    <t>-0,18279</t>
  </si>
  <si>
    <t>-78,48315</t>
  </si>
  <si>
    <t>AYUDA DE LOS GUARDA PARQUES</t>
  </si>
  <si>
    <t>PRESENCIA DE POLICIAS</t>
  </si>
  <si>
    <t>BICICLETA (TALLER DE BICICLETAS)</t>
  </si>
  <si>
    <t>8a9b528d-badc-45a8-bb95-ee4e91f976f3</t>
  </si>
  <si>
    <t>-0,18753</t>
  </si>
  <si>
    <t>-78,48384</t>
  </si>
  <si>
    <t>DROGA</t>
  </si>
  <si>
    <t>DESTRUCCION</t>
  </si>
  <si>
    <t>ab4e01b9-d162-413e-b306-02f1510e8123</t>
  </si>
  <si>
    <t>EN DIOS CONFIA</t>
  </si>
  <si>
    <t>GRANIZADO CON FRUTAS</t>
  </si>
  <si>
    <t>c5ca4df2-e947-40a8-a1e0-a22cedf16e3f</t>
  </si>
  <si>
    <t>-0,17910</t>
  </si>
  <si>
    <t>LE HAN INTENTADO PASAR</t>
  </si>
  <si>
    <t>FELIZ PORQUE TIENE UN MEDIO DE SUSTENTO</t>
  </si>
  <si>
    <t>PERO FATAL SEGURIDAD</t>
  </si>
  <si>
    <t>JUEGO DE LA CAMA ELASTICA</t>
  </si>
  <si>
    <t>7fd5422d-a6db-4bab-b8ed-1034d7147409</t>
  </si>
  <si>
    <t>-0,18268</t>
  </si>
  <si>
    <t>-78,48312</t>
  </si>
  <si>
    <t>MUCHOS ASALTOS</t>
  </si>
  <si>
    <t>NO HAY AYUDA DE POLCIA</t>
  </si>
  <si>
    <t>COMPARTIR CON LOS CLIENTES</t>
  </si>
  <si>
    <t>JUGOS Y BEBIDAS</t>
  </si>
  <si>
    <t>eeeec4ba-18bd-4b18-81ad-9b83e6e1666a</t>
  </si>
  <si>
    <t>-0,18143</t>
  </si>
  <si>
    <t>VENTA DE DORGAS</t>
  </si>
  <si>
    <t>VENTAS AMBULANTES</t>
  </si>
  <si>
    <t>CHAT COMUNITARIO</t>
  </si>
  <si>
    <t>ESTRES PARECE MERCADO</t>
  </si>
  <si>
    <t>JUGOS</t>
  </si>
  <si>
    <t>dcefb4a0-6e67-4d12-9278-9664d86318ce</t>
  </si>
  <si>
    <t>-0,18757</t>
  </si>
  <si>
    <t>UN GRUPO DE COMERCIANTES</t>
  </si>
  <si>
    <t>VISITANTE AL PARQUE</t>
  </si>
  <si>
    <t>f359bfe8-7091-427c-bcd4-4bad5c656cc4</t>
  </si>
  <si>
    <t>-0,17928</t>
  </si>
  <si>
    <t>-78,48409</t>
  </si>
  <si>
    <t>HAY VARIOS DELINCUENTES ROBANDO LOS PUESTOS</t>
  </si>
  <si>
    <t>GENTE TOMANDO ALCOHOL</t>
  </si>
  <si>
    <t>SIENTE INSEGURIDAD EN EL PARQUE</t>
  </si>
  <si>
    <t>PERO ES SU PUESTO DE TRABAJO</t>
  </si>
  <si>
    <t>SE SIENTE FELIZ AL TENER UN SUSTENTO</t>
  </si>
  <si>
    <t>96113c64-7021-45e6-858c-c17b186238f5</t>
  </si>
  <si>
    <t>-0,17841</t>
  </si>
  <si>
    <t>-78,48340</t>
  </si>
  <si>
    <t>GENTE MALA</t>
  </si>
  <si>
    <t>NO HAY AGUA</t>
  </si>
  <si>
    <t>MAL POR MUCHAS VENTAS INFORMALES</t>
  </si>
  <si>
    <t>MAL TIEMPO</t>
  </si>
  <si>
    <t>01092356-73f0-4724-a898-8199581dec33</t>
  </si>
  <si>
    <t>JD</t>
  </si>
  <si>
    <t>-0,17870</t>
  </si>
  <si>
    <t>-78,48341</t>
  </si>
  <si>
    <t>PRESENCIA DE POLICIA</t>
  </si>
  <si>
    <t>AFLUENCIA DE PERSONAS EJERCITANDOSE</t>
  </si>
  <si>
    <t>GENTE BUENA</t>
  </si>
  <si>
    <t>AFLUENCIA</t>
  </si>
  <si>
    <t>GRANIZADOS Y ALGODON DE  AZUCAR</t>
  </si>
  <si>
    <t>9e34059f-8403-4288-947c-8832788ceda2</t>
  </si>
  <si>
    <t>-78,48381</t>
  </si>
  <si>
    <t>FALTA DE PRESENCIA DE LA POLICIA</t>
  </si>
  <si>
    <t>ESPERANZA DE MEJORA DEL PARQUE</t>
  </si>
  <si>
    <t>MEJORAR COMO PERSONA</t>
  </si>
  <si>
    <t>MEJORA DE ESPACIO EN SU TOTALIDAD</t>
  </si>
  <si>
    <t>83c3c5cc-9c4c-45b8-b0cf-d21da766807d</t>
  </si>
  <si>
    <t>-0,18693</t>
  </si>
  <si>
    <t>SEGURO POR EL TIEMPO QUE TRABAJA</t>
  </si>
  <si>
    <t>COMPAÑERISMO CON LA ASOCIACION</t>
  </si>
  <si>
    <t>POR MEDIO DE LA ASOCIACION CONTRATO GUARDIAS</t>
  </si>
  <si>
    <t>SIENTO TRANQUILO Y PREOCUPACION NECESARIA</t>
  </si>
  <si>
    <t>245f858a-6a93-44f6-8da6-59073108607f</t>
  </si>
  <si>
    <t>FB</t>
  </si>
  <si>
    <t>-0,18730</t>
  </si>
  <si>
    <t>-78,48437</t>
  </si>
  <si>
    <t>AMARRAN LAS COSAS</t>
  </si>
  <si>
    <t>e8d86c4b-5dc2-454c-b05f-90d1e01025ae</t>
  </si>
  <si>
    <t>GB-GH</t>
  </si>
  <si>
    <t>-0,18723</t>
  </si>
  <si>
    <t>-78,48443</t>
  </si>
  <si>
    <t>LE ROBAN DOS VECES EL PUESTO</t>
  </si>
  <si>
    <t>SE SIENTE MAL POR LAS VENTAS AMBULANTES</t>
  </si>
  <si>
    <t>DAÑAN AL PARQUE</t>
  </si>
  <si>
    <t>Artesanías Otros:</t>
  </si>
  <si>
    <t>e02ea369-6946-4190-905f-f737fe9c595f</t>
  </si>
  <si>
    <t>-0,18716</t>
  </si>
  <si>
    <t>-78,48447</t>
  </si>
  <si>
    <t>GENTE EXTRANJERA</t>
  </si>
  <si>
    <t>BIEN Y SEGURO</t>
  </si>
  <si>
    <t>BEBIDAS</t>
  </si>
  <si>
    <t>412903ea-1460-4ff2-82a0-ec412ca9a42a</t>
  </si>
  <si>
    <t>-0,18714</t>
  </si>
  <si>
    <t>-78,48448</t>
  </si>
  <si>
    <t>SEGURIDAD PATRULLAJE POLICIA</t>
  </si>
  <si>
    <t>SEGURIDAD GUARDA BOSQUES</t>
  </si>
  <si>
    <t>SEGURIDAD GUARDIAS</t>
  </si>
  <si>
    <t>ASOCIACION GUARDIAS DE SEGURIDAD</t>
  </si>
  <si>
    <t>BIEN NO HA ESTADO EL PARQUE</t>
  </si>
  <si>
    <t>ede3f17f-42b7-4f53-b5e9-fa8f62e24596</t>
  </si>
  <si>
    <t>CH</t>
  </si>
  <si>
    <t>-0,18708</t>
  </si>
  <si>
    <t>-78,48454</t>
  </si>
  <si>
    <t>INFORMALIDAD</t>
  </si>
  <si>
    <t>INDIGENCIA</t>
  </si>
  <si>
    <t>FELICIDAD ES EL SEGUNDO HOGAR</t>
  </si>
  <si>
    <t>INSEGURO POR LA DELINCUENCIA</t>
  </si>
  <si>
    <t>3010a2b1-0866-4eb0-be10-1285291bb30f</t>
  </si>
  <si>
    <t>-0,18648</t>
  </si>
  <si>
    <t>EN LA TARDE PASA GENTE RARA</t>
  </si>
  <si>
    <t>POCO CONTROL POLICIAL</t>
  </si>
  <si>
    <t>MAS CONTROL A PARTIR DE LAS 16 HORAS</t>
  </si>
  <si>
    <t>SENTIMOS FALTA PRESENCIA AUTORIDADES</t>
  </si>
  <si>
    <t>FALTA DE CONTROL SEGURIDAD</t>
  </si>
  <si>
    <t>OBLEAS</t>
  </si>
  <si>
    <t>6682fffc-0c4a-40dc-9deb-cf89c186ac02</t>
  </si>
  <si>
    <t>-0,18703</t>
  </si>
  <si>
    <t>NI METROPOLITANOS</t>
  </si>
  <si>
    <t>POCA FRECUENCIA DE ACTIVIDADES</t>
  </si>
  <si>
    <t>UNA SEGUNDA CASA</t>
  </si>
  <si>
    <t>UN POCO DESCONFIA COMO ESTA EL PARQUE</t>
  </si>
  <si>
    <t>029c2138-ec77-4b32-b73b-cb929e46c150</t>
  </si>
  <si>
    <t>-0,18706</t>
  </si>
  <si>
    <t>ROBOS FRECUENTES</t>
  </si>
  <si>
    <t>VARIABLE SEGUN LA SITUACION</t>
  </si>
  <si>
    <t>GASEOSAS</t>
  </si>
  <si>
    <t>db1efe79-39c1-486f-b7a4-cd2ac4d70ee6</t>
  </si>
  <si>
    <t>PAZ TRANQUILIDAD</t>
  </si>
  <si>
    <t>AHORA INTRANQUILIDAD</t>
  </si>
  <si>
    <t>Etiquetas de fila</t>
  </si>
  <si>
    <t>Total general</t>
  </si>
  <si>
    <t>Cuenta de PSC.2 En los últimos 6 meses, es decir,  de septiembre 2024 a la fecha. EN TÉRMINOS DE SEGURIDAD, ¿qué tan segura/o se siente usted cuando está atendiendo en este puesto?: Enc. leer opciones y RU</t>
  </si>
  <si>
    <t>Cuenta de PSC.4 ¿En los últimos 6 meses, es decir,  de septiembre 2024 a la fecha, considera que la situación de inseguridad en el parque? Enc. leer opciones y RU</t>
  </si>
  <si>
    <t>Cuenta de ¿Ha implementado medidas de seguridad en su negocio ? Como bates, palos, gas pimienta.    Enc. Si la respuesta es SI preguntar ¿cuáles?</t>
  </si>
  <si>
    <t>Cuenta de ¿Ha cambiado su horario de venta al público?  Enc. respuesta espontánea y RU</t>
  </si>
  <si>
    <t>Cuenta de ¿Ha evitado estar solo/a para atender al público? Enc. respuesta espontánea y RU</t>
  </si>
  <si>
    <t>Cuenta de VI.1 En los últimos 6 meses, es decir, de septiembre 2024 a la fecha. Ud. ha sido víctima de algún tipo de delito en el parque?</t>
  </si>
  <si>
    <t>Cuenta de CC.1 Alguien puso música a un volumen excesivo o hizo mucho ruido y eso le molestó?</t>
  </si>
  <si>
    <t>Cuenta de CC.1.1 ¿Con qué frecuencia?</t>
  </si>
  <si>
    <t>(en blanco)</t>
  </si>
  <si>
    <t>Cuenta de CC.2 Grafitis no artísticos que le molestaron?</t>
  </si>
  <si>
    <t>Cuenta de CC.2.1 ¿Con qué frecuencia?</t>
  </si>
  <si>
    <t>Cuenta de CC.3 Personas que orinan en el parque?</t>
  </si>
  <si>
    <t>Cuenta de CC.3.1 ¿Con qué frecuencia?</t>
  </si>
  <si>
    <t>Cuenta de CC.4 Desechos de animales ?</t>
  </si>
  <si>
    <t>Cuenta de CC.4.1 ¿Con qué frecuencia?</t>
  </si>
  <si>
    <t>Cuenta de CC.5 Áreas sin iluminación ?</t>
  </si>
  <si>
    <t>Cuenta de CC.5.1 ¿Con qué frecuencia?</t>
  </si>
  <si>
    <t>Cuenta de CC.6 Peleas o riñas ?</t>
  </si>
  <si>
    <t>Cuenta de CC.6.1 ¿Con qué frecuencia?</t>
  </si>
  <si>
    <t>Cuenta de CC.7 Habitantes en situación de calle (mendicidad) ?</t>
  </si>
  <si>
    <t>Cuenta de CC.7.1 ¿Con qué frecuencia?</t>
  </si>
  <si>
    <t>Cuenta de CC.8 Consumo de alcohol?</t>
  </si>
  <si>
    <t>Cuenta de CC.8.1 ¿Con qué frecuencia?</t>
  </si>
  <si>
    <t>Cuenta de CC.9 Venta de alcohol?</t>
  </si>
  <si>
    <t>Cuenta de CC.9.1 ¿Con qué frecuencia?</t>
  </si>
  <si>
    <t>Cuenta de CC.10 Consumo de drogas?</t>
  </si>
  <si>
    <t>Cuenta de CC.10.1 ¿Con qué frecuencia?</t>
  </si>
  <si>
    <t>Cuenta de CC.11 Venta de drogas?</t>
  </si>
  <si>
    <t>Cuenta de CC.11.1 ¿Con qué frecuencia?</t>
  </si>
  <si>
    <t>Cuenta de CC.12 Daño a la propiedad pública y privada?</t>
  </si>
  <si>
    <t>Cuenta de CC.12.1 ¿Con qué frecuencia?</t>
  </si>
  <si>
    <t>Cuenta de CC.13 Fauna Urbana? (animales sin hogar)</t>
  </si>
  <si>
    <t>Cuenta de CC.13.2 ¿Con qué frecuencia?</t>
  </si>
  <si>
    <t>Cuenta de CC.14 Basura y suciedad?</t>
  </si>
  <si>
    <t>Cuenta de CC.14.2 ¿Con qué frecuencia?</t>
  </si>
  <si>
    <t>Cuenta de CC.15 Trabajo sexual (prostitución)?</t>
  </si>
  <si>
    <t>Cuenta de CC.15.2 ¿Con qué frecuencia?</t>
  </si>
  <si>
    <t>Cuenta de CC.16 Aglomeración de personas?</t>
  </si>
  <si>
    <t>Cuenta de CC.16.2 ¿Con qué frecuencia?</t>
  </si>
  <si>
    <t>Cuenta de CC.17 ¿Alguna otra que no le haya mencionado?</t>
  </si>
  <si>
    <t>Cuenta de CC.17.2 ¿Con qué frecuencia?</t>
  </si>
  <si>
    <t>Cuenta de PCA.1 En los últimos 6 meses, es decir, de septiembre 2024 a la fecha. ¿Usted ha presenciado ventas ambulantes en el parque ? Enc. RE y RU.</t>
  </si>
  <si>
    <t>Cuenta de PCA.1.0 ¿Con qué frecuencia?</t>
  </si>
  <si>
    <t>Cuenta de PCA.1.1 Le molestan las ventas ambulantes en el parque? Enc. RE y RU.</t>
  </si>
  <si>
    <t>Cuenta de SSM.1 Agencia Metropolitana de Control (AMC)</t>
  </si>
  <si>
    <t>Cuenta de SSM.1.1 ¿Utilizó algún servicio o guía?</t>
  </si>
  <si>
    <t>Cuenta de SSM.1.2 ¿Cómo califica el servicio?</t>
  </si>
  <si>
    <t>Cuenta de SSM.2 Agencia Metropolitana de Control de Comercio (AMCC)</t>
  </si>
  <si>
    <t>Cuenta de SSM.2.1 ¿Utilizó algún servicio o guía?</t>
  </si>
  <si>
    <t>Cuenta de SSM.2.2 ¿Cómo califica el servicio?</t>
  </si>
  <si>
    <t>Cuenta de SSM.3 Patronato San José (UPMSJ)</t>
  </si>
  <si>
    <t>Cuenta de SSM.3.1 ¿Utilizó algún servicio o guía?</t>
  </si>
  <si>
    <t>Cuenta de SSM.3.2 ¿Cómo califica el servicio?</t>
  </si>
  <si>
    <t>Cuenta de SSM.4 Cuerpo de Agentes de Control Metropolitano de Quito (CACMQ)</t>
  </si>
  <si>
    <t>Cuenta de SSM.4.1 ¿Utilizó algún servicio o guía?</t>
  </si>
  <si>
    <t>Cuenta de SSM.4.2 ¿Cómo califica el servicio?</t>
  </si>
  <si>
    <t>Cuenta de SSM.5 Cuerpo de Bombero de Quito (CBQ)</t>
  </si>
  <si>
    <t>Cuenta de SSM.5.1 ¿Utilizó algún servicio o guía?</t>
  </si>
  <si>
    <t>Cuenta de SSM.5.2 ¿Cómo califica el servicio?</t>
  </si>
  <si>
    <t>Cuenta de SSM.6 Agencia Metropolitana de Tránsito (AMT)</t>
  </si>
  <si>
    <t>Cuenta de SSM.6.1 ¿Utilizó algún servicio o guía?</t>
  </si>
  <si>
    <t>Cuenta de SSM.6.2 ¿Cómo califica el servicio?</t>
  </si>
  <si>
    <t>Cuenta de SSM.7.1 ¿Utilizó algún servicio o guía?</t>
  </si>
  <si>
    <t>Cuenta de SSM.7 Empresa Metropolitana de Aseo (EMASEO)</t>
  </si>
  <si>
    <t>Cuenta de SSM.7.2 ¿Cómo califica el servicio?</t>
  </si>
  <si>
    <t>Cuenta de SSM.8 Policía Nacional (PN)</t>
  </si>
  <si>
    <t>Cuenta de SSM.8.1 ¿Utilizó algún servicio o guía?</t>
  </si>
  <si>
    <t>Cuenta de SSM.8.2 ¿Cómo califica el servicio?</t>
  </si>
  <si>
    <t>Cuenta de SSM.10 Fuerzas Armadas del Ecuador (FFAA)</t>
  </si>
  <si>
    <t>Cuenta de SSM.10.1 ¿Utilizó algún servicio o guía?</t>
  </si>
  <si>
    <t>Cuenta de SSM.10.2 ¿Cómo califica el servicio?</t>
  </si>
  <si>
    <t>Cuenta de SSM.11 Secretaría General de Seguridad Ciudadana y Gestión de Riesgos</t>
  </si>
  <si>
    <t>Cuenta de SSM.11.1 ¿Utilizó algún servicio o guía?</t>
  </si>
  <si>
    <t>Cuenta de SSM.11.2 ¿Cómo califica el servicio?</t>
  </si>
  <si>
    <t>Cuenta de CA. 1 En relación con su espacio de trabajo actual, ¿le gustaría que se realicen mejoras (como mantenimiento o renovación de carpas, mobiliario, etc.) para optimizar su labor y la experiencia de sus clientes? Enc. Leer y RU</t>
  </si>
  <si>
    <t>Cuenta de CA. 2 Si se presentaran propuestas para mejorar las condiciones de trabajo de los comerciantes en el parque, ¿estaría interesado en conocerlas y evaluarlas, considerando que se respeten sus derechos y su trayectoria en este lugar? Enc. Leer y RU</t>
  </si>
  <si>
    <t>Cuenta de CARACTERIZACION DEL COMERCIO</t>
  </si>
  <si>
    <t>Etiquetas de columna</t>
  </si>
  <si>
    <t>Cuenta de DD. 1 Sexo Enc. Por observación</t>
  </si>
  <si>
    <t>rango_Edad</t>
  </si>
  <si>
    <t>18 a 25</t>
  </si>
  <si>
    <t>26 a 40</t>
  </si>
  <si>
    <t>41 a 55</t>
  </si>
  <si>
    <t>56 a más</t>
  </si>
  <si>
    <t>Cuenta de rango_Edad</t>
  </si>
  <si>
    <t>Sexo</t>
  </si>
  <si>
    <t>Rango etario</t>
  </si>
  <si>
    <t xml:space="preserve">¿Ha cambiado su horario de venta al público? </t>
  </si>
  <si>
    <t>¿Ha evitado estar solo/a para atender al público?</t>
  </si>
  <si>
    <t xml:space="preserve"> ¿Ha implementado medidas de seguridad en su negocio ?</t>
  </si>
  <si>
    <t>Alguien puso música a un volumen excesivo o hizo mucho ruido y eso le molestó</t>
  </si>
  <si>
    <t>Grafitis no artísticos que le molestaron</t>
  </si>
  <si>
    <t>Personas que orinan en el parque</t>
  </si>
  <si>
    <t>Desechos de animales</t>
  </si>
  <si>
    <t>Áreas sin iluminación</t>
  </si>
  <si>
    <t>Peleas o riñas</t>
  </si>
  <si>
    <t>Habitantes en situación de calle</t>
  </si>
  <si>
    <t>Consumo de alcohol</t>
  </si>
  <si>
    <t>Venta de alcohol</t>
  </si>
  <si>
    <t>Consumo de drogas</t>
  </si>
  <si>
    <t xml:space="preserve"> Venta de drogas</t>
  </si>
  <si>
    <t>Daño a la propiedad pública y privada</t>
  </si>
  <si>
    <t>Fauna Urbana</t>
  </si>
  <si>
    <t>Basura y suciedad</t>
  </si>
  <si>
    <t>Trabajo sexual</t>
  </si>
  <si>
    <t>Aglomeración de personas</t>
  </si>
  <si>
    <t>Alguna otra que no le haya mencionado</t>
  </si>
  <si>
    <t>le molestan las ventas ambulantes?</t>
  </si>
  <si>
    <t>ha presenciado ventas ambulantes?</t>
  </si>
  <si>
    <t>Agencia Metropolitana de Control</t>
  </si>
  <si>
    <t>Agencia Metropolitana de Control de Comercio</t>
  </si>
  <si>
    <t>Patronato San José</t>
  </si>
  <si>
    <t>Cuerpo de Agentes de Control Metropolitano de Quito</t>
  </si>
  <si>
    <t>Cuerpo de Bombero de Quito</t>
  </si>
  <si>
    <t>Agencia Metropolitana de Tránsito</t>
  </si>
  <si>
    <t>Empresa Metropolitana de Aseo</t>
  </si>
  <si>
    <t xml:space="preserve">Policía Nacional </t>
  </si>
  <si>
    <t xml:space="preserve">Fuerzas Armadas del Ecuador </t>
  </si>
  <si>
    <t>Secretaría General de Seguridad Ciudadana y Gestión de Riesgos</t>
  </si>
  <si>
    <t>utilizo?</t>
  </si>
  <si>
    <t>vio?</t>
  </si>
  <si>
    <t>revisar sobrestimación omscgr por normalizar</t>
  </si>
  <si>
    <t>ind_no_denuncia</t>
  </si>
  <si>
    <t>Cuenta de ind_no_denuncia</t>
  </si>
  <si>
    <t>no denuncia</t>
  </si>
  <si>
    <t>Muy Seguro</t>
  </si>
  <si>
    <t>Seguro</t>
  </si>
  <si>
    <t>Inseguro</t>
  </si>
  <si>
    <t>Muy Inseguro</t>
  </si>
  <si>
    <t>Hombre</t>
  </si>
  <si>
    <t>Mujer</t>
  </si>
  <si>
    <t>Empeoró</t>
  </si>
  <si>
    <t>Esta igual</t>
  </si>
  <si>
    <t>Mejoró</t>
  </si>
  <si>
    <t>Sí</t>
  </si>
  <si>
    <t>No</t>
  </si>
  <si>
    <t>NS/NC</t>
  </si>
  <si>
    <t>Cuenta de CH.1.1 ¿Cuáles?</t>
  </si>
  <si>
    <t>Cuenta de DD.6 ¿Cuál es su nivel de estudios aprobados? Enc. respuesta espontánea y RU.</t>
  </si>
  <si>
    <t>Nivel de estudios aprobados</t>
  </si>
  <si>
    <t>Ninguno</t>
  </si>
  <si>
    <t>Primaria</t>
  </si>
  <si>
    <t>Secundaria/ Bachillerato</t>
  </si>
  <si>
    <t>Tecnicatura/Tecnología</t>
  </si>
  <si>
    <t>Universitario</t>
  </si>
  <si>
    <t>Cuenta de ¿De qué delitos fue víctima? Enc. respuesta espontáne. RM</t>
  </si>
  <si>
    <t>Hurto (sin violencia)</t>
  </si>
  <si>
    <t>Robo  (con violencia)</t>
  </si>
  <si>
    <t>Amenazas</t>
  </si>
  <si>
    <t>POCO FRECUENTE</t>
  </si>
  <si>
    <t>FRECUENTE</t>
  </si>
  <si>
    <t>MUY FRECUENTE</t>
  </si>
  <si>
    <t>MUY BUENO</t>
  </si>
  <si>
    <t>BUENO</t>
  </si>
  <si>
    <t>MALO</t>
  </si>
  <si>
    <t>Ns/Nc</t>
  </si>
  <si>
    <t>Poco frecuente</t>
  </si>
  <si>
    <t>Frecuente</t>
  </si>
  <si>
    <t>Muy frecuente</t>
  </si>
  <si>
    <t>Poco Frecuente</t>
  </si>
  <si>
    <t>Muy Frecuente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</si>
</sst>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/>
    <xf numFmtId="10" fontId="0" fillId="0" borderId="0" xfId="0" applyNumberFormat="1"/>
    <xf numFmtId="9" fontId="0" fillId="0" borderId="0" xfId="1" applyFont="1"/>
    <xf numFmtId="0" fontId="0" fillId="3" borderId="0" xfId="0" applyFill="1"/>
    <xf numFmtId="0" fontId="0" fillId="0" borderId="0" xfId="0" applyAlignment="1">
      <alignment horizontal="left" indent="1"/>
    </xf>
    <xf numFmtId="9" fontId="3" fillId="0" borderId="0" xfId="1" applyFont="1"/>
    <xf numFmtId="0" fontId="0" fillId="0" borderId="0" xfId="0" applyAlignment="1">
      <alignment horizontal="right"/>
    </xf>
    <xf numFmtId="10" fontId="0" fillId="0" borderId="0" xfId="1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4CAF50"/>
      <color rgb="FFBBDEFB"/>
      <color rgb="FFE57373"/>
      <color rgb="FFFFC107"/>
      <color rgb="FF81C7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788110945591266E-2"/>
          <c:y val="6.2234892960036377E-2"/>
          <c:w val="0.85094161878413843"/>
          <c:h val="0.91754717890435034"/>
        </c:manualLayout>
      </c:layout>
      <c:barChart>
        <c:barDir val="bar"/>
        <c:grouping val="percentStacked"/>
        <c:varyColors val="0"/>
        <c:ser>
          <c:idx val="1"/>
          <c:order val="0"/>
          <c:tx>
            <c:strRef>
              <c:f>grafos!$J$11</c:f>
              <c:strCache>
                <c:ptCount val="1"/>
                <c:pt idx="0">
                  <c:v>Muy Seguro</c:v>
                </c:pt>
              </c:strCache>
            </c:strRef>
          </c:tx>
          <c:spPr>
            <a:solidFill>
              <a:srgbClr val="4CAF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grafos!$H$12:$I$17</c:f>
              <c:multiLvlStrCache>
                <c:ptCount val="6"/>
                <c:lvl>
                  <c:pt idx="0">
                    <c:v>Hombre</c:v>
                  </c:pt>
                  <c:pt idx="1">
                    <c:v>Mujer</c:v>
                  </c:pt>
                  <c:pt idx="2">
                    <c:v>18 a 25</c:v>
                  </c:pt>
                  <c:pt idx="3">
                    <c:v>26 a 40</c:v>
                  </c:pt>
                  <c:pt idx="4">
                    <c:v>41 a 55</c:v>
                  </c:pt>
                  <c:pt idx="5">
                    <c:v>56 a más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</c:lvl>
              </c:multiLvlStrCache>
            </c:multiLvlStrRef>
          </c:cat>
          <c:val>
            <c:numRef>
              <c:f>grafos!$J$12:$J$17</c:f>
              <c:numCache>
                <c:formatCode>0.00%</c:formatCode>
                <c:ptCount val="6"/>
                <c:pt idx="0">
                  <c:v>7.575757575757576E-2</c:v>
                </c:pt>
                <c:pt idx="1">
                  <c:v>0.04</c:v>
                </c:pt>
                <c:pt idx="2">
                  <c:v>0.125</c:v>
                </c:pt>
                <c:pt idx="3">
                  <c:v>4.7619047619047616E-2</c:v>
                </c:pt>
                <c:pt idx="4">
                  <c:v>1.6949152542372881E-2</c:v>
                </c:pt>
                <c:pt idx="5">
                  <c:v>8.771929824561403E-2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047-492C-A26D-0001FD87AA84}"/>
            </c:ext>
          </c:extLst>
        </c:ser>
        <c:ser>
          <c:idx val="2"/>
          <c:order val="1"/>
          <c:tx>
            <c:strRef>
              <c:f>grafos!$K$11</c:f>
              <c:strCache>
                <c:ptCount val="1"/>
                <c:pt idx="0">
                  <c:v>Seguro</c:v>
                </c:pt>
              </c:strCache>
            </c:strRef>
          </c:tx>
          <c:spPr>
            <a:solidFill>
              <a:srgbClr val="81C78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grafos!$H$12:$I$17</c:f>
              <c:multiLvlStrCache>
                <c:ptCount val="6"/>
                <c:lvl>
                  <c:pt idx="0">
                    <c:v>Hombre</c:v>
                  </c:pt>
                  <c:pt idx="1">
                    <c:v>Mujer</c:v>
                  </c:pt>
                  <c:pt idx="2">
                    <c:v>18 a 25</c:v>
                  </c:pt>
                  <c:pt idx="3">
                    <c:v>26 a 40</c:v>
                  </c:pt>
                  <c:pt idx="4">
                    <c:v>41 a 55</c:v>
                  </c:pt>
                  <c:pt idx="5">
                    <c:v>56 a más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</c:lvl>
              </c:multiLvlStrCache>
            </c:multiLvlStrRef>
          </c:cat>
          <c:val>
            <c:numRef>
              <c:f>grafos!$K$12:$K$17</c:f>
              <c:numCache>
                <c:formatCode>0.00%</c:formatCode>
                <c:ptCount val="6"/>
                <c:pt idx="0">
                  <c:v>0.65151515151515149</c:v>
                </c:pt>
                <c:pt idx="1">
                  <c:v>0.63</c:v>
                </c:pt>
                <c:pt idx="2">
                  <c:v>0.5</c:v>
                </c:pt>
                <c:pt idx="3">
                  <c:v>0.5714285714285714</c:v>
                </c:pt>
                <c:pt idx="4">
                  <c:v>0.69491525423728817</c:v>
                </c:pt>
                <c:pt idx="5">
                  <c:v>0.64912280701754388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047-492C-A26D-0001FD87AA84}"/>
            </c:ext>
          </c:extLst>
        </c:ser>
        <c:ser>
          <c:idx val="3"/>
          <c:order val="2"/>
          <c:tx>
            <c:strRef>
              <c:f>grafos!$L$11</c:f>
              <c:strCache>
                <c:ptCount val="1"/>
                <c:pt idx="0">
                  <c:v>Inseguro</c:v>
                </c:pt>
              </c:strCache>
            </c:strRef>
          </c:tx>
          <c:spPr>
            <a:solidFill>
              <a:srgbClr val="FFC10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grafos!$H$12:$I$17</c:f>
              <c:multiLvlStrCache>
                <c:ptCount val="6"/>
                <c:lvl>
                  <c:pt idx="0">
                    <c:v>Hombre</c:v>
                  </c:pt>
                  <c:pt idx="1">
                    <c:v>Mujer</c:v>
                  </c:pt>
                  <c:pt idx="2">
                    <c:v>18 a 25</c:v>
                  </c:pt>
                  <c:pt idx="3">
                    <c:v>26 a 40</c:v>
                  </c:pt>
                  <c:pt idx="4">
                    <c:v>41 a 55</c:v>
                  </c:pt>
                  <c:pt idx="5">
                    <c:v>56 a más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</c:lvl>
              </c:multiLvlStrCache>
            </c:multiLvlStrRef>
          </c:cat>
          <c:val>
            <c:numRef>
              <c:f>grafos!$L$12:$L$17</c:f>
              <c:numCache>
                <c:formatCode>0.00%</c:formatCode>
                <c:ptCount val="6"/>
                <c:pt idx="0">
                  <c:v>0.24242424242424243</c:v>
                </c:pt>
                <c:pt idx="1">
                  <c:v>0.28000000000000003</c:v>
                </c:pt>
                <c:pt idx="2">
                  <c:v>0.375</c:v>
                </c:pt>
                <c:pt idx="3">
                  <c:v>0.33333333333333331</c:v>
                </c:pt>
                <c:pt idx="4">
                  <c:v>0.2711864406779661</c:v>
                </c:pt>
                <c:pt idx="5">
                  <c:v>0.19298245614035087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047-492C-A26D-0001FD87AA84}"/>
            </c:ext>
          </c:extLst>
        </c:ser>
        <c:ser>
          <c:idx val="4"/>
          <c:order val="3"/>
          <c:tx>
            <c:strRef>
              <c:f>grafos!$M$11</c:f>
              <c:strCache>
                <c:ptCount val="1"/>
                <c:pt idx="0">
                  <c:v>Muy Inseguro</c:v>
                </c:pt>
              </c:strCache>
            </c:strRef>
          </c:tx>
          <c:spPr>
            <a:solidFill>
              <a:srgbClr val="E5737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grafos!$H$12:$I$17</c:f>
              <c:multiLvlStrCache>
                <c:ptCount val="6"/>
                <c:lvl>
                  <c:pt idx="0">
                    <c:v>Hombre</c:v>
                  </c:pt>
                  <c:pt idx="1">
                    <c:v>Mujer</c:v>
                  </c:pt>
                  <c:pt idx="2">
                    <c:v>18 a 25</c:v>
                  </c:pt>
                  <c:pt idx="3">
                    <c:v>26 a 40</c:v>
                  </c:pt>
                  <c:pt idx="4">
                    <c:v>41 a 55</c:v>
                  </c:pt>
                  <c:pt idx="5">
                    <c:v>56 a más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</c:lvl>
              </c:multiLvlStrCache>
            </c:multiLvlStrRef>
          </c:cat>
          <c:val>
            <c:numRef>
              <c:f>grafos!$M$12:$M$17</c:f>
              <c:numCache>
                <c:formatCode>0.00%</c:formatCode>
                <c:ptCount val="6"/>
                <c:pt idx="0">
                  <c:v>3.0303030303030304E-2</c:v>
                </c:pt>
                <c:pt idx="1">
                  <c:v>0.05</c:v>
                </c:pt>
                <c:pt idx="2">
                  <c:v>0</c:v>
                </c:pt>
                <c:pt idx="3">
                  <c:v>4.7619047619047616E-2</c:v>
                </c:pt>
                <c:pt idx="4">
                  <c:v>1.6949152542372881E-2</c:v>
                </c:pt>
                <c:pt idx="5">
                  <c:v>7.0175438596491224E-2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047-492C-A26D-0001FD87AA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502105952"/>
        <c:axId val="1502109696"/>
      </c:barChart>
      <c:catAx>
        <c:axId val="15021059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502109696"/>
        <c:crosses val="autoZero"/>
        <c:auto val="1"/>
        <c:lblAlgn val="ctr"/>
        <c:lblOffset val="100"/>
        <c:noMultiLvlLbl val="0"/>
      </c:catAx>
      <c:valAx>
        <c:axId val="1502109696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50210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CAF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C29-47EC-8BE0-B71EC76A97CE}"/>
              </c:ext>
            </c:extLst>
          </c:dPt>
          <c:dPt>
            <c:idx val="1"/>
            <c:invertIfNegative val="0"/>
            <c:bubble3D val="0"/>
            <c:spPr>
              <a:solidFill>
                <a:srgbClr val="81C78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C29-47EC-8BE0-B71EC76A97CE}"/>
              </c:ext>
            </c:extLst>
          </c:dPt>
          <c:dPt>
            <c:idx val="2"/>
            <c:invertIfNegative val="0"/>
            <c:bubble3D val="0"/>
            <c:spPr>
              <a:solidFill>
                <a:srgbClr val="FFC10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C29-47EC-8BE0-B71EC76A97CE}"/>
              </c:ext>
            </c:extLst>
          </c:dPt>
          <c:dPt>
            <c:idx val="3"/>
            <c:invertIfNegative val="0"/>
            <c:bubble3D val="0"/>
            <c:spPr>
              <a:solidFill>
                <a:srgbClr val="E5737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29-47EC-8BE0-B71EC76A97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grafos!$I$3:$I$6</c:f>
              <c:strCache>
                <c:ptCount val="4"/>
                <c:pt idx="0">
                  <c:v>Muy Seguro</c:v>
                </c:pt>
                <c:pt idx="1">
                  <c:v>Seguro</c:v>
                </c:pt>
                <c:pt idx="2">
                  <c:v>Inseguro</c:v>
                </c:pt>
                <c:pt idx="3">
                  <c:v>Muy Inseguro</c:v>
                </c:pt>
              </c:strCache>
            </c:strRef>
          </c:cat>
          <c:val>
            <c:numRef>
              <c:f>grafos!$J$3:$J$6</c:f>
              <c:numCache>
                <c:formatCode>0.00%</c:formatCode>
                <c:ptCount val="4"/>
                <c:pt idx="0">
                  <c:v>5.4216867469879519E-2</c:v>
                </c:pt>
                <c:pt idx="1">
                  <c:v>0.63855421686746983</c:v>
                </c:pt>
                <c:pt idx="2">
                  <c:v>0.26506024096385544</c:v>
                </c:pt>
                <c:pt idx="3">
                  <c:v>4.2168674698795178E-2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4-4E7C-B02E-E2386CBE13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677734960"/>
        <c:axId val="677735792"/>
      </c:barChart>
      <c:catAx>
        <c:axId val="677734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677735792"/>
        <c:crosses val="autoZero"/>
        <c:auto val="1"/>
        <c:lblAlgn val="ctr"/>
        <c:lblOffset val="100"/>
        <c:noMultiLvlLbl val="0"/>
      </c:catAx>
      <c:valAx>
        <c:axId val="677735792"/>
        <c:scaling>
          <c:orientation val="minMax"/>
          <c:max val="1"/>
        </c:scaling>
        <c:delete val="1"/>
        <c:axPos val="l"/>
        <c:numFmt formatCode="0.00%" sourceLinked="1"/>
        <c:majorTickMark val="out"/>
        <c:minorTickMark val="none"/>
        <c:tickLblPos val="nextTo"/>
        <c:crossAx val="67773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788110945591266E-2"/>
          <c:y val="6.2234892960036377E-2"/>
          <c:w val="0.85094161878413843"/>
          <c:h val="0.91754717890435034"/>
        </c:manualLayout>
      </c:layout>
      <c:barChart>
        <c:barDir val="bar"/>
        <c:grouping val="percentStacked"/>
        <c:varyColors val="0"/>
        <c:ser>
          <c:idx val="1"/>
          <c:order val="0"/>
          <c:tx>
            <c:strRef>
              <c:f>grafos!$J$48</c:f>
              <c:strCache>
                <c:ptCount val="1"/>
                <c:pt idx="0">
                  <c:v>Empeoró</c:v>
                </c:pt>
              </c:strCache>
            </c:strRef>
          </c:tx>
          <c:spPr>
            <a:solidFill>
              <a:srgbClr val="E5737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grafos!$H$49:$I$54</c:f>
              <c:multiLvlStrCache>
                <c:ptCount val="6"/>
                <c:lvl>
                  <c:pt idx="0">
                    <c:v>Hombre</c:v>
                  </c:pt>
                  <c:pt idx="1">
                    <c:v>Mujer</c:v>
                  </c:pt>
                  <c:pt idx="2">
                    <c:v>18 a 25</c:v>
                  </c:pt>
                  <c:pt idx="3">
                    <c:v>26 a 40</c:v>
                  </c:pt>
                  <c:pt idx="4">
                    <c:v>41 a 55</c:v>
                  </c:pt>
                  <c:pt idx="5">
                    <c:v>56 a más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</c:lvl>
              </c:multiLvlStrCache>
            </c:multiLvlStrRef>
          </c:cat>
          <c:val>
            <c:numRef>
              <c:f>grafos!$J$49:$J$54</c:f>
              <c:numCache>
                <c:formatCode>0.00%</c:formatCode>
                <c:ptCount val="6"/>
                <c:pt idx="0">
                  <c:v>0.36363636363636365</c:v>
                </c:pt>
                <c:pt idx="1">
                  <c:v>0.47</c:v>
                </c:pt>
                <c:pt idx="2">
                  <c:v>0.375</c:v>
                </c:pt>
                <c:pt idx="3">
                  <c:v>0.40476190476190477</c:v>
                </c:pt>
                <c:pt idx="4">
                  <c:v>0.47457627118644069</c:v>
                </c:pt>
                <c:pt idx="5">
                  <c:v>0.40350877192982454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8A8-4ABB-A4BD-9E04275AB0BC}"/>
            </c:ext>
          </c:extLst>
        </c:ser>
        <c:ser>
          <c:idx val="2"/>
          <c:order val="1"/>
          <c:tx>
            <c:strRef>
              <c:f>grafos!$K$48</c:f>
              <c:strCache>
                <c:ptCount val="1"/>
                <c:pt idx="0">
                  <c:v>Esta igual</c:v>
                </c:pt>
              </c:strCache>
            </c:strRef>
          </c:tx>
          <c:spPr>
            <a:solidFill>
              <a:srgbClr val="BBDEF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grafos!$H$49:$I$54</c:f>
              <c:multiLvlStrCache>
                <c:ptCount val="6"/>
                <c:lvl>
                  <c:pt idx="0">
                    <c:v>Hombre</c:v>
                  </c:pt>
                  <c:pt idx="1">
                    <c:v>Mujer</c:v>
                  </c:pt>
                  <c:pt idx="2">
                    <c:v>18 a 25</c:v>
                  </c:pt>
                  <c:pt idx="3">
                    <c:v>26 a 40</c:v>
                  </c:pt>
                  <c:pt idx="4">
                    <c:v>41 a 55</c:v>
                  </c:pt>
                  <c:pt idx="5">
                    <c:v>56 a más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</c:lvl>
              </c:multiLvlStrCache>
            </c:multiLvlStrRef>
          </c:cat>
          <c:val>
            <c:numRef>
              <c:f>grafos!$K$49:$K$54</c:f>
              <c:numCache>
                <c:formatCode>0.00%</c:formatCode>
                <c:ptCount val="6"/>
                <c:pt idx="0">
                  <c:v>0.37878787878787878</c:v>
                </c:pt>
                <c:pt idx="1">
                  <c:v>0.41</c:v>
                </c:pt>
                <c:pt idx="2">
                  <c:v>0.5</c:v>
                </c:pt>
                <c:pt idx="3">
                  <c:v>0.30952380952380953</c:v>
                </c:pt>
                <c:pt idx="4">
                  <c:v>0.44067796610169491</c:v>
                </c:pt>
                <c:pt idx="5">
                  <c:v>0.40350877192982454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8A8-4ABB-A4BD-9E04275AB0BC}"/>
            </c:ext>
          </c:extLst>
        </c:ser>
        <c:ser>
          <c:idx val="3"/>
          <c:order val="2"/>
          <c:tx>
            <c:strRef>
              <c:f>grafos!$L$48</c:f>
              <c:strCache>
                <c:ptCount val="1"/>
                <c:pt idx="0">
                  <c:v>Mejoró</c:v>
                </c:pt>
              </c:strCache>
            </c:strRef>
          </c:tx>
          <c:spPr>
            <a:solidFill>
              <a:srgbClr val="4CAF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grafos!$H$49:$I$54</c:f>
              <c:multiLvlStrCache>
                <c:ptCount val="6"/>
                <c:lvl>
                  <c:pt idx="0">
                    <c:v>Hombre</c:v>
                  </c:pt>
                  <c:pt idx="1">
                    <c:v>Mujer</c:v>
                  </c:pt>
                  <c:pt idx="2">
                    <c:v>18 a 25</c:v>
                  </c:pt>
                  <c:pt idx="3">
                    <c:v>26 a 40</c:v>
                  </c:pt>
                  <c:pt idx="4">
                    <c:v>41 a 55</c:v>
                  </c:pt>
                  <c:pt idx="5">
                    <c:v>56 a más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</c:lvl>
              </c:multiLvlStrCache>
            </c:multiLvlStrRef>
          </c:cat>
          <c:val>
            <c:numRef>
              <c:f>grafos!$L$49:$L$54</c:f>
              <c:numCache>
                <c:formatCode>0.00%</c:formatCode>
                <c:ptCount val="6"/>
                <c:pt idx="0">
                  <c:v>0.25757575757575757</c:v>
                </c:pt>
                <c:pt idx="1">
                  <c:v>0.12</c:v>
                </c:pt>
                <c:pt idx="2">
                  <c:v>0.125</c:v>
                </c:pt>
                <c:pt idx="3">
                  <c:v>0.2857142857142857</c:v>
                </c:pt>
                <c:pt idx="4">
                  <c:v>8.4745762711864403E-2</c:v>
                </c:pt>
                <c:pt idx="5">
                  <c:v>0.19298245614035087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A8-4ABB-A4BD-9E04275AB0B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502105952"/>
        <c:axId val="1502109696"/>
      </c:barChart>
      <c:catAx>
        <c:axId val="15021059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502109696"/>
        <c:crosses val="autoZero"/>
        <c:auto val="1"/>
        <c:lblAlgn val="ctr"/>
        <c:lblOffset val="100"/>
        <c:noMultiLvlLbl val="0"/>
      </c:catAx>
      <c:valAx>
        <c:axId val="1502109696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50210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5737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591A-4C4F-BDF9-7BBAC26C9398}"/>
              </c:ext>
            </c:extLst>
          </c:dPt>
          <c:dPt>
            <c:idx val="1"/>
            <c:invertIfNegative val="0"/>
            <c:bubble3D val="0"/>
            <c:spPr>
              <a:solidFill>
                <a:srgbClr val="BBDEF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91A-4C4F-BDF9-7BBAC26C9398}"/>
              </c:ext>
            </c:extLst>
          </c:dPt>
          <c:dPt>
            <c:idx val="2"/>
            <c:invertIfNegative val="0"/>
            <c:bubble3D val="0"/>
            <c:spPr>
              <a:solidFill>
                <a:srgbClr val="4CAF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91A-4C4F-BDF9-7BBAC26C93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grafos!$L$42:$L$44</c:f>
              <c:strCache>
                <c:ptCount val="3"/>
                <c:pt idx="0">
                  <c:v>Empeoró</c:v>
                </c:pt>
                <c:pt idx="1">
                  <c:v>Esta igual</c:v>
                </c:pt>
                <c:pt idx="2">
                  <c:v>Mejoró</c:v>
                </c:pt>
              </c:strCache>
            </c:strRef>
          </c:cat>
          <c:val>
            <c:numRef>
              <c:f>grafos!$M$42:$M$44</c:f>
              <c:numCache>
                <c:formatCode>0.00%</c:formatCode>
                <c:ptCount val="3"/>
                <c:pt idx="0">
                  <c:v>0.42771084337349397</c:v>
                </c:pt>
                <c:pt idx="1">
                  <c:v>0.39759036144578314</c:v>
                </c:pt>
                <c:pt idx="2">
                  <c:v>0.1746987951807229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3-4795-8BED-A1CF321581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677734960"/>
        <c:axId val="677735792"/>
      </c:barChart>
      <c:catAx>
        <c:axId val="677734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677735792"/>
        <c:crosses val="autoZero"/>
        <c:auto val="1"/>
        <c:lblAlgn val="ctr"/>
        <c:lblOffset val="100"/>
        <c:noMultiLvlLbl val="0"/>
      </c:catAx>
      <c:valAx>
        <c:axId val="677735792"/>
        <c:scaling>
          <c:orientation val="minMax"/>
          <c:max val="1"/>
        </c:scaling>
        <c:delete val="1"/>
        <c:axPos val="l"/>
        <c:numFmt formatCode="0.00%" sourceLinked="1"/>
        <c:majorTickMark val="out"/>
        <c:minorTickMark val="none"/>
        <c:tickLblPos val="nextTo"/>
        <c:crossAx val="67773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8332354473389944"/>
          <c:y val="8.3144368858654574E-2"/>
          <c:w val="0.47101642499456214"/>
          <c:h val="0.91685563114134538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grafos!$M$93</c:f>
              <c:strCache>
                <c:ptCount val="1"/>
                <c:pt idx="0">
                  <c:v>Sí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grafos!$L$94:$L$96</c:f>
              <c:strCache>
                <c:ptCount val="3"/>
                <c:pt idx="0">
                  <c:v>¿Ha cambiado su horario de venta al público? </c:v>
                </c:pt>
                <c:pt idx="1">
                  <c:v>¿Ha evitado estar solo/a para atender al público?</c:v>
                </c:pt>
                <c:pt idx="2">
                  <c:v> ¿Ha implementado medidas de seguridad en su negocio ?</c:v>
                </c:pt>
              </c:strCache>
            </c:strRef>
          </c:cat>
          <c:val>
            <c:numRef>
              <c:f>grafos!$M$94:$M$96</c:f>
              <c:numCache>
                <c:formatCode>0.00%</c:formatCode>
                <c:ptCount val="3"/>
                <c:pt idx="0">
                  <c:v>0.14457831325301204</c:v>
                </c:pt>
                <c:pt idx="1">
                  <c:v>0.41566265060240964</c:v>
                </c:pt>
                <c:pt idx="2">
                  <c:v>0.33132530120481929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06-4DE6-AF8B-02A5786D9D88}"/>
            </c:ext>
          </c:extLst>
        </c:ser>
        <c:ser>
          <c:idx val="0"/>
          <c:order val="1"/>
          <c:tx>
            <c:strRef>
              <c:f>grafos!$N$93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grafos!$L$94:$L$96</c:f>
              <c:strCache>
                <c:ptCount val="3"/>
                <c:pt idx="0">
                  <c:v>¿Ha cambiado su horario de venta al público? </c:v>
                </c:pt>
                <c:pt idx="1">
                  <c:v>¿Ha evitado estar solo/a para atender al público?</c:v>
                </c:pt>
                <c:pt idx="2">
                  <c:v> ¿Ha implementado medidas de seguridad en su negocio ?</c:v>
                </c:pt>
              </c:strCache>
            </c:strRef>
          </c:cat>
          <c:val>
            <c:numRef>
              <c:f>grafos!$N$94:$N$96</c:f>
              <c:numCache>
                <c:formatCode>0.00%</c:formatCode>
                <c:ptCount val="3"/>
                <c:pt idx="0">
                  <c:v>0.85542168674698793</c:v>
                </c:pt>
                <c:pt idx="1">
                  <c:v>0.58433734939759041</c:v>
                </c:pt>
                <c:pt idx="2">
                  <c:v>0.66265060240963858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06-4DE6-AF8B-02A5786D9D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44037823"/>
        <c:axId val="544034911"/>
      </c:barChart>
      <c:catAx>
        <c:axId val="5440378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EC"/>
          </a:p>
        </c:txPr>
        <c:crossAx val="544034911"/>
        <c:crosses val="autoZero"/>
        <c:auto val="1"/>
        <c:lblAlgn val="ctr"/>
        <c:lblOffset val="100"/>
        <c:noMultiLvlLbl val="0"/>
      </c:catAx>
      <c:valAx>
        <c:axId val="544034911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54403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603337181751714"/>
          <c:y val="3.4434893269072668E-2"/>
          <c:w val="0.20189973425201721"/>
          <c:h val="4.94389556053464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 b="1">
          <a:solidFill>
            <a:schemeClr val="tx1"/>
          </a:solidFill>
          <a:latin typeface="Montserrat" panose="00000500000000000000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grafos!$I$139</c:f>
              <c:strCache>
                <c:ptCount val="1"/>
                <c:pt idx="0">
                  <c:v>Sí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E8-4ED4-92E0-405F679AA4A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E8-4ED4-92E0-405F679AA4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grafos!$G$140:$H$150</c:f>
              <c:multiLvlStrCache>
                <c:ptCount val="11"/>
                <c:lvl>
                  <c:pt idx="0">
                    <c:v>Hombre</c:v>
                  </c:pt>
                  <c:pt idx="1">
                    <c:v>Mujer</c:v>
                  </c:pt>
                  <c:pt idx="2">
                    <c:v>18 a 25</c:v>
                  </c:pt>
                  <c:pt idx="3">
                    <c:v>26 a 40</c:v>
                  </c:pt>
                  <c:pt idx="4">
                    <c:v>41 a 55</c:v>
                  </c:pt>
                  <c:pt idx="5">
                    <c:v>56 a más</c:v>
                  </c:pt>
                  <c:pt idx="6">
                    <c:v>Ninguno</c:v>
                  </c:pt>
                  <c:pt idx="7">
                    <c:v>Primaria</c:v>
                  </c:pt>
                  <c:pt idx="8">
                    <c:v>Secundaria/ Bachillerato</c:v>
                  </c:pt>
                  <c:pt idx="9">
                    <c:v>Tecnicatura/Tecnología</c:v>
                  </c:pt>
                  <c:pt idx="10">
                    <c:v>Universitario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  <c:pt idx="6">
                    <c:v>Nivel de estudios aprobados</c:v>
                  </c:pt>
                </c:lvl>
              </c:multiLvlStrCache>
            </c:multiLvlStrRef>
          </c:cat>
          <c:val>
            <c:numRef>
              <c:f>grafos!$I$140:$I$150</c:f>
              <c:numCache>
                <c:formatCode>0.00%</c:formatCode>
                <c:ptCount val="11"/>
                <c:pt idx="0">
                  <c:v>3.0303030303030304E-2</c:v>
                </c:pt>
                <c:pt idx="1">
                  <c:v>0.22</c:v>
                </c:pt>
                <c:pt idx="2">
                  <c:v>0.125</c:v>
                </c:pt>
                <c:pt idx="3">
                  <c:v>0.21428571428571427</c:v>
                </c:pt>
                <c:pt idx="4">
                  <c:v>0.11864406779661017</c:v>
                </c:pt>
                <c:pt idx="5">
                  <c:v>0.12280701754385964</c:v>
                </c:pt>
                <c:pt idx="6">
                  <c:v>0.4</c:v>
                </c:pt>
                <c:pt idx="7">
                  <c:v>0.12121212121212122</c:v>
                </c:pt>
                <c:pt idx="8">
                  <c:v>0.14473684210526316</c:v>
                </c:pt>
                <c:pt idx="9">
                  <c:v>0.125</c:v>
                </c:pt>
                <c:pt idx="10">
                  <c:v>0.18181818181818182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E8-4ED4-92E0-405F679AA4A9}"/>
            </c:ext>
          </c:extLst>
        </c:ser>
        <c:ser>
          <c:idx val="1"/>
          <c:order val="1"/>
          <c:tx>
            <c:strRef>
              <c:f>grafos!$J$139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grafos!$G$140:$H$150</c:f>
              <c:multiLvlStrCache>
                <c:ptCount val="11"/>
                <c:lvl>
                  <c:pt idx="0">
                    <c:v>Hombre</c:v>
                  </c:pt>
                  <c:pt idx="1">
                    <c:v>Mujer</c:v>
                  </c:pt>
                  <c:pt idx="2">
                    <c:v>18 a 25</c:v>
                  </c:pt>
                  <c:pt idx="3">
                    <c:v>26 a 40</c:v>
                  </c:pt>
                  <c:pt idx="4">
                    <c:v>41 a 55</c:v>
                  </c:pt>
                  <c:pt idx="5">
                    <c:v>56 a más</c:v>
                  </c:pt>
                  <c:pt idx="6">
                    <c:v>Ninguno</c:v>
                  </c:pt>
                  <c:pt idx="7">
                    <c:v>Primaria</c:v>
                  </c:pt>
                  <c:pt idx="8">
                    <c:v>Secundaria/ Bachillerato</c:v>
                  </c:pt>
                  <c:pt idx="9">
                    <c:v>Tecnicatura/Tecnología</c:v>
                  </c:pt>
                  <c:pt idx="10">
                    <c:v>Universitario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  <c:pt idx="6">
                    <c:v>Nivel de estudios aprobados</c:v>
                  </c:pt>
                </c:lvl>
              </c:multiLvlStrCache>
            </c:multiLvlStrRef>
          </c:cat>
          <c:val>
            <c:numRef>
              <c:f>grafos!$J$140:$J$150</c:f>
              <c:numCache>
                <c:formatCode>0.00%</c:formatCode>
                <c:ptCount val="11"/>
                <c:pt idx="0">
                  <c:v>0.96969696969696972</c:v>
                </c:pt>
                <c:pt idx="1">
                  <c:v>0.78</c:v>
                </c:pt>
                <c:pt idx="2">
                  <c:v>0.875</c:v>
                </c:pt>
                <c:pt idx="3">
                  <c:v>0.7857142857142857</c:v>
                </c:pt>
                <c:pt idx="4">
                  <c:v>0.88135593220338981</c:v>
                </c:pt>
                <c:pt idx="5">
                  <c:v>0.8771929824561403</c:v>
                </c:pt>
                <c:pt idx="6">
                  <c:v>0.6</c:v>
                </c:pt>
                <c:pt idx="7">
                  <c:v>0.87878787878787878</c:v>
                </c:pt>
                <c:pt idx="8">
                  <c:v>0.85526315789473684</c:v>
                </c:pt>
                <c:pt idx="9">
                  <c:v>0.875</c:v>
                </c:pt>
                <c:pt idx="10">
                  <c:v>0.81818181818181823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E8-4ED4-92E0-405F679AA4A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100"/>
        <c:axId val="1502078080"/>
        <c:axId val="1502065184"/>
      </c:barChart>
      <c:catAx>
        <c:axId val="15020780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502065184"/>
        <c:crosses val="autoZero"/>
        <c:auto val="1"/>
        <c:lblAlgn val="ctr"/>
        <c:lblOffset val="100"/>
        <c:noMultiLvlLbl val="0"/>
      </c:catAx>
      <c:valAx>
        <c:axId val="1502065184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50207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882670831176821"/>
          <c:y val="6.2234892960036377E-2"/>
          <c:w val="0.64090297125622475"/>
          <c:h val="0.91754717890435034"/>
        </c:manualLayout>
      </c:layout>
      <c:barChart>
        <c:barDir val="bar"/>
        <c:grouping val="percentStacked"/>
        <c:varyColors val="0"/>
        <c:ser>
          <c:idx val="1"/>
          <c:order val="0"/>
          <c:tx>
            <c:strRef>
              <c:f>grafos!$P$153</c:f>
              <c:strCache>
                <c:ptCount val="1"/>
                <c:pt idx="0">
                  <c:v>Sí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grafos!$O$154:$O$170</c:f>
              <c:strCache>
                <c:ptCount val="17"/>
                <c:pt idx="0">
                  <c:v>Alguien puso música a un volumen excesivo o hizo mucho ruido y eso le molestó</c:v>
                </c:pt>
                <c:pt idx="1">
                  <c:v>Grafitis no artísticos que le molestaron</c:v>
                </c:pt>
                <c:pt idx="2">
                  <c:v>Personas que orinan en el parque</c:v>
                </c:pt>
                <c:pt idx="3">
                  <c:v>Desechos de animales</c:v>
                </c:pt>
                <c:pt idx="4">
                  <c:v>Áreas sin iluminación</c:v>
                </c:pt>
                <c:pt idx="5">
                  <c:v>Peleas o riñas</c:v>
                </c:pt>
                <c:pt idx="6">
                  <c:v>Habitantes en situación de calle</c:v>
                </c:pt>
                <c:pt idx="7">
                  <c:v>Consumo de alcohol</c:v>
                </c:pt>
                <c:pt idx="8">
                  <c:v>Venta de alcohol</c:v>
                </c:pt>
                <c:pt idx="9">
                  <c:v>Consumo de drogas</c:v>
                </c:pt>
                <c:pt idx="10">
                  <c:v> Venta de drogas</c:v>
                </c:pt>
                <c:pt idx="11">
                  <c:v>Daño a la propiedad pública y privada</c:v>
                </c:pt>
                <c:pt idx="12">
                  <c:v>Fauna Urbana</c:v>
                </c:pt>
                <c:pt idx="13">
                  <c:v>Basura y suciedad</c:v>
                </c:pt>
                <c:pt idx="14">
                  <c:v>Trabajo sexual</c:v>
                </c:pt>
                <c:pt idx="15">
                  <c:v>Aglomeración de personas</c:v>
                </c:pt>
                <c:pt idx="16">
                  <c:v>Alguna otra que no le haya mencionado</c:v>
                </c:pt>
              </c:strCache>
            </c:strRef>
          </c:cat>
          <c:val>
            <c:numRef>
              <c:f>grafos!$P$154:$P$170</c:f>
              <c:numCache>
                <c:formatCode>0.00%</c:formatCode>
                <c:ptCount val="17"/>
                <c:pt idx="0">
                  <c:v>0.37349397590361444</c:v>
                </c:pt>
                <c:pt idx="1">
                  <c:v>0.13253012048192772</c:v>
                </c:pt>
                <c:pt idx="2">
                  <c:v>0.65662650602409633</c:v>
                </c:pt>
                <c:pt idx="3">
                  <c:v>0.62048192771084343</c:v>
                </c:pt>
                <c:pt idx="4">
                  <c:v>0.31325301204819278</c:v>
                </c:pt>
                <c:pt idx="5">
                  <c:v>0.42771084337349397</c:v>
                </c:pt>
                <c:pt idx="6">
                  <c:v>0.68072289156626509</c:v>
                </c:pt>
                <c:pt idx="7">
                  <c:v>0.40361445783132532</c:v>
                </c:pt>
                <c:pt idx="8">
                  <c:v>0.10240963855421686</c:v>
                </c:pt>
                <c:pt idx="9">
                  <c:v>0.46385542168674698</c:v>
                </c:pt>
                <c:pt idx="10">
                  <c:v>0.19879518072289157</c:v>
                </c:pt>
                <c:pt idx="11">
                  <c:v>0.2289156626506024</c:v>
                </c:pt>
                <c:pt idx="12">
                  <c:v>0.35542168674698793</c:v>
                </c:pt>
                <c:pt idx="13">
                  <c:v>0.54216867469879515</c:v>
                </c:pt>
                <c:pt idx="14">
                  <c:v>1.2048192771084338E-2</c:v>
                </c:pt>
                <c:pt idx="15">
                  <c:v>0.30120481927710846</c:v>
                </c:pt>
                <c:pt idx="16">
                  <c:v>6.024096385542169E-3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0-4330-86E0-9EC1DF756C10}"/>
            </c:ext>
          </c:extLst>
        </c:ser>
        <c:ser>
          <c:idx val="2"/>
          <c:order val="1"/>
          <c:tx>
            <c:strRef>
              <c:f>grafos!$Q$153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9.2447006755182852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D0-4330-86E0-9EC1DF756C10}"/>
                </c:ext>
              </c:extLst>
            </c:dLbl>
            <c:dLbl>
              <c:idx val="3"/>
              <c:layout>
                <c:manualLayout>
                  <c:x val="-1.1093640810621943E-2"/>
                  <c:y val="4.678934571175993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ED0-4330-86E0-9EC1DF756C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grafos!$O$154:$O$170</c:f>
              <c:strCache>
                <c:ptCount val="17"/>
                <c:pt idx="0">
                  <c:v>Alguien puso música a un volumen excesivo o hizo mucho ruido y eso le molestó</c:v>
                </c:pt>
                <c:pt idx="1">
                  <c:v>Grafitis no artísticos que le molestaron</c:v>
                </c:pt>
                <c:pt idx="2">
                  <c:v>Personas que orinan en el parque</c:v>
                </c:pt>
                <c:pt idx="3">
                  <c:v>Desechos de animales</c:v>
                </c:pt>
                <c:pt idx="4">
                  <c:v>Áreas sin iluminación</c:v>
                </c:pt>
                <c:pt idx="5">
                  <c:v>Peleas o riñas</c:v>
                </c:pt>
                <c:pt idx="6">
                  <c:v>Habitantes en situación de calle</c:v>
                </c:pt>
                <c:pt idx="7">
                  <c:v>Consumo de alcohol</c:v>
                </c:pt>
                <c:pt idx="8">
                  <c:v>Venta de alcohol</c:v>
                </c:pt>
                <c:pt idx="9">
                  <c:v>Consumo de drogas</c:v>
                </c:pt>
                <c:pt idx="10">
                  <c:v> Venta de drogas</c:v>
                </c:pt>
                <c:pt idx="11">
                  <c:v>Daño a la propiedad pública y privada</c:v>
                </c:pt>
                <c:pt idx="12">
                  <c:v>Fauna Urbana</c:v>
                </c:pt>
                <c:pt idx="13">
                  <c:v>Basura y suciedad</c:v>
                </c:pt>
                <c:pt idx="14">
                  <c:v>Trabajo sexual</c:v>
                </c:pt>
                <c:pt idx="15">
                  <c:v>Aglomeración de personas</c:v>
                </c:pt>
                <c:pt idx="16">
                  <c:v>Alguna otra que no le haya mencionado</c:v>
                </c:pt>
              </c:strCache>
            </c:strRef>
          </c:cat>
          <c:val>
            <c:numRef>
              <c:f>grafos!$Q$154:$Q$170</c:f>
              <c:numCache>
                <c:formatCode>0.00%</c:formatCode>
                <c:ptCount val="17"/>
                <c:pt idx="0">
                  <c:v>0.62650602409638556</c:v>
                </c:pt>
                <c:pt idx="1">
                  <c:v>0.86746987951807231</c:v>
                </c:pt>
                <c:pt idx="2">
                  <c:v>0.33734939759036142</c:v>
                </c:pt>
                <c:pt idx="3">
                  <c:v>0.36746987951807231</c:v>
                </c:pt>
                <c:pt idx="4">
                  <c:v>0.62650602409638556</c:v>
                </c:pt>
                <c:pt idx="5">
                  <c:v>0.57228915662650603</c:v>
                </c:pt>
                <c:pt idx="6">
                  <c:v>0.31927710843373491</c:v>
                </c:pt>
                <c:pt idx="7">
                  <c:v>0.59638554216867468</c:v>
                </c:pt>
                <c:pt idx="8">
                  <c:v>0.89759036144578308</c:v>
                </c:pt>
                <c:pt idx="9">
                  <c:v>0.53614457831325302</c:v>
                </c:pt>
                <c:pt idx="10">
                  <c:v>0.79518072289156627</c:v>
                </c:pt>
                <c:pt idx="11">
                  <c:v>0.77108433734939763</c:v>
                </c:pt>
                <c:pt idx="12">
                  <c:v>0.64457831325301207</c:v>
                </c:pt>
                <c:pt idx="13">
                  <c:v>0.45783132530120479</c:v>
                </c:pt>
                <c:pt idx="14">
                  <c:v>0.98795180722891562</c:v>
                </c:pt>
                <c:pt idx="15">
                  <c:v>0.6987951807228916</c:v>
                </c:pt>
                <c:pt idx="16">
                  <c:v>0.98795180722891562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D0-4330-86E0-9EC1DF756C10}"/>
            </c:ext>
          </c:extLst>
        </c:ser>
        <c:ser>
          <c:idx val="0"/>
          <c:order val="2"/>
          <c:tx>
            <c:strRef>
              <c:f>grafos!$R$153</c:f>
              <c:strCache>
                <c:ptCount val="1"/>
                <c:pt idx="0">
                  <c:v>Ns/Nc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grafos!$R$154:$R$170</c:f>
              <c:numCache>
                <c:formatCode>0%</c:formatCode>
                <c:ptCount val="17"/>
                <c:pt idx="0">
                  <c:v>0</c:v>
                </c:pt>
                <c:pt idx="1">
                  <c:v>0</c:v>
                </c:pt>
                <c:pt idx="2" formatCode="0.00%">
                  <c:v>6.024096385542169E-3</c:v>
                </c:pt>
                <c:pt idx="3" formatCode="0.00%">
                  <c:v>1.2048192771084338E-2</c:v>
                </c:pt>
                <c:pt idx="4" formatCode="0.00%">
                  <c:v>6.0240963855421686E-2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 formatCode="0.00%">
                  <c:v>6.024096385542169E-3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 formatCode="0.00%">
                  <c:v>6.024096385542169E-3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D0-4330-86E0-9EC1DF756C1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502105952"/>
        <c:axId val="1502109696"/>
      </c:barChart>
      <c:catAx>
        <c:axId val="15021059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502109696"/>
        <c:crosses val="autoZero"/>
        <c:auto val="1"/>
        <c:lblAlgn val="ctr"/>
        <c:lblOffset val="100"/>
        <c:noMultiLvlLbl val="0"/>
      </c:catAx>
      <c:valAx>
        <c:axId val="1502109696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50210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788110945591266E-2"/>
          <c:y val="6.2234892960036377E-2"/>
          <c:w val="0.85094161878413843"/>
          <c:h val="0.91754717890435034"/>
        </c:manualLayout>
      </c:layout>
      <c:barChart>
        <c:barDir val="bar"/>
        <c:grouping val="percentStacked"/>
        <c:varyColors val="0"/>
        <c:ser>
          <c:idx val="1"/>
          <c:order val="0"/>
          <c:tx>
            <c:strRef>
              <c:f>grafos!$S$153</c:f>
              <c:strCache>
                <c:ptCount val="1"/>
                <c:pt idx="0">
                  <c:v>Poco Frecuente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1.2450980392156853E-2"/>
                  <c:y val="2.339743589743632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AD-497A-8BEE-09E91EECB4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grafos!$O$154:$O$170</c:f>
              <c:strCache>
                <c:ptCount val="17"/>
                <c:pt idx="0">
                  <c:v>Alguien puso música a un volumen excesivo o hizo mucho ruido y eso le molestó</c:v>
                </c:pt>
                <c:pt idx="1">
                  <c:v>Grafitis no artísticos que le molestaron</c:v>
                </c:pt>
                <c:pt idx="2">
                  <c:v>Personas que orinan en el parque</c:v>
                </c:pt>
                <c:pt idx="3">
                  <c:v>Desechos de animales</c:v>
                </c:pt>
                <c:pt idx="4">
                  <c:v>Áreas sin iluminación</c:v>
                </c:pt>
                <c:pt idx="5">
                  <c:v>Peleas o riñas</c:v>
                </c:pt>
                <c:pt idx="6">
                  <c:v>Habitantes en situación de calle</c:v>
                </c:pt>
                <c:pt idx="7">
                  <c:v>Consumo de alcohol</c:v>
                </c:pt>
                <c:pt idx="8">
                  <c:v>Venta de alcohol</c:v>
                </c:pt>
                <c:pt idx="9">
                  <c:v>Consumo de drogas</c:v>
                </c:pt>
                <c:pt idx="10">
                  <c:v> Venta de drogas</c:v>
                </c:pt>
                <c:pt idx="11">
                  <c:v>Daño a la propiedad pública y privada</c:v>
                </c:pt>
                <c:pt idx="12">
                  <c:v>Fauna Urbana</c:v>
                </c:pt>
                <c:pt idx="13">
                  <c:v>Basura y suciedad</c:v>
                </c:pt>
                <c:pt idx="14">
                  <c:v>Trabajo sexual</c:v>
                </c:pt>
                <c:pt idx="15">
                  <c:v>Aglomeración de personas</c:v>
                </c:pt>
                <c:pt idx="16">
                  <c:v>Alguna otra que no le haya mencionado</c:v>
                </c:pt>
              </c:strCache>
            </c:strRef>
          </c:cat>
          <c:val>
            <c:numRef>
              <c:f>grafos!$S$154:$S$170</c:f>
              <c:numCache>
                <c:formatCode>0.00%</c:formatCode>
                <c:ptCount val="17"/>
                <c:pt idx="0">
                  <c:v>0.38709677419354838</c:v>
                </c:pt>
                <c:pt idx="1">
                  <c:v>0.90909090909090906</c:v>
                </c:pt>
                <c:pt idx="2">
                  <c:v>0.29357798165137616</c:v>
                </c:pt>
                <c:pt idx="3">
                  <c:v>0.36893203883495146</c:v>
                </c:pt>
                <c:pt idx="4">
                  <c:v>0.34615384615384615</c:v>
                </c:pt>
                <c:pt idx="5">
                  <c:v>0.647887323943662</c:v>
                </c:pt>
                <c:pt idx="6">
                  <c:v>0.4336283185840708</c:v>
                </c:pt>
                <c:pt idx="7">
                  <c:v>0.4925373134328358</c:v>
                </c:pt>
                <c:pt idx="8">
                  <c:v>0.58823529411764708</c:v>
                </c:pt>
                <c:pt idx="9">
                  <c:v>0.29870129870129869</c:v>
                </c:pt>
                <c:pt idx="10">
                  <c:v>0.33333333333333331</c:v>
                </c:pt>
                <c:pt idx="11">
                  <c:v>0.68421052631578949</c:v>
                </c:pt>
                <c:pt idx="12">
                  <c:v>0.55932203389830504</c:v>
                </c:pt>
                <c:pt idx="13">
                  <c:v>0.4777777777777778</c:v>
                </c:pt>
                <c:pt idx="14">
                  <c:v>1</c:v>
                </c:pt>
                <c:pt idx="15">
                  <c:v>0.46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AD-497A-8BEE-09E91EECB4C4}"/>
            </c:ext>
          </c:extLst>
        </c:ser>
        <c:ser>
          <c:idx val="2"/>
          <c:order val="1"/>
          <c:tx>
            <c:strRef>
              <c:f>grafos!$T$153</c:f>
              <c:strCache>
                <c:ptCount val="1"/>
                <c:pt idx="0">
                  <c:v>Frecuente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grafos!$O$154:$O$170</c:f>
              <c:strCache>
                <c:ptCount val="17"/>
                <c:pt idx="0">
                  <c:v>Alguien puso música a un volumen excesivo o hizo mucho ruido y eso le molestó</c:v>
                </c:pt>
                <c:pt idx="1">
                  <c:v>Grafitis no artísticos que le molestaron</c:v>
                </c:pt>
                <c:pt idx="2">
                  <c:v>Personas que orinan en el parque</c:v>
                </c:pt>
                <c:pt idx="3">
                  <c:v>Desechos de animales</c:v>
                </c:pt>
                <c:pt idx="4">
                  <c:v>Áreas sin iluminación</c:v>
                </c:pt>
                <c:pt idx="5">
                  <c:v>Peleas o riñas</c:v>
                </c:pt>
                <c:pt idx="6">
                  <c:v>Habitantes en situación de calle</c:v>
                </c:pt>
                <c:pt idx="7">
                  <c:v>Consumo de alcohol</c:v>
                </c:pt>
                <c:pt idx="8">
                  <c:v>Venta de alcohol</c:v>
                </c:pt>
                <c:pt idx="9">
                  <c:v>Consumo de drogas</c:v>
                </c:pt>
                <c:pt idx="10">
                  <c:v> Venta de drogas</c:v>
                </c:pt>
                <c:pt idx="11">
                  <c:v>Daño a la propiedad pública y privada</c:v>
                </c:pt>
                <c:pt idx="12">
                  <c:v>Fauna Urbana</c:v>
                </c:pt>
                <c:pt idx="13">
                  <c:v>Basura y suciedad</c:v>
                </c:pt>
                <c:pt idx="14">
                  <c:v>Trabajo sexual</c:v>
                </c:pt>
                <c:pt idx="15">
                  <c:v>Aglomeración de personas</c:v>
                </c:pt>
                <c:pt idx="16">
                  <c:v>Alguna otra que no le haya mencionado</c:v>
                </c:pt>
              </c:strCache>
            </c:strRef>
          </c:cat>
          <c:val>
            <c:numRef>
              <c:f>grafos!$T$154:$T$170</c:f>
              <c:numCache>
                <c:formatCode>0.00%</c:formatCode>
                <c:ptCount val="17"/>
                <c:pt idx="0">
                  <c:v>0.532258064516129</c:v>
                </c:pt>
                <c:pt idx="1">
                  <c:v>9.0909090909090912E-2</c:v>
                </c:pt>
                <c:pt idx="2">
                  <c:v>0.44954128440366975</c:v>
                </c:pt>
                <c:pt idx="3">
                  <c:v>0.42718446601941745</c:v>
                </c:pt>
                <c:pt idx="4">
                  <c:v>0.46153846153846156</c:v>
                </c:pt>
                <c:pt idx="5">
                  <c:v>0.323943661971831</c:v>
                </c:pt>
                <c:pt idx="6">
                  <c:v>0.41592920353982299</c:v>
                </c:pt>
                <c:pt idx="7">
                  <c:v>0.44776119402985076</c:v>
                </c:pt>
                <c:pt idx="8">
                  <c:v>0.29411764705882354</c:v>
                </c:pt>
                <c:pt idx="9">
                  <c:v>0.48051948051948051</c:v>
                </c:pt>
                <c:pt idx="10">
                  <c:v>0.36363636363636365</c:v>
                </c:pt>
                <c:pt idx="11">
                  <c:v>0.26315789473684209</c:v>
                </c:pt>
                <c:pt idx="12">
                  <c:v>0.33898305084745761</c:v>
                </c:pt>
                <c:pt idx="13">
                  <c:v>0.41111111111111109</c:v>
                </c:pt>
                <c:pt idx="14" formatCode="0%">
                  <c:v>0</c:v>
                </c:pt>
                <c:pt idx="15">
                  <c:v>0.36</c:v>
                </c:pt>
                <c:pt idx="16" formatCode="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AD-497A-8BEE-09E91EECB4C4}"/>
            </c:ext>
          </c:extLst>
        </c:ser>
        <c:ser>
          <c:idx val="0"/>
          <c:order val="2"/>
          <c:tx>
            <c:strRef>
              <c:f>grafos!$U$153</c:f>
              <c:strCache>
                <c:ptCount val="1"/>
                <c:pt idx="0">
                  <c:v>Muy Frecuente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9"/>
              <c:layout>
                <c:manualLayout>
                  <c:x val="-2.4901960784313726E-2"/>
                  <c:y val="1.8420277040966697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7AD-497A-8BEE-09E91EECB4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grafos!$O$154:$O$170</c:f>
              <c:strCache>
                <c:ptCount val="17"/>
                <c:pt idx="0">
                  <c:v>Alguien puso música a un volumen excesivo o hizo mucho ruido y eso le molestó</c:v>
                </c:pt>
                <c:pt idx="1">
                  <c:v>Grafitis no artísticos que le molestaron</c:v>
                </c:pt>
                <c:pt idx="2">
                  <c:v>Personas que orinan en el parque</c:v>
                </c:pt>
                <c:pt idx="3">
                  <c:v>Desechos de animales</c:v>
                </c:pt>
                <c:pt idx="4">
                  <c:v>Áreas sin iluminación</c:v>
                </c:pt>
                <c:pt idx="5">
                  <c:v>Peleas o riñas</c:v>
                </c:pt>
                <c:pt idx="6">
                  <c:v>Habitantes en situación de calle</c:v>
                </c:pt>
                <c:pt idx="7">
                  <c:v>Consumo de alcohol</c:v>
                </c:pt>
                <c:pt idx="8">
                  <c:v>Venta de alcohol</c:v>
                </c:pt>
                <c:pt idx="9">
                  <c:v>Consumo de drogas</c:v>
                </c:pt>
                <c:pt idx="10">
                  <c:v> Venta de drogas</c:v>
                </c:pt>
                <c:pt idx="11">
                  <c:v>Daño a la propiedad pública y privada</c:v>
                </c:pt>
                <c:pt idx="12">
                  <c:v>Fauna Urbana</c:v>
                </c:pt>
                <c:pt idx="13">
                  <c:v>Basura y suciedad</c:v>
                </c:pt>
                <c:pt idx="14">
                  <c:v>Trabajo sexual</c:v>
                </c:pt>
                <c:pt idx="15">
                  <c:v>Aglomeración de personas</c:v>
                </c:pt>
                <c:pt idx="16">
                  <c:v>Alguna otra que no le haya mencionado</c:v>
                </c:pt>
              </c:strCache>
            </c:strRef>
          </c:cat>
          <c:val>
            <c:numRef>
              <c:f>grafos!$U$154:$U$170</c:f>
              <c:numCache>
                <c:formatCode>0%</c:formatCode>
                <c:ptCount val="17"/>
                <c:pt idx="0" formatCode="0.00%">
                  <c:v>8.0645161290322578E-2</c:v>
                </c:pt>
                <c:pt idx="1">
                  <c:v>0</c:v>
                </c:pt>
                <c:pt idx="2" formatCode="0.00%">
                  <c:v>0.25688073394495414</c:v>
                </c:pt>
                <c:pt idx="3" formatCode="0.00%">
                  <c:v>0.20388349514563106</c:v>
                </c:pt>
                <c:pt idx="4" formatCode="0.00%">
                  <c:v>0.19230769230769232</c:v>
                </c:pt>
                <c:pt idx="5" formatCode="0.00%">
                  <c:v>2.8169014084507043E-2</c:v>
                </c:pt>
                <c:pt idx="6" formatCode="0.00%">
                  <c:v>0.15044247787610621</c:v>
                </c:pt>
                <c:pt idx="7" formatCode="0.00%">
                  <c:v>5.9701492537313432E-2</c:v>
                </c:pt>
                <c:pt idx="8" formatCode="0.00%">
                  <c:v>0.11764705882352941</c:v>
                </c:pt>
                <c:pt idx="9" formatCode="0.00%">
                  <c:v>0.22077922077922077</c:v>
                </c:pt>
                <c:pt idx="10" formatCode="0.00%">
                  <c:v>0.30303030303030304</c:v>
                </c:pt>
                <c:pt idx="11" formatCode="0.00%">
                  <c:v>5.2631578947368418E-2</c:v>
                </c:pt>
                <c:pt idx="12" formatCode="0.00%">
                  <c:v>0.10169491525423729</c:v>
                </c:pt>
                <c:pt idx="13" formatCode="0.00%">
                  <c:v>0.1111111111111111</c:v>
                </c:pt>
                <c:pt idx="14">
                  <c:v>0</c:v>
                </c:pt>
                <c:pt idx="15" formatCode="0.00%">
                  <c:v>0.18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AD-497A-8BEE-09E91EECB4C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502105952"/>
        <c:axId val="1502109696"/>
      </c:barChart>
      <c:catAx>
        <c:axId val="1502105952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502109696"/>
        <c:crosses val="autoZero"/>
        <c:auto val="1"/>
        <c:lblAlgn val="ctr"/>
        <c:lblOffset val="100"/>
        <c:noMultiLvlLbl val="0"/>
      </c:catAx>
      <c:valAx>
        <c:axId val="1502109696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50210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02060"/>
            </a:solidFill>
          </c:spPr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E5-46EB-90F5-D53EA1B5345D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E5-46EB-90F5-D53EA1B534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grafos!$I$256:$I$257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grafos!$J$256:$J$257</c:f>
              <c:numCache>
                <c:formatCode>0.00%</c:formatCode>
                <c:ptCount val="2"/>
                <c:pt idx="0">
                  <c:v>0.94578313253012047</c:v>
                </c:pt>
                <c:pt idx="1">
                  <c:v>5.4216867469879519E-2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E5-46EB-90F5-D53EA1B534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206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2E-4C7F-A9EA-BA0E42F4E6E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2E-4C7F-A9EA-BA0E42F4E6E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2E-4C7F-A9EA-BA0E42F4E6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grafos!$O$256:$O$258</c:f>
              <c:strCache>
                <c:ptCount val="3"/>
                <c:pt idx="0">
                  <c:v>POCO FRECUENTE</c:v>
                </c:pt>
                <c:pt idx="1">
                  <c:v>FRECUENTE</c:v>
                </c:pt>
                <c:pt idx="2">
                  <c:v>MUY FRECUENTE</c:v>
                </c:pt>
              </c:strCache>
            </c:strRef>
          </c:cat>
          <c:val>
            <c:numRef>
              <c:f>grafos!$P$256:$P$258</c:f>
              <c:numCache>
                <c:formatCode>0.00%</c:formatCode>
                <c:ptCount val="3"/>
                <c:pt idx="0">
                  <c:v>3.8216560509554139E-2</c:v>
                </c:pt>
                <c:pt idx="1">
                  <c:v>0.25477707006369427</c:v>
                </c:pt>
                <c:pt idx="2">
                  <c:v>0.70700636942675155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2E-4C7F-A9EA-BA0E42F4E6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1177956896"/>
        <c:axId val="1177959392"/>
      </c:barChart>
      <c:catAx>
        <c:axId val="117795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177959392"/>
        <c:crosses val="autoZero"/>
        <c:auto val="1"/>
        <c:lblAlgn val="ctr"/>
        <c:lblOffset val="100"/>
        <c:noMultiLvlLbl val="0"/>
      </c:catAx>
      <c:valAx>
        <c:axId val="117795939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17795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02060"/>
            </a:solidFill>
          </c:spPr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8F-45D6-A9D9-F6ED42515A2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8F-45D6-A9D9-F6ED42515A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grafos!$I$261:$I$262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grafos!$J$261:$J$262</c:f>
              <c:numCache>
                <c:formatCode>0.00%</c:formatCode>
                <c:ptCount val="2"/>
                <c:pt idx="0">
                  <c:v>0.30573248407643311</c:v>
                </c:pt>
                <c:pt idx="1">
                  <c:v>0.69426751592356684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8F-45D6-A9D9-F6ED42515A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206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es-EC" b="1"/>
              <a:t>¿Vio?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grafos!$M$297</c:f>
              <c:strCache>
                <c:ptCount val="1"/>
                <c:pt idx="0">
                  <c:v>Sí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grafos!$L$312:$L$321</c:f>
              <c:strCache>
                <c:ptCount val="10"/>
                <c:pt idx="0">
                  <c:v>Empresa Metropolitana de Aseo</c:v>
                </c:pt>
                <c:pt idx="1">
                  <c:v>Policía Nacional </c:v>
                </c:pt>
                <c:pt idx="2">
                  <c:v>Cuerpo de Agentes de Control Metropolitano de Quito</c:v>
                </c:pt>
                <c:pt idx="3">
                  <c:v>Agencia Metropolitana de Control</c:v>
                </c:pt>
                <c:pt idx="4">
                  <c:v>Fuerzas Armadas del Ecuador </c:v>
                </c:pt>
                <c:pt idx="5">
                  <c:v>Agencia Metropolitana de Tránsito</c:v>
                </c:pt>
                <c:pt idx="6">
                  <c:v>Agencia Metropolitana de Control de Comercio</c:v>
                </c:pt>
                <c:pt idx="7">
                  <c:v>Cuerpo de Bombero de Quito</c:v>
                </c:pt>
                <c:pt idx="8">
                  <c:v>Patronato San José</c:v>
                </c:pt>
                <c:pt idx="9">
                  <c:v>Secretaría General de Seguridad Ciudadana y Gestión de Riesgos</c:v>
                </c:pt>
              </c:strCache>
            </c:strRef>
          </c:cat>
          <c:val>
            <c:numRef>
              <c:f>grafos!$M$312:$M$321</c:f>
              <c:numCache>
                <c:formatCode>0.00%</c:formatCode>
                <c:ptCount val="10"/>
                <c:pt idx="0">
                  <c:v>0.9337349397590361</c:v>
                </c:pt>
                <c:pt idx="1">
                  <c:v>0.86746987951807231</c:v>
                </c:pt>
                <c:pt idx="2">
                  <c:v>0.66867469879518071</c:v>
                </c:pt>
                <c:pt idx="3">
                  <c:v>0.59036144578313254</c:v>
                </c:pt>
                <c:pt idx="4">
                  <c:v>0.46385542168674698</c:v>
                </c:pt>
                <c:pt idx="5">
                  <c:v>0.41566265060240964</c:v>
                </c:pt>
                <c:pt idx="6">
                  <c:v>0.31325301204819278</c:v>
                </c:pt>
                <c:pt idx="7">
                  <c:v>0.30120481927710846</c:v>
                </c:pt>
                <c:pt idx="8">
                  <c:v>0.10843373493975904</c:v>
                </c:pt>
                <c:pt idx="9">
                  <c:v>4.8192771084337352E-2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AC-48AE-9513-A005B8A1582F}"/>
            </c:ext>
          </c:extLst>
        </c:ser>
        <c:ser>
          <c:idx val="1"/>
          <c:order val="1"/>
          <c:tx>
            <c:strRef>
              <c:f>grafos!$N$297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2.9817950844677591E-2"/>
                  <c:y val="2.0495831045486192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AC-48AE-9513-A005B8A1582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AC-48AE-9513-A005B8A158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grafos!$L$312:$L$321</c:f>
              <c:strCache>
                <c:ptCount val="10"/>
                <c:pt idx="0">
                  <c:v>Empresa Metropolitana de Aseo</c:v>
                </c:pt>
                <c:pt idx="1">
                  <c:v>Policía Nacional </c:v>
                </c:pt>
                <c:pt idx="2">
                  <c:v>Cuerpo de Agentes de Control Metropolitano de Quito</c:v>
                </c:pt>
                <c:pt idx="3">
                  <c:v>Agencia Metropolitana de Control</c:v>
                </c:pt>
                <c:pt idx="4">
                  <c:v>Fuerzas Armadas del Ecuador </c:v>
                </c:pt>
                <c:pt idx="5">
                  <c:v>Agencia Metropolitana de Tránsito</c:v>
                </c:pt>
                <c:pt idx="6">
                  <c:v>Agencia Metropolitana de Control de Comercio</c:v>
                </c:pt>
                <c:pt idx="7">
                  <c:v>Cuerpo de Bombero de Quito</c:v>
                </c:pt>
                <c:pt idx="8">
                  <c:v>Patronato San José</c:v>
                </c:pt>
                <c:pt idx="9">
                  <c:v>Secretaría General de Seguridad Ciudadana y Gestión de Riesgos</c:v>
                </c:pt>
              </c:strCache>
            </c:strRef>
          </c:cat>
          <c:val>
            <c:numRef>
              <c:f>grafos!$N$312:$N$321</c:f>
              <c:numCache>
                <c:formatCode>0.00%</c:formatCode>
                <c:ptCount val="10"/>
                <c:pt idx="0">
                  <c:v>6.6265060240963861E-2</c:v>
                </c:pt>
                <c:pt idx="1">
                  <c:v>0.13253012048192772</c:v>
                </c:pt>
                <c:pt idx="2">
                  <c:v>0.33132530120481929</c:v>
                </c:pt>
                <c:pt idx="3">
                  <c:v>0.40963855421686746</c:v>
                </c:pt>
                <c:pt idx="4">
                  <c:v>0.53614457831325302</c:v>
                </c:pt>
                <c:pt idx="5">
                  <c:v>0.58433734939759041</c:v>
                </c:pt>
                <c:pt idx="6">
                  <c:v>0.68674698795180722</c:v>
                </c:pt>
                <c:pt idx="7">
                  <c:v>0.6987951807228916</c:v>
                </c:pt>
                <c:pt idx="8">
                  <c:v>0.89156626506024095</c:v>
                </c:pt>
                <c:pt idx="9">
                  <c:v>0.95180722891566261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AC-48AE-9513-A005B8A15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100"/>
        <c:axId val="1502078080"/>
        <c:axId val="1502065184"/>
      </c:barChart>
      <c:catAx>
        <c:axId val="15020780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502065184"/>
        <c:crosses val="autoZero"/>
        <c:auto val="1"/>
        <c:lblAlgn val="ctr"/>
        <c:lblOffset val="100"/>
        <c:noMultiLvlLbl val="0"/>
      </c:catAx>
      <c:valAx>
        <c:axId val="1502065184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50207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0" i="0" u="none" strike="noStrike" kern="1200" spc="0" baseline="0">
                <a:solidFill>
                  <a:sysClr val="windowText" lastClr="000000"/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es-EC" sz="1200" b="1" i="0" baseline="0" dirty="0">
                <a:effectLst/>
              </a:rPr>
              <a:t>¿</a:t>
            </a:r>
            <a:r>
              <a:rPr lang="es-EC" sz="1200" b="1" i="0" u="none" strike="noStrike" kern="1200" spc="0" baseline="0" dirty="0">
                <a:solidFill>
                  <a:schemeClr val="tx1"/>
                </a:solidFill>
                <a:latin typeface="Montserrat" pitchFamily="2" charset="0"/>
              </a:rPr>
              <a:t>Utilizó algún servicio o guía?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kern="1200" spc="0" baseline="0">
              <a:solidFill>
                <a:sysClr val="windowText" lastClr="000000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grafos!$O$297</c:f>
              <c:strCache>
                <c:ptCount val="1"/>
                <c:pt idx="0">
                  <c:v>Sí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grafos!$L$312:$L$321</c:f>
              <c:strCache>
                <c:ptCount val="10"/>
                <c:pt idx="0">
                  <c:v>Empresa Metropolitana de Aseo</c:v>
                </c:pt>
                <c:pt idx="1">
                  <c:v>Policía Nacional </c:v>
                </c:pt>
                <c:pt idx="2">
                  <c:v>Cuerpo de Agentes de Control Metropolitano de Quito</c:v>
                </c:pt>
                <c:pt idx="3">
                  <c:v>Agencia Metropolitana de Control</c:v>
                </c:pt>
                <c:pt idx="4">
                  <c:v>Fuerzas Armadas del Ecuador </c:v>
                </c:pt>
                <c:pt idx="5">
                  <c:v>Agencia Metropolitana de Tránsito</c:v>
                </c:pt>
                <c:pt idx="6">
                  <c:v>Agencia Metropolitana de Control de Comercio</c:v>
                </c:pt>
                <c:pt idx="7">
                  <c:v>Cuerpo de Bombero de Quito</c:v>
                </c:pt>
                <c:pt idx="8">
                  <c:v>Patronato San José</c:v>
                </c:pt>
                <c:pt idx="9">
                  <c:v>Secretaría General de Seguridad Ciudadana y Gestión de Riesgos</c:v>
                </c:pt>
              </c:strCache>
            </c:strRef>
          </c:cat>
          <c:val>
            <c:numRef>
              <c:f>grafos!$O$312:$O$321</c:f>
              <c:numCache>
                <c:formatCode>0.00%</c:formatCode>
                <c:ptCount val="10"/>
                <c:pt idx="0">
                  <c:v>0.76774193548387093</c:v>
                </c:pt>
                <c:pt idx="1">
                  <c:v>0.43055555555555558</c:v>
                </c:pt>
                <c:pt idx="2">
                  <c:v>0.53153153153153154</c:v>
                </c:pt>
                <c:pt idx="3">
                  <c:v>0.2857142857142857</c:v>
                </c:pt>
                <c:pt idx="4">
                  <c:v>0.2857142857142857</c:v>
                </c:pt>
                <c:pt idx="5">
                  <c:v>0.40579710144927539</c:v>
                </c:pt>
                <c:pt idx="6">
                  <c:v>0.38461538461538464</c:v>
                </c:pt>
                <c:pt idx="7">
                  <c:v>0.36</c:v>
                </c:pt>
                <c:pt idx="8">
                  <c:v>0.33333333333333331</c:v>
                </c:pt>
                <c:pt idx="9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6-4CAA-8459-1675CB5D239E}"/>
            </c:ext>
          </c:extLst>
        </c:ser>
        <c:ser>
          <c:idx val="1"/>
          <c:order val="1"/>
          <c:tx>
            <c:strRef>
              <c:f>grafos!$P$297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grafos!$L$312:$L$321</c:f>
              <c:strCache>
                <c:ptCount val="10"/>
                <c:pt idx="0">
                  <c:v>Empresa Metropolitana de Aseo</c:v>
                </c:pt>
                <c:pt idx="1">
                  <c:v>Policía Nacional </c:v>
                </c:pt>
                <c:pt idx="2">
                  <c:v>Cuerpo de Agentes de Control Metropolitano de Quito</c:v>
                </c:pt>
                <c:pt idx="3">
                  <c:v>Agencia Metropolitana de Control</c:v>
                </c:pt>
                <c:pt idx="4">
                  <c:v>Fuerzas Armadas del Ecuador </c:v>
                </c:pt>
                <c:pt idx="5">
                  <c:v>Agencia Metropolitana de Tránsito</c:v>
                </c:pt>
                <c:pt idx="6">
                  <c:v>Agencia Metropolitana de Control de Comercio</c:v>
                </c:pt>
                <c:pt idx="7">
                  <c:v>Cuerpo de Bombero de Quito</c:v>
                </c:pt>
                <c:pt idx="8">
                  <c:v>Patronato San José</c:v>
                </c:pt>
                <c:pt idx="9">
                  <c:v>Secretaría General de Seguridad Ciudadana y Gestión de Riesgos</c:v>
                </c:pt>
              </c:strCache>
            </c:strRef>
          </c:cat>
          <c:val>
            <c:numRef>
              <c:f>grafos!$P$312:$P$321</c:f>
              <c:numCache>
                <c:formatCode>0.00%</c:formatCode>
                <c:ptCount val="10"/>
                <c:pt idx="0">
                  <c:v>0.23225806451612904</c:v>
                </c:pt>
                <c:pt idx="1">
                  <c:v>0.56944444444444442</c:v>
                </c:pt>
                <c:pt idx="2">
                  <c:v>0.46846846846846846</c:v>
                </c:pt>
                <c:pt idx="3">
                  <c:v>0.7142857142857143</c:v>
                </c:pt>
                <c:pt idx="4">
                  <c:v>0.7142857142857143</c:v>
                </c:pt>
                <c:pt idx="5">
                  <c:v>0.59420289855072461</c:v>
                </c:pt>
                <c:pt idx="6">
                  <c:v>0.61538461538461542</c:v>
                </c:pt>
                <c:pt idx="7">
                  <c:v>0.64</c:v>
                </c:pt>
                <c:pt idx="8">
                  <c:v>0.66666666666666663</c:v>
                </c:pt>
                <c:pt idx="9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A6-4CAA-8459-1675CB5D239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100"/>
        <c:axId val="1502078080"/>
        <c:axId val="1502065184"/>
      </c:barChart>
      <c:catAx>
        <c:axId val="1502078080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502065184"/>
        <c:crosses val="autoZero"/>
        <c:auto val="1"/>
        <c:lblAlgn val="ctr"/>
        <c:lblOffset val="100"/>
        <c:noMultiLvlLbl val="0"/>
      </c:catAx>
      <c:valAx>
        <c:axId val="1502065184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50207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es-EC" sz="1200" b="1"/>
              <a:t>Calificación del trabajo de las instituciones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grafos!$T$362</c:f>
              <c:strCache>
                <c:ptCount val="1"/>
                <c:pt idx="0">
                  <c:v>MUY BUENO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D7B-4123-AAE7-8C76A17484F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7B-4123-AAE7-8C76A17484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grafos!$S$363:$S$371</c:f>
              <c:strCache>
                <c:ptCount val="9"/>
                <c:pt idx="0">
                  <c:v>Agencia Metropolitana de Control</c:v>
                </c:pt>
                <c:pt idx="1">
                  <c:v>Agencia Metropolitana de Control de Comercio</c:v>
                </c:pt>
                <c:pt idx="2">
                  <c:v>Patronato San José</c:v>
                </c:pt>
                <c:pt idx="3">
                  <c:v>Cuerpo de Agentes de Control Metropolitano de Quito</c:v>
                </c:pt>
                <c:pt idx="4">
                  <c:v>Cuerpo de Bombero de Quito</c:v>
                </c:pt>
                <c:pt idx="5">
                  <c:v>Agencia Metropolitana de Tránsito</c:v>
                </c:pt>
                <c:pt idx="6">
                  <c:v>Empresa Metropolitana de Aseo</c:v>
                </c:pt>
                <c:pt idx="7">
                  <c:v>Policía Nacional </c:v>
                </c:pt>
                <c:pt idx="8">
                  <c:v>Fuerzas Armadas del Ecuador </c:v>
                </c:pt>
              </c:strCache>
            </c:strRef>
          </c:cat>
          <c:val>
            <c:numRef>
              <c:f>grafos!$T$363:$T$371</c:f>
              <c:numCache>
                <c:formatCode>0.00%</c:formatCode>
                <c:ptCount val="9"/>
                <c:pt idx="0">
                  <c:v>0.25</c:v>
                </c:pt>
                <c:pt idx="1">
                  <c:v>0.10526315789473684</c:v>
                </c:pt>
                <c:pt idx="2">
                  <c:v>0.16666666666666666</c:v>
                </c:pt>
                <c:pt idx="3">
                  <c:v>0.22033898305084745</c:v>
                </c:pt>
                <c:pt idx="4">
                  <c:v>0.3888888888888889</c:v>
                </c:pt>
                <c:pt idx="5">
                  <c:v>0.35714285714285715</c:v>
                </c:pt>
                <c:pt idx="6">
                  <c:v>0.55462184873949583</c:v>
                </c:pt>
                <c:pt idx="7">
                  <c:v>0.38709677419354838</c:v>
                </c:pt>
                <c:pt idx="8">
                  <c:v>0.45454545454545453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7B-4123-AAE7-8C76A17484FF}"/>
            </c:ext>
          </c:extLst>
        </c:ser>
        <c:ser>
          <c:idx val="1"/>
          <c:order val="1"/>
          <c:tx>
            <c:strRef>
              <c:f>grafos!$U$362</c:f>
              <c:strCache>
                <c:ptCount val="1"/>
                <c:pt idx="0">
                  <c:v>BUENO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grafos!$S$363:$S$371</c:f>
              <c:strCache>
                <c:ptCount val="9"/>
                <c:pt idx="0">
                  <c:v>Agencia Metropolitana de Control</c:v>
                </c:pt>
                <c:pt idx="1">
                  <c:v>Agencia Metropolitana de Control de Comercio</c:v>
                </c:pt>
                <c:pt idx="2">
                  <c:v>Patronato San José</c:v>
                </c:pt>
                <c:pt idx="3">
                  <c:v>Cuerpo de Agentes de Control Metropolitano de Quito</c:v>
                </c:pt>
                <c:pt idx="4">
                  <c:v>Cuerpo de Bombero de Quito</c:v>
                </c:pt>
                <c:pt idx="5">
                  <c:v>Agencia Metropolitana de Tránsito</c:v>
                </c:pt>
                <c:pt idx="6">
                  <c:v>Empresa Metropolitana de Aseo</c:v>
                </c:pt>
                <c:pt idx="7">
                  <c:v>Policía Nacional </c:v>
                </c:pt>
                <c:pt idx="8">
                  <c:v>Fuerzas Armadas del Ecuador </c:v>
                </c:pt>
              </c:strCache>
            </c:strRef>
          </c:cat>
          <c:val>
            <c:numRef>
              <c:f>grafos!$U$363:$U$371</c:f>
              <c:numCache>
                <c:formatCode>0.00%</c:formatCode>
                <c:ptCount val="9"/>
                <c:pt idx="0">
                  <c:v>0.7142857142857143</c:v>
                </c:pt>
                <c:pt idx="1">
                  <c:v>0.89473684210526316</c:v>
                </c:pt>
                <c:pt idx="2">
                  <c:v>0.83333333333333337</c:v>
                </c:pt>
                <c:pt idx="3">
                  <c:v>0.76271186440677963</c:v>
                </c:pt>
                <c:pt idx="4">
                  <c:v>0.61111111111111116</c:v>
                </c:pt>
                <c:pt idx="5">
                  <c:v>0.6428571428571429</c:v>
                </c:pt>
                <c:pt idx="6">
                  <c:v>0.44537815126050423</c:v>
                </c:pt>
                <c:pt idx="7">
                  <c:v>0.58064516129032262</c:v>
                </c:pt>
                <c:pt idx="8">
                  <c:v>0.54545454545454541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7B-4123-AAE7-8C76A17484FF}"/>
            </c:ext>
          </c:extLst>
        </c:ser>
        <c:ser>
          <c:idx val="2"/>
          <c:order val="2"/>
          <c:tx>
            <c:strRef>
              <c:f>grafos!$V$362</c:f>
              <c:strCache>
                <c:ptCount val="1"/>
                <c:pt idx="0">
                  <c:v>MALO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7B-4123-AAE7-8C76A17484F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D7B-4123-AAE7-8C76A17484F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D7B-4123-AAE7-8C76A17484F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D7B-4123-AAE7-8C76A17484F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D7B-4123-AAE7-8C76A17484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grafos!$S$363:$S$371</c:f>
              <c:strCache>
                <c:ptCount val="9"/>
                <c:pt idx="0">
                  <c:v>Agencia Metropolitana de Control</c:v>
                </c:pt>
                <c:pt idx="1">
                  <c:v>Agencia Metropolitana de Control de Comercio</c:v>
                </c:pt>
                <c:pt idx="2">
                  <c:v>Patronato San José</c:v>
                </c:pt>
                <c:pt idx="3">
                  <c:v>Cuerpo de Agentes de Control Metropolitano de Quito</c:v>
                </c:pt>
                <c:pt idx="4">
                  <c:v>Cuerpo de Bombero de Quito</c:v>
                </c:pt>
                <c:pt idx="5">
                  <c:v>Agencia Metropolitana de Tránsito</c:v>
                </c:pt>
                <c:pt idx="6">
                  <c:v>Empresa Metropolitana de Aseo</c:v>
                </c:pt>
                <c:pt idx="7">
                  <c:v>Policía Nacional </c:v>
                </c:pt>
                <c:pt idx="8">
                  <c:v>Fuerzas Armadas del Ecuador </c:v>
                </c:pt>
              </c:strCache>
            </c:strRef>
          </c:cat>
          <c:val>
            <c:numRef>
              <c:f>grafos!$V$363:$V$371</c:f>
              <c:numCache>
                <c:formatCode>0.00%</c:formatCode>
                <c:ptCount val="9"/>
                <c:pt idx="0">
                  <c:v>3.5714285714285712E-2</c:v>
                </c:pt>
                <c:pt idx="1">
                  <c:v>0</c:v>
                </c:pt>
                <c:pt idx="2">
                  <c:v>0</c:v>
                </c:pt>
                <c:pt idx="3">
                  <c:v>1.6949152542372881E-2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3.2258064516129031E-2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D7B-4123-AAE7-8C76A17484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-2"/>
        <c:axId val="396617295"/>
        <c:axId val="396618127"/>
      </c:barChart>
      <c:catAx>
        <c:axId val="39661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396618127"/>
        <c:crosses val="autoZero"/>
        <c:auto val="1"/>
        <c:lblAlgn val="ctr"/>
        <c:lblOffset val="100"/>
        <c:noMultiLvlLbl val="0"/>
      </c:catAx>
      <c:valAx>
        <c:axId val="39661812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39661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02060"/>
            </a:solidFill>
          </c:spPr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84-4469-AB94-8F72B37DA9E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84-4469-AB94-8F72B37DA9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grafos!$H$395:$H$396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grafos!$I$395:$I$396</c:f>
              <c:numCache>
                <c:formatCode>0.00%</c:formatCode>
                <c:ptCount val="2"/>
                <c:pt idx="0">
                  <c:v>0.95180722891566261</c:v>
                </c:pt>
                <c:pt idx="1">
                  <c:v>4.8192771084337352E-2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84-4469-AB94-8F72B37DA9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206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02060"/>
            </a:solidFill>
          </c:spPr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64-4141-A810-35E277DC5B5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64-4141-A810-35E277DC5B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grafos!$H$400:$H$401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grafos!$I$400:$I$401</c:f>
              <c:numCache>
                <c:formatCode>0.00%</c:formatCode>
                <c:ptCount val="2"/>
                <c:pt idx="0">
                  <c:v>0.95180722891566261</c:v>
                </c:pt>
                <c:pt idx="1">
                  <c:v>4.8192771084337352E-2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64-4141-A810-35E277DC5B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206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515151010744297"/>
          <c:y val="0.22927804837587384"/>
          <c:w val="0.78119917731586319"/>
          <c:h val="0.67401305936620126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grafos!$Z$94</c:f>
              <c:strCache>
                <c:ptCount val="1"/>
                <c:pt idx="0">
                  <c:v>Sí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grafos!$X$95:$Y$100</c:f>
              <c:multiLvlStrCache>
                <c:ptCount val="6"/>
                <c:lvl>
                  <c:pt idx="0">
                    <c:v>Hombre</c:v>
                  </c:pt>
                  <c:pt idx="1">
                    <c:v>Mujer</c:v>
                  </c:pt>
                  <c:pt idx="2">
                    <c:v>18 a 25</c:v>
                  </c:pt>
                  <c:pt idx="3">
                    <c:v>26 a 40</c:v>
                  </c:pt>
                  <c:pt idx="4">
                    <c:v>41 a 55</c:v>
                  </c:pt>
                  <c:pt idx="5">
                    <c:v>56 a más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</c:lvl>
              </c:multiLvlStrCache>
            </c:multiLvlStrRef>
          </c:cat>
          <c:val>
            <c:numRef>
              <c:f>grafos!$Z$95:$Z$100</c:f>
              <c:numCache>
                <c:formatCode>0.00%</c:formatCode>
                <c:ptCount val="6"/>
                <c:pt idx="0">
                  <c:v>0.13636363636363635</c:v>
                </c:pt>
                <c:pt idx="1">
                  <c:v>0.15</c:v>
                </c:pt>
                <c:pt idx="2">
                  <c:v>0</c:v>
                </c:pt>
                <c:pt idx="3">
                  <c:v>0.23809523809523808</c:v>
                </c:pt>
                <c:pt idx="4">
                  <c:v>0.1864406779661017</c:v>
                </c:pt>
                <c:pt idx="5">
                  <c:v>5.2631578947368418E-2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17-4740-8F90-CC15C39166AA}"/>
            </c:ext>
          </c:extLst>
        </c:ser>
        <c:ser>
          <c:idx val="1"/>
          <c:order val="1"/>
          <c:tx>
            <c:strRef>
              <c:f>grafos!$AA$94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grafos!$X$95:$Y$100</c:f>
              <c:multiLvlStrCache>
                <c:ptCount val="6"/>
                <c:lvl>
                  <c:pt idx="0">
                    <c:v>Hombre</c:v>
                  </c:pt>
                  <c:pt idx="1">
                    <c:v>Mujer</c:v>
                  </c:pt>
                  <c:pt idx="2">
                    <c:v>18 a 25</c:v>
                  </c:pt>
                  <c:pt idx="3">
                    <c:v>26 a 40</c:v>
                  </c:pt>
                  <c:pt idx="4">
                    <c:v>41 a 55</c:v>
                  </c:pt>
                  <c:pt idx="5">
                    <c:v>56 a más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</c:lvl>
              </c:multiLvlStrCache>
            </c:multiLvlStrRef>
          </c:cat>
          <c:val>
            <c:numRef>
              <c:f>grafos!$AA$95:$AA$100</c:f>
              <c:numCache>
                <c:formatCode>0.00%</c:formatCode>
                <c:ptCount val="6"/>
                <c:pt idx="0">
                  <c:v>0.86363636363636365</c:v>
                </c:pt>
                <c:pt idx="1">
                  <c:v>0.85</c:v>
                </c:pt>
                <c:pt idx="2">
                  <c:v>1</c:v>
                </c:pt>
                <c:pt idx="3">
                  <c:v>0.76190476190476186</c:v>
                </c:pt>
                <c:pt idx="4">
                  <c:v>0.81355932203389836</c:v>
                </c:pt>
                <c:pt idx="5">
                  <c:v>0.94736842105263153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17-4740-8F90-CC15C39166A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414184688"/>
        <c:axId val="1414185520"/>
      </c:barChart>
      <c:catAx>
        <c:axId val="14141846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EC"/>
          </a:p>
        </c:txPr>
        <c:crossAx val="1414185520"/>
        <c:crosses val="autoZero"/>
        <c:auto val="1"/>
        <c:lblAlgn val="ctr"/>
        <c:lblOffset val="100"/>
        <c:noMultiLvlLbl val="0"/>
      </c:catAx>
      <c:valAx>
        <c:axId val="141418552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41418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Montserrat" panose="00000500000000000000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515151010744297"/>
          <c:y val="0.22927804837587384"/>
          <c:w val="0.78119917731586319"/>
          <c:h val="0.67401305936620126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grafos!$Z$94</c:f>
              <c:strCache>
                <c:ptCount val="1"/>
                <c:pt idx="0">
                  <c:v>Sí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grafos!$X$103:$Y$108</c:f>
              <c:multiLvlStrCache>
                <c:ptCount val="6"/>
                <c:lvl>
                  <c:pt idx="0">
                    <c:v>Hombre</c:v>
                  </c:pt>
                  <c:pt idx="1">
                    <c:v>Mujer</c:v>
                  </c:pt>
                  <c:pt idx="2">
                    <c:v>18 a 25</c:v>
                  </c:pt>
                  <c:pt idx="3">
                    <c:v>26 a 40</c:v>
                  </c:pt>
                  <c:pt idx="4">
                    <c:v>41 a 55</c:v>
                  </c:pt>
                  <c:pt idx="5">
                    <c:v>56 a más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</c:lvl>
              </c:multiLvlStrCache>
            </c:multiLvlStrRef>
          </c:cat>
          <c:val>
            <c:numRef>
              <c:f>grafos!$Z$103:$Z$108</c:f>
              <c:numCache>
                <c:formatCode>0.00%</c:formatCode>
                <c:ptCount val="6"/>
                <c:pt idx="0">
                  <c:v>0.40909090909090912</c:v>
                </c:pt>
                <c:pt idx="1">
                  <c:v>0.42</c:v>
                </c:pt>
                <c:pt idx="2">
                  <c:v>0.375</c:v>
                </c:pt>
                <c:pt idx="3">
                  <c:v>0.52380952380952384</c:v>
                </c:pt>
                <c:pt idx="4">
                  <c:v>0.40677966101694918</c:v>
                </c:pt>
                <c:pt idx="5">
                  <c:v>0.35087719298245612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F-429D-9A94-7C2A718E6A2C}"/>
            </c:ext>
          </c:extLst>
        </c:ser>
        <c:ser>
          <c:idx val="1"/>
          <c:order val="1"/>
          <c:tx>
            <c:strRef>
              <c:f>grafos!$AA$94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grafos!$X$103:$Y$108</c:f>
              <c:multiLvlStrCache>
                <c:ptCount val="6"/>
                <c:lvl>
                  <c:pt idx="0">
                    <c:v>Hombre</c:v>
                  </c:pt>
                  <c:pt idx="1">
                    <c:v>Mujer</c:v>
                  </c:pt>
                  <c:pt idx="2">
                    <c:v>18 a 25</c:v>
                  </c:pt>
                  <c:pt idx="3">
                    <c:v>26 a 40</c:v>
                  </c:pt>
                  <c:pt idx="4">
                    <c:v>41 a 55</c:v>
                  </c:pt>
                  <c:pt idx="5">
                    <c:v>56 a más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</c:lvl>
              </c:multiLvlStrCache>
            </c:multiLvlStrRef>
          </c:cat>
          <c:val>
            <c:numRef>
              <c:f>grafos!$AA$103:$AA$108</c:f>
              <c:numCache>
                <c:formatCode>0.00%</c:formatCode>
                <c:ptCount val="6"/>
                <c:pt idx="0">
                  <c:v>0.59090909090909094</c:v>
                </c:pt>
                <c:pt idx="1">
                  <c:v>0.57999999999999996</c:v>
                </c:pt>
                <c:pt idx="2">
                  <c:v>0.625</c:v>
                </c:pt>
                <c:pt idx="3">
                  <c:v>0.47619047619047616</c:v>
                </c:pt>
                <c:pt idx="4">
                  <c:v>0.59322033898305082</c:v>
                </c:pt>
                <c:pt idx="5">
                  <c:v>0.64912280701754388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DF-429D-9A94-7C2A718E6A2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414184688"/>
        <c:axId val="1414185520"/>
      </c:barChart>
      <c:catAx>
        <c:axId val="14141846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EC"/>
          </a:p>
        </c:txPr>
        <c:crossAx val="1414185520"/>
        <c:crosses val="autoZero"/>
        <c:auto val="1"/>
        <c:lblAlgn val="ctr"/>
        <c:lblOffset val="100"/>
        <c:noMultiLvlLbl val="0"/>
      </c:catAx>
      <c:valAx>
        <c:axId val="141418552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41418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Montserrat" panose="00000500000000000000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515151010744297"/>
          <c:y val="0.22927804837587384"/>
          <c:w val="0.78119917731586319"/>
          <c:h val="0.67401305936620126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grafos!$Z$94</c:f>
              <c:strCache>
                <c:ptCount val="1"/>
                <c:pt idx="0">
                  <c:v>Sí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grafos!$X$121:$Y$126</c:f>
              <c:multiLvlStrCache>
                <c:ptCount val="6"/>
                <c:lvl>
                  <c:pt idx="0">
                    <c:v>Hombre</c:v>
                  </c:pt>
                  <c:pt idx="1">
                    <c:v>Mujer</c:v>
                  </c:pt>
                  <c:pt idx="2">
                    <c:v>18 a 25</c:v>
                  </c:pt>
                  <c:pt idx="3">
                    <c:v>26 a 40</c:v>
                  </c:pt>
                  <c:pt idx="4">
                    <c:v>41 a 55</c:v>
                  </c:pt>
                  <c:pt idx="5">
                    <c:v>56 a más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</c:lvl>
              </c:multiLvlStrCache>
            </c:multiLvlStrRef>
          </c:cat>
          <c:val>
            <c:numRef>
              <c:f>grafos!$Z$121:$Z$126</c:f>
              <c:numCache>
                <c:formatCode>0.00%</c:formatCode>
                <c:ptCount val="6"/>
                <c:pt idx="0">
                  <c:v>0.25757575757575757</c:v>
                </c:pt>
                <c:pt idx="1">
                  <c:v>0.38</c:v>
                </c:pt>
                <c:pt idx="2">
                  <c:v>0.5</c:v>
                </c:pt>
                <c:pt idx="3">
                  <c:v>0.40476190476190477</c:v>
                </c:pt>
                <c:pt idx="4">
                  <c:v>0.28813559322033899</c:v>
                </c:pt>
                <c:pt idx="5">
                  <c:v>0.2982456140350877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8-4D67-8CB4-C3EB13069E0F}"/>
            </c:ext>
          </c:extLst>
        </c:ser>
        <c:ser>
          <c:idx val="1"/>
          <c:order val="1"/>
          <c:tx>
            <c:strRef>
              <c:f>grafos!$AA$94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grafos!$X$121:$Y$126</c:f>
              <c:multiLvlStrCache>
                <c:ptCount val="6"/>
                <c:lvl>
                  <c:pt idx="0">
                    <c:v>Hombre</c:v>
                  </c:pt>
                  <c:pt idx="1">
                    <c:v>Mujer</c:v>
                  </c:pt>
                  <c:pt idx="2">
                    <c:v>18 a 25</c:v>
                  </c:pt>
                  <c:pt idx="3">
                    <c:v>26 a 40</c:v>
                  </c:pt>
                  <c:pt idx="4">
                    <c:v>41 a 55</c:v>
                  </c:pt>
                  <c:pt idx="5">
                    <c:v>56 a más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</c:lvl>
              </c:multiLvlStrCache>
            </c:multiLvlStrRef>
          </c:cat>
          <c:val>
            <c:numRef>
              <c:f>grafos!$AA$121:$AA$126</c:f>
              <c:numCache>
                <c:formatCode>0.00%</c:formatCode>
                <c:ptCount val="6"/>
                <c:pt idx="0">
                  <c:v>0.74242424242424243</c:v>
                </c:pt>
                <c:pt idx="1">
                  <c:v>0.61</c:v>
                </c:pt>
                <c:pt idx="2">
                  <c:v>0.5</c:v>
                </c:pt>
                <c:pt idx="3">
                  <c:v>0.59523809523809523</c:v>
                </c:pt>
                <c:pt idx="4">
                  <c:v>0.69491525423728817</c:v>
                </c:pt>
                <c:pt idx="5">
                  <c:v>0.70175438596491224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68-4D67-8CB4-C3EB13069E0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414184688"/>
        <c:axId val="1414185520"/>
      </c:barChart>
      <c:catAx>
        <c:axId val="14141846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EC"/>
          </a:p>
        </c:txPr>
        <c:crossAx val="1414185520"/>
        <c:crosses val="autoZero"/>
        <c:auto val="1"/>
        <c:lblAlgn val="ctr"/>
        <c:lblOffset val="100"/>
        <c:noMultiLvlLbl val="0"/>
      </c:catAx>
      <c:valAx>
        <c:axId val="141418552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41418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Montserrat" panose="00000500000000000000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5E-40B6-A5E1-5D99383CDF5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5E-40B6-A5E1-5D99383CDF51}"/>
              </c:ext>
            </c:extLst>
          </c:dPt>
          <c:dLbls>
            <c:dLbl>
              <c:idx val="0"/>
              <c:layout>
                <c:manualLayout>
                  <c:x val="0.10160593158951982"/>
                  <c:y val="-8.74387001544903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5E-40B6-A5E1-5D99383CDF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grafos!$I$129:$J$129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grafos!$I$130:$J$130</c:f>
              <c:numCache>
                <c:formatCode>0.00%</c:formatCode>
                <c:ptCount val="2"/>
                <c:pt idx="0">
                  <c:v>0.14457831325301204</c:v>
                </c:pt>
                <c:pt idx="1">
                  <c:v>0.85542168674698793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5E-40B6-A5E1-5D99383CDF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5571723533431568"/>
          <c:y val="3.6494672352555775E-2"/>
          <c:w val="0.42038896798906222"/>
          <c:h val="0.9270106552948884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grafos!$R$132:$R$134</c:f>
              <c:strCache>
                <c:ptCount val="3"/>
                <c:pt idx="0">
                  <c:v>Hurto (sin violencia)</c:v>
                </c:pt>
                <c:pt idx="1">
                  <c:v>Robo  (con violencia)</c:v>
                </c:pt>
                <c:pt idx="2">
                  <c:v>Amenazas</c:v>
                </c:pt>
              </c:strCache>
            </c:strRef>
          </c:cat>
          <c:val>
            <c:numRef>
              <c:f>grafos!$S$132:$S$134</c:f>
              <c:numCache>
                <c:formatCode>0.00%</c:formatCode>
                <c:ptCount val="3"/>
                <c:pt idx="0">
                  <c:v>0.45833333333333331</c:v>
                </c:pt>
                <c:pt idx="1">
                  <c:v>0.41666666666666669</c:v>
                </c:pt>
                <c:pt idx="2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A9-4E12-A667-8871BE9E5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118600176"/>
        <c:axId val="1118601424"/>
      </c:barChart>
      <c:catAx>
        <c:axId val="11186001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EC"/>
          </a:p>
        </c:txPr>
        <c:crossAx val="1118601424"/>
        <c:crosses val="autoZero"/>
        <c:auto val="1"/>
        <c:lblAlgn val="ctr"/>
        <c:lblOffset val="100"/>
        <c:noMultiLvlLbl val="0"/>
      </c:catAx>
      <c:valAx>
        <c:axId val="1118601424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crossAx val="111860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anose="00000500000000000000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es-EC" b="1"/>
              <a:t>¿Se</a:t>
            </a:r>
            <a:r>
              <a:rPr lang="es-EC" b="1" baseline="0"/>
              <a:t> benefició de alguna manera del trabajo de la institución</a:t>
            </a:r>
            <a:r>
              <a:rPr lang="es-EC" b="1"/>
              <a:t>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grafos!$O$297</c:f>
              <c:strCache>
                <c:ptCount val="1"/>
                <c:pt idx="0">
                  <c:v>Sí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grafos!$L$298:$L$307</c:f>
              <c:strCache>
                <c:ptCount val="10"/>
                <c:pt idx="0">
                  <c:v>Agencia Metropolitana de Control</c:v>
                </c:pt>
                <c:pt idx="1">
                  <c:v>Agencia Metropolitana de Control de Comercio</c:v>
                </c:pt>
                <c:pt idx="2">
                  <c:v>Patronato San José</c:v>
                </c:pt>
                <c:pt idx="3">
                  <c:v>Cuerpo de Agentes de Control Metropolitano de Quito</c:v>
                </c:pt>
                <c:pt idx="4">
                  <c:v>Cuerpo de Bombero de Quito</c:v>
                </c:pt>
                <c:pt idx="5">
                  <c:v>Agencia Metropolitana de Tránsito</c:v>
                </c:pt>
                <c:pt idx="6">
                  <c:v>Empresa Metropolitana de Aseo</c:v>
                </c:pt>
                <c:pt idx="7">
                  <c:v>Policía Nacional </c:v>
                </c:pt>
                <c:pt idx="8">
                  <c:v>Fuerzas Armadas del Ecuador </c:v>
                </c:pt>
                <c:pt idx="9">
                  <c:v>Secretaría General de Seguridad Ciudadana y Gestión de Riesgos</c:v>
                </c:pt>
              </c:strCache>
            </c:strRef>
          </c:cat>
          <c:val>
            <c:numRef>
              <c:f>grafos!$O$298:$O$307</c:f>
              <c:numCache>
                <c:formatCode>0.00%</c:formatCode>
                <c:ptCount val="10"/>
                <c:pt idx="0">
                  <c:v>0.2857142857142857</c:v>
                </c:pt>
                <c:pt idx="1">
                  <c:v>0.38461538461538464</c:v>
                </c:pt>
                <c:pt idx="2">
                  <c:v>0.33333333333333331</c:v>
                </c:pt>
                <c:pt idx="3">
                  <c:v>0.53153153153153154</c:v>
                </c:pt>
                <c:pt idx="4">
                  <c:v>0.36</c:v>
                </c:pt>
                <c:pt idx="5">
                  <c:v>0.40579710144927539</c:v>
                </c:pt>
                <c:pt idx="6">
                  <c:v>0.76774193548387093</c:v>
                </c:pt>
                <c:pt idx="7">
                  <c:v>0.43055555555555558</c:v>
                </c:pt>
                <c:pt idx="8">
                  <c:v>0.2857142857142857</c:v>
                </c:pt>
                <c:pt idx="9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3-4884-A8C1-4BD7153CEEB5}"/>
            </c:ext>
          </c:extLst>
        </c:ser>
        <c:ser>
          <c:idx val="1"/>
          <c:order val="1"/>
          <c:tx>
            <c:strRef>
              <c:f>grafos!$P$297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2.9817950844677591E-2"/>
                  <c:y val="2.0495831045486192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DF3-4884-A8C1-4BD7153CEEB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DF3-4884-A8C1-4BD7153CEE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grafos!$L$298:$L$307</c:f>
              <c:strCache>
                <c:ptCount val="10"/>
                <c:pt idx="0">
                  <c:v>Agencia Metropolitana de Control</c:v>
                </c:pt>
                <c:pt idx="1">
                  <c:v>Agencia Metropolitana de Control de Comercio</c:v>
                </c:pt>
                <c:pt idx="2">
                  <c:v>Patronato San José</c:v>
                </c:pt>
                <c:pt idx="3">
                  <c:v>Cuerpo de Agentes de Control Metropolitano de Quito</c:v>
                </c:pt>
                <c:pt idx="4">
                  <c:v>Cuerpo de Bombero de Quito</c:v>
                </c:pt>
                <c:pt idx="5">
                  <c:v>Agencia Metropolitana de Tránsito</c:v>
                </c:pt>
                <c:pt idx="6">
                  <c:v>Empresa Metropolitana de Aseo</c:v>
                </c:pt>
                <c:pt idx="7">
                  <c:v>Policía Nacional </c:v>
                </c:pt>
                <c:pt idx="8">
                  <c:v>Fuerzas Armadas del Ecuador </c:v>
                </c:pt>
                <c:pt idx="9">
                  <c:v>Secretaría General de Seguridad Ciudadana y Gestión de Riesgos</c:v>
                </c:pt>
              </c:strCache>
            </c:strRef>
          </c:cat>
          <c:val>
            <c:numRef>
              <c:f>grafos!$P$298:$P$307</c:f>
              <c:numCache>
                <c:formatCode>0.00%</c:formatCode>
                <c:ptCount val="10"/>
                <c:pt idx="0">
                  <c:v>0.7142857142857143</c:v>
                </c:pt>
                <c:pt idx="1">
                  <c:v>0.61538461538461542</c:v>
                </c:pt>
                <c:pt idx="2">
                  <c:v>0.66666666666666663</c:v>
                </c:pt>
                <c:pt idx="3">
                  <c:v>0.46846846846846846</c:v>
                </c:pt>
                <c:pt idx="4">
                  <c:v>0.64</c:v>
                </c:pt>
                <c:pt idx="5">
                  <c:v>0.59420289855072461</c:v>
                </c:pt>
                <c:pt idx="6">
                  <c:v>0.23225806451612904</c:v>
                </c:pt>
                <c:pt idx="7">
                  <c:v>0.56944444444444442</c:v>
                </c:pt>
                <c:pt idx="8">
                  <c:v>0.7142857142857143</c:v>
                </c:pt>
                <c:pt idx="9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F3-4884-A8C1-4BD7153CEEB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100"/>
        <c:axId val="1502078080"/>
        <c:axId val="1502065184"/>
      </c:barChart>
      <c:catAx>
        <c:axId val="15020780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502065184"/>
        <c:crosses val="autoZero"/>
        <c:auto val="1"/>
        <c:lblAlgn val="ctr"/>
        <c:lblOffset val="100"/>
        <c:noMultiLvlLbl val="0"/>
      </c:catAx>
      <c:valAx>
        <c:axId val="1502065184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50207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882670831176821"/>
          <c:y val="6.2234892960036377E-2"/>
          <c:w val="0.64090297125622475"/>
          <c:h val="0.91754717890435034"/>
        </c:manualLayout>
      </c:layout>
      <c:barChart>
        <c:barDir val="bar"/>
        <c:grouping val="percentStacked"/>
        <c:varyColors val="0"/>
        <c:ser>
          <c:idx val="1"/>
          <c:order val="0"/>
          <c:tx>
            <c:strRef>
              <c:f>grafos!$P$153</c:f>
              <c:strCache>
                <c:ptCount val="1"/>
                <c:pt idx="0">
                  <c:v>Sí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15"/>
              <c:layout>
                <c:manualLayout>
                  <c:x val="2.9587439270033555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50-40C3-9DBA-E205A87240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grafos!$O$174:$O$189</c:f>
              <c:strCache>
                <c:ptCount val="16"/>
                <c:pt idx="0">
                  <c:v>Habitantes en situación de calle</c:v>
                </c:pt>
                <c:pt idx="1">
                  <c:v>Personas que orinan en el parque</c:v>
                </c:pt>
                <c:pt idx="2">
                  <c:v>Desechos de animales</c:v>
                </c:pt>
                <c:pt idx="3">
                  <c:v>Basura y suciedad</c:v>
                </c:pt>
                <c:pt idx="4">
                  <c:v>Consumo de drogas</c:v>
                </c:pt>
                <c:pt idx="5">
                  <c:v>Peleas o riñas</c:v>
                </c:pt>
                <c:pt idx="6">
                  <c:v>Consumo de alcohol</c:v>
                </c:pt>
                <c:pt idx="7">
                  <c:v>Alguien puso música a un volumen excesivo o hizo mucho ruido y eso le molestó</c:v>
                </c:pt>
                <c:pt idx="8">
                  <c:v>Fauna Urbana</c:v>
                </c:pt>
                <c:pt idx="9">
                  <c:v>Áreas sin iluminación</c:v>
                </c:pt>
                <c:pt idx="10">
                  <c:v>Aglomeración de personas</c:v>
                </c:pt>
                <c:pt idx="11">
                  <c:v>Daño a la propiedad pública y privada</c:v>
                </c:pt>
                <c:pt idx="12">
                  <c:v> Venta de drogas</c:v>
                </c:pt>
                <c:pt idx="13">
                  <c:v>Grafitis no artísticos que le molestaron</c:v>
                </c:pt>
                <c:pt idx="14">
                  <c:v>Venta de alcohol</c:v>
                </c:pt>
                <c:pt idx="15">
                  <c:v>Trabajo sexual</c:v>
                </c:pt>
              </c:strCache>
            </c:strRef>
          </c:cat>
          <c:val>
            <c:numRef>
              <c:f>grafos!$P$174:$P$189</c:f>
              <c:numCache>
                <c:formatCode>0.00%</c:formatCode>
                <c:ptCount val="16"/>
                <c:pt idx="0">
                  <c:v>0.68072289156626509</c:v>
                </c:pt>
                <c:pt idx="1">
                  <c:v>0.65662650602409633</c:v>
                </c:pt>
                <c:pt idx="2">
                  <c:v>0.62048192771084343</c:v>
                </c:pt>
                <c:pt idx="3">
                  <c:v>0.54216867469879515</c:v>
                </c:pt>
                <c:pt idx="4">
                  <c:v>0.46385542168674698</c:v>
                </c:pt>
                <c:pt idx="5">
                  <c:v>0.42771084337349397</c:v>
                </c:pt>
                <c:pt idx="6">
                  <c:v>0.40361445783132532</c:v>
                </c:pt>
                <c:pt idx="7">
                  <c:v>0.37349397590361444</c:v>
                </c:pt>
                <c:pt idx="8">
                  <c:v>0.35542168674698793</c:v>
                </c:pt>
                <c:pt idx="9">
                  <c:v>0.31325301204819278</c:v>
                </c:pt>
                <c:pt idx="10">
                  <c:v>0.30120481927710846</c:v>
                </c:pt>
                <c:pt idx="11">
                  <c:v>0.2289156626506024</c:v>
                </c:pt>
                <c:pt idx="12">
                  <c:v>0.19879518072289157</c:v>
                </c:pt>
                <c:pt idx="13">
                  <c:v>0.13253012048192772</c:v>
                </c:pt>
                <c:pt idx="14">
                  <c:v>0.10240963855421686</c:v>
                </c:pt>
                <c:pt idx="15">
                  <c:v>1.2048192771084338E-2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62-42D0-A281-38C47CC891D2}"/>
            </c:ext>
          </c:extLst>
        </c:ser>
        <c:ser>
          <c:idx val="2"/>
          <c:order val="1"/>
          <c:tx>
            <c:strRef>
              <c:f>grafos!$Q$153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9.2447006755182852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62-42D0-A281-38C47CC891D2}"/>
                </c:ext>
              </c:extLst>
            </c:dLbl>
            <c:dLbl>
              <c:idx val="3"/>
              <c:layout>
                <c:manualLayout>
                  <c:x val="-1.1093640810621943E-2"/>
                  <c:y val="4.678934571175993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62-42D0-A281-38C47CC891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grafos!$O$174:$O$189</c:f>
              <c:strCache>
                <c:ptCount val="16"/>
                <c:pt idx="0">
                  <c:v>Habitantes en situación de calle</c:v>
                </c:pt>
                <c:pt idx="1">
                  <c:v>Personas que orinan en el parque</c:v>
                </c:pt>
                <c:pt idx="2">
                  <c:v>Desechos de animales</c:v>
                </c:pt>
                <c:pt idx="3">
                  <c:v>Basura y suciedad</c:v>
                </c:pt>
                <c:pt idx="4">
                  <c:v>Consumo de drogas</c:v>
                </c:pt>
                <c:pt idx="5">
                  <c:v>Peleas o riñas</c:v>
                </c:pt>
                <c:pt idx="6">
                  <c:v>Consumo de alcohol</c:v>
                </c:pt>
                <c:pt idx="7">
                  <c:v>Alguien puso música a un volumen excesivo o hizo mucho ruido y eso le molestó</c:v>
                </c:pt>
                <c:pt idx="8">
                  <c:v>Fauna Urbana</c:v>
                </c:pt>
                <c:pt idx="9">
                  <c:v>Áreas sin iluminación</c:v>
                </c:pt>
                <c:pt idx="10">
                  <c:v>Aglomeración de personas</c:v>
                </c:pt>
                <c:pt idx="11">
                  <c:v>Daño a la propiedad pública y privada</c:v>
                </c:pt>
                <c:pt idx="12">
                  <c:v> Venta de drogas</c:v>
                </c:pt>
                <c:pt idx="13">
                  <c:v>Grafitis no artísticos que le molestaron</c:v>
                </c:pt>
                <c:pt idx="14">
                  <c:v>Venta de alcohol</c:v>
                </c:pt>
                <c:pt idx="15">
                  <c:v>Trabajo sexual</c:v>
                </c:pt>
              </c:strCache>
            </c:strRef>
          </c:cat>
          <c:val>
            <c:numRef>
              <c:f>grafos!$Q$174:$Q$189</c:f>
              <c:numCache>
                <c:formatCode>0.00%</c:formatCode>
                <c:ptCount val="16"/>
                <c:pt idx="0">
                  <c:v>0.31927710843373491</c:v>
                </c:pt>
                <c:pt idx="1">
                  <c:v>0.33734939759036142</c:v>
                </c:pt>
                <c:pt idx="2">
                  <c:v>0.36746987951807231</c:v>
                </c:pt>
                <c:pt idx="3">
                  <c:v>0.45783132530120479</c:v>
                </c:pt>
                <c:pt idx="4">
                  <c:v>0.53614457831325302</c:v>
                </c:pt>
                <c:pt idx="5">
                  <c:v>0.57228915662650603</c:v>
                </c:pt>
                <c:pt idx="6">
                  <c:v>0.59638554216867468</c:v>
                </c:pt>
                <c:pt idx="7">
                  <c:v>0.62650602409638556</c:v>
                </c:pt>
                <c:pt idx="8">
                  <c:v>0.64457831325301207</c:v>
                </c:pt>
                <c:pt idx="9">
                  <c:v>0.62650602409638556</c:v>
                </c:pt>
                <c:pt idx="10">
                  <c:v>0.6987951807228916</c:v>
                </c:pt>
                <c:pt idx="11">
                  <c:v>0.77108433734939763</c:v>
                </c:pt>
                <c:pt idx="12">
                  <c:v>0.79518072289156627</c:v>
                </c:pt>
                <c:pt idx="13">
                  <c:v>0.86746987951807231</c:v>
                </c:pt>
                <c:pt idx="14">
                  <c:v>0.89759036144578308</c:v>
                </c:pt>
                <c:pt idx="15">
                  <c:v>0.98795180722891562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62-42D0-A281-38C47CC891D2}"/>
            </c:ext>
          </c:extLst>
        </c:ser>
        <c:ser>
          <c:idx val="0"/>
          <c:order val="2"/>
          <c:tx>
            <c:strRef>
              <c:f>grafos!$R$153</c:f>
              <c:strCache>
                <c:ptCount val="1"/>
                <c:pt idx="0">
                  <c:v>Ns/Nc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50-40C3-9DBA-E205A872400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C50-40C3-9DBA-E205A872400B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50-40C3-9DBA-E205A872400B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C50-40C3-9DBA-E205A87240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grafos!$O$174:$O$189</c:f>
              <c:strCache>
                <c:ptCount val="16"/>
                <c:pt idx="0">
                  <c:v>Habitantes en situación de calle</c:v>
                </c:pt>
                <c:pt idx="1">
                  <c:v>Personas que orinan en el parque</c:v>
                </c:pt>
                <c:pt idx="2">
                  <c:v>Desechos de animales</c:v>
                </c:pt>
                <c:pt idx="3">
                  <c:v>Basura y suciedad</c:v>
                </c:pt>
                <c:pt idx="4">
                  <c:v>Consumo de drogas</c:v>
                </c:pt>
                <c:pt idx="5">
                  <c:v>Peleas o riñas</c:v>
                </c:pt>
                <c:pt idx="6">
                  <c:v>Consumo de alcohol</c:v>
                </c:pt>
                <c:pt idx="7">
                  <c:v>Alguien puso música a un volumen excesivo o hizo mucho ruido y eso le molestó</c:v>
                </c:pt>
                <c:pt idx="8">
                  <c:v>Fauna Urbana</c:v>
                </c:pt>
                <c:pt idx="9">
                  <c:v>Áreas sin iluminación</c:v>
                </c:pt>
                <c:pt idx="10">
                  <c:v>Aglomeración de personas</c:v>
                </c:pt>
                <c:pt idx="11">
                  <c:v>Daño a la propiedad pública y privada</c:v>
                </c:pt>
                <c:pt idx="12">
                  <c:v> Venta de drogas</c:v>
                </c:pt>
                <c:pt idx="13">
                  <c:v>Grafitis no artísticos que le molestaron</c:v>
                </c:pt>
                <c:pt idx="14">
                  <c:v>Venta de alcohol</c:v>
                </c:pt>
                <c:pt idx="15">
                  <c:v>Trabajo sexual</c:v>
                </c:pt>
              </c:strCache>
            </c:strRef>
          </c:cat>
          <c:val>
            <c:numRef>
              <c:f>grafos!$R$174:$R$189</c:f>
              <c:numCache>
                <c:formatCode>0.00%</c:formatCode>
                <c:ptCount val="16"/>
                <c:pt idx="1">
                  <c:v>6.024096385542169E-3</c:v>
                </c:pt>
                <c:pt idx="2">
                  <c:v>1.2048192771084338E-2</c:v>
                </c:pt>
                <c:pt idx="9">
                  <c:v>6.0240963855421686E-2</c:v>
                </c:pt>
                <c:pt idx="12">
                  <c:v>6.024096385542169E-3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0-40C3-9DBA-E205A872400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502105952"/>
        <c:axId val="1502109696"/>
      </c:barChart>
      <c:catAx>
        <c:axId val="15021059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502109696"/>
        <c:crosses val="autoZero"/>
        <c:auto val="1"/>
        <c:lblAlgn val="ctr"/>
        <c:lblOffset val="100"/>
        <c:noMultiLvlLbl val="0"/>
      </c:catAx>
      <c:valAx>
        <c:axId val="1502109696"/>
        <c:scaling>
          <c:orientation val="minMax"/>
        </c:scaling>
        <c:delete val="1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s-ES" sz="900" b="1"/>
                  <a:t>Presenció:</a:t>
                </a:r>
              </a:p>
            </c:rich>
          </c:tx>
          <c:layout>
            <c:manualLayout>
              <c:xMode val="edge"/>
              <c:yMode val="edge"/>
              <c:x val="0.34021746068947584"/>
              <c:y val="1.266357206012378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crossAx val="150210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788110945591266E-2"/>
          <c:y val="6.2234892960036377E-2"/>
          <c:w val="0.85094161878413843"/>
          <c:h val="0.91754717890435034"/>
        </c:manualLayout>
      </c:layout>
      <c:barChart>
        <c:barDir val="bar"/>
        <c:grouping val="percentStacked"/>
        <c:varyColors val="0"/>
        <c:ser>
          <c:idx val="1"/>
          <c:order val="0"/>
          <c:tx>
            <c:strRef>
              <c:f>grafos!$S$153</c:f>
              <c:strCache>
                <c:ptCount val="1"/>
                <c:pt idx="0">
                  <c:v>Poco Frecuente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1.2450980392156853E-2"/>
                  <c:y val="2.339743589743632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EE-4F7F-BA04-8542F47A74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grafos!$O$174:$O$189</c:f>
              <c:strCache>
                <c:ptCount val="16"/>
                <c:pt idx="0">
                  <c:v>Habitantes en situación de calle</c:v>
                </c:pt>
                <c:pt idx="1">
                  <c:v>Personas que orinan en el parque</c:v>
                </c:pt>
                <c:pt idx="2">
                  <c:v>Desechos de animales</c:v>
                </c:pt>
                <c:pt idx="3">
                  <c:v>Basura y suciedad</c:v>
                </c:pt>
                <c:pt idx="4">
                  <c:v>Consumo de drogas</c:v>
                </c:pt>
                <c:pt idx="5">
                  <c:v>Peleas o riñas</c:v>
                </c:pt>
                <c:pt idx="6">
                  <c:v>Consumo de alcohol</c:v>
                </c:pt>
                <c:pt idx="7">
                  <c:v>Alguien puso música a un volumen excesivo o hizo mucho ruido y eso le molestó</c:v>
                </c:pt>
                <c:pt idx="8">
                  <c:v>Fauna Urbana</c:v>
                </c:pt>
                <c:pt idx="9">
                  <c:v>Áreas sin iluminación</c:v>
                </c:pt>
                <c:pt idx="10">
                  <c:v>Aglomeración de personas</c:v>
                </c:pt>
                <c:pt idx="11">
                  <c:v>Daño a la propiedad pública y privada</c:v>
                </c:pt>
                <c:pt idx="12">
                  <c:v> Venta de drogas</c:v>
                </c:pt>
                <c:pt idx="13">
                  <c:v>Grafitis no artísticos que le molestaron</c:v>
                </c:pt>
                <c:pt idx="14">
                  <c:v>Venta de alcohol</c:v>
                </c:pt>
                <c:pt idx="15">
                  <c:v>Trabajo sexual</c:v>
                </c:pt>
              </c:strCache>
            </c:strRef>
          </c:cat>
          <c:val>
            <c:numRef>
              <c:f>grafos!$S$174:$S$189</c:f>
              <c:numCache>
                <c:formatCode>0.00%</c:formatCode>
                <c:ptCount val="16"/>
                <c:pt idx="0">
                  <c:v>0.4336283185840708</c:v>
                </c:pt>
                <c:pt idx="1">
                  <c:v>0.29357798165137616</c:v>
                </c:pt>
                <c:pt idx="2">
                  <c:v>0.36893203883495146</c:v>
                </c:pt>
                <c:pt idx="3">
                  <c:v>0.4777777777777778</c:v>
                </c:pt>
                <c:pt idx="4">
                  <c:v>0.29870129870129869</c:v>
                </c:pt>
                <c:pt idx="5">
                  <c:v>0.647887323943662</c:v>
                </c:pt>
                <c:pt idx="6">
                  <c:v>0.4925373134328358</c:v>
                </c:pt>
                <c:pt idx="7">
                  <c:v>0.38709677419354838</c:v>
                </c:pt>
                <c:pt idx="8">
                  <c:v>0.55932203389830504</c:v>
                </c:pt>
                <c:pt idx="9">
                  <c:v>0.34615384615384615</c:v>
                </c:pt>
                <c:pt idx="10">
                  <c:v>0.46</c:v>
                </c:pt>
                <c:pt idx="11">
                  <c:v>0.68421052631578949</c:v>
                </c:pt>
                <c:pt idx="12">
                  <c:v>0.33333333333333331</c:v>
                </c:pt>
                <c:pt idx="13">
                  <c:v>0.90909090909090906</c:v>
                </c:pt>
                <c:pt idx="14">
                  <c:v>0.58823529411764708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EE-4F7F-BA04-8542F47A744D}"/>
            </c:ext>
          </c:extLst>
        </c:ser>
        <c:ser>
          <c:idx val="2"/>
          <c:order val="1"/>
          <c:tx>
            <c:strRef>
              <c:f>grafos!$T$153</c:f>
              <c:strCache>
                <c:ptCount val="1"/>
                <c:pt idx="0">
                  <c:v>Frecuente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3A-4491-917F-FA44AAED04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grafos!$O$174:$O$189</c:f>
              <c:strCache>
                <c:ptCount val="16"/>
                <c:pt idx="0">
                  <c:v>Habitantes en situación de calle</c:v>
                </c:pt>
                <c:pt idx="1">
                  <c:v>Personas que orinan en el parque</c:v>
                </c:pt>
                <c:pt idx="2">
                  <c:v>Desechos de animales</c:v>
                </c:pt>
                <c:pt idx="3">
                  <c:v>Basura y suciedad</c:v>
                </c:pt>
                <c:pt idx="4">
                  <c:v>Consumo de drogas</c:v>
                </c:pt>
                <c:pt idx="5">
                  <c:v>Peleas o riñas</c:v>
                </c:pt>
                <c:pt idx="6">
                  <c:v>Consumo de alcohol</c:v>
                </c:pt>
                <c:pt idx="7">
                  <c:v>Alguien puso música a un volumen excesivo o hizo mucho ruido y eso le molestó</c:v>
                </c:pt>
                <c:pt idx="8">
                  <c:v>Fauna Urbana</c:v>
                </c:pt>
                <c:pt idx="9">
                  <c:v>Áreas sin iluminación</c:v>
                </c:pt>
                <c:pt idx="10">
                  <c:v>Aglomeración de personas</c:v>
                </c:pt>
                <c:pt idx="11">
                  <c:v>Daño a la propiedad pública y privada</c:v>
                </c:pt>
                <c:pt idx="12">
                  <c:v> Venta de drogas</c:v>
                </c:pt>
                <c:pt idx="13">
                  <c:v>Grafitis no artísticos que le molestaron</c:v>
                </c:pt>
                <c:pt idx="14">
                  <c:v>Venta de alcohol</c:v>
                </c:pt>
                <c:pt idx="15">
                  <c:v>Trabajo sexual</c:v>
                </c:pt>
              </c:strCache>
            </c:strRef>
          </c:cat>
          <c:val>
            <c:numRef>
              <c:f>grafos!$T$174:$T$189</c:f>
              <c:numCache>
                <c:formatCode>0.00%</c:formatCode>
                <c:ptCount val="16"/>
                <c:pt idx="0">
                  <c:v>0.41592920353982299</c:v>
                </c:pt>
                <c:pt idx="1">
                  <c:v>0.44954128440366975</c:v>
                </c:pt>
                <c:pt idx="2">
                  <c:v>0.42718446601941745</c:v>
                </c:pt>
                <c:pt idx="3">
                  <c:v>0.41111111111111109</c:v>
                </c:pt>
                <c:pt idx="4">
                  <c:v>0.48051948051948051</c:v>
                </c:pt>
                <c:pt idx="5">
                  <c:v>0.323943661971831</c:v>
                </c:pt>
                <c:pt idx="6">
                  <c:v>0.44776119402985076</c:v>
                </c:pt>
                <c:pt idx="7">
                  <c:v>0.532258064516129</c:v>
                </c:pt>
                <c:pt idx="8">
                  <c:v>0.33898305084745761</c:v>
                </c:pt>
                <c:pt idx="9">
                  <c:v>0.46153846153846156</c:v>
                </c:pt>
                <c:pt idx="10">
                  <c:v>0.36</c:v>
                </c:pt>
                <c:pt idx="11">
                  <c:v>0.26315789473684209</c:v>
                </c:pt>
                <c:pt idx="12">
                  <c:v>0.36363636363636365</c:v>
                </c:pt>
                <c:pt idx="13">
                  <c:v>9.0909090909090912E-2</c:v>
                </c:pt>
                <c:pt idx="14">
                  <c:v>0.29411764705882354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EE-4F7F-BA04-8542F47A744D}"/>
            </c:ext>
          </c:extLst>
        </c:ser>
        <c:ser>
          <c:idx val="0"/>
          <c:order val="2"/>
          <c:tx>
            <c:strRef>
              <c:f>grafos!$U$153</c:f>
              <c:strCache>
                <c:ptCount val="1"/>
                <c:pt idx="0">
                  <c:v>Muy Frecuente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9"/>
              <c:layout>
                <c:manualLayout>
                  <c:x val="-2.4901960784313726E-2"/>
                  <c:y val="1.8420277040966697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EE-4F7F-BA04-8542F47A744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93A-4491-917F-FA44AAED04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grafos!$O$174:$O$189</c:f>
              <c:strCache>
                <c:ptCount val="16"/>
                <c:pt idx="0">
                  <c:v>Habitantes en situación de calle</c:v>
                </c:pt>
                <c:pt idx="1">
                  <c:v>Personas que orinan en el parque</c:v>
                </c:pt>
                <c:pt idx="2">
                  <c:v>Desechos de animales</c:v>
                </c:pt>
                <c:pt idx="3">
                  <c:v>Basura y suciedad</c:v>
                </c:pt>
                <c:pt idx="4">
                  <c:v>Consumo de drogas</c:v>
                </c:pt>
                <c:pt idx="5">
                  <c:v>Peleas o riñas</c:v>
                </c:pt>
                <c:pt idx="6">
                  <c:v>Consumo de alcohol</c:v>
                </c:pt>
                <c:pt idx="7">
                  <c:v>Alguien puso música a un volumen excesivo o hizo mucho ruido y eso le molestó</c:v>
                </c:pt>
                <c:pt idx="8">
                  <c:v>Fauna Urbana</c:v>
                </c:pt>
                <c:pt idx="9">
                  <c:v>Áreas sin iluminación</c:v>
                </c:pt>
                <c:pt idx="10">
                  <c:v>Aglomeración de personas</c:v>
                </c:pt>
                <c:pt idx="11">
                  <c:v>Daño a la propiedad pública y privada</c:v>
                </c:pt>
                <c:pt idx="12">
                  <c:v> Venta de drogas</c:v>
                </c:pt>
                <c:pt idx="13">
                  <c:v>Grafitis no artísticos que le molestaron</c:v>
                </c:pt>
                <c:pt idx="14">
                  <c:v>Venta de alcohol</c:v>
                </c:pt>
                <c:pt idx="15">
                  <c:v>Trabajo sexual</c:v>
                </c:pt>
              </c:strCache>
            </c:strRef>
          </c:cat>
          <c:val>
            <c:numRef>
              <c:f>grafos!$U$174:$U$189</c:f>
              <c:numCache>
                <c:formatCode>0.00%</c:formatCode>
                <c:ptCount val="16"/>
                <c:pt idx="0">
                  <c:v>0.15044247787610621</c:v>
                </c:pt>
                <c:pt idx="1">
                  <c:v>0.25688073394495414</c:v>
                </c:pt>
                <c:pt idx="2">
                  <c:v>0.20388349514563106</c:v>
                </c:pt>
                <c:pt idx="3">
                  <c:v>0.1111111111111111</c:v>
                </c:pt>
                <c:pt idx="4">
                  <c:v>0.22077922077922077</c:v>
                </c:pt>
                <c:pt idx="5">
                  <c:v>2.8169014084507043E-2</c:v>
                </c:pt>
                <c:pt idx="6">
                  <c:v>5.9701492537313432E-2</c:v>
                </c:pt>
                <c:pt idx="7">
                  <c:v>8.0645161290322578E-2</c:v>
                </c:pt>
                <c:pt idx="8">
                  <c:v>0.10169491525423729</c:v>
                </c:pt>
                <c:pt idx="9">
                  <c:v>0.19230769230769232</c:v>
                </c:pt>
                <c:pt idx="10">
                  <c:v>0.18</c:v>
                </c:pt>
                <c:pt idx="11">
                  <c:v>5.2631578947368418E-2</c:v>
                </c:pt>
                <c:pt idx="12">
                  <c:v>0.30303030303030304</c:v>
                </c:pt>
                <c:pt idx="13">
                  <c:v>0</c:v>
                </c:pt>
                <c:pt idx="14">
                  <c:v>0.11764705882352941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EE-4F7F-BA04-8542F47A744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502105952"/>
        <c:axId val="1502109696"/>
      </c:barChart>
      <c:catAx>
        <c:axId val="1502105952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502109696"/>
        <c:crosses val="autoZero"/>
        <c:auto val="1"/>
        <c:lblAlgn val="ctr"/>
        <c:lblOffset val="100"/>
        <c:noMultiLvlLbl val="0"/>
      </c:catAx>
      <c:valAx>
        <c:axId val="1502109696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50210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488301</xdr:colOff>
      <xdr:row>27</xdr:row>
      <xdr:rowOff>121371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733425</xdr:colOff>
      <xdr:row>17</xdr:row>
      <xdr:rowOff>114300</xdr:rowOff>
    </xdr:from>
    <xdr:to>
      <xdr:col>12</xdr:col>
      <xdr:colOff>160077</xdr:colOff>
      <xdr:row>35</xdr:row>
      <xdr:rowOff>102638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7</xdr:col>
      <xdr:colOff>488301</xdr:colOff>
      <xdr:row>66</xdr:row>
      <xdr:rowOff>121371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69</xdr:row>
      <xdr:rowOff>0</xdr:rowOff>
    </xdr:from>
    <xdr:to>
      <xdr:col>6</xdr:col>
      <xdr:colOff>493452</xdr:colOff>
      <xdr:row>86</xdr:row>
      <xdr:rowOff>178838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476250</xdr:colOff>
      <xdr:row>91</xdr:row>
      <xdr:rowOff>133350</xdr:rowOff>
    </xdr:from>
    <xdr:to>
      <xdr:col>7</xdr:col>
      <xdr:colOff>148827</xdr:colOff>
      <xdr:row>119</xdr:row>
      <xdr:rowOff>41939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152</xdr:row>
      <xdr:rowOff>0</xdr:rowOff>
    </xdr:from>
    <xdr:to>
      <xdr:col>6</xdr:col>
      <xdr:colOff>0</xdr:colOff>
      <xdr:row>179</xdr:row>
      <xdr:rowOff>182509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183</xdr:row>
      <xdr:rowOff>0</xdr:rowOff>
    </xdr:from>
    <xdr:to>
      <xdr:col>8</xdr:col>
      <xdr:colOff>2073088</xdr:colOff>
      <xdr:row>211</xdr:row>
      <xdr:rowOff>94800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215</xdr:row>
      <xdr:rowOff>0</xdr:rowOff>
    </xdr:from>
    <xdr:to>
      <xdr:col>7</xdr:col>
      <xdr:colOff>786000</xdr:colOff>
      <xdr:row>243</xdr:row>
      <xdr:rowOff>94800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248</xdr:row>
      <xdr:rowOff>0</xdr:rowOff>
    </xdr:from>
    <xdr:to>
      <xdr:col>6</xdr:col>
      <xdr:colOff>210353</xdr:colOff>
      <xdr:row>268</xdr:row>
      <xdr:rowOff>49942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271</xdr:row>
      <xdr:rowOff>0</xdr:rowOff>
    </xdr:from>
    <xdr:to>
      <xdr:col>7</xdr:col>
      <xdr:colOff>916082</xdr:colOff>
      <xdr:row>291</xdr:row>
      <xdr:rowOff>154965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100853</xdr:colOff>
      <xdr:row>271</xdr:row>
      <xdr:rowOff>67235</xdr:rowOff>
    </xdr:from>
    <xdr:to>
      <xdr:col>12</xdr:col>
      <xdr:colOff>1185265</xdr:colOff>
      <xdr:row>291</xdr:row>
      <xdr:rowOff>117177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296</xdr:row>
      <xdr:rowOff>0</xdr:rowOff>
    </xdr:from>
    <xdr:to>
      <xdr:col>7</xdr:col>
      <xdr:colOff>1054769</xdr:colOff>
      <xdr:row>321</xdr:row>
      <xdr:rowOff>116541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323</xdr:row>
      <xdr:rowOff>0</xdr:rowOff>
    </xdr:from>
    <xdr:to>
      <xdr:col>6</xdr:col>
      <xdr:colOff>697832</xdr:colOff>
      <xdr:row>349</xdr:row>
      <xdr:rowOff>77571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361</xdr:row>
      <xdr:rowOff>0</xdr:rowOff>
    </xdr:from>
    <xdr:to>
      <xdr:col>13</xdr:col>
      <xdr:colOff>123897</xdr:colOff>
      <xdr:row>388</xdr:row>
      <xdr:rowOff>7386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390</xdr:row>
      <xdr:rowOff>0</xdr:rowOff>
    </xdr:from>
    <xdr:to>
      <xdr:col>6</xdr:col>
      <xdr:colOff>210353</xdr:colOff>
      <xdr:row>410</xdr:row>
      <xdr:rowOff>49942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411</xdr:row>
      <xdr:rowOff>0</xdr:rowOff>
    </xdr:from>
    <xdr:to>
      <xdr:col>6</xdr:col>
      <xdr:colOff>210353</xdr:colOff>
      <xdr:row>431</xdr:row>
      <xdr:rowOff>49942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28</xdr:col>
      <xdr:colOff>1</xdr:colOff>
      <xdr:row>89</xdr:row>
      <xdr:rowOff>69022</xdr:rowOff>
    </xdr:from>
    <xdr:to>
      <xdr:col>35</xdr:col>
      <xdr:colOff>179457</xdr:colOff>
      <xdr:row>100</xdr:row>
      <xdr:rowOff>113242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1DFB71-3EFB-45BE-824B-F6188838C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27</xdr:col>
      <xdr:colOff>745436</xdr:colOff>
      <xdr:row>100</xdr:row>
      <xdr:rowOff>138044</xdr:rowOff>
    </xdr:from>
    <xdr:to>
      <xdr:col>35</xdr:col>
      <xdr:colOff>165652</xdr:colOff>
      <xdr:row>111</xdr:row>
      <xdr:rowOff>182264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933E9114-2917-42CB-B6A0-453CEEFE7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30</xdr:col>
      <xdr:colOff>745435</xdr:colOff>
      <xdr:row>113</xdr:row>
      <xdr:rowOff>179457</xdr:rowOff>
    </xdr:from>
    <xdr:to>
      <xdr:col>38</xdr:col>
      <xdr:colOff>165651</xdr:colOff>
      <xdr:row>125</xdr:row>
      <xdr:rowOff>30416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9DC389DE-786D-43DA-A68C-C45C8F25F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0</xdr:colOff>
      <xdr:row>121</xdr:row>
      <xdr:rowOff>0</xdr:rowOff>
    </xdr:from>
    <xdr:to>
      <xdr:col>6</xdr:col>
      <xdr:colOff>41413</xdr:colOff>
      <xdr:row>134</xdr:row>
      <xdr:rowOff>162423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A66ADF40-D86B-4E5F-ABAE-92684235E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20</xdr:col>
      <xdr:colOff>0</xdr:colOff>
      <xdr:row>130</xdr:row>
      <xdr:rowOff>0</xdr:rowOff>
    </xdr:from>
    <xdr:to>
      <xdr:col>23</xdr:col>
      <xdr:colOff>304688</xdr:colOff>
      <xdr:row>148</xdr:row>
      <xdr:rowOff>82659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F1F5A38A-16B8-AD33-D7ED-BAAD82FF3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17</xdr:col>
      <xdr:colOff>700367</xdr:colOff>
      <xdr:row>296</xdr:row>
      <xdr:rowOff>84044</xdr:rowOff>
    </xdr:from>
    <xdr:to>
      <xdr:col>23</xdr:col>
      <xdr:colOff>1054768</xdr:colOff>
      <xdr:row>322</xdr:row>
      <xdr:rowOff>4482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4BD5F38F-2765-409E-9502-4C887EC2AD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21</xdr:col>
      <xdr:colOff>329044</xdr:colOff>
      <xdr:row>171</xdr:row>
      <xdr:rowOff>34637</xdr:rowOff>
    </xdr:from>
    <xdr:to>
      <xdr:col>32</xdr:col>
      <xdr:colOff>98814</xdr:colOff>
      <xdr:row>199</xdr:row>
      <xdr:rowOff>129437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0A49D84-33C7-45BB-AFDF-DCDA8DB0F2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32</xdr:col>
      <xdr:colOff>259772</xdr:colOff>
      <xdr:row>171</xdr:row>
      <xdr:rowOff>34636</xdr:rowOff>
    </xdr:from>
    <xdr:to>
      <xdr:col>40</xdr:col>
      <xdr:colOff>283772</xdr:colOff>
      <xdr:row>199</xdr:row>
      <xdr:rowOff>129436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486C9978-A828-4035-A520-77F92B49C0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man Vicente Herrera Lozada" refreshedDate="45778.678319675928" createdVersion="6" refreshedVersion="6" minRefreshableVersion="3" recordCount="166" xr:uid="{00000000-000A-0000-FFFF-FFFF00010000}">
  <cacheSource type="worksheet">
    <worksheetSource ref="A1:FQ167" sheet="Sheet"/>
  </cacheSource>
  <cacheFields count="173">
    <cacheField name="start" numFmtId="164">
      <sharedItems containsSemiMixedTypes="0" containsNonDate="0" containsDate="1" containsString="0" minDate="2025-04-11T09:18:30" maxDate="2025-04-16T10:05:03"/>
    </cacheField>
    <cacheField name="end" numFmtId="164">
      <sharedItems containsSemiMixedTypes="0" containsNonDate="0" containsDate="1" containsString="0" minDate="2025-04-11T09:41:53" maxDate="2025-04-16T10:08:27"/>
    </cacheField>
    <cacheField name="Digitador" numFmtId="0">
      <sharedItems/>
    </cacheField>
    <cacheField name="Cuestionario No." numFmtId="0">
      <sharedItems containsSemiMixedTypes="0" containsString="0" containsNumber="1" containsInteger="1" minValue="1" maxValue="166"/>
    </cacheField>
    <cacheField name="Fecha:" numFmtId="0">
      <sharedItems containsNonDate="0" containsDate="1" containsString="0" containsBlank="1" minDate="2025-03-22T00:00:00" maxDate="2025-03-24T00:00:00"/>
    </cacheField>
    <cacheField name="Grupo:" numFmtId="0">
      <sharedItems containsString="0" containsBlank="1" containsNumber="1" containsInteger="1" minValue="1" maxValue="3"/>
    </cacheField>
    <cacheField name="Encuestador:" numFmtId="0">
      <sharedItems/>
    </cacheField>
    <cacheField name="Supervisor:" numFmtId="0">
      <sharedItems containsBlank="1"/>
    </cacheField>
    <cacheField name="Latitud" numFmtId="0">
      <sharedItems/>
    </cacheField>
    <cacheField name="Longitud" numFmtId="0">
      <sharedItems/>
    </cacheField>
    <cacheField name="¿Usted cuenta con un permiso de funcionamiento?" numFmtId="0">
      <sharedItems/>
    </cacheField>
    <cacheField name="¿Cuánto tiempo lleva trabajando en este parque?( en años o meses)" numFmtId="0">
      <sharedItems containsSemiMixedTypes="0" containsString="0" containsNumber="1" containsInteger="1" minValue="3" maxValue="56"/>
    </cacheField>
    <cacheField name="Tiempo:" numFmtId="0">
      <sharedItems/>
    </cacheField>
    <cacheField name="Rechazó la encuesta" numFmtId="0">
      <sharedItems containsSemiMixedTypes="0" containsString="0" containsNumber="1" containsInteger="1" minValue="0" maxValue="2"/>
    </cacheField>
    <cacheField name="Menor de edad" numFmtId="0">
      <sharedItems containsSemiMixedTypes="0" containsString="0" containsNumber="1" containsInteger="1" minValue="0" maxValue="0"/>
    </cacheField>
    <cacheField name="No termina la encuesta" numFmtId="0">
      <sharedItems containsSemiMixedTypes="0" containsString="0" containsNumber="1" containsInteger="1" minValue="0" maxValue="0"/>
    </cacheField>
    <cacheField name="No cumple con el filtro" numFmtId="0">
      <sharedItems containsSemiMixedTypes="0" containsString="0" containsNumber="1" containsInteger="1" minValue="0" maxValue="1"/>
    </cacheField>
    <cacheField name="DD. 1 Sexo Enc. Por observación" numFmtId="0">
      <sharedItems count="2">
        <s v="1. Hombre"/>
        <s v="2. Mujer"/>
      </sharedItems>
    </cacheField>
    <cacheField name="DD.2 ¿Cuántos años tiene?" numFmtId="0">
      <sharedItems containsSemiMixedTypes="0" containsString="0" containsNumber="1" containsInteger="1" minValue="10" maxValue="83"/>
    </cacheField>
    <cacheField name="rango_Edad" numFmtId="0">
      <sharedItems count="4">
        <s v="26 a 40"/>
        <s v="41 a 55"/>
        <s v="56 a más"/>
        <s v="18 a 25"/>
      </sharedItems>
    </cacheField>
    <cacheField name="DD. 3 ¿Su nacionalidad es ecuatoriana?" numFmtId="0">
      <sharedItems/>
    </cacheField>
    <cacheField name="DD3.1 ¿Cuál es su nacionalidad?" numFmtId="0">
      <sharedItems containsBlank="1"/>
    </cacheField>
    <cacheField name="DD. 4 ¿Cómo se identifica usted según su cultura y costumbres?:Enc. leer RU." numFmtId="0">
      <sharedItems/>
    </cacheField>
    <cacheField name="DD.4.8 ¿Cuál?" numFmtId="0">
      <sharedItems containsNonDate="0" containsString="0" containsBlank="1"/>
    </cacheField>
    <cacheField name="DD. 5 Actualmente, ¿cuál es su Estado Civil? Enc. respuesta espontánea y RU." numFmtId="0">
      <sharedItems/>
    </cacheField>
    <cacheField name="DD.6 ¿Cuál es su nivel de estudios aprobados? Enc. respuesta espontánea y RU." numFmtId="0">
      <sharedItems count="5">
        <s v="3. Secundaria/ Bachillerato"/>
        <s v="2. Primaria"/>
        <s v="5. Universitario"/>
        <s v="4. Tecnicatura/Tecnología"/>
        <s v="1. Ninguno"/>
      </sharedItems>
    </cacheField>
    <cacheField name="DD.6.1 ¿Completa/Incompleta?" numFmtId="0">
      <sharedItems containsBlank="1"/>
    </cacheField>
    <cacheField name="DD. 7 ¿En qué rango se encuentra los ingresos mensuales de su hogar, es decir, de todas las personas que trabajan y/o reciben ingresos? (ingresos laborales, remesas, ayudas, rentas, bonos, entre otros) Enc. leer opciones y RU." numFmtId="0">
      <sharedItems/>
    </cacheField>
    <cacheField name="PSC.1 En los últimos 6 meses, es decir, de septiembre 2024 a la fecha. EN TÉRMINOS DE SU SEGURIDAD PERSONAL,  ¿cómo se sintió usted en el parque? Enc. leer opciones y RU" numFmtId="0">
      <sharedItems/>
    </cacheField>
    <cacheField name="PSC.1.1 Razón 1" numFmtId="0">
      <sharedItems/>
    </cacheField>
    <cacheField name="PSC.1.2 Razón 2" numFmtId="0">
      <sharedItems containsBlank="1"/>
    </cacheField>
    <cacheField name="PSC.1.3 Razón 3" numFmtId="0">
      <sharedItems containsBlank="1"/>
    </cacheField>
    <cacheField name="PSC.2 En los últimos 6 meses, es decir,  de septiembre 2024 a la fecha. EN TÉRMINOS DE SEGURIDAD, ¿qué tan segura/o se siente usted cuando está atendiendo en este puesto?: Enc. leer opciones y RU" numFmtId="0">
      <sharedItems count="4">
        <s v="2. SEGURO"/>
        <s v="3. INSEGURO"/>
        <s v="1. MUY SEGURO"/>
        <s v="4. MUY INSEGURO"/>
      </sharedItems>
    </cacheField>
    <cacheField name="PSC.3 ¿En qué horario? Enc. Respuesta Leer opciones. RM" numFmtId="0">
      <sharedItems/>
    </cacheField>
    <cacheField name="PSC.3 ¿En qué horario? Enc. Respuesta Leer opciones. RM/Madrugada (00:00 a 05:59)" numFmtId="0">
      <sharedItems containsSemiMixedTypes="0" containsString="0" containsNumber="1" containsInteger="1" minValue="0" maxValue="1"/>
    </cacheField>
    <cacheField name="PSC.3 ¿En qué horario? Enc. Respuesta Leer opciones. RM/Mañana  (06:00 a 11:59)" numFmtId="0">
      <sharedItems containsSemiMixedTypes="0" containsString="0" containsNumber="1" containsInteger="1" minValue="0" maxValue="1"/>
    </cacheField>
    <cacheField name="PSC.3 ¿En qué horario? Enc. Respuesta Leer opciones. RM/Tarde (12:00 a 17:59)" numFmtId="0">
      <sharedItems containsSemiMixedTypes="0" containsString="0" containsNumber="1" containsInteger="1" minValue="0" maxValue="1"/>
    </cacheField>
    <cacheField name="PSC.3 ¿En qué horario? Enc. Respuesta Leer opciones. RM/Noche  (18:00 a 23:59)" numFmtId="0">
      <sharedItems containsSemiMixedTypes="0" containsString="0" containsNumber="1" containsInteger="1" minValue="0" maxValue="1"/>
    </cacheField>
    <cacheField name="PSC.3 ¿En qué horario? Enc. Respuesta Leer opciones. RM/Todos los horarios" numFmtId="0">
      <sharedItems containsSemiMixedTypes="0" containsString="0" containsNumber="1" containsInteger="1" minValue="0" maxValue="1"/>
    </cacheField>
    <cacheField name="PSC.4 ¿En los últimos 6 meses, es decir,  de septiembre 2024 a la fecha, considera que la situación de inseguridad en el parque? Enc. leer opciones y RU" numFmtId="0">
      <sharedItems count="3">
        <s v="3. Mejoró"/>
        <s v="1. Empeoró"/>
        <s v="2. Esta igual"/>
      </sharedItems>
    </cacheField>
    <cacheField name="¿Ha cambiado su horario de venta al público?  Enc. respuesta espontánea y RU" numFmtId="0">
      <sharedItems count="2">
        <s v="1. Sí"/>
        <s v="2. No"/>
      </sharedItems>
    </cacheField>
    <cacheField name="¿Ha evitado estar solo/a para atender al público? Enc. respuesta espontánea y RU" numFmtId="0">
      <sharedItems count="2">
        <s v="2. No"/>
        <s v="1. Sí"/>
      </sharedItems>
    </cacheField>
    <cacheField name="¿Ha implementado medidas de seguridad en su negocio ? Como bates, palos, gas pimienta.    Enc. Si la respuesta es SI preguntar ¿cuáles?" numFmtId="0">
      <sharedItems count="3">
        <s v="1. Sí"/>
        <s v="2. No"/>
        <s v="99. NS/NC"/>
      </sharedItems>
    </cacheField>
    <cacheField name="CH.1.1 ¿Cuáles?" numFmtId="0">
      <sharedItems containsBlank="1" count="8">
        <s v="1. Bate de béisbol"/>
        <m/>
        <s v="2. Gas pimienta"/>
        <s v="6. Otros"/>
        <s v="3. Palos"/>
        <s v="1. Bate de béisbol 6. Otros"/>
        <s v="2. Gas pimienta 3. Palos"/>
        <s v="2. Gas pimienta 6. Otros"/>
      </sharedItems>
    </cacheField>
    <cacheField name="CH.1.1 ¿Cuáles?/1. Bate de béisbol" numFmtId="0">
      <sharedItems containsString="0" containsBlank="1" containsNumber="1" containsInteger="1" minValue="0" maxValue="1"/>
    </cacheField>
    <cacheField name="CH.1.1 ¿Cuáles?/2. Gas pimienta" numFmtId="0">
      <sharedItems containsString="0" containsBlank="1" containsNumber="1" containsInteger="1" minValue="0" maxValue="1"/>
    </cacheField>
    <cacheField name="CH.1.1 ¿Cuáles?/3. Palos" numFmtId="0">
      <sharedItems containsString="0" containsBlank="1" containsNumber="1" containsInteger="1" minValue="0" maxValue="1"/>
    </cacheField>
    <cacheField name="CH.1.1 ¿Cuáles?/4. Armas blancas" numFmtId="0">
      <sharedItems containsString="0" containsBlank="1" containsNumber="1" containsInteger="1" minValue="0" maxValue="0"/>
    </cacheField>
    <cacheField name="CH.1.1 ¿Cuáles?/5. Arma de fuego" numFmtId="0">
      <sharedItems containsString="0" containsBlank="1" containsNumber="1" containsInteger="1" minValue="0" maxValue="0"/>
    </cacheField>
    <cacheField name="CH.1.1 ¿Cuáles?/6. Otros" numFmtId="0">
      <sharedItems containsString="0" containsBlank="1" containsNumber="1" containsInteger="1" minValue="0" maxValue="1"/>
    </cacheField>
    <cacheField name="CH.1.1.1 ¿Cuál?" numFmtId="0">
      <sharedItems containsBlank="1"/>
    </cacheField>
    <cacheField name="VI.1 En los últimos 6 meses, es decir, de septiembre 2024 a la fecha. Ud. ha sido víctima de algún tipo de delito en el parque?" numFmtId="0">
      <sharedItems count="2">
        <s v="2. No"/>
        <s v="1. Sí"/>
      </sharedItems>
    </cacheField>
    <cacheField name="¿De qué delitos fue víctima? Enc. respuesta espontáne. RM" numFmtId="0">
      <sharedItems containsBlank="1" count="4">
        <m/>
        <s v="VI.3 Hurto (sin violencia)"/>
        <s v="VI.2 Robo  (con violencia)"/>
        <s v="VI.6 Amenazas"/>
      </sharedItems>
    </cacheField>
    <cacheField name="¿De qué delitos fue víctima? Enc. respuesta espontáne. RM/VI.2 Robo  (con violencia)" numFmtId="0">
      <sharedItems containsString="0" containsBlank="1" containsNumber="1" containsInteger="1" minValue="0" maxValue="1"/>
    </cacheField>
    <cacheField name="¿De qué delitos fue víctima? Enc. respuesta espontáne. RM/VI.3 Hurto (sin violencia)" numFmtId="0">
      <sharedItems containsString="0" containsBlank="1" containsNumber="1" containsInteger="1" minValue="0" maxValue="1"/>
    </cacheField>
    <cacheField name="¿De qué delitos fue víctima? Enc. respuesta espontáne. RM/VI.4 Extorsión" numFmtId="0">
      <sharedItems containsString="0" containsBlank="1" containsNumber="1" containsInteger="1" minValue="0" maxValue="0"/>
    </cacheField>
    <cacheField name="¿De qué delitos fue víctima? Enc. respuesta espontáne. RM/VI.5 Estafa" numFmtId="0">
      <sharedItems containsString="0" containsBlank="1" containsNumber="1" containsInteger="1" minValue="0" maxValue="0"/>
    </cacheField>
    <cacheField name="¿De qué delitos fue víctima? Enc. respuesta espontáne. RM/VI.6 Amenazas" numFmtId="0">
      <sharedItems containsString="0" containsBlank="1" containsNumber="1" containsInteger="1" minValue="0" maxValue="1"/>
    </cacheField>
    <cacheField name="¿De qué delitos fue víctima? Enc. respuesta espontáne. RM/VI.7 Agresiones" numFmtId="0">
      <sharedItems containsString="0" containsBlank="1" containsNumber="1" containsInteger="1" minValue="0" maxValue="0"/>
    </cacheField>
    <cacheField name="¿De qué delitos fue víctima? Enc. respuesta espontáne. RM/VI.8 Fraude bancario" numFmtId="0">
      <sharedItems containsString="0" containsBlank="1" containsNumber="1" containsInteger="1" minValue="0" maxValue="0"/>
    </cacheField>
    <cacheField name="¿De qué delitos fue víctima? Enc. respuesta espontáne. RM/VI.9 Soborno" numFmtId="0">
      <sharedItems containsString="0" containsBlank="1" containsNumber="1" containsInteger="1" minValue="0" maxValue="0"/>
    </cacheField>
    <cacheField name="¿De qué delitos fue víctima? Enc. respuesta espontáne. RM/VI.10 Agresión física" numFmtId="0">
      <sharedItems containsString="0" containsBlank="1" containsNumber="1" containsInteger="1" minValue="0" maxValue="0"/>
    </cacheField>
    <cacheField name="¿De qué delitos fue víctima? Enc. respuesta espontáne. RM/VI.11 Agresión verbal" numFmtId="0">
      <sharedItems containsString="0" containsBlank="1" containsNumber="1" containsInteger="1" minValue="0" maxValue="0"/>
    </cacheField>
    <cacheField name="¿De qué delitos fue víctima? Enc. respuesta espontáne. RM/VI.10 Otros" numFmtId="0">
      <sharedItems containsString="0" containsBlank="1" containsNumber="1" containsInteger="1" minValue="0" maxValue="0"/>
    </cacheField>
    <cacheField name="VI.10.1 ¿Cuál?" numFmtId="0">
      <sharedItems containsNonDate="0" containsString="0" containsBlank="1"/>
    </cacheField>
    <cacheField name="VI.12.1 ¿Denunció ese delito?" numFmtId="0">
      <sharedItems containsNonDate="0" containsString="0" containsBlank="1"/>
    </cacheField>
    <cacheField name="VI.2.1 ¿Denunció Robo  (con violencia)?" numFmtId="0">
      <sharedItems containsBlank="1"/>
    </cacheField>
    <cacheField name="VI.3.1 ¿Denunció Hurto (sin violencia) ?" numFmtId="0">
      <sharedItems containsBlank="1"/>
    </cacheField>
    <cacheField name="VI.4.1 ¿Denunció Extorsión?" numFmtId="0">
      <sharedItems containsNonDate="0" containsString="0" containsBlank="1"/>
    </cacheField>
    <cacheField name="VI.5.1 ¿Denunció Estafa?" numFmtId="0">
      <sharedItems containsNonDate="0" containsString="0" containsBlank="1"/>
    </cacheField>
    <cacheField name="VI.6.1 ¿Denunció Amenazas?" numFmtId="0">
      <sharedItems containsBlank="1"/>
    </cacheField>
    <cacheField name="VI.7.1 ¿Denunció Agresiones?" numFmtId="0">
      <sharedItems containsNonDate="0" containsString="0" containsBlank="1"/>
    </cacheField>
    <cacheField name="VI.8.1 ¿Denunció Fraude bancario?" numFmtId="0">
      <sharedItems containsNonDate="0" containsString="0" containsBlank="1"/>
    </cacheField>
    <cacheField name="VI.9.1 ¿Denunció Soborno?" numFmtId="0">
      <sharedItems containsNonDate="0" containsString="0" containsBlank="1"/>
    </cacheField>
    <cacheField name="ind_no_denuncia" numFmtId="0">
      <sharedItems containsSemiMixedTypes="0" containsString="0" containsNumber="1" containsInteger="1" minValue="0" maxValue="1" count="2">
        <n v="0"/>
        <n v="1"/>
      </sharedItems>
    </cacheField>
    <cacheField name="En los últimos 6 meses, es decir, de septiembre 2024 a la fecha. ¿Usted ha presenciado y con qué frecuencia las siguientes situaciones en el espacio público de este parque, por ejemplo: Enc. leer opciones  RU. por situación" numFmtId="0">
      <sharedItems containsNonDate="0" containsString="0" containsBlank="1"/>
    </cacheField>
    <cacheField name="CC.1 Alguien puso música a un volumen excesivo o hizo mucho ruido y eso le molestó?" numFmtId="0">
      <sharedItems count="2">
        <s v="2. No"/>
        <s v="1. Sí"/>
      </sharedItems>
    </cacheField>
    <cacheField name="CC.1.1 ¿Con qué frecuencia?" numFmtId="0">
      <sharedItems containsBlank="1" count="4">
        <m/>
        <s v="2. FRECUENTE"/>
        <s v="1. POCO FRECUENTE"/>
        <s v="3. MUY FRECUENTE"/>
      </sharedItems>
    </cacheField>
    <cacheField name="CC.2 Grafitis no artísticos que le molestaron?" numFmtId="0">
      <sharedItems count="2">
        <s v="2. No"/>
        <s v="1. Sí"/>
      </sharedItems>
    </cacheField>
    <cacheField name="CC.2.1 ¿Con qué frecuencia?" numFmtId="0">
      <sharedItems containsBlank="1" count="3">
        <m/>
        <s v="1. POCO FRECUENTE"/>
        <s v="2. FRECUENTE"/>
      </sharedItems>
    </cacheField>
    <cacheField name="CC.3 Personas que orinan en el parque?" numFmtId="0">
      <sharedItems count="3">
        <s v="1. Sí"/>
        <s v="2. No"/>
        <s v="99. NS/NC"/>
      </sharedItems>
    </cacheField>
    <cacheField name="CC.3.1 ¿Con qué frecuencia?" numFmtId="0">
      <sharedItems containsBlank="1" count="4">
        <s v="1. POCO FRECUENTE"/>
        <s v="3. MUY FRECUENTE"/>
        <m/>
        <s v="2. FRECUENTE"/>
      </sharedItems>
    </cacheField>
    <cacheField name="CC.4 Desechos de animales ?" numFmtId="0">
      <sharedItems count="3">
        <s v="1. Sí"/>
        <s v="2. No"/>
        <s v="99. NS/NC"/>
      </sharedItems>
    </cacheField>
    <cacheField name="CC.4.1 ¿Con qué frecuencia?" numFmtId="0">
      <sharedItems containsBlank="1" count="4">
        <s v="2. FRECUENTE"/>
        <s v="3. MUY FRECUENTE"/>
        <m/>
        <s v="1. POCO FRECUENTE"/>
      </sharedItems>
    </cacheField>
    <cacheField name="CC.5 Áreas sin iluminación ?" numFmtId="0">
      <sharedItems count="3">
        <s v="1. Sí"/>
        <s v="2. No"/>
        <s v="99. NS/NC"/>
      </sharedItems>
    </cacheField>
    <cacheField name="CC.5.1 ¿Con qué frecuencia?" numFmtId="0">
      <sharedItems containsBlank="1" count="4">
        <s v="2. FRECUENTE"/>
        <m/>
        <s v="1. POCO FRECUENTE"/>
        <s v="3. MUY FRECUENTE"/>
      </sharedItems>
    </cacheField>
    <cacheField name="CC.6 Peleas o riñas ?" numFmtId="0">
      <sharedItems count="2">
        <s v="2. No"/>
        <s v="1. Sí"/>
      </sharedItems>
    </cacheField>
    <cacheField name="CC.6.1 ¿Con qué frecuencia?" numFmtId="0">
      <sharedItems containsBlank="1" count="4">
        <m/>
        <s v="2. FRECUENTE"/>
        <s v="1. POCO FRECUENTE"/>
        <s v="3. MUY FRECUENTE"/>
      </sharedItems>
    </cacheField>
    <cacheField name="CC.7 Habitantes en situación de calle (mendicidad) ?" numFmtId="0">
      <sharedItems count="2">
        <s v="2. No"/>
        <s v="1. Sí"/>
      </sharedItems>
    </cacheField>
    <cacheField name="CC.7.1 ¿Con qué frecuencia?" numFmtId="0">
      <sharedItems containsBlank="1" count="4">
        <m/>
        <s v="1. POCO FRECUENTE"/>
        <s v="2. FRECUENTE"/>
        <s v="3. MUY FRECUENTE"/>
      </sharedItems>
    </cacheField>
    <cacheField name="CC.8 Consumo de alcohol?" numFmtId="0">
      <sharedItems count="2">
        <s v="1. Sí"/>
        <s v="2. No"/>
      </sharedItems>
    </cacheField>
    <cacheField name="CC.8.1 ¿Con qué frecuencia?" numFmtId="0">
      <sharedItems containsBlank="1" count="4">
        <s v="2. FRECUENTE"/>
        <m/>
        <s v="1. POCO FRECUENTE"/>
        <s v="3. MUY FRECUENTE"/>
      </sharedItems>
    </cacheField>
    <cacheField name="CC.9 Venta de alcohol?" numFmtId="0">
      <sharedItems count="2">
        <s v="2. No"/>
        <s v="1. Sí"/>
      </sharedItems>
    </cacheField>
    <cacheField name="CC.9.1 ¿Con qué frecuencia?" numFmtId="0">
      <sharedItems containsBlank="1" count="4">
        <m/>
        <s v="2. FRECUENTE"/>
        <s v="3. MUY FRECUENTE"/>
        <s v="1. POCO FRECUENTE"/>
      </sharedItems>
    </cacheField>
    <cacheField name="CC.10 Consumo de drogas?" numFmtId="0">
      <sharedItems count="2">
        <s v="2. No"/>
        <s v="1. Sí"/>
      </sharedItems>
    </cacheField>
    <cacheField name="CC.10.1 ¿Con qué frecuencia?" numFmtId="0">
      <sharedItems containsBlank="1" count="4">
        <m/>
        <s v="2. FRECUENTE"/>
        <s v="3. MUY FRECUENTE"/>
        <s v="1. POCO FRECUENTE"/>
      </sharedItems>
    </cacheField>
    <cacheField name="CC.11 Venta de drogas?" numFmtId="0">
      <sharedItems count="3">
        <s v="2. No"/>
        <s v="1. Sí"/>
        <s v="99. NS/NC"/>
      </sharedItems>
    </cacheField>
    <cacheField name="CC.11.1 ¿Con qué frecuencia?" numFmtId="0">
      <sharedItems containsBlank="1" count="4">
        <m/>
        <s v="3. MUY FRECUENTE"/>
        <s v="1. POCO FRECUENTE"/>
        <s v="2. FRECUENTE"/>
      </sharedItems>
    </cacheField>
    <cacheField name="CC.12 Daño a la propiedad pública y privada?" numFmtId="0">
      <sharedItems count="2">
        <s v="2. No"/>
        <s v="1. Sí"/>
      </sharedItems>
    </cacheField>
    <cacheField name="CC.12.1 ¿Con qué frecuencia?" numFmtId="0">
      <sharedItems containsBlank="1" count="4">
        <m/>
        <s v="1. POCO FRECUENTE"/>
        <s v="2. FRECUENTE"/>
        <s v="3. MUY FRECUENTE"/>
      </sharedItems>
    </cacheField>
    <cacheField name="CC.13 Fauna Urbana? (animales sin hogar)" numFmtId="0">
      <sharedItems count="2">
        <s v="2. No"/>
        <s v="1. Sí"/>
      </sharedItems>
    </cacheField>
    <cacheField name="CC.13.2 ¿Con qué frecuencia?" numFmtId="0">
      <sharedItems containsBlank="1" count="4">
        <m/>
        <s v="3. MUY FRECUENTE"/>
        <s v="2. FRECUENTE"/>
        <s v="1. POCO FRECUENTE"/>
      </sharedItems>
    </cacheField>
    <cacheField name="CC.14 Basura y suciedad?" numFmtId="0">
      <sharedItems count="2">
        <s v="1. Sí"/>
        <s v="2. No"/>
      </sharedItems>
    </cacheField>
    <cacheField name="CC.14.2 ¿Con qué frecuencia?" numFmtId="0">
      <sharedItems containsBlank="1" count="4">
        <s v="2. FRECUENTE"/>
        <s v="3. MUY FRECUENTE"/>
        <m/>
        <s v="1. POCO FRECUENTE"/>
      </sharedItems>
    </cacheField>
    <cacheField name="CC.15 Trabajo sexual (prostitución)?" numFmtId="0">
      <sharedItems count="2">
        <s v="2. No"/>
        <s v="1. Sí"/>
      </sharedItems>
    </cacheField>
    <cacheField name="CC.15.2 ¿Con qué frecuencia?" numFmtId="0">
      <sharedItems containsBlank="1" count="2">
        <m/>
        <s v="1. POCO FRECUENTE"/>
      </sharedItems>
    </cacheField>
    <cacheField name="CC.16 Aglomeración de personas?" numFmtId="0">
      <sharedItems count="2">
        <s v="2. No"/>
        <s v="1. Sí"/>
      </sharedItems>
    </cacheField>
    <cacheField name="CC.16.2 ¿Con qué frecuencia?" numFmtId="0">
      <sharedItems containsBlank="1" count="4">
        <m/>
        <s v="2. FRECUENTE"/>
        <s v="1. POCO FRECUENTE"/>
        <s v="3. MUY FRECUENTE"/>
      </sharedItems>
    </cacheField>
    <cacheField name="CC.17 ¿Alguna otra que no le haya mencionado?" numFmtId="0">
      <sharedItems count="3">
        <s v="2. No"/>
        <s v="99. NS/NC"/>
        <s v="1. Sí"/>
      </sharedItems>
    </cacheField>
    <cacheField name="CC.17.1 ¿Cuál?" numFmtId="0">
      <sharedItems containsBlank="1"/>
    </cacheField>
    <cacheField name="CC.17.2 ¿Con qué frecuencia?" numFmtId="0">
      <sharedItems containsBlank="1" count="2">
        <m/>
        <s v="1. POCO FRECUENTE"/>
      </sharedItems>
    </cacheField>
    <cacheField name="PCA.1 En los últimos 6 meses, es decir, de septiembre 2024 a la fecha. ¿Usted ha presenciado ventas ambulantes en el parque ? Enc. RE y RU." numFmtId="0">
      <sharedItems count="2">
        <s v="1. Sí"/>
        <s v="2. No"/>
      </sharedItems>
    </cacheField>
    <cacheField name="PCA.1.0 ¿Con qué frecuencia?" numFmtId="0">
      <sharedItems containsBlank="1" count="4">
        <s v="3. MUY FRECUENTE"/>
        <m/>
        <s v="2. FRECUENTE"/>
        <s v="1. POCO FRECUENTE"/>
      </sharedItems>
    </cacheField>
    <cacheField name="PCA.1.1 Le molestan las ventas ambulantes en el parque? Enc. RE y RU." numFmtId="0">
      <sharedItems containsBlank="1" count="3">
        <s v="2. No"/>
        <s v="1. Sí"/>
        <m/>
      </sharedItems>
    </cacheField>
    <cacheField name="En los últimos 6 meses, es decir, de septiembre 2024 a la fecha ¿Ud ha visto funcionarios de las siguientes instituciones? Enc. si la respuesta es &quot;SI&quot;, por favor preguntar si utilizó algún servicio" numFmtId="0">
      <sharedItems containsNonDate="0" containsString="0" containsBlank="1"/>
    </cacheField>
    <cacheField name="SSM.1 Agencia Metropolitana de Control (AMC)" numFmtId="0">
      <sharedItems count="2">
        <s v="2. No"/>
        <s v="1. Sí"/>
      </sharedItems>
    </cacheField>
    <cacheField name="SSM.1.1 ¿Utilizó algún servicio o guía?" numFmtId="0">
      <sharedItems containsBlank="1" count="3">
        <m/>
        <s v="2. No"/>
        <s v="1. Sí"/>
      </sharedItems>
    </cacheField>
    <cacheField name="SSM.1.2 ¿Cómo califica el servicio?" numFmtId="0">
      <sharedItems containsBlank="1" count="4">
        <m/>
        <s v="2. BUENO"/>
        <s v="1. MUY BUENO"/>
        <s v="3. MALO"/>
      </sharedItems>
    </cacheField>
    <cacheField name="SSM.2 Agencia Metropolitana de Control de Comercio (AMCC)" numFmtId="0">
      <sharedItems count="2">
        <s v="2. No"/>
        <s v="1. Sí"/>
      </sharedItems>
    </cacheField>
    <cacheField name="SSM.2.1 ¿Utilizó algún servicio o guía?" numFmtId="0">
      <sharedItems containsBlank="1" count="3">
        <m/>
        <s v="1. Sí"/>
        <s v="2. No"/>
      </sharedItems>
    </cacheField>
    <cacheField name="SSM.2.2 ¿Cómo califica el servicio?" numFmtId="0">
      <sharedItems containsBlank="1" count="3">
        <m/>
        <s v="2. BUENO"/>
        <s v="1. MUY BUENO"/>
      </sharedItems>
    </cacheField>
    <cacheField name="SSM.3 Patronato San José (UPMSJ)" numFmtId="0">
      <sharedItems count="2">
        <s v="2. No"/>
        <s v="1. Sí"/>
      </sharedItems>
    </cacheField>
    <cacheField name="SSM.3.1 ¿Utilizó algún servicio o guía?" numFmtId="0">
      <sharedItems containsBlank="1" count="3">
        <m/>
        <s v="2. No"/>
        <s v="1. Sí"/>
      </sharedItems>
    </cacheField>
    <cacheField name="SSM.3.2 ¿Cómo califica el servicio?" numFmtId="0">
      <sharedItems containsBlank="1" count="3">
        <m/>
        <s v="1. MUY BUENO"/>
        <s v="2. BUENO"/>
      </sharedItems>
    </cacheField>
    <cacheField name="SSM.4 Cuerpo de Agentes de Control Metropolitano de Quito (CACMQ)" numFmtId="0">
      <sharedItems count="2">
        <s v="2. No"/>
        <s v="1. Sí"/>
      </sharedItems>
    </cacheField>
    <cacheField name="SSM.4.1 ¿Utilizó algún servicio o guía?" numFmtId="0">
      <sharedItems containsBlank="1" count="3">
        <m/>
        <s v="1. Sí"/>
        <s v="2. No"/>
      </sharedItems>
    </cacheField>
    <cacheField name="SSM.4.2 ¿Cómo califica el servicio?" numFmtId="0">
      <sharedItems containsBlank="1" count="4">
        <m/>
        <s v="1. MUY BUENO"/>
        <s v="2. BUENO"/>
        <s v="3. MALO"/>
      </sharedItems>
    </cacheField>
    <cacheField name="SSM.5 Cuerpo de Bombero de Quito (CBQ)" numFmtId="0">
      <sharedItems count="2">
        <s v="2. No"/>
        <s v="1. Sí"/>
      </sharedItems>
    </cacheField>
    <cacheField name="SSM.5.1 ¿Utilizó algún servicio o guía?" numFmtId="0">
      <sharedItems containsBlank="1" count="3">
        <m/>
        <s v="2. No"/>
        <s v="1. Sí"/>
      </sharedItems>
    </cacheField>
    <cacheField name="SSM.5.2 ¿Cómo califica el servicio?" numFmtId="0">
      <sharedItems containsBlank="1" count="3">
        <m/>
        <s v="2. BUENO"/>
        <s v="1. MUY BUENO"/>
      </sharedItems>
    </cacheField>
    <cacheField name="SSM.6 Agencia Metropolitana de Tránsito (AMT)" numFmtId="0">
      <sharedItems count="2">
        <s v="1. Sí"/>
        <s v="2. No"/>
      </sharedItems>
    </cacheField>
    <cacheField name="SSM.6.1 ¿Utilizó algún servicio o guía?" numFmtId="0">
      <sharedItems containsBlank="1" count="3">
        <s v="1. Sí"/>
        <m/>
        <s v="2. No"/>
      </sharedItems>
    </cacheField>
    <cacheField name="SSM.6.2 ¿Cómo califica el servicio?" numFmtId="0">
      <sharedItems containsBlank="1" count="3">
        <s v="1. MUY BUENO"/>
        <m/>
        <s v="2. BUENO"/>
      </sharedItems>
    </cacheField>
    <cacheField name="SSM.7 Empresa Metropolitana de Aseo (EMASEO)" numFmtId="0">
      <sharedItems count="2">
        <s v="1. Sí"/>
        <s v="2. No"/>
      </sharedItems>
    </cacheField>
    <cacheField name="SSM.7.1 ¿Utilizó algún servicio o guía?" numFmtId="0">
      <sharedItems containsBlank="1" count="3">
        <s v="1. Sí"/>
        <m/>
        <s v="2. No"/>
      </sharedItems>
    </cacheField>
    <cacheField name="SSM.7.2 ¿Cómo califica el servicio?" numFmtId="0">
      <sharedItems containsBlank="1" count="3">
        <s v="1. MUY BUENO"/>
        <s v="2. BUENO"/>
        <m/>
      </sharedItems>
    </cacheField>
    <cacheField name="SSM.8 Policía Nacional (PN)" numFmtId="0">
      <sharedItems count="2">
        <s v="1. Sí"/>
        <s v="2. No"/>
      </sharedItems>
    </cacheField>
    <cacheField name="SSM.8.1 ¿Utilizó algún servicio o guía?" numFmtId="0">
      <sharedItems containsBlank="1" count="3">
        <s v="1. Sí"/>
        <s v="2. No"/>
        <m/>
      </sharedItems>
    </cacheField>
    <cacheField name="SSM.8.2 ¿Cómo califica el servicio?" numFmtId="0">
      <sharedItems containsBlank="1" count="4">
        <s v="1. MUY BUENO"/>
        <m/>
        <s v="2. BUENO"/>
        <s v="3. MALO"/>
      </sharedItems>
    </cacheField>
    <cacheField name="SSM.10 Fuerzas Armadas del Ecuador (FFAA)" numFmtId="0">
      <sharedItems count="2">
        <s v="2. No"/>
        <s v="1. Sí"/>
      </sharedItems>
    </cacheField>
    <cacheField name="SSM.10.1 ¿Utilizó algún servicio o guía?" numFmtId="0">
      <sharedItems containsBlank="1" count="3">
        <m/>
        <s v="1. Sí"/>
        <s v="2. No"/>
      </sharedItems>
    </cacheField>
    <cacheField name="SSM.10.2 ¿Cómo califica el servicio?" numFmtId="0">
      <sharedItems containsBlank="1" count="3">
        <m/>
        <s v="1. MUY BUENO"/>
        <s v="2. BUENO"/>
      </sharedItems>
    </cacheField>
    <cacheField name="SSM.11 Secretaría General de Seguridad Ciudadana y Gestión de Riesgos" numFmtId="0">
      <sharedItems count="2">
        <s v="2. No"/>
        <s v="1. Sí"/>
      </sharedItems>
    </cacheField>
    <cacheField name="SSM.11.1 ¿Utilizó algún servicio o guía?" numFmtId="0">
      <sharedItems containsBlank="1" count="3">
        <m/>
        <s v="2. No"/>
        <s v="1. Sí"/>
      </sharedItems>
    </cacheField>
    <cacheField name="SSM.11.2 ¿Cómo califica el servicio?" numFmtId="0">
      <sharedItems containsBlank="1" count="2">
        <m/>
        <s v="2. BUENO"/>
      </sharedItems>
    </cacheField>
    <cacheField name="SSM.10 Por favor me puede mencionar tres sentimientos que le generen cuando se encuentra en este parque  Enc. respuesta espontánea y RM." numFmtId="0">
      <sharedItems containsNonDate="0" containsString="0" containsBlank="1"/>
    </cacheField>
    <cacheField name="1." numFmtId="0">
      <sharedItems containsBlank="1"/>
    </cacheField>
    <cacheField name="2." numFmtId="0">
      <sharedItems containsBlank="1"/>
    </cacheField>
    <cacheField name="3." numFmtId="0">
      <sharedItems containsBlank="1"/>
    </cacheField>
    <cacheField name="CA. 1 En relación con su espacio de trabajo actual, ¿le gustaría que se realicen mejoras (como mantenimiento o renovación de carpas, mobiliario, etc.) para optimizar su labor y la experiencia de sus clientes? Enc. Leer y RU" numFmtId="0">
      <sharedItems count="2">
        <s v="1. Sí"/>
        <s v="2. No"/>
      </sharedItems>
    </cacheField>
    <cacheField name="CA. 2 Si se presentaran propuestas para mejorar las condiciones de trabajo de los comerciantes en el parque, ¿estaría interesado en conocerlas y evaluarlas, considerando que se respeten sus derechos y su trayectoria en este lugar? Enc. Leer y RU" numFmtId="0">
      <sharedItems count="2">
        <s v="1. Sí"/>
        <s v="2. No"/>
      </sharedItems>
    </cacheField>
    <cacheField name="CARACTERIZACION DEL COMERCIO" numFmtId="0">
      <sharedItems count="14">
        <s v="Comida preparada"/>
        <s v="Otros:"/>
        <s v="Bebidas/Confites/Comestibles industrializados/ Tabacos"/>
        <s v="Comida preparada Frutas y Legumbres"/>
        <s v="Vestimenta y accesorios"/>
        <s v="Bebidas/Confites/Comestibles industrializados/ Tabacos Comida preparada Otros:"/>
        <s v="Bebidas/Confites/Comestibles industrializados/ Tabacos Comida preparada"/>
        <s v="Vestimenta y accesorios Artesanías"/>
        <s v="Frutas y Legumbres"/>
        <s v="Comida preparada Otros:"/>
        <s v="Bebidas/Confites/Comestibles industrializados/ Tabacos Otros:"/>
        <s v="Bebidas/Confites/Comestibles industrializados/ Tabacos Frutas y Legumbres"/>
        <s v="Bebidas/Confites/Comestibles industrializados/ Tabacos Comida preparada Frutas y Legumbres"/>
        <s v="Artesanías Otros:"/>
      </sharedItems>
    </cacheField>
    <cacheField name="CARACTERIZACION DEL COMERCIO/Accesorios de celular" numFmtId="0">
      <sharedItems containsSemiMixedTypes="0" containsString="0" containsNumber="1" containsInteger="1" minValue="0" maxValue="0"/>
    </cacheField>
    <cacheField name="CARACTERIZACION DEL COMERCIO/Bebidas/Confites/Comestibles industrializados/ Tabacos" numFmtId="0">
      <sharedItems containsSemiMixedTypes="0" containsString="0" containsNumber="1" containsInteger="1" minValue="0" maxValue="1"/>
    </cacheField>
    <cacheField name="CARACTERIZACION DEL COMERCIO/Vestimenta y accesorios" numFmtId="0">
      <sharedItems containsSemiMixedTypes="0" containsString="0" containsNumber="1" containsInteger="1" minValue="0" maxValue="1"/>
    </cacheField>
    <cacheField name="CARACTERIZACION DEL COMERCIO/Limpieza de calzado" numFmtId="0">
      <sharedItems containsSemiMixedTypes="0" containsString="0" containsNumber="1" containsInteger="1" minValue="0" maxValue="0"/>
    </cacheField>
    <cacheField name="CARACTERIZACION DEL COMERCIO/Comida preparada" numFmtId="0">
      <sharedItems containsSemiMixedTypes="0" containsString="0" containsNumber="1" containsInteger="1" minValue="0" maxValue="1"/>
    </cacheField>
    <cacheField name="CARACTERIZACION DEL COMERCIO/Frutas y Legumbres" numFmtId="0">
      <sharedItems containsSemiMixedTypes="0" containsString="0" containsNumber="1" containsInteger="1" minValue="0" maxValue="1"/>
    </cacheField>
    <cacheField name="CARACTERIZACION DEL COMERCIO/Artesanías" numFmtId="0">
      <sharedItems containsSemiMixedTypes="0" containsString="0" containsNumber="1" containsInteger="1" minValue="0" maxValue="1"/>
    </cacheField>
    <cacheField name="CARACTERIZACION DEL COMERCIO/Revistas y periódicos impresos" numFmtId="0">
      <sharedItems containsSemiMixedTypes="0" containsString="0" containsNumber="1" containsInteger="1" minValue="0" maxValue="0"/>
    </cacheField>
    <cacheField name="CARACTERIZACION DEL COMERCIO/Otros:" numFmtId="0">
      <sharedItems containsSemiMixedTypes="0" containsString="0" containsNumber="1" containsInteger="1" minValue="0" maxValue="1"/>
    </cacheField>
    <cacheField name="¿Cuál?" numFmtId="0">
      <sharedItems containsBlank="1"/>
    </cacheField>
    <cacheField name="Observaciones: ENC: REGISTRE AQUÍ CUALQUIER OBSERVACIÓN NO CONSIGNADA EN LAS PREGUNTAS DEL CUESTIONARIO." numFmtId="0">
      <sharedItems containsBlank="1"/>
    </cacheField>
    <cacheField name="_id" numFmtId="0">
      <sharedItems containsSemiMixedTypes="0" containsString="0" containsNumber="1" containsInteger="1" minValue="83515095" maxValue="83919202"/>
    </cacheField>
    <cacheField name="_uuid" numFmtId="0">
      <sharedItems/>
    </cacheField>
    <cacheField name="_submission_time" numFmtId="164">
      <sharedItems containsSemiMixedTypes="0" containsNonDate="0" containsDate="1" containsString="0" minDate="2025-04-11T14:41:53" maxDate="2025-04-16T15:08:28"/>
    </cacheField>
    <cacheField name="_validation_status" numFmtId="0">
      <sharedItems containsNonDate="0" containsString="0" containsBlank="1"/>
    </cacheField>
    <cacheField name="_notes" numFmtId="0">
      <sharedItems containsNonDate="0" containsString="0" containsBlank="1"/>
    </cacheField>
    <cacheField name="_status" numFmtId="0">
      <sharedItems/>
    </cacheField>
    <cacheField name="_submitted_by" numFmtId="0">
      <sharedItems containsNonDate="0" containsString="0" containsBlank="1"/>
    </cacheField>
    <cacheField name="__version__" numFmtId="0">
      <sharedItems/>
    </cacheField>
    <cacheField name="_tags" numFmtId="0">
      <sharedItems containsNonDate="0" containsString="0" containsBlank="1"/>
    </cacheField>
    <cacheField name="_index" numFmtId="0">
      <sharedItems containsSemiMixedTypes="0" containsString="0" containsNumber="1" containsInteger="1" minValue="2" maxValue="1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d v="2025-04-11T09:18:30"/>
    <d v="2025-04-11T09:41:53"/>
    <s v="AFC"/>
    <n v="166"/>
    <d v="2025-03-23T00:00:00"/>
    <n v="3"/>
    <s v="GB-FG"/>
    <s v="KV"/>
    <s v="-0,18098"/>
    <s v="-78,48296"/>
    <s v="1. Sí"/>
    <n v="10"/>
    <s v="1. Años"/>
    <n v="0"/>
    <n v="0"/>
    <n v="0"/>
    <n v="0"/>
    <x v="0"/>
    <n v="28"/>
    <x v="0"/>
    <s v="1. Sí"/>
    <m/>
    <s v="6. Mestiza(o)"/>
    <m/>
    <s v="5. Soltera/o"/>
    <x v="0"/>
    <s v="1. Completa"/>
    <s v="2. de $471 a $919"/>
    <s v="2. SEGURO"/>
    <s v="POR APOYO DE LA GENTE Y PRESENCIA DE SEGURIDAD"/>
    <m/>
    <m/>
    <x v="0"/>
    <s v="Mañana  (06:00 a 11:59)"/>
    <n v="0"/>
    <n v="1"/>
    <n v="0"/>
    <n v="0"/>
    <n v="0"/>
    <x v="0"/>
    <x v="0"/>
    <x v="0"/>
    <x v="0"/>
    <x v="0"/>
    <n v="1"/>
    <n v="0"/>
    <n v="0"/>
    <n v="0"/>
    <n v="0"/>
    <n v="0"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m/>
    <x v="0"/>
    <x v="0"/>
    <x v="0"/>
    <x v="0"/>
    <m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m/>
    <s v="BIEN PORQUE HAY SEGURIDAD"/>
    <m/>
    <m/>
    <x v="0"/>
    <x v="0"/>
    <x v="0"/>
    <n v="0"/>
    <n v="0"/>
    <n v="0"/>
    <n v="0"/>
    <n v="1"/>
    <n v="0"/>
    <n v="0"/>
    <n v="0"/>
    <n v="0"/>
    <m/>
    <s v="IMPLEMENTAR MAS BATERIAS SANITARIAS"/>
    <n v="83515095"/>
    <s v="e2a3693c-9fed-461a-85e9-18daebbc47c1"/>
    <d v="2025-04-11T14:41:53"/>
    <m/>
    <m/>
    <s v="submitted_via_web"/>
    <m/>
    <s v="vpsziw45rUquZQYxjPdXa5"/>
    <m/>
    <n v="2"/>
  </r>
  <r>
    <d v="2025-04-11T09:41:54"/>
    <d v="2025-04-11T09:50:40"/>
    <s v="AFC"/>
    <n v="165"/>
    <d v="2025-03-23T00:00:00"/>
    <n v="3"/>
    <s v="CC"/>
    <s v="KV"/>
    <s v="-0,18139"/>
    <s v="-78,48331"/>
    <s v="1. Sí"/>
    <n v="12"/>
    <s v="1. Años"/>
    <n v="0"/>
    <n v="0"/>
    <n v="0"/>
    <n v="0"/>
    <x v="0"/>
    <n v="52"/>
    <x v="1"/>
    <s v="1. Sí"/>
    <m/>
    <s v="6. Mestiza(o)"/>
    <m/>
    <s v="4. Casada/o"/>
    <x v="0"/>
    <s v="1. Completa"/>
    <s v="1. Menos de $470"/>
    <s v="3. INSEGURO"/>
    <s v="DELINCUENCIA"/>
    <s v="CONFLICTO ENTRE VENDEDORES INFORMALES"/>
    <s v="NO PRESENCIA DE POLICIA NACIONAL CONSTANTE"/>
    <x v="1"/>
    <s v="Mañana  (06:00 a 11:59)"/>
    <n v="0"/>
    <n v="1"/>
    <n v="0"/>
    <n v="0"/>
    <n v="0"/>
    <x v="0"/>
    <x v="0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1"/>
    <x v="0"/>
    <x v="1"/>
    <x v="1"/>
    <x v="1"/>
    <x v="0"/>
    <x v="0"/>
    <x v="0"/>
    <x v="0"/>
    <x v="1"/>
    <x v="1"/>
    <x v="0"/>
    <x v="0"/>
    <x v="0"/>
    <x v="0"/>
    <x v="0"/>
    <x v="0"/>
    <x v="1"/>
    <x v="1"/>
    <x v="1"/>
    <x v="1"/>
    <x v="0"/>
    <x v="1"/>
    <x v="0"/>
    <x v="0"/>
    <x v="0"/>
    <x v="0"/>
    <x v="0"/>
    <m/>
    <x v="0"/>
    <x v="0"/>
    <x v="0"/>
    <x v="1"/>
    <m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1"/>
    <x v="0"/>
    <x v="1"/>
    <x v="1"/>
    <x v="0"/>
    <x v="0"/>
    <x v="0"/>
    <x v="0"/>
    <x v="0"/>
    <x v="0"/>
    <m/>
    <s v="TRANQUILO"/>
    <s v="PAZ"/>
    <s v="CONTACTO CON LA NATURALEZA"/>
    <x v="0"/>
    <x v="0"/>
    <x v="1"/>
    <n v="0"/>
    <n v="0"/>
    <n v="0"/>
    <n v="0"/>
    <n v="0"/>
    <n v="0"/>
    <n v="0"/>
    <n v="0"/>
    <n v="1"/>
    <s v="VENTA DE JUGUETES Y VARIEDADES"/>
    <m/>
    <n v="83515427"/>
    <s v="5f10c65d-a94d-499e-b436-c00dcd6f2a02"/>
    <d v="2025-04-11T14:50:40"/>
    <m/>
    <m/>
    <s v="submitted_via_web"/>
    <m/>
    <s v="vpsziw45rUquZQYxjPdXa5"/>
    <m/>
    <n v="3"/>
  </r>
  <r>
    <d v="2025-04-11T09:24:44"/>
    <d v="2025-04-11T09:58:59"/>
    <s v="AMC"/>
    <n v="86"/>
    <d v="2025-03-22T00:00:00"/>
    <n v="3"/>
    <s v="GB-EG"/>
    <s v="JA"/>
    <s v="-0,18004"/>
    <s v="-78,48361"/>
    <s v="1. Sí"/>
    <n v="3"/>
    <s v="1. Años"/>
    <n v="0"/>
    <n v="0"/>
    <n v="0"/>
    <n v="0"/>
    <x v="0"/>
    <n v="30"/>
    <x v="0"/>
    <s v="1. Sí"/>
    <m/>
    <s v="6. Mestiza(o)"/>
    <m/>
    <s v="4. Casada/o"/>
    <x v="0"/>
    <s v="1. Completa"/>
    <s v="2. de $471 a $919"/>
    <s v="2. SEGURO"/>
    <s v="PORQUE  HAY BUENA SEGURIDAD POLICIAL"/>
    <m/>
    <m/>
    <x v="0"/>
    <s v="Tarde (12:00 a 17:59)"/>
    <n v="0"/>
    <n v="0"/>
    <n v="1"/>
    <n v="0"/>
    <n v="0"/>
    <x v="0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1"/>
    <x v="2"/>
    <x v="1"/>
    <x v="1"/>
    <x v="0"/>
    <x v="0"/>
    <x v="0"/>
    <x v="0"/>
    <x v="1"/>
    <x v="1"/>
    <x v="0"/>
    <x v="0"/>
    <x v="1"/>
    <x v="1"/>
    <x v="0"/>
    <x v="0"/>
    <x v="0"/>
    <x v="0"/>
    <x v="0"/>
    <x v="0"/>
    <x v="1"/>
    <x v="2"/>
    <x v="0"/>
    <x v="0"/>
    <x v="0"/>
    <x v="0"/>
    <x v="0"/>
    <m/>
    <x v="0"/>
    <x v="1"/>
    <x v="1"/>
    <x v="2"/>
    <m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1"/>
    <x v="1"/>
    <x v="1"/>
    <x v="0"/>
    <x v="0"/>
    <x v="0"/>
    <m/>
    <s v="ME SIENTO BIEN PORQUE VENGO A MI LUGAR DE TRABAJO"/>
    <m/>
    <m/>
    <x v="0"/>
    <x v="0"/>
    <x v="0"/>
    <n v="0"/>
    <n v="0"/>
    <n v="0"/>
    <n v="0"/>
    <n v="1"/>
    <n v="0"/>
    <n v="0"/>
    <n v="0"/>
    <n v="0"/>
    <m/>
    <m/>
    <n v="83515822"/>
    <s v="fba087a0-5595-4f42-8a48-dd31e311d531"/>
    <d v="2025-04-11T14:59:00"/>
    <m/>
    <m/>
    <s v="submitted_via_web"/>
    <m/>
    <s v="vpsziw45rUquZQYxjPdXa5"/>
    <m/>
    <n v="4"/>
  </r>
  <r>
    <d v="2025-04-11T09:50:40"/>
    <d v="2025-04-11T10:00:07"/>
    <s v="AFC"/>
    <n v="164"/>
    <d v="2025-03-23T00:00:00"/>
    <n v="3"/>
    <s v="GB-NC"/>
    <s v="KV"/>
    <s v="-0,178796"/>
    <s v="-78,485790"/>
    <s v="1. Sí"/>
    <n v="25"/>
    <s v="1. Años"/>
    <n v="0"/>
    <n v="0"/>
    <n v="0"/>
    <n v="0"/>
    <x v="0"/>
    <n v="63"/>
    <x v="2"/>
    <s v="1. Sí"/>
    <m/>
    <s v="1. Indígena"/>
    <m/>
    <s v="4. Casada/o"/>
    <x v="1"/>
    <s v="2. Incompleta"/>
    <s v="1. Menos de $470"/>
    <s v="2. SEGURO"/>
    <s v="VIENE A TRABAJAR"/>
    <s v="ES UN PARQUE LIMPIO"/>
    <s v="TIENE LIMPIO SU COCHE"/>
    <x v="0"/>
    <s v="Mañana  (06:00 a 11:59) Tarde (12:00 a 17:59)"/>
    <n v="0"/>
    <n v="1"/>
    <n v="1"/>
    <n v="0"/>
    <n v="0"/>
    <x v="0"/>
    <x v="1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1"/>
    <x v="2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m/>
    <x v="0"/>
    <x v="0"/>
    <x v="0"/>
    <x v="1"/>
    <m/>
    <x v="1"/>
    <x v="1"/>
    <x v="0"/>
    <x v="0"/>
    <x v="0"/>
    <x v="0"/>
    <x v="0"/>
    <x v="0"/>
    <x v="0"/>
    <x v="1"/>
    <x v="1"/>
    <x v="1"/>
    <x v="0"/>
    <x v="0"/>
    <x v="0"/>
    <x v="1"/>
    <x v="1"/>
    <x v="1"/>
    <x v="1"/>
    <x v="1"/>
    <x v="2"/>
    <x v="0"/>
    <x v="0"/>
    <x v="0"/>
    <x v="0"/>
    <x v="0"/>
    <x v="0"/>
    <x v="0"/>
    <x v="0"/>
    <x v="0"/>
    <m/>
    <s v="MUY BIEN"/>
    <s v="TRABAJAN TODA LA VIDA EN EL PARQUE"/>
    <m/>
    <x v="0"/>
    <x v="0"/>
    <x v="2"/>
    <n v="0"/>
    <n v="1"/>
    <n v="0"/>
    <n v="0"/>
    <n v="0"/>
    <n v="0"/>
    <n v="0"/>
    <n v="0"/>
    <n v="0"/>
    <m/>
    <m/>
    <n v="83515924"/>
    <s v="26b49df8-f8d5-49ec-a552-8bf27535f162"/>
    <d v="2025-04-11T15:00:07"/>
    <m/>
    <m/>
    <s v="submitted_via_web"/>
    <m/>
    <s v="vpsziw45rUquZQYxjPdXa5"/>
    <m/>
    <n v="5"/>
  </r>
  <r>
    <d v="2025-04-11T09:58:59"/>
    <d v="2025-04-11T10:04:32"/>
    <s v="AMC"/>
    <n v="85"/>
    <d v="2025-03-22T00:00:00"/>
    <n v="3"/>
    <s v="GB-NC"/>
    <s v="JA"/>
    <s v="-0,17999"/>
    <s v="-78,48360"/>
    <s v="1. Sí"/>
    <n v="10"/>
    <s v="1. Años"/>
    <n v="0"/>
    <n v="0"/>
    <n v="0"/>
    <n v="0"/>
    <x v="1"/>
    <n v="39"/>
    <x v="0"/>
    <s v="1. Sí"/>
    <m/>
    <s v="6. Mestiza(o)"/>
    <m/>
    <s v="5. Soltera/o"/>
    <x v="1"/>
    <s v="1. Completa"/>
    <s v="1. Menos de $470"/>
    <s v="3. INSEGURO"/>
    <s v="FALTA DE POLICIAS"/>
    <s v="VENTAS INFORMALES"/>
    <m/>
    <x v="0"/>
    <s v="Mañana  (06:00 a 11:59) Tarde (12:00 a 17:59)"/>
    <n v="0"/>
    <n v="1"/>
    <n v="1"/>
    <n v="0"/>
    <n v="0"/>
    <x v="1"/>
    <x v="0"/>
    <x v="1"/>
    <x v="0"/>
    <x v="2"/>
    <n v="0"/>
    <n v="1"/>
    <n v="0"/>
    <n v="0"/>
    <n v="0"/>
    <n v="0"/>
    <m/>
    <x v="1"/>
    <x v="1"/>
    <n v="0"/>
    <n v="1"/>
    <n v="0"/>
    <n v="0"/>
    <n v="0"/>
    <n v="0"/>
    <n v="0"/>
    <n v="0"/>
    <m/>
    <m/>
    <n v="0"/>
    <m/>
    <m/>
    <m/>
    <s v="2. No"/>
    <m/>
    <m/>
    <m/>
    <m/>
    <m/>
    <m/>
    <x v="1"/>
    <m/>
    <x v="1"/>
    <x v="1"/>
    <x v="0"/>
    <x v="0"/>
    <x v="0"/>
    <x v="1"/>
    <x v="0"/>
    <x v="1"/>
    <x v="0"/>
    <x v="0"/>
    <x v="1"/>
    <x v="1"/>
    <x v="1"/>
    <x v="1"/>
    <x v="0"/>
    <x v="0"/>
    <x v="1"/>
    <x v="1"/>
    <x v="0"/>
    <x v="0"/>
    <x v="0"/>
    <x v="0"/>
    <x v="1"/>
    <x v="2"/>
    <x v="1"/>
    <x v="2"/>
    <x v="0"/>
    <x v="0"/>
    <x v="0"/>
    <x v="0"/>
    <x v="1"/>
    <x v="1"/>
    <x v="0"/>
    <m/>
    <x v="0"/>
    <x v="0"/>
    <x v="0"/>
    <x v="0"/>
    <m/>
    <x v="1"/>
    <x v="1"/>
    <x v="0"/>
    <x v="0"/>
    <x v="0"/>
    <x v="0"/>
    <x v="0"/>
    <x v="0"/>
    <x v="0"/>
    <x v="0"/>
    <x v="0"/>
    <x v="0"/>
    <x v="1"/>
    <x v="1"/>
    <x v="0"/>
    <x v="0"/>
    <x v="0"/>
    <x v="2"/>
    <x v="0"/>
    <x v="0"/>
    <x v="0"/>
    <x v="1"/>
    <x v="2"/>
    <x v="1"/>
    <x v="0"/>
    <x v="0"/>
    <x v="0"/>
    <x v="0"/>
    <x v="0"/>
    <x v="0"/>
    <m/>
    <s v="IMPOTENCIA"/>
    <s v="MALESTAR"/>
    <s v="RESENTIMIENTO"/>
    <x v="0"/>
    <x v="0"/>
    <x v="3"/>
    <n v="0"/>
    <n v="0"/>
    <n v="0"/>
    <n v="0"/>
    <n v="1"/>
    <n v="1"/>
    <n v="0"/>
    <n v="0"/>
    <n v="0"/>
    <m/>
    <s v="LA SEÑORA REQUIERE REUBICACION POR TEMAS DE SALUBRIDAD ESTA JUNTO AL BAÑO"/>
    <n v="83516134"/>
    <s v="5d90a9ba-952f-4bf9-965f-d97d780f815e"/>
    <d v="2025-04-11T15:04:33"/>
    <m/>
    <m/>
    <s v="submitted_via_web"/>
    <m/>
    <s v="vpsziw45rUquZQYxjPdXa5"/>
    <m/>
    <n v="6"/>
  </r>
  <r>
    <d v="2025-04-11T10:04:32"/>
    <d v="2025-04-11T10:09:00"/>
    <s v="AMC"/>
    <n v="84"/>
    <d v="2025-03-22T00:00:00"/>
    <n v="3"/>
    <s v="GB-EG"/>
    <s v="JA"/>
    <s v="-0,17976"/>
    <s v="-78,48322"/>
    <s v="1. Sí"/>
    <n v="40"/>
    <s v="1. Años"/>
    <n v="0"/>
    <n v="0"/>
    <n v="0"/>
    <n v="0"/>
    <x v="0"/>
    <n v="80"/>
    <x v="2"/>
    <s v="1. Sí"/>
    <m/>
    <s v="6. Mestiza(o)"/>
    <m/>
    <s v="3. Viuda/o"/>
    <x v="1"/>
    <s v="2. Incompleta"/>
    <s v="1. Menos de $470"/>
    <s v="2. SEGURO"/>
    <s v="HAY SEGURIDAD POLICIAL"/>
    <s v="HAY GUARDABOSQUES EN EL PARQUE"/>
    <m/>
    <x v="0"/>
    <s v="Noche  (18:00 a 23:59)"/>
    <n v="0"/>
    <n v="0"/>
    <n v="0"/>
    <n v="1"/>
    <n v="0"/>
    <x v="0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1"/>
    <x v="2"/>
    <x v="1"/>
    <x v="1"/>
    <x v="1"/>
    <x v="1"/>
    <x v="0"/>
    <x v="0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0"/>
    <m/>
    <x v="0"/>
    <x v="0"/>
    <x v="2"/>
    <x v="0"/>
    <m/>
    <x v="1"/>
    <x v="2"/>
    <x v="1"/>
    <x v="1"/>
    <x v="1"/>
    <x v="1"/>
    <x v="0"/>
    <x v="0"/>
    <x v="0"/>
    <x v="1"/>
    <x v="1"/>
    <x v="2"/>
    <x v="0"/>
    <x v="0"/>
    <x v="0"/>
    <x v="0"/>
    <x v="0"/>
    <x v="2"/>
    <x v="0"/>
    <x v="0"/>
    <x v="0"/>
    <x v="0"/>
    <x v="0"/>
    <x v="0"/>
    <x v="0"/>
    <x v="0"/>
    <x v="0"/>
    <x v="0"/>
    <x v="0"/>
    <x v="0"/>
    <m/>
    <s v="MUCHA TRANQUILIDAD Y EMOCION ATENDER A LOS USUARIOS"/>
    <m/>
    <m/>
    <x v="0"/>
    <x v="0"/>
    <x v="0"/>
    <n v="0"/>
    <n v="0"/>
    <n v="0"/>
    <n v="0"/>
    <n v="1"/>
    <n v="0"/>
    <n v="0"/>
    <n v="0"/>
    <n v="0"/>
    <m/>
    <s v="MAS ILUMINACION EN EL PARQUE PARA QUE HAYA MAS VENTAS"/>
    <n v="83516428"/>
    <s v="caba45b9-1b7a-4079-b07b-c41e481db884"/>
    <d v="2025-04-11T15:09:00"/>
    <m/>
    <m/>
    <s v="submitted_via_web"/>
    <m/>
    <s v="vpsziw45rUquZQYxjPdXa5"/>
    <m/>
    <n v="7"/>
  </r>
  <r>
    <d v="2025-04-11T10:09:00"/>
    <d v="2025-04-11T10:13:59"/>
    <s v="AMC"/>
    <n v="83"/>
    <d v="2025-03-22T00:00:00"/>
    <n v="3"/>
    <s v="GB-NC"/>
    <s v="JA"/>
    <s v="-0,17906"/>
    <s v="-78,48345"/>
    <s v="1. Sí"/>
    <n v="10"/>
    <s v="1. Años"/>
    <n v="0"/>
    <n v="0"/>
    <n v="0"/>
    <n v="0"/>
    <x v="1"/>
    <n v="38"/>
    <x v="0"/>
    <s v="1. Sí"/>
    <m/>
    <s v="1. Indígena"/>
    <m/>
    <s v="4. Casada/o"/>
    <x v="1"/>
    <s v="2. Incompleta"/>
    <s v="1. Menos de $470"/>
    <s v="3. INSEGURO"/>
    <s v="FALTA MEJORAMIENTO"/>
    <s v="FALTA CONTROL DE LOS PUESTOS"/>
    <m/>
    <x v="1"/>
    <s v="Mañana  (06:00 a 11:59) Tarde (12:00 a 17:59)"/>
    <n v="0"/>
    <n v="1"/>
    <n v="1"/>
    <n v="0"/>
    <n v="0"/>
    <x v="1"/>
    <x v="0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2"/>
    <x v="0"/>
    <x v="0"/>
    <x v="0"/>
    <x v="3"/>
    <x v="0"/>
    <x v="0"/>
    <x v="1"/>
    <x v="1"/>
    <x v="1"/>
    <x v="2"/>
    <x v="0"/>
    <x v="0"/>
    <x v="0"/>
    <x v="2"/>
    <x v="0"/>
    <x v="0"/>
    <x v="0"/>
    <x v="0"/>
    <x v="0"/>
    <x v="0"/>
    <x v="0"/>
    <x v="0"/>
    <x v="1"/>
    <x v="3"/>
    <x v="1"/>
    <x v="2"/>
    <x v="0"/>
    <x v="0"/>
    <x v="1"/>
    <x v="2"/>
    <x v="0"/>
    <m/>
    <x v="0"/>
    <x v="0"/>
    <x v="0"/>
    <x v="0"/>
    <m/>
    <x v="0"/>
    <x v="0"/>
    <x v="0"/>
    <x v="0"/>
    <x v="0"/>
    <x v="0"/>
    <x v="0"/>
    <x v="0"/>
    <x v="0"/>
    <x v="0"/>
    <x v="0"/>
    <x v="0"/>
    <x v="0"/>
    <x v="0"/>
    <x v="0"/>
    <x v="0"/>
    <x v="2"/>
    <x v="1"/>
    <x v="0"/>
    <x v="0"/>
    <x v="1"/>
    <x v="0"/>
    <x v="1"/>
    <x v="1"/>
    <x v="1"/>
    <x v="2"/>
    <x v="0"/>
    <x v="0"/>
    <x v="0"/>
    <x v="0"/>
    <m/>
    <s v="SE SIENTE BIEN"/>
    <s v="DISTRAE"/>
    <s v="BENEFICIO PARA LOS HIJOS EN EL PARQUE(JUEGOS)"/>
    <x v="0"/>
    <x v="0"/>
    <x v="4"/>
    <n v="0"/>
    <n v="0"/>
    <n v="1"/>
    <n v="0"/>
    <n v="0"/>
    <n v="0"/>
    <n v="0"/>
    <n v="0"/>
    <n v="0"/>
    <m/>
    <s v="IMPLEMENTAR ATRACTICOS TURISTICOS"/>
    <n v="83516799"/>
    <s v="1813cd02-f06a-4e1d-9eab-d6825e0fc2c3"/>
    <d v="2025-04-11T15:13:59"/>
    <m/>
    <m/>
    <s v="submitted_via_web"/>
    <m/>
    <s v="vpsziw45rUquZQYxjPdXa5"/>
    <m/>
    <n v="8"/>
  </r>
  <r>
    <d v="2025-04-11T10:00:07"/>
    <d v="2025-04-11T10:15:36"/>
    <s v="AFC"/>
    <n v="163"/>
    <d v="2025-03-23T00:00:00"/>
    <n v="3"/>
    <s v="BP"/>
    <s v="KV"/>
    <s v="-0,18109"/>
    <s v="-78,48342"/>
    <s v="1. Sí"/>
    <n v="20"/>
    <s v="2. Meses"/>
    <n v="0"/>
    <n v="0"/>
    <n v="0"/>
    <n v="0"/>
    <x v="0"/>
    <n v="65"/>
    <x v="2"/>
    <s v="1. Sí"/>
    <m/>
    <s v="6. Mestiza(o)"/>
    <m/>
    <s v="4. Casada/o"/>
    <x v="1"/>
    <s v="1. Completa"/>
    <s v="2. de $471 a $919"/>
    <s v="2. SEGURO"/>
    <s v="SE VE POLICIAS A CABALLO"/>
    <s v="HAY UN POCO MAS DE CONTROL"/>
    <s v="HAY MAS GUARDIAS POR EL PARQUE"/>
    <x v="0"/>
    <s v="Todos los horarios"/>
    <n v="0"/>
    <n v="0"/>
    <n v="0"/>
    <n v="0"/>
    <n v="1"/>
    <x v="0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0"/>
    <x v="3"/>
    <x v="1"/>
    <x v="1"/>
    <x v="0"/>
    <x v="0"/>
    <x v="0"/>
    <x v="0"/>
    <x v="1"/>
    <x v="1"/>
    <x v="0"/>
    <x v="0"/>
    <x v="0"/>
    <x v="0"/>
    <x v="0"/>
    <x v="0"/>
    <x v="0"/>
    <x v="0"/>
    <x v="1"/>
    <x v="3"/>
    <x v="0"/>
    <x v="3"/>
    <x v="0"/>
    <x v="0"/>
    <x v="0"/>
    <x v="0"/>
    <x v="0"/>
    <m/>
    <x v="0"/>
    <x v="0"/>
    <x v="0"/>
    <x v="0"/>
    <m/>
    <x v="0"/>
    <x v="0"/>
    <x v="0"/>
    <x v="0"/>
    <x v="0"/>
    <x v="0"/>
    <x v="0"/>
    <x v="0"/>
    <x v="0"/>
    <x v="1"/>
    <x v="1"/>
    <x v="2"/>
    <x v="0"/>
    <x v="0"/>
    <x v="0"/>
    <x v="1"/>
    <x v="1"/>
    <x v="1"/>
    <x v="0"/>
    <x v="0"/>
    <x v="0"/>
    <x v="0"/>
    <x v="1"/>
    <x v="1"/>
    <x v="1"/>
    <x v="2"/>
    <x v="0"/>
    <x v="0"/>
    <x v="0"/>
    <x v="0"/>
    <m/>
    <s v="SE SIENTE BIEN TRABAJANDO EN EL PARQUE"/>
    <s v="PORQUE ES DE LA TERCERA EDAD Y PUEDE TRABAJAR"/>
    <m/>
    <x v="0"/>
    <x v="0"/>
    <x v="1"/>
    <n v="0"/>
    <n v="0"/>
    <n v="0"/>
    <n v="0"/>
    <n v="0"/>
    <n v="0"/>
    <n v="0"/>
    <n v="0"/>
    <n v="1"/>
    <s v="REPARACION DE BICIS"/>
    <m/>
    <n v="83516915"/>
    <s v="7d70fb0f-aaa3-46bb-badc-2d0cd52e93de"/>
    <d v="2025-04-11T15:15:36"/>
    <m/>
    <m/>
    <s v="submitted_via_web"/>
    <m/>
    <s v="vpsziw45rUquZQYxjPdXa5"/>
    <m/>
    <n v="9"/>
  </r>
  <r>
    <d v="2025-04-11T10:13:59"/>
    <d v="2025-04-11T10:18:33"/>
    <s v="AMC"/>
    <n v="82"/>
    <d v="2025-03-22T00:00:00"/>
    <n v="3"/>
    <s v="BC"/>
    <s v="JA"/>
    <s v="-0,17861"/>
    <s v="-78,48338"/>
    <s v="1. Sí"/>
    <n v="30"/>
    <s v="1. Años"/>
    <n v="0"/>
    <n v="0"/>
    <n v="0"/>
    <n v="0"/>
    <x v="1"/>
    <n v="71"/>
    <x v="2"/>
    <s v="1. Sí"/>
    <m/>
    <s v="6. Mestiza(o)"/>
    <m/>
    <s v="5. Soltera/o"/>
    <x v="1"/>
    <s v="2. Incompleta"/>
    <s v="2. de $471 a $919"/>
    <s v="2. SEGURO"/>
    <s v="PORQUE HAY SEGURIDAD EN EL PARQUE"/>
    <s v="HAY POLICIAS"/>
    <m/>
    <x v="0"/>
    <s v="Todos los horarios"/>
    <n v="0"/>
    <n v="0"/>
    <n v="0"/>
    <n v="0"/>
    <n v="1"/>
    <x v="2"/>
    <x v="1"/>
    <x v="0"/>
    <x v="0"/>
    <x v="3"/>
    <n v="0"/>
    <n v="0"/>
    <n v="0"/>
    <n v="0"/>
    <n v="0"/>
    <n v="1"/>
    <s v="VARILLAS"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1"/>
    <x v="2"/>
    <x v="1"/>
    <x v="1"/>
    <x v="0"/>
    <x v="0"/>
    <x v="1"/>
    <x v="1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0"/>
    <m/>
    <x v="0"/>
    <x v="0"/>
    <x v="0"/>
    <x v="1"/>
    <m/>
    <x v="1"/>
    <x v="1"/>
    <x v="0"/>
    <x v="0"/>
    <x v="0"/>
    <x v="0"/>
    <x v="0"/>
    <x v="0"/>
    <x v="0"/>
    <x v="1"/>
    <x v="2"/>
    <x v="0"/>
    <x v="0"/>
    <x v="0"/>
    <x v="0"/>
    <x v="1"/>
    <x v="1"/>
    <x v="1"/>
    <x v="0"/>
    <x v="2"/>
    <x v="2"/>
    <x v="0"/>
    <x v="1"/>
    <x v="1"/>
    <x v="0"/>
    <x v="0"/>
    <x v="0"/>
    <x v="0"/>
    <x v="0"/>
    <x v="0"/>
    <m/>
    <s v="SE SIENTE FELIZ DE TRABAJAR EN EL PARQUE"/>
    <s v="HAY SEGURIDAD"/>
    <m/>
    <x v="0"/>
    <x v="0"/>
    <x v="0"/>
    <n v="0"/>
    <n v="0"/>
    <n v="0"/>
    <n v="0"/>
    <n v="1"/>
    <n v="0"/>
    <n v="0"/>
    <n v="0"/>
    <n v="0"/>
    <m/>
    <m/>
    <n v="83517058"/>
    <s v="5372c353-ef2a-4922-8d34-e017c829ef15"/>
    <d v="2025-04-11T15:18:34"/>
    <m/>
    <m/>
    <s v="submitted_via_web"/>
    <m/>
    <s v="vpsziw45rUquZQYxjPdXa5"/>
    <m/>
    <n v="10"/>
  </r>
  <r>
    <d v="2025-04-11T10:15:36"/>
    <d v="2025-04-11T10:25:19"/>
    <s v="AFC"/>
    <n v="162"/>
    <d v="2025-03-23T00:00:00"/>
    <n v="3"/>
    <s v="CC"/>
    <s v="KV"/>
    <s v="-0,180279"/>
    <s v="-78,483678"/>
    <s v="1. Sí"/>
    <n v="8"/>
    <s v="1. Años"/>
    <n v="0"/>
    <n v="0"/>
    <n v="0"/>
    <n v="0"/>
    <x v="0"/>
    <n v="38"/>
    <x v="0"/>
    <s v="1. Sí"/>
    <m/>
    <s v="1. Indígena"/>
    <m/>
    <s v="4. Casada/o"/>
    <x v="0"/>
    <s v="1. Completa"/>
    <s v="2. de $471 a $919"/>
    <s v="3. INSEGURO"/>
    <s v="MUCHA DELINCUENCIA"/>
    <s v="VENTA DE DROGA"/>
    <s v="CONSUMO DE ALCOHOL"/>
    <x v="0"/>
    <s v="Todos los horarios"/>
    <n v="0"/>
    <n v="0"/>
    <n v="0"/>
    <n v="0"/>
    <n v="1"/>
    <x v="0"/>
    <x v="0"/>
    <x v="1"/>
    <x v="0"/>
    <x v="4"/>
    <n v="0"/>
    <n v="0"/>
    <n v="1"/>
    <n v="0"/>
    <n v="0"/>
    <n v="0"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3"/>
    <x v="0"/>
    <x v="0"/>
    <x v="0"/>
    <x v="2"/>
    <x v="1"/>
    <x v="2"/>
    <x v="1"/>
    <x v="2"/>
    <x v="0"/>
    <x v="3"/>
    <x v="1"/>
    <x v="2"/>
    <x v="1"/>
    <x v="2"/>
    <x v="1"/>
    <x v="1"/>
    <x v="0"/>
    <x v="0"/>
    <x v="1"/>
    <x v="2"/>
    <x v="0"/>
    <x v="0"/>
    <x v="0"/>
    <x v="0"/>
    <x v="1"/>
    <x v="2"/>
    <x v="0"/>
    <m/>
    <x v="0"/>
    <x v="0"/>
    <x v="0"/>
    <x v="1"/>
    <m/>
    <x v="1"/>
    <x v="2"/>
    <x v="1"/>
    <x v="1"/>
    <x v="1"/>
    <x v="1"/>
    <x v="0"/>
    <x v="0"/>
    <x v="0"/>
    <x v="0"/>
    <x v="0"/>
    <x v="0"/>
    <x v="0"/>
    <x v="0"/>
    <x v="0"/>
    <x v="0"/>
    <x v="2"/>
    <x v="1"/>
    <x v="0"/>
    <x v="0"/>
    <x v="0"/>
    <x v="0"/>
    <x v="0"/>
    <x v="0"/>
    <x v="1"/>
    <x v="1"/>
    <x v="2"/>
    <x v="0"/>
    <x v="0"/>
    <x v="0"/>
    <m/>
    <s v="ALEGRE"/>
    <s v="TRANQUILO"/>
    <s v="MOTIVADO"/>
    <x v="0"/>
    <x v="0"/>
    <x v="5"/>
    <n v="0"/>
    <n v="1"/>
    <n v="0"/>
    <n v="0"/>
    <n v="1"/>
    <n v="0"/>
    <n v="0"/>
    <n v="0"/>
    <n v="1"/>
    <s v="ALGODON DE AZUCAR Y GRANIZADOS DE FRUTAS"/>
    <m/>
    <n v="83517599"/>
    <s v="1bd9cf7e-9409-4ec0-a89a-4f370b111f03"/>
    <d v="2025-04-11T15:25:20"/>
    <m/>
    <m/>
    <s v="submitted_via_web"/>
    <m/>
    <s v="vpsziw45rUquZQYxjPdXa5"/>
    <m/>
    <n v="11"/>
  </r>
  <r>
    <d v="2025-04-11T10:18:33"/>
    <d v="2025-04-11T10:29:42"/>
    <s v="AMC"/>
    <n v="80"/>
    <d v="2025-03-22T00:00:00"/>
    <n v="3"/>
    <s v="GP-GC"/>
    <s v="JA"/>
    <s v="-0,17882"/>
    <s v="-78,48401"/>
    <s v="1. Sí"/>
    <n v="15"/>
    <s v="1. Años"/>
    <n v="0"/>
    <n v="0"/>
    <n v="0"/>
    <n v="0"/>
    <x v="0"/>
    <n v="66"/>
    <x v="2"/>
    <s v="1. Sí"/>
    <m/>
    <s v="3. Negra(o)"/>
    <m/>
    <s v="1. Unión de Hecho/Libre"/>
    <x v="1"/>
    <s v="1. Completa"/>
    <s v="1. Menos de $470"/>
    <s v="1. MUY SEGURO"/>
    <s v="NO HAY LADRONES"/>
    <s v="SEGURO POLICIA NACIONAL"/>
    <s v="GUARDABOSQUES"/>
    <x v="2"/>
    <s v="Todos los horarios"/>
    <n v="0"/>
    <n v="0"/>
    <n v="0"/>
    <n v="0"/>
    <n v="1"/>
    <x v="2"/>
    <x v="1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1"/>
    <x v="2"/>
    <x v="0"/>
    <x v="2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0"/>
    <x v="1"/>
    <x v="1"/>
    <x v="0"/>
    <m/>
    <x v="0"/>
    <x v="0"/>
    <x v="0"/>
    <x v="0"/>
    <m/>
    <x v="1"/>
    <x v="1"/>
    <x v="0"/>
    <x v="1"/>
    <x v="1"/>
    <x v="1"/>
    <x v="1"/>
    <x v="1"/>
    <x v="0"/>
    <x v="0"/>
    <x v="0"/>
    <x v="0"/>
    <x v="0"/>
    <x v="0"/>
    <x v="0"/>
    <x v="1"/>
    <x v="1"/>
    <x v="1"/>
    <x v="0"/>
    <x v="0"/>
    <x v="0"/>
    <x v="0"/>
    <x v="0"/>
    <x v="0"/>
    <x v="1"/>
    <x v="1"/>
    <x v="2"/>
    <x v="0"/>
    <x v="0"/>
    <x v="0"/>
    <m/>
    <s v="BIEN"/>
    <s v="CONTENTO"/>
    <m/>
    <x v="0"/>
    <x v="0"/>
    <x v="0"/>
    <n v="0"/>
    <n v="0"/>
    <n v="0"/>
    <n v="0"/>
    <n v="1"/>
    <n v="0"/>
    <n v="0"/>
    <n v="0"/>
    <n v="0"/>
    <m/>
    <m/>
    <n v="83518140"/>
    <s v="2cbbf89e-ad0a-4219-b716-2058978f0057"/>
    <d v="2025-04-11T15:29:43"/>
    <m/>
    <m/>
    <s v="submitted_via_web"/>
    <m/>
    <s v="vpsziw45rUquZQYxjPdXa5"/>
    <m/>
    <n v="12"/>
  </r>
  <r>
    <d v="2025-04-11T10:29:42"/>
    <d v="2025-04-11T10:35:07"/>
    <s v="AMC"/>
    <n v="76"/>
    <d v="2025-03-22T00:00:00"/>
    <n v="3"/>
    <s v="BP"/>
    <s v="JA"/>
    <s v="-0,17924"/>
    <s v="-78,48404"/>
    <s v="1. Sí"/>
    <n v="25"/>
    <s v="2. Meses"/>
    <n v="0"/>
    <n v="0"/>
    <n v="0"/>
    <n v="0"/>
    <x v="0"/>
    <n v="24"/>
    <x v="3"/>
    <s v="1. Sí"/>
    <m/>
    <s v="6. Mestiza(o)"/>
    <m/>
    <s v="5. Soltera/o"/>
    <x v="0"/>
    <s v="1. Completa"/>
    <s v="1. Menos de $470"/>
    <s v="2. SEGURO"/>
    <s v="VE MILITARES Y POLICIAS"/>
    <s v="HAY SEGURIDAD PRIVADA"/>
    <m/>
    <x v="0"/>
    <s v="Todos los horarios"/>
    <n v="0"/>
    <n v="0"/>
    <n v="0"/>
    <n v="0"/>
    <n v="1"/>
    <x v="2"/>
    <x v="1"/>
    <x v="0"/>
    <x v="0"/>
    <x v="3"/>
    <n v="0"/>
    <n v="0"/>
    <n v="0"/>
    <n v="0"/>
    <n v="0"/>
    <n v="1"/>
    <s v="GRUPO DE WHATSAPP"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1"/>
    <x v="1"/>
    <x v="1"/>
    <x v="2"/>
    <x v="1"/>
    <x v="2"/>
    <x v="1"/>
    <x v="1"/>
    <x v="1"/>
    <x v="2"/>
    <x v="1"/>
    <x v="1"/>
    <x v="1"/>
    <x v="1"/>
    <x v="0"/>
    <x v="0"/>
    <x v="1"/>
    <x v="1"/>
    <x v="0"/>
    <x v="0"/>
    <x v="0"/>
    <x v="0"/>
    <x v="0"/>
    <x v="0"/>
    <x v="1"/>
    <x v="2"/>
    <x v="0"/>
    <x v="0"/>
    <x v="0"/>
    <x v="0"/>
    <x v="0"/>
    <m/>
    <x v="0"/>
    <x v="0"/>
    <x v="0"/>
    <x v="1"/>
    <m/>
    <x v="1"/>
    <x v="1"/>
    <x v="0"/>
    <x v="0"/>
    <x v="0"/>
    <x v="0"/>
    <x v="0"/>
    <x v="0"/>
    <x v="0"/>
    <x v="1"/>
    <x v="1"/>
    <x v="2"/>
    <x v="1"/>
    <x v="1"/>
    <x v="0"/>
    <x v="1"/>
    <x v="1"/>
    <x v="1"/>
    <x v="0"/>
    <x v="2"/>
    <x v="2"/>
    <x v="0"/>
    <x v="1"/>
    <x v="1"/>
    <x v="1"/>
    <x v="2"/>
    <x v="0"/>
    <x v="0"/>
    <x v="0"/>
    <x v="0"/>
    <m/>
    <s v="SI ES UN LUGAR PARA TRABAJAR"/>
    <s v="PERO FALTA UN POCO DE SEGURIDAD"/>
    <m/>
    <x v="0"/>
    <x v="0"/>
    <x v="1"/>
    <n v="0"/>
    <n v="0"/>
    <n v="0"/>
    <n v="0"/>
    <n v="0"/>
    <n v="0"/>
    <n v="0"/>
    <n v="0"/>
    <n v="1"/>
    <s v="TIRO AL BLANCO"/>
    <m/>
    <n v="83518461"/>
    <s v="2d6fc160-3154-43a9-ad1e-ef0e11d11016"/>
    <d v="2025-04-11T15:35:09"/>
    <m/>
    <m/>
    <s v="submitted_via_web"/>
    <m/>
    <s v="vpsziw45rUquZQYxjPdXa5"/>
    <m/>
    <n v="13"/>
  </r>
  <r>
    <d v="2025-04-11T09:24:29"/>
    <d v="2025-04-11T10:39:14"/>
    <s v="JP"/>
    <n v="126"/>
    <d v="2025-03-23T00:00:00"/>
    <n v="2"/>
    <s v="GB-CCH"/>
    <s v="OM"/>
    <s v="-0,18276"/>
    <s v="-78,48307"/>
    <s v="1. Sí"/>
    <n v="25"/>
    <s v="1. Años"/>
    <n v="0"/>
    <n v="0"/>
    <n v="0"/>
    <n v="0"/>
    <x v="1"/>
    <n v="58"/>
    <x v="2"/>
    <s v="1. Sí"/>
    <m/>
    <s v="6. Mestiza(o)"/>
    <m/>
    <s v="4. Casada/o"/>
    <x v="1"/>
    <s v="2. Incompleta"/>
    <s v="1. Menos de $470"/>
    <s v="4. MUY INSEGURO"/>
    <s v="MUCHOS DELITOS"/>
    <s v="NO HAY POLICIA"/>
    <m/>
    <x v="0"/>
    <s v="Mañana  (06:00 a 11:59) Tarde (12:00 a 17:59)"/>
    <n v="0"/>
    <n v="1"/>
    <n v="1"/>
    <n v="0"/>
    <n v="0"/>
    <x v="2"/>
    <x v="1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0"/>
    <x v="3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0"/>
    <m/>
    <x v="0"/>
    <x v="0"/>
    <x v="2"/>
    <x v="0"/>
    <m/>
    <x v="0"/>
    <x v="0"/>
    <x v="0"/>
    <x v="0"/>
    <x v="0"/>
    <x v="0"/>
    <x v="0"/>
    <x v="0"/>
    <x v="0"/>
    <x v="1"/>
    <x v="2"/>
    <x v="0"/>
    <x v="0"/>
    <x v="0"/>
    <x v="0"/>
    <x v="1"/>
    <x v="1"/>
    <x v="1"/>
    <x v="0"/>
    <x v="0"/>
    <x v="0"/>
    <x v="0"/>
    <x v="1"/>
    <x v="1"/>
    <x v="0"/>
    <x v="0"/>
    <x v="0"/>
    <x v="0"/>
    <x v="0"/>
    <x v="0"/>
    <m/>
    <s v="MUCHO MEJOR POR SU TRABAJO"/>
    <s v="CONTENTO"/>
    <m/>
    <x v="0"/>
    <x v="0"/>
    <x v="1"/>
    <n v="0"/>
    <n v="0"/>
    <n v="0"/>
    <n v="0"/>
    <n v="0"/>
    <n v="0"/>
    <n v="0"/>
    <n v="0"/>
    <n v="1"/>
    <s v="HELADOS PINGUINO"/>
    <m/>
    <n v="83518710"/>
    <s v="722044a3-c5bf-4326-8efb-fb1f5a30c970"/>
    <d v="2025-04-11T15:39:15"/>
    <m/>
    <m/>
    <s v="submitted_via_web"/>
    <m/>
    <s v="vpsziw45rUquZQYxjPdXa5"/>
    <m/>
    <n v="14"/>
  </r>
  <r>
    <d v="2025-04-11T10:35:07"/>
    <d v="2025-04-11T10:39:43"/>
    <s v="AMC"/>
    <n v="75"/>
    <d v="2025-03-22T00:00:00"/>
    <n v="3"/>
    <s v="LS"/>
    <s v="JA"/>
    <s v="-0,17919"/>
    <s v="-78,48402"/>
    <s v="1. Sí"/>
    <n v="40"/>
    <s v="1. Años"/>
    <n v="0"/>
    <n v="0"/>
    <n v="0"/>
    <n v="0"/>
    <x v="0"/>
    <n v="58"/>
    <x v="2"/>
    <s v="1. Sí"/>
    <m/>
    <s v="1. Indígena"/>
    <m/>
    <s v="4. Casada/o"/>
    <x v="1"/>
    <s v="2. Incompleta"/>
    <s v="1. Menos de $470"/>
    <s v="3. INSEGURO"/>
    <s v="PORQUE EXISTEN LOS LADRONES"/>
    <m/>
    <m/>
    <x v="0"/>
    <s v="Tarde (12:00 a 17:59)"/>
    <n v="0"/>
    <n v="0"/>
    <n v="1"/>
    <n v="0"/>
    <n v="0"/>
    <x v="1"/>
    <x v="1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0"/>
    <x v="3"/>
    <x v="0"/>
    <x v="2"/>
    <x v="0"/>
    <x v="0"/>
    <x v="1"/>
    <x v="1"/>
    <x v="1"/>
    <x v="1"/>
    <x v="0"/>
    <x v="0"/>
    <x v="0"/>
    <x v="0"/>
    <x v="0"/>
    <x v="0"/>
    <x v="0"/>
    <x v="0"/>
    <x v="0"/>
    <x v="0"/>
    <x v="1"/>
    <x v="2"/>
    <x v="0"/>
    <x v="0"/>
    <x v="1"/>
    <x v="1"/>
    <x v="0"/>
    <m/>
    <x v="0"/>
    <x v="0"/>
    <x v="3"/>
    <x v="0"/>
    <m/>
    <x v="0"/>
    <x v="0"/>
    <x v="0"/>
    <x v="0"/>
    <x v="0"/>
    <x v="0"/>
    <x v="0"/>
    <x v="0"/>
    <x v="0"/>
    <x v="0"/>
    <x v="0"/>
    <x v="0"/>
    <x v="1"/>
    <x v="1"/>
    <x v="0"/>
    <x v="1"/>
    <x v="1"/>
    <x v="1"/>
    <x v="0"/>
    <x v="2"/>
    <x v="2"/>
    <x v="0"/>
    <x v="1"/>
    <x v="1"/>
    <x v="1"/>
    <x v="2"/>
    <x v="0"/>
    <x v="0"/>
    <x v="0"/>
    <x v="0"/>
    <m/>
    <s v="FELIZ"/>
    <s v="TRANQUILIDAD"/>
    <m/>
    <x v="0"/>
    <x v="0"/>
    <x v="1"/>
    <n v="0"/>
    <n v="0"/>
    <n v="0"/>
    <n v="0"/>
    <n v="0"/>
    <n v="0"/>
    <n v="0"/>
    <n v="0"/>
    <n v="1"/>
    <s v="GRANIZADOS Y ALGODON DE AZUCAR"/>
    <m/>
    <n v="83518731"/>
    <s v="865c5dd0-8e0c-4c65-9199-b4fed40e8020"/>
    <d v="2025-04-11T15:39:43"/>
    <m/>
    <m/>
    <s v="submitted_via_web"/>
    <m/>
    <s v="vpsziw45rUquZQYxjPdXa5"/>
    <m/>
    <n v="15"/>
  </r>
  <r>
    <d v="2025-04-11T10:34:48"/>
    <d v="2025-04-11T10:40:27"/>
    <s v="AFC"/>
    <n v="161"/>
    <d v="2025-03-23T00:00:00"/>
    <n v="3"/>
    <s v="JC"/>
    <s v="KV"/>
    <s v="-0,980642"/>
    <s v="-78,483730"/>
    <s v="1. Sí"/>
    <n v="30"/>
    <s v="1. Años"/>
    <n v="0"/>
    <n v="0"/>
    <n v="0"/>
    <n v="0"/>
    <x v="1"/>
    <n v="50"/>
    <x v="1"/>
    <s v="1. Sí"/>
    <m/>
    <s v="6. Mestiza(o)"/>
    <m/>
    <s v="5. Soltera/o"/>
    <x v="2"/>
    <s v="1. Completa"/>
    <s v="1. Menos de $470"/>
    <s v="2. SEGURO"/>
    <s v="PRESENCIA DE POLICIA NACIONAL"/>
    <s v="ILUMINACION EN EL PARQUE"/>
    <s v="AGLOMERACION DE GENTE"/>
    <x v="3"/>
    <s v="Todos los horarios"/>
    <n v="0"/>
    <n v="0"/>
    <n v="0"/>
    <n v="0"/>
    <n v="1"/>
    <x v="2"/>
    <x v="1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1"/>
    <x v="0"/>
    <x v="0"/>
    <x v="1"/>
    <x v="2"/>
    <x v="1"/>
    <x v="2"/>
    <x v="1"/>
    <x v="1"/>
    <x v="0"/>
    <x v="0"/>
    <x v="1"/>
    <x v="2"/>
    <x v="1"/>
    <x v="1"/>
    <x v="0"/>
    <x v="0"/>
    <x v="0"/>
    <x v="0"/>
    <x v="0"/>
    <x v="0"/>
    <x v="0"/>
    <x v="0"/>
    <x v="0"/>
    <x v="0"/>
    <x v="0"/>
    <x v="1"/>
    <x v="0"/>
    <x v="0"/>
    <x v="1"/>
    <x v="1"/>
    <x v="1"/>
    <m/>
    <x v="0"/>
    <x v="0"/>
    <x v="0"/>
    <x v="1"/>
    <m/>
    <x v="1"/>
    <x v="2"/>
    <x v="2"/>
    <x v="1"/>
    <x v="2"/>
    <x v="0"/>
    <x v="0"/>
    <x v="0"/>
    <x v="0"/>
    <x v="1"/>
    <x v="1"/>
    <x v="2"/>
    <x v="0"/>
    <x v="0"/>
    <x v="0"/>
    <x v="1"/>
    <x v="1"/>
    <x v="1"/>
    <x v="0"/>
    <x v="0"/>
    <x v="1"/>
    <x v="0"/>
    <x v="1"/>
    <x v="1"/>
    <x v="1"/>
    <x v="2"/>
    <x v="0"/>
    <x v="1"/>
    <x v="1"/>
    <x v="0"/>
    <m/>
    <s v="AGRADECIDA"/>
    <s v="SEGURA"/>
    <s v="FELIZ"/>
    <x v="1"/>
    <x v="0"/>
    <x v="1"/>
    <n v="0"/>
    <n v="0"/>
    <n v="0"/>
    <n v="0"/>
    <n v="0"/>
    <n v="0"/>
    <n v="0"/>
    <n v="0"/>
    <n v="1"/>
    <s v="TABLERO DE CHICLES TIRO AL BLANCO"/>
    <m/>
    <n v="83518741"/>
    <s v="e6caa3c1-b847-4239-bd89-04a125163fac"/>
    <d v="2025-04-11T15:40:28"/>
    <m/>
    <m/>
    <s v="submitted_via_web"/>
    <m/>
    <s v="vpsziw45rUquZQYxjPdXa5"/>
    <m/>
    <n v="16"/>
  </r>
  <r>
    <d v="2025-04-11T10:39:43"/>
    <d v="2025-04-11T10:44:54"/>
    <s v="AMC"/>
    <n v="74"/>
    <d v="2025-03-22T00:00:00"/>
    <n v="3"/>
    <s v="JC"/>
    <s v="JA"/>
    <s v="-0,17492"/>
    <s v="-78,48361"/>
    <s v="1. Sí"/>
    <n v="10"/>
    <s v="1. Años"/>
    <n v="0"/>
    <n v="0"/>
    <n v="0"/>
    <n v="0"/>
    <x v="1"/>
    <n v="36"/>
    <x v="0"/>
    <s v="1. Sí"/>
    <m/>
    <s v="6. Mestiza(o)"/>
    <m/>
    <s v="1. Unión de Hecho/Libre"/>
    <x v="3"/>
    <s v="1. Completa"/>
    <s v="1. Menos de $470"/>
    <s v="3. INSEGURO"/>
    <s v="NO HAY POLICIA NACIONAL"/>
    <s v="MIEDO A LOS EXTRANJEROS"/>
    <s v="EN LA NOCHE PELIGROSO"/>
    <x v="1"/>
    <s v="Todos los horarios"/>
    <n v="0"/>
    <n v="0"/>
    <n v="0"/>
    <n v="0"/>
    <n v="1"/>
    <x v="1"/>
    <x v="1"/>
    <x v="0"/>
    <x v="0"/>
    <x v="4"/>
    <n v="0"/>
    <n v="0"/>
    <n v="1"/>
    <n v="0"/>
    <n v="0"/>
    <n v="0"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1"/>
    <x v="0"/>
    <x v="0"/>
    <x v="0"/>
    <x v="1"/>
    <x v="0"/>
    <x v="3"/>
    <x v="0"/>
    <x v="0"/>
    <x v="1"/>
    <x v="2"/>
    <x v="1"/>
    <x v="2"/>
    <x v="0"/>
    <x v="2"/>
    <x v="0"/>
    <x v="0"/>
    <x v="1"/>
    <x v="2"/>
    <x v="0"/>
    <x v="0"/>
    <x v="1"/>
    <x v="2"/>
    <x v="1"/>
    <x v="3"/>
    <x v="0"/>
    <x v="1"/>
    <x v="0"/>
    <x v="0"/>
    <x v="1"/>
    <x v="2"/>
    <x v="0"/>
    <m/>
    <x v="0"/>
    <x v="0"/>
    <x v="0"/>
    <x v="0"/>
    <m/>
    <x v="1"/>
    <x v="1"/>
    <x v="0"/>
    <x v="1"/>
    <x v="1"/>
    <x v="1"/>
    <x v="0"/>
    <x v="0"/>
    <x v="0"/>
    <x v="1"/>
    <x v="1"/>
    <x v="2"/>
    <x v="0"/>
    <x v="0"/>
    <x v="0"/>
    <x v="0"/>
    <x v="2"/>
    <x v="1"/>
    <x v="0"/>
    <x v="0"/>
    <x v="0"/>
    <x v="1"/>
    <x v="2"/>
    <x v="1"/>
    <x v="1"/>
    <x v="2"/>
    <x v="0"/>
    <x v="0"/>
    <x v="0"/>
    <x v="0"/>
    <m/>
    <s v="MUY BIEN"/>
    <s v="INSEGURA"/>
    <s v="MAL POR LAS VENTAS INFORMALES"/>
    <x v="0"/>
    <x v="0"/>
    <x v="3"/>
    <n v="0"/>
    <n v="0"/>
    <n v="0"/>
    <n v="0"/>
    <n v="1"/>
    <n v="1"/>
    <n v="0"/>
    <n v="0"/>
    <n v="0"/>
    <m/>
    <m/>
    <n v="83521842"/>
    <s v="b00ec2a1-ece6-471a-ba4b-4ebc7c59a659"/>
    <d v="2025-04-11T15:44:54"/>
    <m/>
    <m/>
    <s v="submitted_via_web"/>
    <m/>
    <s v="vpsziw45rUquZQYxjPdXa5"/>
    <m/>
    <n v="17"/>
  </r>
  <r>
    <d v="2025-04-11T10:40:27"/>
    <d v="2025-04-11T10:46:40"/>
    <s v="AFC"/>
    <n v="160"/>
    <d v="2025-03-23T00:00:00"/>
    <n v="3"/>
    <s v="BP"/>
    <s v="KV"/>
    <s v="-0,178881"/>
    <s v="-78,485664"/>
    <s v="1. Sí"/>
    <n v="12"/>
    <s v="1. Años"/>
    <n v="0"/>
    <n v="0"/>
    <n v="0"/>
    <n v="0"/>
    <x v="1"/>
    <n v="60"/>
    <x v="2"/>
    <s v="1. Sí"/>
    <m/>
    <s v="6. Mestiza(o)"/>
    <m/>
    <s v="5. Soltera/o"/>
    <x v="0"/>
    <s v="2. Incompleta"/>
    <s v="2. de $471 a $919"/>
    <s v="2. SEGURO"/>
    <s v="PORQUE ESTAN CERCA DE LA COMANDACIA DE LA POLICIA"/>
    <s v="HAY SEGURIDAD PRIVADA"/>
    <m/>
    <x v="0"/>
    <s v="Todos los horarios"/>
    <n v="0"/>
    <n v="0"/>
    <n v="0"/>
    <n v="0"/>
    <n v="1"/>
    <x v="2"/>
    <x v="1"/>
    <x v="0"/>
    <x v="0"/>
    <x v="3"/>
    <n v="0"/>
    <n v="0"/>
    <n v="0"/>
    <n v="0"/>
    <n v="0"/>
    <n v="1"/>
    <s v="CAMARAS DE SEGURIDAD"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3"/>
    <x v="0"/>
    <x v="0"/>
    <x v="1"/>
    <x v="1"/>
    <x v="1"/>
    <x v="1"/>
    <x v="1"/>
    <x v="2"/>
    <x v="0"/>
    <x v="0"/>
    <x v="0"/>
    <x v="0"/>
    <x v="1"/>
    <x v="1"/>
    <x v="0"/>
    <x v="0"/>
    <x v="0"/>
    <x v="0"/>
    <x v="1"/>
    <x v="2"/>
    <x v="1"/>
    <x v="2"/>
    <x v="0"/>
    <x v="0"/>
    <x v="0"/>
    <x v="0"/>
    <x v="0"/>
    <m/>
    <x v="0"/>
    <x v="0"/>
    <x v="0"/>
    <x v="1"/>
    <m/>
    <x v="0"/>
    <x v="0"/>
    <x v="0"/>
    <x v="0"/>
    <x v="0"/>
    <x v="0"/>
    <x v="0"/>
    <x v="0"/>
    <x v="0"/>
    <x v="1"/>
    <x v="2"/>
    <x v="0"/>
    <x v="1"/>
    <x v="1"/>
    <x v="0"/>
    <x v="1"/>
    <x v="1"/>
    <x v="1"/>
    <x v="0"/>
    <x v="2"/>
    <x v="2"/>
    <x v="0"/>
    <x v="0"/>
    <x v="2"/>
    <x v="0"/>
    <x v="0"/>
    <x v="0"/>
    <x v="0"/>
    <x v="0"/>
    <x v="0"/>
    <m/>
    <s v="SE SIENTE FELIZ PORQUE PUEDE TRABAJAR"/>
    <s v="CONOCE GENTE DE SU EDAD"/>
    <s v="PERO SI SE DEBERIA MEJOR A LA SEGURIDAD"/>
    <x v="0"/>
    <x v="0"/>
    <x v="0"/>
    <n v="0"/>
    <n v="0"/>
    <n v="0"/>
    <n v="0"/>
    <n v="1"/>
    <n v="0"/>
    <n v="0"/>
    <n v="0"/>
    <n v="0"/>
    <m/>
    <m/>
    <n v="83522053"/>
    <s v="1e8c2942-2a7b-4e3f-948c-a908503018b3"/>
    <d v="2025-04-11T15:46:41"/>
    <m/>
    <m/>
    <s v="submitted_via_web"/>
    <m/>
    <s v="vpsziw45rUquZQYxjPdXa5"/>
    <m/>
    <n v="18"/>
  </r>
  <r>
    <d v="2025-04-11T10:39:14"/>
    <d v="2025-04-11T10:51:36"/>
    <s v="JP"/>
    <n v="123"/>
    <d v="2025-03-23T00:00:00"/>
    <n v="2"/>
    <s v="LB"/>
    <s v="OM"/>
    <s v="-0,18188"/>
    <s v="-78,48317"/>
    <s v="1. Sí"/>
    <n v="20"/>
    <s v="1. Años"/>
    <n v="0"/>
    <n v="0"/>
    <n v="0"/>
    <n v="0"/>
    <x v="1"/>
    <n v="60"/>
    <x v="2"/>
    <s v="1. Sí"/>
    <m/>
    <s v="6. Mestiza(o)"/>
    <m/>
    <s v="2. Divorciada/o"/>
    <x v="0"/>
    <s v="1. Completa"/>
    <s v="1. Menos de $470"/>
    <s v="2. SEGURO"/>
    <s v="NO HAY PELIGRO YA QUE VIVE DESDE LA MAÑANA"/>
    <s v="PRESENCIA POLICIAL"/>
    <m/>
    <x v="0"/>
    <s v="Mañana  (06:00 a 11:59) Tarde (12:00 a 17:59)"/>
    <n v="0"/>
    <n v="1"/>
    <n v="1"/>
    <n v="0"/>
    <n v="0"/>
    <x v="0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3"/>
    <x v="0"/>
    <x v="0"/>
    <x v="0"/>
    <x v="1"/>
    <x v="0"/>
    <x v="1"/>
    <x v="1"/>
    <x v="1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m/>
    <x v="0"/>
    <x v="0"/>
    <x v="0"/>
    <x v="1"/>
    <m/>
    <x v="1"/>
    <x v="1"/>
    <x v="0"/>
    <x v="0"/>
    <x v="0"/>
    <x v="0"/>
    <x v="0"/>
    <x v="0"/>
    <x v="0"/>
    <x v="0"/>
    <x v="0"/>
    <x v="0"/>
    <x v="0"/>
    <x v="0"/>
    <x v="0"/>
    <x v="1"/>
    <x v="1"/>
    <x v="1"/>
    <x v="0"/>
    <x v="2"/>
    <x v="2"/>
    <x v="0"/>
    <x v="1"/>
    <x v="1"/>
    <x v="0"/>
    <x v="0"/>
    <x v="0"/>
    <x v="0"/>
    <x v="0"/>
    <x v="0"/>
    <m/>
    <s v="TRANQUILIDAD"/>
    <s v="PAZ"/>
    <m/>
    <x v="0"/>
    <x v="0"/>
    <x v="0"/>
    <n v="0"/>
    <n v="0"/>
    <n v="0"/>
    <n v="0"/>
    <n v="1"/>
    <n v="0"/>
    <n v="0"/>
    <n v="0"/>
    <n v="0"/>
    <m/>
    <m/>
    <n v="83522768"/>
    <s v="408ce921-0bb4-4025-9744-0e6e7020fe70"/>
    <d v="2025-04-11T15:51:37"/>
    <m/>
    <m/>
    <s v="submitted_via_web"/>
    <m/>
    <s v="vpsziw45rUquZQYxjPdXa5"/>
    <m/>
    <n v="19"/>
  </r>
  <r>
    <d v="2025-04-11T10:51:36"/>
    <d v="2025-04-11T10:55:16"/>
    <s v="JP"/>
    <n v="122"/>
    <d v="2025-03-23T00:00:00"/>
    <n v="2"/>
    <s v="DA"/>
    <s v="OM"/>
    <s v="-0,18201"/>
    <s v="-78,48307"/>
    <s v="1. Sí"/>
    <n v="13"/>
    <s v="1. Años"/>
    <n v="0"/>
    <n v="0"/>
    <n v="0"/>
    <n v="0"/>
    <x v="1"/>
    <n v="54"/>
    <x v="1"/>
    <s v="1. Sí"/>
    <m/>
    <s v="6. Mestiza(o)"/>
    <m/>
    <s v="4. Casada/o"/>
    <x v="0"/>
    <s v="2. Incompleta"/>
    <s v="2. de $471 a $919"/>
    <s v="2. SEGURO"/>
    <s v="AFLUENCIA DE GENTE"/>
    <s v="PRESENCIA POLICIAL"/>
    <m/>
    <x v="0"/>
    <s v="Mañana  (06:00 a 11:59) Tarde (12:00 a 17:59)"/>
    <n v="0"/>
    <n v="1"/>
    <n v="1"/>
    <n v="0"/>
    <n v="0"/>
    <x v="1"/>
    <x v="0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1"/>
    <x v="1"/>
    <x v="2"/>
    <x v="1"/>
    <x v="1"/>
    <x v="0"/>
    <x v="0"/>
    <x v="1"/>
    <x v="1"/>
    <x v="1"/>
    <x v="1"/>
    <x v="0"/>
    <x v="0"/>
    <x v="0"/>
    <x v="0"/>
    <x v="0"/>
    <x v="0"/>
    <x v="0"/>
    <x v="0"/>
    <x v="1"/>
    <x v="2"/>
    <x v="0"/>
    <x v="3"/>
    <x v="0"/>
    <x v="0"/>
    <x v="0"/>
    <x v="0"/>
    <x v="0"/>
    <m/>
    <x v="0"/>
    <x v="0"/>
    <x v="2"/>
    <x v="0"/>
    <m/>
    <x v="1"/>
    <x v="1"/>
    <x v="0"/>
    <x v="1"/>
    <x v="2"/>
    <x v="0"/>
    <x v="0"/>
    <x v="0"/>
    <x v="0"/>
    <x v="1"/>
    <x v="2"/>
    <x v="0"/>
    <x v="0"/>
    <x v="0"/>
    <x v="0"/>
    <x v="1"/>
    <x v="1"/>
    <x v="1"/>
    <x v="0"/>
    <x v="0"/>
    <x v="1"/>
    <x v="0"/>
    <x v="0"/>
    <x v="2"/>
    <x v="0"/>
    <x v="0"/>
    <x v="0"/>
    <x v="1"/>
    <x v="1"/>
    <x v="0"/>
    <m/>
    <s v="TRANQUILIDAD"/>
    <s v="FELICIDAD"/>
    <s v="NOSTALGIA"/>
    <x v="0"/>
    <x v="0"/>
    <x v="1"/>
    <n v="0"/>
    <n v="0"/>
    <n v="0"/>
    <n v="0"/>
    <n v="0"/>
    <n v="0"/>
    <n v="0"/>
    <n v="0"/>
    <n v="1"/>
    <s v="JUEGO DE NIÑOS"/>
    <s v="SERVICIOS HIGIENICOS EN EL SECTOR"/>
    <n v="83523103"/>
    <s v="6794b720-df12-48f0-ab33-4082d20d3808"/>
    <d v="2025-04-11T15:55:17"/>
    <m/>
    <m/>
    <s v="submitted_via_web"/>
    <m/>
    <s v="vpsziw45rUquZQYxjPdXa5"/>
    <m/>
    <n v="20"/>
  </r>
  <r>
    <d v="2025-04-11T10:46:40"/>
    <d v="2025-04-11T10:58:31"/>
    <s v="AFC"/>
    <n v="159"/>
    <d v="2025-03-23T00:00:00"/>
    <n v="3"/>
    <s v="BP"/>
    <s v="KV"/>
    <s v="-0,180039"/>
    <s v="-78,484108"/>
    <s v="1. Sí"/>
    <n v="28"/>
    <s v="1. Años"/>
    <n v="0"/>
    <n v="0"/>
    <n v="0"/>
    <n v="0"/>
    <x v="0"/>
    <n v="68"/>
    <x v="2"/>
    <s v="1. Sí"/>
    <m/>
    <s v="6. Mestiza(o)"/>
    <m/>
    <s v="4. Casada/o"/>
    <x v="0"/>
    <s v="1. Completa"/>
    <s v="1. Menos de $470"/>
    <s v="3. INSEGURO"/>
    <s v="HA DEJADO DE VENIR GENTE EN EL PARQUE"/>
    <s v="HABIA MAS ALFUENCIA DE GENTE POR LA INSEGURIDAD Y YA NO VIENEN"/>
    <m/>
    <x v="1"/>
    <s v="Noche  (18:00 a 23:59)"/>
    <n v="0"/>
    <n v="0"/>
    <n v="0"/>
    <n v="1"/>
    <n v="0"/>
    <x v="1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1"/>
    <x v="0"/>
    <x v="0"/>
    <x v="0"/>
    <x v="0"/>
    <x v="1"/>
    <x v="2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0"/>
    <m/>
    <x v="0"/>
    <x v="0"/>
    <x v="2"/>
    <x v="0"/>
    <m/>
    <x v="1"/>
    <x v="1"/>
    <x v="0"/>
    <x v="1"/>
    <x v="2"/>
    <x v="0"/>
    <x v="0"/>
    <x v="0"/>
    <x v="0"/>
    <x v="1"/>
    <x v="2"/>
    <x v="0"/>
    <x v="1"/>
    <x v="1"/>
    <x v="0"/>
    <x v="0"/>
    <x v="2"/>
    <x v="1"/>
    <x v="0"/>
    <x v="2"/>
    <x v="2"/>
    <x v="0"/>
    <x v="1"/>
    <x v="1"/>
    <x v="1"/>
    <x v="2"/>
    <x v="0"/>
    <x v="0"/>
    <x v="0"/>
    <x v="0"/>
    <m/>
    <s v="SE SIENTE TRANQUILO PORQUE PUEDE TRABAJAR"/>
    <s v="HASTA AHORA NO LE HA PASADO NADA"/>
    <m/>
    <x v="0"/>
    <x v="0"/>
    <x v="1"/>
    <n v="0"/>
    <n v="0"/>
    <n v="0"/>
    <n v="0"/>
    <n v="0"/>
    <n v="0"/>
    <n v="0"/>
    <n v="0"/>
    <n v="1"/>
    <s v="ALQUILER DE CARRITOS A BATERIA PARA NIÑOS"/>
    <m/>
    <n v="83523507"/>
    <s v="f2e9dd45-54fb-4191-8045-5c37256435fa"/>
    <d v="2025-04-11T15:58:32"/>
    <m/>
    <m/>
    <s v="submitted_via_web"/>
    <m/>
    <s v="vpsziw45rUquZQYxjPdXa5"/>
    <m/>
    <n v="21"/>
  </r>
  <r>
    <d v="2025-04-11T10:55:16"/>
    <d v="2025-04-11T10:59:56"/>
    <s v="JP"/>
    <n v="120"/>
    <d v="2025-03-23T00:00:00"/>
    <n v="2"/>
    <s v="DA"/>
    <s v="OM"/>
    <s v="-0,18165"/>
    <s v="-78,48355"/>
    <s v="1. Sí"/>
    <n v="8"/>
    <s v="1. Años"/>
    <n v="0"/>
    <n v="0"/>
    <n v="0"/>
    <n v="0"/>
    <x v="1"/>
    <n v="36"/>
    <x v="0"/>
    <s v="1. Sí"/>
    <m/>
    <s v="6. Mestiza(o)"/>
    <m/>
    <s v="5. Soltera/o"/>
    <x v="0"/>
    <s v="1. Completa"/>
    <s v="2. de $471 a $919"/>
    <s v="3. INSEGURO"/>
    <s v="FALTA DE ILUMINACION"/>
    <s v="AUSENCIA DE LA POLICIA"/>
    <m/>
    <x v="0"/>
    <s v="Mañana  (06:00 a 11:59) Tarde (12:00 a 17:59)"/>
    <n v="0"/>
    <n v="1"/>
    <n v="1"/>
    <n v="0"/>
    <n v="0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1"/>
    <x v="1"/>
    <x v="0"/>
    <x v="1"/>
    <x v="0"/>
    <x v="1"/>
    <x v="0"/>
    <x v="3"/>
    <x v="0"/>
    <x v="0"/>
    <x v="1"/>
    <x v="3"/>
    <x v="0"/>
    <x v="0"/>
    <x v="0"/>
    <x v="0"/>
    <x v="1"/>
    <x v="2"/>
    <x v="0"/>
    <x v="0"/>
    <x v="1"/>
    <x v="1"/>
    <x v="1"/>
    <x v="3"/>
    <x v="0"/>
    <x v="1"/>
    <x v="0"/>
    <x v="0"/>
    <x v="0"/>
    <x v="0"/>
    <x v="0"/>
    <m/>
    <x v="0"/>
    <x v="0"/>
    <x v="0"/>
    <x v="0"/>
    <m/>
    <x v="1"/>
    <x v="1"/>
    <x v="0"/>
    <x v="1"/>
    <x v="1"/>
    <x v="1"/>
    <x v="0"/>
    <x v="0"/>
    <x v="0"/>
    <x v="0"/>
    <x v="0"/>
    <x v="0"/>
    <x v="0"/>
    <x v="0"/>
    <x v="0"/>
    <x v="1"/>
    <x v="1"/>
    <x v="1"/>
    <x v="0"/>
    <x v="0"/>
    <x v="0"/>
    <x v="0"/>
    <x v="1"/>
    <x v="1"/>
    <x v="0"/>
    <x v="0"/>
    <x v="0"/>
    <x v="0"/>
    <x v="0"/>
    <x v="0"/>
    <m/>
    <s v="BIEN"/>
    <s v="TRANQUILA"/>
    <s v="INSEGURA"/>
    <x v="0"/>
    <x v="0"/>
    <x v="1"/>
    <n v="0"/>
    <n v="0"/>
    <n v="0"/>
    <n v="0"/>
    <n v="0"/>
    <n v="0"/>
    <n v="0"/>
    <n v="0"/>
    <n v="1"/>
    <s v="JUGUETES"/>
    <s v="MAS ILUMINACION, MAS SEGURIDAD Y RETIRO DE VENTAS AMBULANTES"/>
    <n v="83523579"/>
    <s v="fa4ab788-290c-464d-9181-13d1baf93d3f"/>
    <d v="2025-04-11T15:59:57"/>
    <m/>
    <m/>
    <s v="submitted_via_web"/>
    <m/>
    <s v="vpsziw45rUquZQYxjPdXa5"/>
    <m/>
    <n v="22"/>
  </r>
  <r>
    <d v="2025-04-11T10:59:56"/>
    <d v="2025-04-11T11:03:09"/>
    <s v="JP"/>
    <n v="119"/>
    <d v="2025-03-23T00:00:00"/>
    <n v="2"/>
    <s v="LB"/>
    <s v="OM"/>
    <s v="-0,18158"/>
    <s v="-78,48366"/>
    <s v="1. Sí"/>
    <n v="35"/>
    <s v="1. Años"/>
    <n v="0"/>
    <n v="0"/>
    <n v="0"/>
    <n v="0"/>
    <x v="1"/>
    <n v="67"/>
    <x v="2"/>
    <s v="1. Sí"/>
    <m/>
    <s v="6. Mestiza(o)"/>
    <m/>
    <s v="4. Casada/o"/>
    <x v="0"/>
    <s v="1. Completa"/>
    <s v="1. Menos de $470"/>
    <s v="2. SEGURO"/>
    <s v="PRESENCIA POLICIAL"/>
    <s v="GUARDAPARQUES"/>
    <m/>
    <x v="0"/>
    <s v="Mañana  (06:00 a 11:59) Tarde (12:00 a 17:59)"/>
    <n v="0"/>
    <n v="1"/>
    <n v="1"/>
    <n v="0"/>
    <n v="0"/>
    <x v="2"/>
    <x v="0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0"/>
    <m/>
    <x v="0"/>
    <x v="0"/>
    <x v="0"/>
    <x v="0"/>
    <m/>
    <x v="1"/>
    <x v="1"/>
    <x v="0"/>
    <x v="0"/>
    <x v="0"/>
    <x v="0"/>
    <x v="0"/>
    <x v="0"/>
    <x v="0"/>
    <x v="1"/>
    <x v="2"/>
    <x v="0"/>
    <x v="0"/>
    <x v="0"/>
    <x v="0"/>
    <x v="0"/>
    <x v="2"/>
    <x v="1"/>
    <x v="1"/>
    <x v="1"/>
    <x v="2"/>
    <x v="0"/>
    <x v="1"/>
    <x v="1"/>
    <x v="0"/>
    <x v="0"/>
    <x v="0"/>
    <x v="0"/>
    <x v="0"/>
    <x v="0"/>
    <m/>
    <s v="MOLESTIA PORQUE NO HAY BASURERO"/>
    <s v="MUCHA PRESENCIA DE VENEZOLANOS"/>
    <m/>
    <x v="0"/>
    <x v="0"/>
    <x v="0"/>
    <n v="0"/>
    <n v="0"/>
    <n v="0"/>
    <n v="0"/>
    <n v="1"/>
    <n v="0"/>
    <n v="0"/>
    <n v="0"/>
    <n v="0"/>
    <m/>
    <m/>
    <n v="83523683"/>
    <s v="83204df4-b684-4c89-8528-78353ace6fb8"/>
    <d v="2025-04-11T16:03:09"/>
    <m/>
    <m/>
    <s v="submitted_via_web"/>
    <m/>
    <s v="vpsziw45rUquZQYxjPdXa5"/>
    <m/>
    <n v="23"/>
  </r>
  <r>
    <d v="2025-04-11T11:03:09"/>
    <d v="2025-04-11T11:12:36"/>
    <s v="JP"/>
    <n v="118"/>
    <d v="2025-03-23T00:00:00"/>
    <n v="2"/>
    <s v="GB-CCH"/>
    <s v="OM"/>
    <s v="-0,18277"/>
    <s v="-78,48656"/>
    <s v="1. Sí"/>
    <n v="45"/>
    <s v="1. Años"/>
    <n v="0"/>
    <n v="0"/>
    <n v="0"/>
    <n v="0"/>
    <x v="1"/>
    <n v="65"/>
    <x v="2"/>
    <s v="1. Sí"/>
    <m/>
    <s v="6. Mestiza(o)"/>
    <m/>
    <s v="1. Unión de Hecho/Libre"/>
    <x v="0"/>
    <s v="1. Completa"/>
    <s v="1. Menos de $470"/>
    <s v="2. SEGURO"/>
    <s v="SE SIENTE SEGURA PORQUE ESTA AL LADO DE LA UPC"/>
    <m/>
    <m/>
    <x v="0"/>
    <s v="Mañana  (06:00 a 11:59) Tarde (12:00 a 17:59)"/>
    <n v="0"/>
    <n v="1"/>
    <n v="1"/>
    <n v="0"/>
    <n v="0"/>
    <x v="2"/>
    <x v="1"/>
    <x v="1"/>
    <x v="1"/>
    <x v="1"/>
    <m/>
    <m/>
    <m/>
    <m/>
    <m/>
    <m/>
    <m/>
    <x v="1"/>
    <x v="2"/>
    <n v="1"/>
    <n v="0"/>
    <n v="0"/>
    <n v="0"/>
    <n v="0"/>
    <n v="0"/>
    <n v="0"/>
    <n v="0"/>
    <m/>
    <m/>
    <n v="0"/>
    <m/>
    <m/>
    <s v="2. No"/>
    <m/>
    <m/>
    <m/>
    <m/>
    <m/>
    <m/>
    <m/>
    <x v="1"/>
    <m/>
    <x v="0"/>
    <x v="0"/>
    <x v="0"/>
    <x v="0"/>
    <x v="0"/>
    <x v="0"/>
    <x v="0"/>
    <x v="3"/>
    <x v="1"/>
    <x v="1"/>
    <x v="0"/>
    <x v="0"/>
    <x v="1"/>
    <x v="1"/>
    <x v="1"/>
    <x v="1"/>
    <x v="0"/>
    <x v="0"/>
    <x v="0"/>
    <x v="0"/>
    <x v="0"/>
    <x v="0"/>
    <x v="0"/>
    <x v="0"/>
    <x v="1"/>
    <x v="2"/>
    <x v="0"/>
    <x v="3"/>
    <x v="0"/>
    <x v="0"/>
    <x v="0"/>
    <x v="0"/>
    <x v="0"/>
    <m/>
    <x v="0"/>
    <x v="0"/>
    <x v="2"/>
    <x v="0"/>
    <m/>
    <x v="1"/>
    <x v="1"/>
    <x v="0"/>
    <x v="0"/>
    <x v="0"/>
    <x v="0"/>
    <x v="0"/>
    <x v="0"/>
    <x v="0"/>
    <x v="0"/>
    <x v="0"/>
    <x v="0"/>
    <x v="0"/>
    <x v="0"/>
    <x v="0"/>
    <x v="0"/>
    <x v="2"/>
    <x v="1"/>
    <x v="0"/>
    <x v="0"/>
    <x v="0"/>
    <x v="0"/>
    <x v="1"/>
    <x v="1"/>
    <x v="0"/>
    <x v="0"/>
    <x v="0"/>
    <x v="0"/>
    <x v="0"/>
    <x v="0"/>
    <m/>
    <s v="BIEN"/>
    <s v="SEGURA"/>
    <s v="TRABAJA EN EL PARQUE"/>
    <x v="1"/>
    <x v="0"/>
    <x v="2"/>
    <n v="0"/>
    <n v="1"/>
    <n v="0"/>
    <n v="0"/>
    <n v="0"/>
    <n v="0"/>
    <n v="0"/>
    <n v="0"/>
    <n v="0"/>
    <m/>
    <m/>
    <n v="83523970"/>
    <s v="988ef450-93f0-4ab9-835c-68fcbdaabe68"/>
    <d v="2025-04-11T16:12:37"/>
    <m/>
    <m/>
    <s v="submitted_via_web"/>
    <m/>
    <s v="vpsziw45rUquZQYxjPdXa5"/>
    <m/>
    <n v="24"/>
  </r>
  <r>
    <d v="2025-04-11T11:06:50"/>
    <d v="2025-04-11T11:12:52"/>
    <s v="AFC"/>
    <n v="158"/>
    <d v="2025-03-23T00:00:00"/>
    <n v="3"/>
    <s v="GB-NC"/>
    <s v="KV"/>
    <s v="-0,181313"/>
    <s v="-78,48335"/>
    <s v="1. Sí"/>
    <n v="6"/>
    <s v="1. Años"/>
    <n v="0"/>
    <n v="0"/>
    <n v="0"/>
    <n v="0"/>
    <x v="1"/>
    <n v="56"/>
    <x v="2"/>
    <s v="1. Sí"/>
    <m/>
    <s v="6. Mestiza(o)"/>
    <m/>
    <s v="2. Divorciada/o"/>
    <x v="0"/>
    <s v="1. Completa"/>
    <s v="1. Menos de $470"/>
    <s v="3. INSEGURO"/>
    <s v="VISTO ROBO EN EL PARQUE"/>
    <s v="MUCHA DELINCUENCIA"/>
    <m/>
    <x v="1"/>
    <s v="Mañana  (06:00 a 11:59) Tarde (12:00 a 17:59)"/>
    <n v="0"/>
    <n v="1"/>
    <n v="1"/>
    <n v="0"/>
    <n v="0"/>
    <x v="1"/>
    <x v="0"/>
    <x v="1"/>
    <x v="1"/>
    <x v="1"/>
    <m/>
    <m/>
    <m/>
    <m/>
    <m/>
    <m/>
    <m/>
    <x v="1"/>
    <x v="3"/>
    <n v="0"/>
    <n v="0"/>
    <n v="0"/>
    <n v="0"/>
    <n v="1"/>
    <n v="0"/>
    <n v="0"/>
    <n v="0"/>
    <m/>
    <m/>
    <n v="0"/>
    <m/>
    <m/>
    <m/>
    <m/>
    <m/>
    <m/>
    <s v="2. No"/>
    <m/>
    <m/>
    <m/>
    <x v="1"/>
    <m/>
    <x v="0"/>
    <x v="0"/>
    <x v="0"/>
    <x v="0"/>
    <x v="0"/>
    <x v="3"/>
    <x v="0"/>
    <x v="1"/>
    <x v="1"/>
    <x v="1"/>
    <x v="1"/>
    <x v="2"/>
    <x v="1"/>
    <x v="3"/>
    <x v="1"/>
    <x v="1"/>
    <x v="0"/>
    <x v="0"/>
    <x v="0"/>
    <x v="0"/>
    <x v="0"/>
    <x v="0"/>
    <x v="0"/>
    <x v="0"/>
    <x v="1"/>
    <x v="3"/>
    <x v="1"/>
    <x v="2"/>
    <x v="0"/>
    <x v="0"/>
    <x v="1"/>
    <x v="2"/>
    <x v="0"/>
    <m/>
    <x v="0"/>
    <x v="0"/>
    <x v="0"/>
    <x v="0"/>
    <m/>
    <x v="1"/>
    <x v="1"/>
    <x v="0"/>
    <x v="0"/>
    <x v="0"/>
    <x v="0"/>
    <x v="0"/>
    <x v="0"/>
    <x v="0"/>
    <x v="1"/>
    <x v="1"/>
    <x v="2"/>
    <x v="0"/>
    <x v="0"/>
    <x v="0"/>
    <x v="0"/>
    <x v="2"/>
    <x v="1"/>
    <x v="0"/>
    <x v="0"/>
    <x v="0"/>
    <x v="0"/>
    <x v="1"/>
    <x v="1"/>
    <x v="1"/>
    <x v="2"/>
    <x v="0"/>
    <x v="0"/>
    <x v="0"/>
    <x v="0"/>
    <m/>
    <s v="FELIZ"/>
    <s v="AGRADECIDA CON LA NATURALEZA"/>
    <s v="SE SIENTE BIEN EN EL PARQUE"/>
    <x v="0"/>
    <x v="0"/>
    <x v="1"/>
    <n v="0"/>
    <n v="0"/>
    <n v="0"/>
    <n v="0"/>
    <n v="0"/>
    <n v="0"/>
    <n v="0"/>
    <n v="0"/>
    <n v="1"/>
    <s v="JUEGO SALTARIN"/>
    <m/>
    <n v="83523973"/>
    <s v="5c6cc843-0aff-4a7a-9622-5350cd698877"/>
    <d v="2025-04-11T16:12:52"/>
    <m/>
    <m/>
    <s v="submitted_via_web"/>
    <m/>
    <s v="vpsziw45rUquZQYxjPdXa5"/>
    <m/>
    <n v="25"/>
  </r>
  <r>
    <d v="2025-04-11T11:12:36"/>
    <d v="2025-04-11T11:17:18"/>
    <s v="JP"/>
    <n v="117"/>
    <d v="2025-03-22T00:00:00"/>
    <n v="1"/>
    <s v="MQ"/>
    <s v="GH"/>
    <s v="-0,18773"/>
    <s v="-78,48356"/>
    <s v="1. Sí"/>
    <n v="3"/>
    <s v="1. Años"/>
    <n v="0"/>
    <n v="0"/>
    <n v="0"/>
    <n v="0"/>
    <x v="0"/>
    <n v="71"/>
    <x v="2"/>
    <s v="1. Sí"/>
    <m/>
    <s v="6. Mestiza(o)"/>
    <m/>
    <s v="4. Casada/o"/>
    <x v="1"/>
    <s v="2. Incompleta"/>
    <s v="99. NS/NC"/>
    <s v="3. INSEGURO"/>
    <s v="SITIO ESTA DESOLADO"/>
    <s v="FALTA PATRULLAJE POLICIAL"/>
    <s v="FALTA PATRULLAJE GUARDABOSQUES"/>
    <x v="1"/>
    <s v="Noche  (18:00 a 23:59)"/>
    <n v="0"/>
    <n v="0"/>
    <n v="0"/>
    <n v="1"/>
    <n v="0"/>
    <x v="1"/>
    <x v="1"/>
    <x v="1"/>
    <x v="0"/>
    <x v="3"/>
    <n v="0"/>
    <n v="0"/>
    <n v="0"/>
    <n v="0"/>
    <n v="0"/>
    <n v="1"/>
    <s v="GUARDIAS PAGADOS ASOCIACION"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0"/>
    <x v="1"/>
    <x v="2"/>
    <x v="1"/>
    <x v="1"/>
    <x v="1"/>
    <x v="2"/>
    <x v="1"/>
    <x v="2"/>
    <x v="1"/>
    <x v="1"/>
    <x v="0"/>
    <x v="0"/>
    <x v="1"/>
    <x v="3"/>
    <x v="1"/>
    <x v="2"/>
    <x v="0"/>
    <x v="0"/>
    <x v="0"/>
    <x v="0"/>
    <x v="0"/>
    <x v="3"/>
    <x v="0"/>
    <x v="0"/>
    <x v="0"/>
    <x v="0"/>
    <x v="0"/>
    <m/>
    <x v="0"/>
    <x v="0"/>
    <x v="0"/>
    <x v="1"/>
    <m/>
    <x v="0"/>
    <x v="0"/>
    <x v="0"/>
    <x v="0"/>
    <x v="0"/>
    <x v="0"/>
    <x v="0"/>
    <x v="0"/>
    <x v="0"/>
    <x v="1"/>
    <x v="1"/>
    <x v="2"/>
    <x v="0"/>
    <x v="0"/>
    <x v="0"/>
    <x v="0"/>
    <x v="2"/>
    <x v="1"/>
    <x v="0"/>
    <x v="0"/>
    <x v="1"/>
    <x v="0"/>
    <x v="0"/>
    <x v="2"/>
    <x v="0"/>
    <x v="0"/>
    <x v="0"/>
    <x v="0"/>
    <x v="0"/>
    <x v="0"/>
    <m/>
    <s v="TRANQUILA"/>
    <s v="TRABAJAN CON CUIDADO"/>
    <m/>
    <x v="0"/>
    <x v="0"/>
    <x v="0"/>
    <n v="0"/>
    <n v="0"/>
    <n v="0"/>
    <n v="0"/>
    <n v="1"/>
    <n v="0"/>
    <n v="0"/>
    <n v="0"/>
    <n v="0"/>
    <m/>
    <m/>
    <n v="83524071"/>
    <s v="371edbb2-7f42-40b1-a71d-f63ec4937f1b"/>
    <d v="2025-04-11T16:17:18"/>
    <m/>
    <m/>
    <s v="submitted_via_web"/>
    <m/>
    <s v="vpsziw45rUquZQYxjPdXa5"/>
    <m/>
    <n v="26"/>
  </r>
  <r>
    <d v="2025-04-11T11:17:19"/>
    <d v="2025-04-11T11:21:33"/>
    <s v="JP"/>
    <n v="115"/>
    <d v="2025-03-22T00:00:00"/>
    <n v="1"/>
    <s v="EB"/>
    <s v="GH"/>
    <s v="-0,18754"/>
    <s v="-78,48383"/>
    <s v="1. Sí"/>
    <n v="10"/>
    <s v="1. Años"/>
    <n v="0"/>
    <n v="0"/>
    <n v="0"/>
    <n v="0"/>
    <x v="0"/>
    <n v="61"/>
    <x v="2"/>
    <s v="1. Sí"/>
    <m/>
    <s v="7. Blanca(o)"/>
    <m/>
    <s v="3. Viuda/o"/>
    <x v="1"/>
    <s v="1. Completa"/>
    <s v="99. NS/NC"/>
    <s v="4. MUY INSEGURO"/>
    <s v="FALTA DE POLICIAS"/>
    <m/>
    <m/>
    <x v="1"/>
    <s v="Noche  (18:00 a 23:59)"/>
    <n v="0"/>
    <n v="0"/>
    <n v="0"/>
    <n v="1"/>
    <n v="0"/>
    <x v="2"/>
    <x v="1"/>
    <x v="0"/>
    <x v="0"/>
    <x v="3"/>
    <n v="0"/>
    <n v="0"/>
    <n v="0"/>
    <n v="0"/>
    <n v="0"/>
    <n v="1"/>
    <s v="CAMARA"/>
    <x v="0"/>
    <x v="0"/>
    <m/>
    <m/>
    <m/>
    <m/>
    <m/>
    <m/>
    <m/>
    <m/>
    <m/>
    <m/>
    <m/>
    <m/>
    <m/>
    <m/>
    <m/>
    <m/>
    <m/>
    <m/>
    <m/>
    <m/>
    <m/>
    <x v="0"/>
    <m/>
    <x v="1"/>
    <x v="2"/>
    <x v="0"/>
    <x v="0"/>
    <x v="0"/>
    <x v="3"/>
    <x v="0"/>
    <x v="3"/>
    <x v="1"/>
    <x v="1"/>
    <x v="0"/>
    <x v="0"/>
    <x v="1"/>
    <x v="3"/>
    <x v="0"/>
    <x v="2"/>
    <x v="0"/>
    <x v="0"/>
    <x v="0"/>
    <x v="0"/>
    <x v="0"/>
    <x v="0"/>
    <x v="0"/>
    <x v="0"/>
    <x v="1"/>
    <x v="2"/>
    <x v="0"/>
    <x v="0"/>
    <x v="0"/>
    <x v="0"/>
    <x v="1"/>
    <x v="1"/>
    <x v="0"/>
    <m/>
    <x v="0"/>
    <x v="0"/>
    <x v="0"/>
    <x v="0"/>
    <m/>
    <x v="1"/>
    <x v="1"/>
    <x v="0"/>
    <x v="0"/>
    <x v="0"/>
    <x v="0"/>
    <x v="0"/>
    <x v="0"/>
    <x v="0"/>
    <x v="1"/>
    <x v="2"/>
    <x v="0"/>
    <x v="1"/>
    <x v="2"/>
    <x v="1"/>
    <x v="0"/>
    <x v="2"/>
    <x v="1"/>
    <x v="0"/>
    <x v="0"/>
    <x v="1"/>
    <x v="0"/>
    <x v="1"/>
    <x v="1"/>
    <x v="1"/>
    <x v="2"/>
    <x v="0"/>
    <x v="0"/>
    <x v="0"/>
    <x v="0"/>
    <m/>
    <s v="TRANQUILIDAD"/>
    <m/>
    <m/>
    <x v="0"/>
    <x v="0"/>
    <x v="1"/>
    <n v="0"/>
    <n v="0"/>
    <n v="0"/>
    <n v="0"/>
    <n v="0"/>
    <n v="0"/>
    <n v="0"/>
    <n v="0"/>
    <n v="1"/>
    <s v="JUGOS Y FRUTAS"/>
    <m/>
    <n v="83524162"/>
    <s v="1218ba95-c6ad-42de-8cd5-c03f55a87e36"/>
    <d v="2025-04-11T16:21:33"/>
    <m/>
    <m/>
    <s v="submitted_via_web"/>
    <m/>
    <s v="vpsziw45rUquZQYxjPdXa5"/>
    <m/>
    <n v="27"/>
  </r>
  <r>
    <d v="2025-04-11T11:12:52"/>
    <d v="2025-04-11T11:21:47"/>
    <s v="AFC"/>
    <n v="157"/>
    <d v="2025-03-23T00:00:00"/>
    <n v="3"/>
    <s v="GB-NC"/>
    <s v="KV"/>
    <s v="-0,18107"/>
    <s v="-78,48328"/>
    <s v="1. Sí"/>
    <n v="12"/>
    <s v="1. Años"/>
    <n v="0"/>
    <n v="0"/>
    <n v="0"/>
    <n v="0"/>
    <x v="1"/>
    <n v="45"/>
    <x v="1"/>
    <s v="1. Sí"/>
    <m/>
    <s v="6. Mestiza(o)"/>
    <m/>
    <s v="4. Casada/o"/>
    <x v="0"/>
    <s v="1. Completa"/>
    <s v="1. Menos de $470"/>
    <s v="2. SEGURO"/>
    <s v="NO HA TENIDO INCONVENIENTE"/>
    <s v="LA CONVIVENCIA ENTRE COMERCIANTES"/>
    <m/>
    <x v="0"/>
    <s v="Mañana  (06:00 a 11:59) Tarde (12:00 a 17:59) Noche  (18:00 a 23:59)"/>
    <n v="0"/>
    <n v="1"/>
    <n v="1"/>
    <n v="1"/>
    <n v="0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2"/>
    <x v="0"/>
    <x v="0"/>
    <x v="0"/>
    <x v="3"/>
    <x v="0"/>
    <x v="1"/>
    <x v="1"/>
    <x v="1"/>
    <x v="1"/>
    <x v="2"/>
    <x v="0"/>
    <x v="0"/>
    <x v="1"/>
    <x v="1"/>
    <x v="0"/>
    <x v="0"/>
    <x v="0"/>
    <x v="0"/>
    <x v="0"/>
    <x v="0"/>
    <x v="0"/>
    <x v="0"/>
    <x v="1"/>
    <x v="2"/>
    <x v="1"/>
    <x v="2"/>
    <x v="0"/>
    <x v="0"/>
    <x v="1"/>
    <x v="2"/>
    <x v="0"/>
    <m/>
    <x v="0"/>
    <x v="0"/>
    <x v="0"/>
    <x v="0"/>
    <m/>
    <x v="1"/>
    <x v="1"/>
    <x v="0"/>
    <x v="1"/>
    <x v="1"/>
    <x v="1"/>
    <x v="0"/>
    <x v="0"/>
    <x v="0"/>
    <x v="1"/>
    <x v="1"/>
    <x v="2"/>
    <x v="0"/>
    <x v="0"/>
    <x v="0"/>
    <x v="0"/>
    <x v="2"/>
    <x v="1"/>
    <x v="0"/>
    <x v="0"/>
    <x v="0"/>
    <x v="0"/>
    <x v="0"/>
    <x v="0"/>
    <x v="1"/>
    <x v="1"/>
    <x v="1"/>
    <x v="0"/>
    <x v="0"/>
    <x v="0"/>
    <m/>
    <s v="SE SIENTE MAL CON LAS VENTAS AMBULANTES"/>
    <s v="MAL CON LOS HOMBRES QUE HACEN SUS NECESIDADES EN EL ARBOL"/>
    <m/>
    <x v="0"/>
    <x v="0"/>
    <x v="6"/>
    <n v="0"/>
    <n v="1"/>
    <n v="0"/>
    <n v="0"/>
    <n v="1"/>
    <n v="0"/>
    <n v="0"/>
    <n v="0"/>
    <n v="0"/>
    <m/>
    <m/>
    <n v="83524169"/>
    <s v="8d744947-e5c2-486e-bfa6-c733acdd5fb5"/>
    <d v="2025-04-11T16:21:47"/>
    <m/>
    <m/>
    <s v="submitted_via_web"/>
    <m/>
    <s v="vpsziw45rUquZQYxjPdXa5"/>
    <m/>
    <n v="28"/>
  </r>
  <r>
    <d v="2025-04-11T11:21:47"/>
    <d v="2025-04-11T11:31:37"/>
    <s v="AFC"/>
    <n v="156"/>
    <d v="2025-03-23T00:00:00"/>
    <n v="3"/>
    <s v="GB-NC"/>
    <s v="KV"/>
    <s v="-0,181200"/>
    <s v="-78,483820"/>
    <s v="1. Sí"/>
    <n v="10"/>
    <s v="1. Años"/>
    <n v="0"/>
    <n v="0"/>
    <n v="0"/>
    <n v="0"/>
    <x v="0"/>
    <n v="31"/>
    <x v="0"/>
    <s v="1. Sí"/>
    <m/>
    <s v="1. Indígena"/>
    <m/>
    <s v="4. Casada/o"/>
    <x v="0"/>
    <s v="1. Completa"/>
    <s v="2. de $471 a $919"/>
    <s v="2. SEGURO"/>
    <s v="LA PRESENCIA DE POLICIA"/>
    <s v="LA PRESENCIA DE GUARDAPARQUES"/>
    <s v="EL SECTOR ES SEGURO"/>
    <x v="0"/>
    <s v="Mañana  (06:00 a 11:59) Tarde (12:00 a 17:59)"/>
    <n v="0"/>
    <n v="1"/>
    <n v="1"/>
    <n v="0"/>
    <n v="0"/>
    <x v="2"/>
    <x v="1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3"/>
    <x v="0"/>
    <x v="0"/>
    <x v="1"/>
    <x v="1"/>
    <x v="1"/>
    <x v="2"/>
    <x v="1"/>
    <x v="1"/>
    <x v="0"/>
    <x v="2"/>
    <x v="1"/>
    <x v="3"/>
    <x v="1"/>
    <x v="1"/>
    <x v="1"/>
    <x v="2"/>
    <x v="0"/>
    <x v="0"/>
    <x v="1"/>
    <x v="3"/>
    <x v="0"/>
    <x v="3"/>
    <x v="0"/>
    <x v="0"/>
    <x v="0"/>
    <x v="0"/>
    <x v="0"/>
    <m/>
    <x v="0"/>
    <x v="0"/>
    <x v="0"/>
    <x v="0"/>
    <m/>
    <x v="1"/>
    <x v="2"/>
    <x v="1"/>
    <x v="0"/>
    <x v="0"/>
    <x v="0"/>
    <x v="1"/>
    <x v="1"/>
    <x v="0"/>
    <x v="1"/>
    <x v="2"/>
    <x v="0"/>
    <x v="1"/>
    <x v="1"/>
    <x v="0"/>
    <x v="0"/>
    <x v="2"/>
    <x v="1"/>
    <x v="0"/>
    <x v="0"/>
    <x v="0"/>
    <x v="0"/>
    <x v="0"/>
    <x v="0"/>
    <x v="1"/>
    <x v="2"/>
    <x v="0"/>
    <x v="0"/>
    <x v="0"/>
    <x v="0"/>
    <m/>
    <s v="SE SIENTE COMO EN CASA"/>
    <s v="SEGURO"/>
    <m/>
    <x v="0"/>
    <x v="0"/>
    <x v="6"/>
    <n v="0"/>
    <n v="1"/>
    <n v="0"/>
    <n v="0"/>
    <n v="1"/>
    <n v="0"/>
    <n v="0"/>
    <n v="0"/>
    <n v="0"/>
    <m/>
    <m/>
    <n v="83524518"/>
    <s v="fa08590e-dfe3-4ffb-9580-80f9e4e9e7c1"/>
    <d v="2025-04-11T16:31:36"/>
    <m/>
    <m/>
    <s v="submitted_via_web"/>
    <m/>
    <s v="vpsziw45rUquZQYxjPdXa5"/>
    <m/>
    <n v="29"/>
  </r>
  <r>
    <d v="2025-04-11T11:21:33"/>
    <d v="2025-04-11T11:33:03"/>
    <s v="JP"/>
    <n v="112"/>
    <d v="2025-03-22T00:00:00"/>
    <n v="1"/>
    <s v="GB-SCH"/>
    <s v="GH"/>
    <s v="-0,18770"/>
    <s v="-78,48394"/>
    <s v="1. Sí"/>
    <n v="30"/>
    <s v="1. Años"/>
    <n v="0"/>
    <n v="0"/>
    <n v="0"/>
    <n v="1"/>
    <x v="1"/>
    <n v="69"/>
    <x v="2"/>
    <s v="1. Sí"/>
    <m/>
    <s v="1. Indígena"/>
    <m/>
    <s v="3. Viuda/o"/>
    <x v="4"/>
    <m/>
    <s v="2. de $471 a $919"/>
    <s v="2. SEGURO"/>
    <s v="TRABAJA AÑOS Y CONOCE EL SECTOR"/>
    <m/>
    <m/>
    <x v="0"/>
    <s v="Todos los horarios"/>
    <n v="0"/>
    <n v="0"/>
    <n v="0"/>
    <n v="0"/>
    <n v="1"/>
    <x v="1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1"/>
    <x v="0"/>
    <x v="0"/>
    <x v="1"/>
    <x v="2"/>
    <x v="0"/>
    <x v="3"/>
    <x v="0"/>
    <x v="2"/>
    <x v="1"/>
    <x v="2"/>
    <x v="1"/>
    <x v="1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0"/>
    <m/>
    <x v="0"/>
    <x v="0"/>
    <x v="0"/>
    <x v="0"/>
    <m/>
    <x v="1"/>
    <x v="2"/>
    <x v="1"/>
    <x v="1"/>
    <x v="1"/>
    <x v="1"/>
    <x v="0"/>
    <x v="0"/>
    <x v="0"/>
    <x v="1"/>
    <x v="2"/>
    <x v="0"/>
    <x v="0"/>
    <x v="0"/>
    <x v="0"/>
    <x v="0"/>
    <x v="0"/>
    <x v="2"/>
    <x v="0"/>
    <x v="0"/>
    <x v="0"/>
    <x v="0"/>
    <x v="0"/>
    <x v="2"/>
    <x v="0"/>
    <x v="0"/>
    <x v="0"/>
    <x v="0"/>
    <x v="0"/>
    <x v="0"/>
    <m/>
    <s v="TRANQUILIDAD"/>
    <m/>
    <m/>
    <x v="0"/>
    <x v="0"/>
    <x v="0"/>
    <n v="0"/>
    <n v="0"/>
    <n v="0"/>
    <n v="0"/>
    <n v="1"/>
    <n v="0"/>
    <n v="0"/>
    <n v="0"/>
    <n v="0"/>
    <m/>
    <s v="REUBICACION SEGUN EL GIRO"/>
    <n v="83524536"/>
    <s v="02004d80-7db8-4c8a-a977-386eeaee8d8f"/>
    <d v="2025-04-11T16:33:03"/>
    <m/>
    <m/>
    <s v="submitted_via_web"/>
    <m/>
    <s v="vsL33mCaFLo882kfJNCvYm"/>
    <m/>
    <n v="30"/>
  </r>
  <r>
    <d v="2025-04-11T11:33:03"/>
    <d v="2025-04-11T11:41:46"/>
    <s v="JP"/>
    <n v="111"/>
    <d v="2025-03-22T00:00:00"/>
    <n v="1"/>
    <s v="CV"/>
    <s v="GH"/>
    <s v="-0,18758"/>
    <s v="-78,48412"/>
    <s v="1. Sí"/>
    <n v="35"/>
    <s v="1. Años"/>
    <n v="1"/>
    <n v="0"/>
    <n v="0"/>
    <n v="0"/>
    <x v="1"/>
    <n v="35"/>
    <x v="0"/>
    <s v="1. Sí"/>
    <m/>
    <s v="6. Mestiza(o)"/>
    <m/>
    <s v="4. Casada/o"/>
    <x v="0"/>
    <s v="1. Completa"/>
    <s v="1. Menos de $470"/>
    <s v="2. SEGURO"/>
    <s v="PORQUE ESTA CON COMPAÑERO  COMERCIANTE"/>
    <m/>
    <m/>
    <x v="0"/>
    <s v="Todos los horarios"/>
    <n v="0"/>
    <n v="0"/>
    <n v="0"/>
    <n v="0"/>
    <n v="1"/>
    <x v="0"/>
    <x v="1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1"/>
    <x v="2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0"/>
    <m/>
    <x v="0"/>
    <x v="1"/>
    <x v="1"/>
    <x v="2"/>
    <m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2"/>
    <x v="0"/>
    <x v="0"/>
    <x v="0"/>
    <x v="0"/>
    <x v="0"/>
    <x v="0"/>
    <m/>
    <s v="LOS ARBOLES"/>
    <m/>
    <m/>
    <x v="0"/>
    <x v="0"/>
    <x v="1"/>
    <n v="0"/>
    <n v="0"/>
    <n v="0"/>
    <n v="0"/>
    <n v="0"/>
    <n v="0"/>
    <n v="0"/>
    <n v="0"/>
    <n v="1"/>
    <s v="GASEOSA Y SALCHIPAPA"/>
    <m/>
    <n v="83524746"/>
    <s v="a5b039a8-9676-438f-8dc2-8a4e58b2922a"/>
    <d v="2025-04-11T16:41:47"/>
    <m/>
    <m/>
    <s v="submitted_via_web"/>
    <m/>
    <s v="vsL33mCaFLo882kfJNCvYm"/>
    <m/>
    <n v="31"/>
  </r>
  <r>
    <d v="2025-04-11T11:41:46"/>
    <d v="2025-04-11T11:47:15"/>
    <s v="JP"/>
    <n v="110"/>
    <d v="2025-03-22T00:00:00"/>
    <n v="1"/>
    <s v="MQ"/>
    <s v="GH"/>
    <s v="-0,18765"/>
    <s v="-78,48392"/>
    <s v="1. Sí"/>
    <n v="25"/>
    <s v="1. Años"/>
    <n v="0"/>
    <n v="0"/>
    <n v="0"/>
    <n v="0"/>
    <x v="1"/>
    <n v="66"/>
    <x v="2"/>
    <s v="1. Sí"/>
    <m/>
    <s v="6. Mestiza(o)"/>
    <m/>
    <s v="4. Casada/o"/>
    <x v="1"/>
    <s v="1. Completa"/>
    <s v="99. NS/NC"/>
    <s v="2. SEGURO"/>
    <s v="PORQUE HAY SEGURIDAD PRIVADA PAGADA POR LA ASOCIACION"/>
    <s v="PORQUE HAY CONTROL SEGURIDAD GUARDABOSQUES"/>
    <m/>
    <x v="0"/>
    <s v="Noche  (18:00 a 23:59)"/>
    <n v="0"/>
    <n v="0"/>
    <n v="0"/>
    <n v="1"/>
    <n v="0"/>
    <x v="1"/>
    <x v="1"/>
    <x v="1"/>
    <x v="0"/>
    <x v="3"/>
    <n v="0"/>
    <n v="0"/>
    <n v="0"/>
    <n v="0"/>
    <n v="0"/>
    <n v="1"/>
    <s v="GUARDIAS DE SEGURIDAD CONTRATADO POR LA ASOCIACION"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0"/>
    <x v="1"/>
    <x v="2"/>
    <x v="1"/>
    <x v="1"/>
    <x v="1"/>
    <x v="2"/>
    <x v="1"/>
    <x v="1"/>
    <x v="1"/>
    <x v="1"/>
    <x v="0"/>
    <x v="0"/>
    <x v="1"/>
    <x v="1"/>
    <x v="0"/>
    <x v="0"/>
    <x v="0"/>
    <x v="0"/>
    <x v="0"/>
    <x v="0"/>
    <x v="1"/>
    <x v="2"/>
    <x v="0"/>
    <x v="0"/>
    <x v="0"/>
    <x v="0"/>
    <x v="0"/>
    <m/>
    <x v="0"/>
    <x v="0"/>
    <x v="2"/>
    <x v="0"/>
    <m/>
    <x v="0"/>
    <x v="0"/>
    <x v="0"/>
    <x v="0"/>
    <x v="0"/>
    <x v="0"/>
    <x v="0"/>
    <x v="0"/>
    <x v="0"/>
    <x v="1"/>
    <x v="1"/>
    <x v="2"/>
    <x v="0"/>
    <x v="0"/>
    <x v="0"/>
    <x v="1"/>
    <x v="1"/>
    <x v="1"/>
    <x v="0"/>
    <x v="0"/>
    <x v="1"/>
    <x v="0"/>
    <x v="0"/>
    <x v="2"/>
    <x v="0"/>
    <x v="0"/>
    <x v="0"/>
    <x v="0"/>
    <x v="0"/>
    <x v="0"/>
    <m/>
    <s v="NO SE SIENTE INSEGURO"/>
    <s v="CONFORME"/>
    <m/>
    <x v="0"/>
    <x v="0"/>
    <x v="0"/>
    <n v="0"/>
    <n v="0"/>
    <n v="0"/>
    <n v="0"/>
    <n v="1"/>
    <n v="0"/>
    <n v="0"/>
    <n v="0"/>
    <n v="0"/>
    <m/>
    <m/>
    <n v="83525031"/>
    <s v="31b02c4a-8f5a-411e-baa6-abd50f3dd920"/>
    <d v="2025-04-11T16:47:16"/>
    <m/>
    <m/>
    <s v="submitted_via_web"/>
    <m/>
    <s v="vsL33mCaFLo882kfJNCvYm"/>
    <m/>
    <n v="32"/>
  </r>
  <r>
    <d v="2025-04-11T11:47:15"/>
    <d v="2025-04-11T11:50:22"/>
    <s v="JP"/>
    <n v="109"/>
    <d v="2025-03-22T00:00:00"/>
    <n v="1"/>
    <s v="EB"/>
    <s v="GH"/>
    <s v="-0,18765"/>
    <s v="-78,48390"/>
    <s v="1. Sí"/>
    <n v="30"/>
    <s v="1. Años"/>
    <n v="0"/>
    <n v="0"/>
    <n v="0"/>
    <n v="0"/>
    <x v="0"/>
    <n v="58"/>
    <x v="2"/>
    <s v="1. Sí"/>
    <m/>
    <s v="6. Mestiza(o)"/>
    <m/>
    <s v="4. Casada/o"/>
    <x v="1"/>
    <s v="1. Completa"/>
    <s v="99. NS/NC"/>
    <s v="2. SEGURO"/>
    <s v="UNION DE LOS COMERCIANTES"/>
    <m/>
    <m/>
    <x v="2"/>
    <s v="Tarde (12:00 a 17:59)"/>
    <n v="0"/>
    <n v="0"/>
    <n v="1"/>
    <n v="0"/>
    <n v="0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2"/>
    <x v="1"/>
    <x v="1"/>
    <x v="1"/>
    <x v="2"/>
    <x v="1"/>
    <x v="2"/>
    <x v="1"/>
    <x v="1"/>
    <x v="0"/>
    <x v="0"/>
    <x v="1"/>
    <x v="2"/>
    <x v="1"/>
    <x v="1"/>
    <x v="0"/>
    <x v="0"/>
    <x v="1"/>
    <x v="2"/>
    <x v="1"/>
    <x v="1"/>
    <x v="0"/>
    <x v="0"/>
    <x v="0"/>
    <x v="0"/>
    <x v="1"/>
    <x v="2"/>
    <x v="0"/>
    <x v="0"/>
    <x v="1"/>
    <x v="2"/>
    <x v="0"/>
    <m/>
    <x v="0"/>
    <x v="0"/>
    <x v="0"/>
    <x v="0"/>
    <m/>
    <x v="1"/>
    <x v="1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1"/>
    <x v="1"/>
    <x v="2"/>
    <x v="1"/>
    <x v="1"/>
    <x v="2"/>
    <x v="0"/>
    <x v="0"/>
    <x v="0"/>
    <x v="0"/>
    <m/>
    <s v="TRANQUILIDAD"/>
    <m/>
    <m/>
    <x v="0"/>
    <x v="0"/>
    <x v="0"/>
    <n v="0"/>
    <n v="0"/>
    <n v="0"/>
    <n v="0"/>
    <n v="1"/>
    <n v="0"/>
    <n v="0"/>
    <n v="0"/>
    <n v="0"/>
    <m/>
    <m/>
    <n v="83525177"/>
    <s v="b652e2c1-1e8f-4571-b56b-5e5d07c99199"/>
    <d v="2025-04-11T16:50:22"/>
    <m/>
    <m/>
    <s v="submitted_via_web"/>
    <m/>
    <s v="vsL33mCaFLo882kfJNCvYm"/>
    <m/>
    <n v="33"/>
  </r>
  <r>
    <d v="2025-04-11T11:50:22"/>
    <d v="2025-04-11T11:54:37"/>
    <s v="JP"/>
    <n v="108"/>
    <d v="2025-03-22T00:00:00"/>
    <n v="1"/>
    <s v="GB-SCH"/>
    <s v="GH"/>
    <s v="-0,18770"/>
    <s v="-78,48394"/>
    <s v="1. Sí"/>
    <n v="56"/>
    <s v="1. Años"/>
    <n v="0"/>
    <n v="0"/>
    <n v="0"/>
    <n v="0"/>
    <x v="1"/>
    <n v="71"/>
    <x v="2"/>
    <s v="1. Sí"/>
    <m/>
    <s v="6. Mestiza(o)"/>
    <m/>
    <s v="3. Viuda/o"/>
    <x v="4"/>
    <m/>
    <s v="2. de $471 a $919"/>
    <s v="4. MUY INSEGURO"/>
    <s v="AMENAZAS DE INDIGENTES AL PEDIR COMIDA (GENTE EXTRANJERA)"/>
    <m/>
    <m/>
    <x v="2"/>
    <s v="Todos los horarios"/>
    <n v="0"/>
    <n v="0"/>
    <n v="0"/>
    <n v="0"/>
    <n v="1"/>
    <x v="1"/>
    <x v="1"/>
    <x v="1"/>
    <x v="1"/>
    <x v="1"/>
    <m/>
    <m/>
    <m/>
    <m/>
    <m/>
    <m/>
    <m/>
    <x v="1"/>
    <x v="3"/>
    <n v="0"/>
    <n v="0"/>
    <n v="0"/>
    <n v="0"/>
    <n v="1"/>
    <n v="0"/>
    <n v="0"/>
    <n v="0"/>
    <m/>
    <m/>
    <n v="0"/>
    <m/>
    <m/>
    <m/>
    <m/>
    <m/>
    <m/>
    <s v="1. Sí"/>
    <m/>
    <m/>
    <m/>
    <x v="0"/>
    <m/>
    <x v="0"/>
    <x v="0"/>
    <x v="0"/>
    <x v="0"/>
    <x v="0"/>
    <x v="0"/>
    <x v="0"/>
    <x v="3"/>
    <x v="0"/>
    <x v="2"/>
    <x v="1"/>
    <x v="1"/>
    <x v="1"/>
    <x v="3"/>
    <x v="0"/>
    <x v="2"/>
    <x v="1"/>
    <x v="3"/>
    <x v="1"/>
    <x v="1"/>
    <x v="0"/>
    <x v="0"/>
    <x v="0"/>
    <x v="0"/>
    <x v="0"/>
    <x v="0"/>
    <x v="0"/>
    <x v="3"/>
    <x v="0"/>
    <x v="0"/>
    <x v="1"/>
    <x v="2"/>
    <x v="0"/>
    <m/>
    <x v="0"/>
    <x v="0"/>
    <x v="0"/>
    <x v="0"/>
    <m/>
    <x v="1"/>
    <x v="2"/>
    <x v="1"/>
    <x v="1"/>
    <x v="1"/>
    <x v="1"/>
    <x v="0"/>
    <x v="0"/>
    <x v="0"/>
    <x v="1"/>
    <x v="1"/>
    <x v="2"/>
    <x v="0"/>
    <x v="0"/>
    <x v="0"/>
    <x v="0"/>
    <x v="0"/>
    <x v="2"/>
    <x v="0"/>
    <x v="0"/>
    <x v="0"/>
    <x v="0"/>
    <x v="0"/>
    <x v="2"/>
    <x v="0"/>
    <x v="0"/>
    <x v="0"/>
    <x v="0"/>
    <x v="0"/>
    <x v="0"/>
    <m/>
    <s v="MIEDO DE ESTAR EN EL PARQUE"/>
    <m/>
    <m/>
    <x v="0"/>
    <x v="0"/>
    <x v="0"/>
    <n v="0"/>
    <n v="0"/>
    <n v="0"/>
    <n v="0"/>
    <n v="1"/>
    <n v="0"/>
    <n v="0"/>
    <n v="0"/>
    <n v="0"/>
    <m/>
    <m/>
    <n v="83525412"/>
    <s v="11ce9768-2984-4315-9a0e-1f027e015664"/>
    <d v="2025-04-11T16:54:38"/>
    <m/>
    <m/>
    <s v="submitted_via_web"/>
    <m/>
    <s v="vsL33mCaFLo882kfJNCvYm"/>
    <m/>
    <n v="34"/>
  </r>
  <r>
    <d v="2025-04-11T11:31:37"/>
    <d v="2025-04-11T11:54:40"/>
    <s v="AFC"/>
    <n v="155"/>
    <d v="2025-03-23T00:00:00"/>
    <n v="3"/>
    <s v="GB-EG"/>
    <s v="KV"/>
    <s v="-0,180174"/>
    <s v="-78,484175"/>
    <s v="1. Sí"/>
    <n v="15"/>
    <s v="1. Años"/>
    <n v="0"/>
    <n v="0"/>
    <n v="0"/>
    <n v="0"/>
    <x v="0"/>
    <n v="43"/>
    <x v="1"/>
    <s v="1. Sí"/>
    <m/>
    <s v="6. Mestiza(o)"/>
    <m/>
    <s v="1. Unión de Hecho/Libre"/>
    <x v="1"/>
    <s v="1. Completa"/>
    <s v="1. Menos de $470"/>
    <s v="2. SEGURO"/>
    <s v="PORQUE NO HE TENIDO INTENTOS DE ROBOS"/>
    <m/>
    <m/>
    <x v="0"/>
    <s v="Mañana  (06:00 a 11:59)"/>
    <n v="0"/>
    <n v="1"/>
    <n v="0"/>
    <n v="0"/>
    <n v="0"/>
    <x v="1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3"/>
    <x v="0"/>
    <x v="0"/>
    <x v="1"/>
    <x v="1"/>
    <x v="0"/>
    <x v="0"/>
    <x v="0"/>
    <x v="0"/>
    <x v="0"/>
    <x v="0"/>
    <x v="0"/>
    <x v="0"/>
    <x v="1"/>
    <x v="1"/>
    <x v="0"/>
    <x v="0"/>
    <x v="0"/>
    <x v="0"/>
    <x v="0"/>
    <x v="0"/>
    <x v="0"/>
    <x v="3"/>
    <x v="0"/>
    <x v="0"/>
    <x v="0"/>
    <x v="0"/>
    <x v="0"/>
    <m/>
    <x v="0"/>
    <x v="0"/>
    <x v="2"/>
    <x v="0"/>
    <m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1"/>
    <x v="0"/>
    <x v="0"/>
    <x v="0"/>
    <x v="0"/>
    <x v="0"/>
    <x v="0"/>
    <m/>
    <s v="FELIZ Y CONTENTO PORQUE VENGO CON MI FAMILIA"/>
    <m/>
    <m/>
    <x v="0"/>
    <x v="0"/>
    <x v="1"/>
    <n v="0"/>
    <n v="0"/>
    <n v="0"/>
    <n v="0"/>
    <n v="0"/>
    <n v="0"/>
    <n v="0"/>
    <n v="0"/>
    <n v="1"/>
    <s v="BALONES Y REDES DE VOLEY"/>
    <s v="MAS TACHOS DE BASURA"/>
    <n v="83525415"/>
    <s v="0f9a9459-f133-493c-b01e-885c21f1f5d8"/>
    <d v="2025-04-11T16:54:40"/>
    <m/>
    <m/>
    <s v="submitted_via_web"/>
    <m/>
    <s v="vpsziw45rUquZQYxjPdXa5"/>
    <m/>
    <n v="35"/>
  </r>
  <r>
    <d v="2025-04-11T11:54:37"/>
    <d v="2025-04-11T12:03:50"/>
    <s v="JP"/>
    <n v="106"/>
    <d v="2025-03-22T00:00:00"/>
    <n v="1"/>
    <s v="EB"/>
    <s v="GH"/>
    <s v="-0,18747"/>
    <s v="-78,48418"/>
    <s v="1. Sí"/>
    <n v="3"/>
    <s v="1. Años"/>
    <n v="0"/>
    <n v="0"/>
    <n v="0"/>
    <n v="0"/>
    <x v="0"/>
    <n v="18"/>
    <x v="3"/>
    <s v="1. Sí"/>
    <m/>
    <s v="6. Mestiza(o)"/>
    <m/>
    <s v="5. Soltera/o"/>
    <x v="0"/>
    <s v="1. Completa"/>
    <s v="99. NS/NC"/>
    <s v="2. SEGURO"/>
    <s v="PRESENCIA DE GUARDA BOSQUES"/>
    <m/>
    <m/>
    <x v="0"/>
    <s v="Tarde (12:00 a 17:59)"/>
    <n v="0"/>
    <n v="0"/>
    <n v="1"/>
    <n v="0"/>
    <n v="0"/>
    <x v="0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1"/>
    <x v="0"/>
    <x v="0"/>
    <x v="1"/>
    <x v="2"/>
    <x v="1"/>
    <x v="2"/>
    <x v="1"/>
    <x v="1"/>
    <x v="0"/>
    <x v="0"/>
    <x v="1"/>
    <x v="2"/>
    <x v="0"/>
    <x v="2"/>
    <x v="0"/>
    <x v="0"/>
    <x v="1"/>
    <x v="3"/>
    <x v="0"/>
    <x v="0"/>
    <x v="0"/>
    <x v="0"/>
    <x v="0"/>
    <x v="0"/>
    <x v="1"/>
    <x v="2"/>
    <x v="0"/>
    <x v="0"/>
    <x v="1"/>
    <x v="2"/>
    <x v="0"/>
    <m/>
    <x v="0"/>
    <x v="0"/>
    <x v="2"/>
    <x v="0"/>
    <m/>
    <x v="1"/>
    <x v="2"/>
    <x v="2"/>
    <x v="1"/>
    <x v="1"/>
    <x v="1"/>
    <x v="0"/>
    <x v="0"/>
    <x v="0"/>
    <x v="1"/>
    <x v="1"/>
    <x v="2"/>
    <x v="0"/>
    <x v="0"/>
    <x v="0"/>
    <x v="1"/>
    <x v="1"/>
    <x v="1"/>
    <x v="1"/>
    <x v="1"/>
    <x v="2"/>
    <x v="0"/>
    <x v="0"/>
    <x v="2"/>
    <x v="0"/>
    <x v="0"/>
    <x v="0"/>
    <x v="0"/>
    <x v="0"/>
    <x v="0"/>
    <m/>
    <s v="AGRADABLE"/>
    <m/>
    <m/>
    <x v="0"/>
    <x v="0"/>
    <x v="1"/>
    <n v="0"/>
    <n v="0"/>
    <n v="0"/>
    <n v="0"/>
    <n v="0"/>
    <n v="0"/>
    <n v="0"/>
    <n v="0"/>
    <n v="1"/>
    <s v="TIRO AL BLANCO"/>
    <m/>
    <n v="83526554"/>
    <s v="d62fd8ae-0f57-43b6-acf5-1bf81e0a9511"/>
    <d v="2025-04-11T17:03:51"/>
    <m/>
    <m/>
    <s v="submitted_via_web"/>
    <m/>
    <s v="vsL33mCaFLo882kfJNCvYm"/>
    <m/>
    <n v="36"/>
  </r>
  <r>
    <d v="2025-04-11T11:54:40"/>
    <d v="2025-04-11T12:07:21"/>
    <s v="AFC"/>
    <n v="154"/>
    <d v="2025-03-23T00:00:00"/>
    <n v="3"/>
    <s v="GB-EG"/>
    <s v="KV"/>
    <s v="-0,179942"/>
    <s v="-78,484146"/>
    <s v="1. Sí"/>
    <n v="20"/>
    <s v="1. Años"/>
    <n v="0"/>
    <n v="0"/>
    <n v="0"/>
    <n v="0"/>
    <x v="0"/>
    <n v="59"/>
    <x v="2"/>
    <s v="1. Sí"/>
    <m/>
    <s v="6. Mestiza(o)"/>
    <m/>
    <s v="5. Soltera/o"/>
    <x v="1"/>
    <s v="1. Completa"/>
    <s v="1. Menos de $470"/>
    <s v="2. SEGURO"/>
    <s v="ME SIENTO FELIZ"/>
    <m/>
    <m/>
    <x v="0"/>
    <s v="Mañana  (06:00 a 11:59)"/>
    <n v="0"/>
    <n v="1"/>
    <n v="0"/>
    <n v="0"/>
    <n v="0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3"/>
    <x v="0"/>
    <x v="0"/>
    <x v="1"/>
    <x v="1"/>
    <x v="1"/>
    <x v="1"/>
    <x v="1"/>
    <x v="2"/>
    <x v="1"/>
    <x v="1"/>
    <x v="0"/>
    <x v="0"/>
    <x v="0"/>
    <x v="0"/>
    <x v="0"/>
    <x v="0"/>
    <x v="1"/>
    <x v="2"/>
    <x v="0"/>
    <x v="0"/>
    <x v="1"/>
    <x v="2"/>
    <x v="0"/>
    <x v="0"/>
    <x v="1"/>
    <x v="1"/>
    <x v="0"/>
    <m/>
    <x v="0"/>
    <x v="0"/>
    <x v="0"/>
    <x v="1"/>
    <m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m/>
    <s v="ME SIENTO ALEGRE PORQUE ME GUSTA LA NATURALEZA"/>
    <m/>
    <m/>
    <x v="0"/>
    <x v="0"/>
    <x v="4"/>
    <n v="0"/>
    <n v="0"/>
    <n v="1"/>
    <n v="0"/>
    <n v="0"/>
    <n v="0"/>
    <n v="0"/>
    <n v="0"/>
    <n v="0"/>
    <m/>
    <s v="TACHOS DE BASURA Y PODA DE ARBOLES"/>
    <n v="83527099"/>
    <s v="177fcda6-8746-4608-9514-f3b2bde99d61"/>
    <d v="2025-04-11T17:07:21"/>
    <m/>
    <m/>
    <s v="submitted_via_web"/>
    <m/>
    <s v="vpsziw45rUquZQYxjPdXa5"/>
    <m/>
    <n v="37"/>
  </r>
  <r>
    <d v="2025-04-11T12:07:21"/>
    <d v="2025-04-11T12:30:04"/>
    <s v="AFC"/>
    <n v="153"/>
    <d v="2025-03-23T00:00:00"/>
    <n v="3"/>
    <s v="EC"/>
    <s v="KV"/>
    <s v="-0,180101"/>
    <s v="-78,484086"/>
    <s v="1. Sí"/>
    <n v="16"/>
    <s v="1. Años"/>
    <n v="0"/>
    <n v="0"/>
    <n v="0"/>
    <n v="0"/>
    <x v="1"/>
    <n v="16"/>
    <x v="3"/>
    <s v="1. Sí"/>
    <m/>
    <s v="6. Mestiza(o)"/>
    <m/>
    <s v="4. Casada/o"/>
    <x v="0"/>
    <s v="2. Incompleta"/>
    <s v="1. Menos de $470"/>
    <s v="3. INSEGURO"/>
    <s v="VENTA DE DROGA"/>
    <s v="VENTA DE ALCOHOL"/>
    <s v="PERSONAS INTIMIDANTES"/>
    <x v="2"/>
    <s v="Tarde (12:00 a 17:59)"/>
    <n v="0"/>
    <n v="0"/>
    <n v="1"/>
    <n v="0"/>
    <n v="0"/>
    <x v="1"/>
    <x v="1"/>
    <x v="1"/>
    <x v="0"/>
    <x v="4"/>
    <n v="0"/>
    <n v="0"/>
    <n v="1"/>
    <n v="0"/>
    <n v="0"/>
    <n v="0"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3"/>
    <x v="0"/>
    <x v="0"/>
    <x v="1"/>
    <x v="1"/>
    <x v="1"/>
    <x v="2"/>
    <x v="1"/>
    <x v="3"/>
    <x v="0"/>
    <x v="2"/>
    <x v="1"/>
    <x v="3"/>
    <x v="1"/>
    <x v="3"/>
    <x v="1"/>
    <x v="2"/>
    <x v="1"/>
    <x v="2"/>
    <x v="1"/>
    <x v="2"/>
    <x v="0"/>
    <x v="0"/>
    <x v="0"/>
    <x v="0"/>
    <x v="1"/>
    <x v="1"/>
    <x v="0"/>
    <m/>
    <x v="0"/>
    <x v="0"/>
    <x v="0"/>
    <x v="1"/>
    <m/>
    <x v="1"/>
    <x v="1"/>
    <x v="0"/>
    <x v="1"/>
    <x v="2"/>
    <x v="0"/>
    <x v="0"/>
    <x v="0"/>
    <x v="0"/>
    <x v="1"/>
    <x v="1"/>
    <x v="2"/>
    <x v="0"/>
    <x v="0"/>
    <x v="0"/>
    <x v="0"/>
    <x v="2"/>
    <x v="1"/>
    <x v="0"/>
    <x v="2"/>
    <x v="2"/>
    <x v="0"/>
    <x v="0"/>
    <x v="2"/>
    <x v="1"/>
    <x v="2"/>
    <x v="0"/>
    <x v="0"/>
    <x v="0"/>
    <x v="0"/>
    <m/>
    <s v="FELIZ"/>
    <s v="TRANQUILA"/>
    <s v="EN PAZ"/>
    <x v="0"/>
    <x v="0"/>
    <x v="2"/>
    <n v="0"/>
    <n v="1"/>
    <n v="0"/>
    <n v="0"/>
    <n v="0"/>
    <n v="0"/>
    <n v="0"/>
    <n v="0"/>
    <n v="0"/>
    <m/>
    <s v="VENTA DE FRUTAS JUGOS Y GASEOSAS"/>
    <n v="83529163"/>
    <s v="192ede60-6c5f-4d5d-ad89-3978f417c138"/>
    <d v="2025-04-11T17:30:03"/>
    <m/>
    <m/>
    <s v="submitted_via_web"/>
    <m/>
    <s v="vpsziw45rUquZQYxjPdXa5"/>
    <m/>
    <n v="38"/>
  </r>
  <r>
    <d v="2025-04-11T10:44:55"/>
    <d v="2025-04-11T13:11:45"/>
    <s v="AMC"/>
    <n v="73"/>
    <d v="2025-03-22T00:00:00"/>
    <n v="3"/>
    <s v="LS"/>
    <s v="JA"/>
    <s v="-0,17912"/>
    <s v="-78,48349"/>
    <s v="1. Sí"/>
    <n v="30"/>
    <s v="1. Años"/>
    <n v="0"/>
    <n v="0"/>
    <n v="0"/>
    <n v="0"/>
    <x v="1"/>
    <n v="55"/>
    <x v="1"/>
    <s v="1. Sí"/>
    <m/>
    <s v="6. Mestiza(o)"/>
    <m/>
    <s v="4. Casada/o"/>
    <x v="1"/>
    <s v="2. Incompleta"/>
    <s v="1. Menos de $470"/>
    <s v="3. INSEGURO"/>
    <s v="PORQUE FALTA POLICIAS"/>
    <m/>
    <m/>
    <x v="1"/>
    <s v="Todos los horarios"/>
    <n v="0"/>
    <n v="0"/>
    <n v="0"/>
    <n v="0"/>
    <n v="1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2"/>
    <x v="0"/>
    <x v="0"/>
    <x v="0"/>
    <x v="1"/>
    <x v="1"/>
    <x v="2"/>
    <x v="0"/>
    <x v="0"/>
    <x v="0"/>
    <x v="0"/>
    <x v="1"/>
    <x v="2"/>
    <x v="1"/>
    <x v="1"/>
    <x v="0"/>
    <x v="0"/>
    <x v="0"/>
    <x v="0"/>
    <x v="0"/>
    <x v="0"/>
    <x v="0"/>
    <x v="0"/>
    <x v="0"/>
    <x v="0"/>
    <x v="0"/>
    <x v="1"/>
    <x v="0"/>
    <x v="0"/>
    <x v="0"/>
    <x v="0"/>
    <x v="0"/>
    <m/>
    <x v="0"/>
    <x v="0"/>
    <x v="2"/>
    <x v="0"/>
    <m/>
    <x v="1"/>
    <x v="1"/>
    <x v="0"/>
    <x v="0"/>
    <x v="0"/>
    <x v="0"/>
    <x v="1"/>
    <x v="1"/>
    <x v="0"/>
    <x v="1"/>
    <x v="1"/>
    <x v="2"/>
    <x v="0"/>
    <x v="0"/>
    <x v="0"/>
    <x v="1"/>
    <x v="1"/>
    <x v="1"/>
    <x v="0"/>
    <x v="0"/>
    <x v="0"/>
    <x v="0"/>
    <x v="1"/>
    <x v="1"/>
    <x v="0"/>
    <x v="0"/>
    <x v="0"/>
    <x v="0"/>
    <x v="0"/>
    <x v="0"/>
    <m/>
    <s v="FELIZ"/>
    <m/>
    <m/>
    <x v="0"/>
    <x v="0"/>
    <x v="1"/>
    <n v="0"/>
    <n v="0"/>
    <n v="0"/>
    <n v="0"/>
    <n v="0"/>
    <n v="0"/>
    <n v="0"/>
    <n v="0"/>
    <n v="1"/>
    <s v="JUGUETES VARIEDADES"/>
    <m/>
    <n v="83532270"/>
    <s v="edf65eb6-109e-46ac-b543-57dedc256f2e"/>
    <d v="2025-04-11T18:11:46"/>
    <m/>
    <m/>
    <s v="submitted_via_web"/>
    <m/>
    <s v="vpsziw45rUquZQYxjPdXa5"/>
    <m/>
    <n v="39"/>
  </r>
  <r>
    <d v="2025-04-11T12:30:04"/>
    <d v="2025-04-11T13:25:28"/>
    <s v="AFC"/>
    <n v="152"/>
    <d v="2025-03-23T00:00:00"/>
    <n v="3"/>
    <s v="BP"/>
    <s v="KV"/>
    <s v="-0,180434"/>
    <s v="-78,483681"/>
    <s v="1. Sí"/>
    <n v="10"/>
    <s v="1. Años"/>
    <n v="0"/>
    <n v="0"/>
    <n v="0"/>
    <n v="0"/>
    <x v="1"/>
    <n v="10"/>
    <x v="3"/>
    <s v="1. Sí"/>
    <m/>
    <s v="1. Indígena"/>
    <m/>
    <s v="4. Casada/o"/>
    <x v="0"/>
    <s v="1. Completa"/>
    <s v="1. Menos de $470"/>
    <s v="3. INSEGURO"/>
    <s v="PASAN MOTOS DE  LOS POLICIAS CON LOS DELINCUENTES"/>
    <s v="HA VISTO QUE TOMAN Y FOMAN"/>
    <m/>
    <x v="1"/>
    <s v="Noche  (18:00 a 23:59)"/>
    <n v="0"/>
    <n v="0"/>
    <n v="0"/>
    <n v="1"/>
    <n v="0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1"/>
    <x v="0"/>
    <x v="0"/>
    <x v="0"/>
    <x v="3"/>
    <x v="0"/>
    <x v="3"/>
    <x v="1"/>
    <x v="1"/>
    <x v="0"/>
    <x v="0"/>
    <x v="0"/>
    <x v="0"/>
    <x v="0"/>
    <x v="2"/>
    <x v="0"/>
    <x v="0"/>
    <x v="0"/>
    <x v="0"/>
    <x v="0"/>
    <x v="0"/>
    <x v="0"/>
    <x v="0"/>
    <x v="1"/>
    <x v="3"/>
    <x v="0"/>
    <x v="3"/>
    <x v="0"/>
    <x v="0"/>
    <x v="0"/>
    <x v="0"/>
    <x v="0"/>
    <m/>
    <x v="0"/>
    <x v="0"/>
    <x v="0"/>
    <x v="1"/>
    <m/>
    <x v="0"/>
    <x v="0"/>
    <x v="0"/>
    <x v="0"/>
    <x v="0"/>
    <x v="0"/>
    <x v="0"/>
    <x v="0"/>
    <x v="0"/>
    <x v="1"/>
    <x v="2"/>
    <x v="0"/>
    <x v="0"/>
    <x v="0"/>
    <x v="0"/>
    <x v="1"/>
    <x v="1"/>
    <x v="1"/>
    <x v="0"/>
    <x v="2"/>
    <x v="2"/>
    <x v="0"/>
    <x v="0"/>
    <x v="0"/>
    <x v="1"/>
    <x v="2"/>
    <x v="0"/>
    <x v="0"/>
    <x v="0"/>
    <x v="0"/>
    <m/>
    <s v="SI ESTA BUENO PARA TRABAJAR"/>
    <s v="PERO FALTA SEGURIDAD"/>
    <s v="CONTROL A LAS VENTAS AMBULANTES"/>
    <x v="0"/>
    <x v="0"/>
    <x v="7"/>
    <n v="0"/>
    <n v="0"/>
    <n v="1"/>
    <n v="0"/>
    <n v="0"/>
    <n v="0"/>
    <n v="1"/>
    <n v="0"/>
    <n v="0"/>
    <m/>
    <m/>
    <n v="83533178"/>
    <s v="d9610eb2-4f75-457d-9260-d276a5d8d6df"/>
    <d v="2025-04-11T18:25:28"/>
    <m/>
    <m/>
    <s v="submitted_via_web"/>
    <m/>
    <s v="vpsziw45rUquZQYxjPdXa5"/>
    <m/>
    <n v="40"/>
  </r>
  <r>
    <d v="2025-04-11T13:11:45"/>
    <d v="2025-04-11T14:16:15"/>
    <s v="AMC"/>
    <n v="72"/>
    <d v="2025-03-22T00:00:00"/>
    <n v="3"/>
    <s v="BP"/>
    <s v="JA"/>
    <s v="-0,17957"/>
    <s v="-78,48356"/>
    <s v="1. Sí"/>
    <n v="15"/>
    <s v="1. Años"/>
    <n v="0"/>
    <n v="0"/>
    <n v="0"/>
    <n v="0"/>
    <x v="1"/>
    <n v="15"/>
    <x v="3"/>
    <s v="1. Sí"/>
    <m/>
    <s v="6. Mestiza(o)"/>
    <m/>
    <s v="4. Casada/o"/>
    <x v="0"/>
    <s v="1. Completa"/>
    <s v="1. Menos de $470"/>
    <s v="4. MUY INSEGURO"/>
    <s v="HAY DELINCUENCIA"/>
    <s v="FUMAN DROGA"/>
    <m/>
    <x v="1"/>
    <s v="Noche  (18:00 a 23:59)"/>
    <n v="0"/>
    <n v="0"/>
    <n v="0"/>
    <n v="1"/>
    <n v="0"/>
    <x v="1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2"/>
    <x v="0"/>
    <x v="0"/>
    <x v="0"/>
    <x v="3"/>
    <x v="1"/>
    <x v="2"/>
    <x v="1"/>
    <x v="1"/>
    <x v="1"/>
    <x v="2"/>
    <x v="1"/>
    <x v="1"/>
    <x v="0"/>
    <x v="0"/>
    <x v="0"/>
    <x v="0"/>
    <x v="1"/>
    <x v="3"/>
    <x v="0"/>
    <x v="0"/>
    <x v="0"/>
    <x v="0"/>
    <x v="0"/>
    <x v="0"/>
    <x v="1"/>
    <x v="2"/>
    <x v="0"/>
    <x v="0"/>
    <x v="0"/>
    <x v="0"/>
    <x v="0"/>
    <m/>
    <x v="0"/>
    <x v="0"/>
    <x v="0"/>
    <x v="1"/>
    <m/>
    <x v="1"/>
    <x v="1"/>
    <x v="0"/>
    <x v="1"/>
    <x v="2"/>
    <x v="0"/>
    <x v="0"/>
    <x v="0"/>
    <x v="0"/>
    <x v="1"/>
    <x v="2"/>
    <x v="0"/>
    <x v="1"/>
    <x v="1"/>
    <x v="0"/>
    <x v="1"/>
    <x v="1"/>
    <x v="1"/>
    <x v="0"/>
    <x v="2"/>
    <x v="2"/>
    <x v="0"/>
    <x v="1"/>
    <x v="1"/>
    <x v="0"/>
    <x v="0"/>
    <x v="0"/>
    <x v="0"/>
    <x v="0"/>
    <x v="0"/>
    <m/>
    <s v="NO SE SIENTE TAN SEGURO EN EL PARQUE"/>
    <s v="LE GUSTA EL TRABAJO"/>
    <m/>
    <x v="0"/>
    <x v="0"/>
    <x v="8"/>
    <n v="0"/>
    <n v="0"/>
    <n v="0"/>
    <n v="0"/>
    <n v="0"/>
    <n v="1"/>
    <n v="0"/>
    <n v="0"/>
    <n v="0"/>
    <m/>
    <m/>
    <n v="83536032"/>
    <s v="b604f208-8447-434d-a085-efeb6187519c"/>
    <d v="2025-04-11T19:16:17"/>
    <m/>
    <m/>
    <s v="submitted_via_web"/>
    <m/>
    <s v="vpsziw45rUquZQYxjPdXa5"/>
    <m/>
    <n v="41"/>
  </r>
  <r>
    <d v="2025-04-11T14:16:15"/>
    <d v="2025-04-11T14:20:16"/>
    <s v="AMC"/>
    <n v="71"/>
    <d v="2025-03-22T00:00:00"/>
    <n v="3"/>
    <s v="GP-GC"/>
    <s v="JA"/>
    <s v="-0,17901"/>
    <s v="-78,48344"/>
    <s v="1. Sí"/>
    <n v="14"/>
    <s v="1. Años"/>
    <n v="1"/>
    <n v="0"/>
    <n v="0"/>
    <n v="0"/>
    <x v="1"/>
    <n v="47"/>
    <x v="1"/>
    <s v="1. Sí"/>
    <m/>
    <s v="1. Indígena"/>
    <m/>
    <s v="4. Casada/o"/>
    <x v="1"/>
    <s v="1. Completa"/>
    <s v="1. Menos de $470"/>
    <s v="3. INSEGURO"/>
    <s v="LADRONES"/>
    <s v="NO PRESENCIA POLICIAL"/>
    <s v="GUARDABOSQUES"/>
    <x v="0"/>
    <s v="Todos los horarios"/>
    <n v="0"/>
    <n v="0"/>
    <n v="0"/>
    <n v="0"/>
    <n v="1"/>
    <x v="1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0"/>
    <x v="0"/>
    <x v="3"/>
    <x v="0"/>
    <x v="3"/>
    <x v="0"/>
    <x v="0"/>
    <x v="0"/>
    <x v="0"/>
    <x v="0"/>
    <x v="0"/>
    <x v="0"/>
    <x v="0"/>
    <x v="1"/>
    <x v="1"/>
    <x v="0"/>
    <x v="0"/>
    <x v="0"/>
    <x v="0"/>
    <x v="0"/>
    <x v="0"/>
    <x v="0"/>
    <x v="3"/>
    <x v="0"/>
    <x v="0"/>
    <x v="0"/>
    <x v="0"/>
    <x v="0"/>
    <m/>
    <x v="0"/>
    <x v="0"/>
    <x v="2"/>
    <x v="0"/>
    <m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1"/>
    <x v="1"/>
    <x v="2"/>
    <x v="1"/>
    <x v="0"/>
    <x v="0"/>
    <x v="0"/>
    <x v="1"/>
    <x v="1"/>
    <x v="0"/>
    <m/>
    <s v="ALEGRE"/>
    <s v="CONTENTA"/>
    <m/>
    <x v="0"/>
    <x v="0"/>
    <x v="0"/>
    <n v="0"/>
    <n v="0"/>
    <n v="0"/>
    <n v="0"/>
    <n v="1"/>
    <n v="0"/>
    <n v="0"/>
    <n v="0"/>
    <n v="0"/>
    <m/>
    <m/>
    <n v="83536202"/>
    <s v="77f5fc2f-0271-41c7-9a39-399738198163"/>
    <d v="2025-04-11T19:20:16"/>
    <m/>
    <m/>
    <s v="submitted_via_web"/>
    <m/>
    <s v="vpsziw45rUquZQYxjPdXa5"/>
    <m/>
    <n v="42"/>
  </r>
  <r>
    <d v="2025-04-11T13:25:28"/>
    <d v="2025-04-11T14:23:03"/>
    <s v="AFC"/>
    <n v="151"/>
    <d v="2025-03-23T00:00:00"/>
    <n v="3"/>
    <s v="JC"/>
    <s v="KV"/>
    <s v="-0,178438"/>
    <s v="-78,485662"/>
    <s v="1. Sí"/>
    <n v="20"/>
    <s v="1. Años"/>
    <n v="0"/>
    <n v="0"/>
    <n v="0"/>
    <n v="0"/>
    <x v="1"/>
    <n v="40"/>
    <x v="0"/>
    <s v="1. Sí"/>
    <m/>
    <s v="1. Indígena"/>
    <m/>
    <s v="4. Casada/o"/>
    <x v="0"/>
    <s v="1. Completa"/>
    <s v="2. de $471 a $919"/>
    <s v="3. INSEGURO"/>
    <s v="ASALTOS"/>
    <s v="MENDIGOS"/>
    <s v="INSEGURIDAD"/>
    <x v="3"/>
    <s v="Todos los horarios"/>
    <n v="0"/>
    <n v="0"/>
    <n v="0"/>
    <n v="0"/>
    <n v="1"/>
    <x v="0"/>
    <x v="1"/>
    <x v="0"/>
    <x v="0"/>
    <x v="4"/>
    <n v="0"/>
    <n v="0"/>
    <n v="1"/>
    <n v="0"/>
    <n v="0"/>
    <n v="0"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2"/>
    <x v="0"/>
    <x v="0"/>
    <x v="1"/>
    <x v="2"/>
    <x v="1"/>
    <x v="2"/>
    <x v="1"/>
    <x v="1"/>
    <x v="1"/>
    <x v="2"/>
    <x v="1"/>
    <x v="1"/>
    <x v="1"/>
    <x v="1"/>
    <x v="0"/>
    <x v="0"/>
    <x v="0"/>
    <x v="0"/>
    <x v="0"/>
    <x v="0"/>
    <x v="0"/>
    <x v="0"/>
    <x v="1"/>
    <x v="3"/>
    <x v="0"/>
    <x v="0"/>
    <x v="0"/>
    <x v="0"/>
    <x v="0"/>
    <x v="0"/>
    <x v="0"/>
    <m/>
    <x v="0"/>
    <x v="0"/>
    <x v="2"/>
    <x v="0"/>
    <m/>
    <x v="1"/>
    <x v="1"/>
    <x v="0"/>
    <x v="1"/>
    <x v="2"/>
    <x v="0"/>
    <x v="0"/>
    <x v="0"/>
    <x v="0"/>
    <x v="1"/>
    <x v="1"/>
    <x v="1"/>
    <x v="0"/>
    <x v="0"/>
    <x v="0"/>
    <x v="0"/>
    <x v="2"/>
    <x v="1"/>
    <x v="0"/>
    <x v="0"/>
    <x v="1"/>
    <x v="0"/>
    <x v="1"/>
    <x v="1"/>
    <x v="0"/>
    <x v="0"/>
    <x v="0"/>
    <x v="0"/>
    <x v="0"/>
    <x v="0"/>
    <m/>
    <s v="SEGURO"/>
    <s v="FELIZ"/>
    <s v="CALMADO"/>
    <x v="0"/>
    <x v="0"/>
    <x v="9"/>
    <n v="0"/>
    <n v="0"/>
    <n v="0"/>
    <n v="0"/>
    <n v="1"/>
    <n v="0"/>
    <n v="0"/>
    <n v="0"/>
    <n v="1"/>
    <s v="PATIO DE COMIDAS"/>
    <m/>
    <n v="83536275"/>
    <s v="79e519f8-dbab-4ec9-8e69-af4ad9c3b446"/>
    <d v="2025-04-11T19:23:04"/>
    <m/>
    <m/>
    <s v="submitted_via_web"/>
    <m/>
    <s v="vpsziw45rUquZQYxjPdXa5"/>
    <m/>
    <n v="43"/>
  </r>
  <r>
    <d v="2025-04-11T14:20:16"/>
    <d v="2025-04-11T14:26:27"/>
    <s v="AMC"/>
    <n v="68"/>
    <d v="2025-03-22T00:00:00"/>
    <n v="3"/>
    <s v="BP"/>
    <s v="JA"/>
    <s v="-0,17848"/>
    <s v="-78,49347"/>
    <s v="1. Sí"/>
    <n v="15"/>
    <s v="1. Años"/>
    <n v="0"/>
    <n v="0"/>
    <n v="0"/>
    <n v="0"/>
    <x v="0"/>
    <n v="48"/>
    <x v="1"/>
    <s v="1. Sí"/>
    <m/>
    <s v="6. Mestiza(o)"/>
    <m/>
    <s v="4. Casada/o"/>
    <x v="1"/>
    <s v="1. Completa"/>
    <s v="2. de $471 a $919"/>
    <s v="3. INSEGURO"/>
    <s v="HAY BANDAS DE DELINCUENTES"/>
    <m/>
    <m/>
    <x v="1"/>
    <s v="Tarde (12:00 a 17:59) Noche  (18:00 a 23:59)"/>
    <n v="0"/>
    <n v="0"/>
    <n v="1"/>
    <n v="1"/>
    <n v="0"/>
    <x v="1"/>
    <x v="1"/>
    <x v="1"/>
    <x v="0"/>
    <x v="3"/>
    <n v="0"/>
    <n v="0"/>
    <n v="0"/>
    <n v="0"/>
    <n v="0"/>
    <n v="1"/>
    <s v="GRUPO DE WHATSAPP"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1"/>
    <x v="0"/>
    <x v="0"/>
    <x v="0"/>
    <x v="2"/>
    <x v="1"/>
    <x v="2"/>
    <x v="1"/>
    <x v="2"/>
    <x v="0"/>
    <x v="2"/>
    <x v="0"/>
    <x v="0"/>
    <x v="0"/>
    <x v="0"/>
    <x v="0"/>
    <x v="0"/>
    <x v="1"/>
    <x v="1"/>
    <x v="1"/>
    <x v="3"/>
    <x v="1"/>
    <x v="2"/>
    <x v="0"/>
    <x v="0"/>
    <x v="0"/>
    <x v="0"/>
    <x v="0"/>
    <m/>
    <x v="0"/>
    <x v="0"/>
    <x v="2"/>
    <x v="0"/>
    <m/>
    <x v="1"/>
    <x v="1"/>
    <x v="0"/>
    <x v="1"/>
    <x v="2"/>
    <x v="0"/>
    <x v="0"/>
    <x v="0"/>
    <x v="0"/>
    <x v="1"/>
    <x v="2"/>
    <x v="0"/>
    <x v="0"/>
    <x v="0"/>
    <x v="0"/>
    <x v="1"/>
    <x v="1"/>
    <x v="1"/>
    <x v="0"/>
    <x v="2"/>
    <x v="2"/>
    <x v="0"/>
    <x v="1"/>
    <x v="1"/>
    <x v="0"/>
    <x v="0"/>
    <x v="0"/>
    <x v="0"/>
    <x v="0"/>
    <x v="0"/>
    <m/>
    <s v="LAS TARDES SE SIENTE INSEGURIDAD"/>
    <m/>
    <m/>
    <x v="0"/>
    <x v="0"/>
    <x v="1"/>
    <n v="0"/>
    <n v="0"/>
    <n v="0"/>
    <n v="0"/>
    <n v="0"/>
    <n v="0"/>
    <n v="0"/>
    <n v="0"/>
    <n v="1"/>
    <s v="SALTARIN INFLABLES"/>
    <m/>
    <n v="83536400"/>
    <s v="7cb256d4-251e-4488-802c-7bb1e0b6160b"/>
    <d v="2025-04-11T19:26:28"/>
    <m/>
    <m/>
    <s v="submitted_via_web"/>
    <m/>
    <s v="vpsziw45rUquZQYxjPdXa5"/>
    <m/>
    <n v="44"/>
  </r>
  <r>
    <d v="2025-04-11T14:26:28"/>
    <d v="2025-04-11T14:31:01"/>
    <s v="AMC"/>
    <n v="67"/>
    <d v="2025-03-22T00:00:00"/>
    <n v="3"/>
    <s v="JC"/>
    <s v="JA"/>
    <s v="-0,17427"/>
    <s v="-78,48408"/>
    <s v="1. Sí"/>
    <n v="30"/>
    <s v="1. Años"/>
    <n v="0"/>
    <n v="0"/>
    <n v="0"/>
    <n v="0"/>
    <x v="1"/>
    <n v="69"/>
    <x v="2"/>
    <s v="1. Sí"/>
    <m/>
    <s v="6. Mestiza(o)"/>
    <m/>
    <s v="1. Unión de Hecho/Libre"/>
    <x v="1"/>
    <s v="2. Incompleta"/>
    <s v="1. Menos de $470"/>
    <s v="3. INSEGURO"/>
    <s v="DELINCUENCIA"/>
    <s v="GENTE CONSUME DROGA"/>
    <s v="NO HAY POLICIA NACIONAL"/>
    <x v="0"/>
    <s v="Todos los horarios"/>
    <n v="0"/>
    <n v="0"/>
    <n v="0"/>
    <n v="0"/>
    <n v="1"/>
    <x v="1"/>
    <x v="1"/>
    <x v="0"/>
    <x v="0"/>
    <x v="4"/>
    <n v="0"/>
    <n v="0"/>
    <n v="1"/>
    <n v="0"/>
    <n v="0"/>
    <n v="0"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0"/>
    <x v="0"/>
    <x v="0"/>
    <x v="0"/>
    <x v="0"/>
    <x v="0"/>
    <x v="0"/>
    <x v="1"/>
    <x v="1"/>
    <x v="1"/>
    <x v="1"/>
    <x v="0"/>
    <x v="0"/>
    <x v="1"/>
    <x v="3"/>
    <x v="0"/>
    <x v="0"/>
    <x v="1"/>
    <x v="1"/>
    <x v="0"/>
    <x v="0"/>
    <x v="0"/>
    <x v="3"/>
    <x v="0"/>
    <x v="0"/>
    <x v="1"/>
    <x v="2"/>
    <x v="0"/>
    <m/>
    <x v="0"/>
    <x v="0"/>
    <x v="2"/>
    <x v="1"/>
    <m/>
    <x v="1"/>
    <x v="1"/>
    <x v="0"/>
    <x v="0"/>
    <x v="0"/>
    <x v="0"/>
    <x v="0"/>
    <x v="0"/>
    <x v="0"/>
    <x v="1"/>
    <x v="1"/>
    <x v="2"/>
    <x v="0"/>
    <x v="0"/>
    <x v="0"/>
    <x v="0"/>
    <x v="0"/>
    <x v="2"/>
    <x v="0"/>
    <x v="0"/>
    <x v="1"/>
    <x v="0"/>
    <x v="0"/>
    <x v="2"/>
    <x v="1"/>
    <x v="2"/>
    <x v="0"/>
    <x v="0"/>
    <x v="0"/>
    <x v="0"/>
    <m/>
    <s v="TRANQUILA"/>
    <s v="CANSADA"/>
    <m/>
    <x v="0"/>
    <x v="0"/>
    <x v="6"/>
    <n v="0"/>
    <n v="1"/>
    <n v="0"/>
    <n v="0"/>
    <n v="1"/>
    <n v="0"/>
    <n v="0"/>
    <n v="0"/>
    <n v="0"/>
    <m/>
    <m/>
    <n v="83536532"/>
    <s v="b04ede3d-7ade-4833-b0bb-e83b366c2195"/>
    <d v="2025-04-11T19:31:03"/>
    <m/>
    <m/>
    <s v="submitted_via_web"/>
    <m/>
    <s v="vpsziw45rUquZQYxjPdXa5"/>
    <m/>
    <n v="45"/>
  </r>
  <r>
    <d v="2025-04-11T14:23:03"/>
    <d v="2025-04-11T14:31:36"/>
    <s v="AFC"/>
    <n v="150"/>
    <d v="2025-03-23T00:00:00"/>
    <n v="3"/>
    <s v="GB-NC"/>
    <s v="KV"/>
    <s v="-0,180065"/>
    <s v="-78,483997"/>
    <s v="1. Sí"/>
    <n v="7"/>
    <s v="1. Años"/>
    <n v="0"/>
    <n v="0"/>
    <n v="0"/>
    <n v="0"/>
    <x v="0"/>
    <n v="28"/>
    <x v="0"/>
    <s v="1. Sí"/>
    <m/>
    <s v="6. Mestiza(o)"/>
    <m/>
    <s v="5. Soltera/o"/>
    <x v="2"/>
    <s v="1. Completa"/>
    <s v="2. de $471 a $919"/>
    <s v="2. SEGURO"/>
    <s v="AL AMBIENTE"/>
    <m/>
    <m/>
    <x v="0"/>
    <s v="Mañana  (06:00 a 11:59) Tarde (12:00 a 17:59)"/>
    <n v="0"/>
    <n v="1"/>
    <n v="1"/>
    <n v="0"/>
    <n v="0"/>
    <x v="0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2"/>
    <x v="0"/>
    <x v="0"/>
    <x v="0"/>
    <x v="0"/>
    <x v="0"/>
    <x v="3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0"/>
    <x v="1"/>
    <x v="2"/>
    <x v="0"/>
    <m/>
    <x v="0"/>
    <x v="0"/>
    <x v="2"/>
    <x v="0"/>
    <m/>
    <x v="1"/>
    <x v="2"/>
    <x v="1"/>
    <x v="0"/>
    <x v="0"/>
    <x v="0"/>
    <x v="0"/>
    <x v="0"/>
    <x v="0"/>
    <x v="0"/>
    <x v="0"/>
    <x v="0"/>
    <x v="1"/>
    <x v="1"/>
    <x v="0"/>
    <x v="1"/>
    <x v="1"/>
    <x v="1"/>
    <x v="0"/>
    <x v="0"/>
    <x v="1"/>
    <x v="0"/>
    <x v="1"/>
    <x v="1"/>
    <x v="1"/>
    <x v="2"/>
    <x v="0"/>
    <x v="0"/>
    <x v="0"/>
    <x v="0"/>
    <m/>
    <s v="TRANQUILIDAD"/>
    <s v="ARMONIA CON LOS USUARIOS"/>
    <m/>
    <x v="0"/>
    <x v="0"/>
    <x v="1"/>
    <n v="0"/>
    <n v="0"/>
    <n v="0"/>
    <n v="0"/>
    <n v="0"/>
    <n v="0"/>
    <n v="0"/>
    <n v="0"/>
    <n v="1"/>
    <s v="INFLABLE"/>
    <m/>
    <n v="83536584"/>
    <s v="32804dde-51f4-4cb1-8d93-1c00c5e56c70"/>
    <d v="2025-04-11T19:31:36"/>
    <m/>
    <m/>
    <s v="submitted_via_web"/>
    <m/>
    <s v="vpsziw45rUquZQYxjPdXa5"/>
    <m/>
    <n v="46"/>
  </r>
  <r>
    <d v="2025-04-11T14:31:01"/>
    <d v="2025-04-11T14:35:11"/>
    <s v="AMC"/>
    <n v="66"/>
    <d v="2025-03-22T00:00:00"/>
    <n v="3"/>
    <s v="GP-GC"/>
    <s v="JA"/>
    <s v="-0,17941"/>
    <s v="-78,48397"/>
    <s v="1. Sí"/>
    <n v="8"/>
    <s v="1. Años"/>
    <n v="0"/>
    <n v="0"/>
    <n v="0"/>
    <n v="0"/>
    <x v="1"/>
    <n v="28"/>
    <x v="0"/>
    <s v="1. Sí"/>
    <m/>
    <s v="6. Mestiza(o)"/>
    <m/>
    <s v="5. Soltera/o"/>
    <x v="2"/>
    <s v="1. Completa"/>
    <s v="1. Menos de $470"/>
    <s v="2. SEGURO"/>
    <s v="NO HABIDO PROBLEMAS"/>
    <s v="ALGO DE SEGURIDAD"/>
    <m/>
    <x v="0"/>
    <s v="Tarde (12:00 a 17:59) Noche  (18:00 a 23:59)"/>
    <n v="0"/>
    <n v="0"/>
    <n v="1"/>
    <n v="1"/>
    <n v="0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1"/>
    <x v="0"/>
    <x v="0"/>
    <x v="1"/>
    <x v="2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m/>
    <x v="0"/>
    <x v="0"/>
    <x v="0"/>
    <x v="0"/>
    <m/>
    <x v="1"/>
    <x v="1"/>
    <x v="0"/>
    <x v="0"/>
    <x v="0"/>
    <x v="0"/>
    <x v="0"/>
    <x v="0"/>
    <x v="0"/>
    <x v="1"/>
    <x v="2"/>
    <x v="0"/>
    <x v="0"/>
    <x v="0"/>
    <x v="0"/>
    <x v="1"/>
    <x v="1"/>
    <x v="1"/>
    <x v="1"/>
    <x v="1"/>
    <x v="2"/>
    <x v="0"/>
    <x v="1"/>
    <x v="1"/>
    <x v="0"/>
    <x v="0"/>
    <x v="0"/>
    <x v="0"/>
    <x v="0"/>
    <x v="0"/>
    <m/>
    <s v="TRANQUILIDAD"/>
    <s v="FELICIDAD"/>
    <m/>
    <x v="0"/>
    <x v="0"/>
    <x v="1"/>
    <n v="0"/>
    <n v="0"/>
    <n v="0"/>
    <n v="0"/>
    <n v="0"/>
    <n v="0"/>
    <n v="0"/>
    <n v="0"/>
    <n v="1"/>
    <s v="JUGUETES"/>
    <m/>
    <n v="83536762"/>
    <s v="fd187e03-09c3-43f1-9b82-cb0566e4b82d"/>
    <d v="2025-04-11T19:35:12"/>
    <m/>
    <m/>
    <s v="submitted_via_web"/>
    <m/>
    <s v="vpsziw45rUquZQYxjPdXa5"/>
    <m/>
    <n v="47"/>
  </r>
  <r>
    <d v="2025-04-11T14:13:18"/>
    <d v="2025-04-11T14:38:26"/>
    <s v="JP"/>
    <n v="105"/>
    <d v="2025-03-22T00:00:00"/>
    <n v="1"/>
    <s v="MQ"/>
    <s v="GH"/>
    <s v="-0,18736"/>
    <s v="-78,48427"/>
    <s v="1. Sí"/>
    <n v="11"/>
    <s v="1. Años"/>
    <n v="0"/>
    <n v="0"/>
    <n v="0"/>
    <n v="0"/>
    <x v="1"/>
    <n v="57"/>
    <x v="2"/>
    <s v="1. Sí"/>
    <m/>
    <s v="3. Negra(o)"/>
    <m/>
    <s v="3. Viuda/o"/>
    <x v="1"/>
    <s v="1. Completa"/>
    <s v="99. NS/NC"/>
    <s v="4. MUY INSEGURO"/>
    <s v="PORQUE OTROS VENDEDORES DE JUGO, COLAS AMBULANTES AMENAZAN"/>
    <s v="NO HAY CONTROL DE GUARDABOSQUES"/>
    <s v="NO HAY CONTROL POLICIAL"/>
    <x v="1"/>
    <s v="Tarde (12:00 a 17:59)"/>
    <n v="0"/>
    <n v="0"/>
    <n v="1"/>
    <n v="0"/>
    <n v="0"/>
    <x v="1"/>
    <x v="1"/>
    <x v="1"/>
    <x v="0"/>
    <x v="3"/>
    <n v="0"/>
    <n v="0"/>
    <n v="0"/>
    <n v="0"/>
    <n v="0"/>
    <n v="1"/>
    <s v="SEGURIDAD PUESTA POR LA ASOCIACION"/>
    <x v="1"/>
    <x v="1"/>
    <n v="0"/>
    <n v="1"/>
    <n v="0"/>
    <n v="0"/>
    <n v="0"/>
    <n v="0"/>
    <n v="0"/>
    <n v="0"/>
    <m/>
    <m/>
    <n v="0"/>
    <m/>
    <m/>
    <m/>
    <s v="2. No"/>
    <m/>
    <m/>
    <m/>
    <m/>
    <m/>
    <m/>
    <x v="1"/>
    <m/>
    <x v="0"/>
    <x v="0"/>
    <x v="1"/>
    <x v="1"/>
    <x v="0"/>
    <x v="3"/>
    <x v="1"/>
    <x v="2"/>
    <x v="2"/>
    <x v="1"/>
    <x v="1"/>
    <x v="2"/>
    <x v="1"/>
    <x v="1"/>
    <x v="0"/>
    <x v="2"/>
    <x v="1"/>
    <x v="3"/>
    <x v="1"/>
    <x v="1"/>
    <x v="1"/>
    <x v="3"/>
    <x v="0"/>
    <x v="0"/>
    <x v="0"/>
    <x v="0"/>
    <x v="0"/>
    <x v="3"/>
    <x v="0"/>
    <x v="0"/>
    <x v="0"/>
    <x v="0"/>
    <x v="0"/>
    <m/>
    <x v="0"/>
    <x v="0"/>
    <x v="0"/>
    <x v="1"/>
    <m/>
    <x v="0"/>
    <x v="0"/>
    <x v="0"/>
    <x v="0"/>
    <x v="0"/>
    <x v="0"/>
    <x v="0"/>
    <x v="0"/>
    <x v="0"/>
    <x v="1"/>
    <x v="1"/>
    <x v="2"/>
    <x v="0"/>
    <x v="0"/>
    <x v="0"/>
    <x v="1"/>
    <x v="1"/>
    <x v="1"/>
    <x v="0"/>
    <x v="0"/>
    <x v="1"/>
    <x v="0"/>
    <x v="0"/>
    <x v="2"/>
    <x v="0"/>
    <x v="0"/>
    <x v="0"/>
    <x v="0"/>
    <x v="0"/>
    <x v="0"/>
    <m/>
    <s v="INSEGURA"/>
    <s v="INDIGNADA POR NO CONTROLAR LAS AUTORIDADES"/>
    <m/>
    <x v="0"/>
    <x v="0"/>
    <x v="1"/>
    <n v="0"/>
    <n v="0"/>
    <n v="0"/>
    <n v="0"/>
    <n v="0"/>
    <n v="0"/>
    <n v="0"/>
    <n v="0"/>
    <n v="1"/>
    <s v="JUGO DE COCO Y TAMARINDO"/>
    <m/>
    <n v="83536992"/>
    <s v="208c5f2a-66a5-4e97-b045-587915aeeec5"/>
    <d v="2025-04-11T19:38:27"/>
    <m/>
    <m/>
    <s v="submitted_via_web"/>
    <m/>
    <s v="vsL33mCaFLo882kfJNCvYm"/>
    <m/>
    <n v="48"/>
  </r>
  <r>
    <d v="2025-04-11T14:35:11"/>
    <d v="2025-04-11T14:38:37"/>
    <s v="AMC"/>
    <n v="64"/>
    <d v="2025-03-22T00:00:00"/>
    <n v="3"/>
    <s v="JC"/>
    <s v="JA"/>
    <s v="-0,17903"/>
    <s v="-78,48418"/>
    <s v="1. Sí"/>
    <n v="30"/>
    <s v="1. Años"/>
    <n v="0"/>
    <n v="0"/>
    <n v="0"/>
    <n v="0"/>
    <x v="1"/>
    <n v="65"/>
    <x v="2"/>
    <s v="1. Sí"/>
    <m/>
    <s v="6. Mestiza(o)"/>
    <m/>
    <s v="3. Viuda/o"/>
    <x v="1"/>
    <s v="1. Completa"/>
    <s v="1. Menos de $470"/>
    <s v="2. SEGURO"/>
    <s v="PRESENCIA POLICIA NACIONAL"/>
    <s v="AFLUENCIA DE GENTE"/>
    <s v="POLICIA METROPOLITANA"/>
    <x v="3"/>
    <s v="Todos los horarios"/>
    <n v="0"/>
    <n v="0"/>
    <n v="0"/>
    <n v="0"/>
    <n v="1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1"/>
    <x v="2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0"/>
    <m/>
    <x v="0"/>
    <x v="1"/>
    <x v="1"/>
    <x v="2"/>
    <m/>
    <x v="0"/>
    <x v="0"/>
    <x v="0"/>
    <x v="1"/>
    <x v="2"/>
    <x v="0"/>
    <x v="1"/>
    <x v="1"/>
    <x v="0"/>
    <x v="1"/>
    <x v="2"/>
    <x v="0"/>
    <x v="1"/>
    <x v="1"/>
    <x v="0"/>
    <x v="0"/>
    <x v="2"/>
    <x v="1"/>
    <x v="0"/>
    <x v="2"/>
    <x v="2"/>
    <x v="0"/>
    <x v="1"/>
    <x v="1"/>
    <x v="1"/>
    <x v="2"/>
    <x v="0"/>
    <x v="1"/>
    <x v="1"/>
    <x v="0"/>
    <m/>
    <s v="FELIZ"/>
    <s v="TRANQUILIDAD"/>
    <m/>
    <x v="0"/>
    <x v="0"/>
    <x v="1"/>
    <n v="0"/>
    <n v="0"/>
    <n v="0"/>
    <n v="0"/>
    <n v="0"/>
    <n v="0"/>
    <n v="0"/>
    <n v="0"/>
    <n v="1"/>
    <s v="JUEGOS INFANTILES"/>
    <m/>
    <n v="83536993"/>
    <s v="6e5ab275-a72f-4b0a-8ded-69b492cac05a"/>
    <d v="2025-04-11T19:38:37"/>
    <m/>
    <m/>
    <s v="submitted_via_web"/>
    <m/>
    <s v="vpsziw45rUquZQYxjPdXa5"/>
    <m/>
    <n v="49"/>
  </r>
  <r>
    <d v="2025-04-11T14:38:26"/>
    <d v="2025-04-11T14:43:21"/>
    <s v="JP"/>
    <n v="104"/>
    <d v="2025-03-22T00:00:00"/>
    <n v="1"/>
    <s v="EB"/>
    <s v="GH"/>
    <s v="-0,18733"/>
    <s v="-78,48434"/>
    <s v="1. Sí"/>
    <n v="25"/>
    <s v="1. Años"/>
    <n v="0"/>
    <n v="0"/>
    <n v="0"/>
    <n v="0"/>
    <x v="0"/>
    <n v="49"/>
    <x v="1"/>
    <s v="1. Sí"/>
    <m/>
    <s v="7. Blanca(o)"/>
    <m/>
    <s v="5. Soltera/o"/>
    <x v="2"/>
    <s v="1. Completa"/>
    <s v="99. NS/NC"/>
    <s v="2. SEGURO"/>
    <s v="COORDINACION CON POLICIA NACIONAL"/>
    <m/>
    <m/>
    <x v="0"/>
    <s v="Tarde (12:00 a 17:59)"/>
    <n v="0"/>
    <n v="0"/>
    <n v="1"/>
    <n v="0"/>
    <n v="0"/>
    <x v="2"/>
    <x v="1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1"/>
    <x v="0"/>
    <x v="0"/>
    <x v="1"/>
    <x v="2"/>
    <x v="1"/>
    <x v="2"/>
    <x v="0"/>
    <x v="0"/>
    <x v="0"/>
    <x v="0"/>
    <x v="1"/>
    <x v="1"/>
    <x v="1"/>
    <x v="1"/>
    <x v="0"/>
    <x v="0"/>
    <x v="1"/>
    <x v="3"/>
    <x v="1"/>
    <x v="2"/>
    <x v="0"/>
    <x v="0"/>
    <x v="0"/>
    <x v="0"/>
    <x v="0"/>
    <x v="0"/>
    <x v="0"/>
    <x v="0"/>
    <x v="1"/>
    <x v="2"/>
    <x v="0"/>
    <m/>
    <x v="0"/>
    <x v="0"/>
    <x v="2"/>
    <x v="0"/>
    <m/>
    <x v="1"/>
    <x v="2"/>
    <x v="2"/>
    <x v="1"/>
    <x v="1"/>
    <x v="2"/>
    <x v="0"/>
    <x v="0"/>
    <x v="0"/>
    <x v="1"/>
    <x v="1"/>
    <x v="1"/>
    <x v="1"/>
    <x v="2"/>
    <x v="2"/>
    <x v="1"/>
    <x v="1"/>
    <x v="1"/>
    <x v="0"/>
    <x v="0"/>
    <x v="0"/>
    <x v="0"/>
    <x v="0"/>
    <x v="0"/>
    <x v="1"/>
    <x v="2"/>
    <x v="0"/>
    <x v="0"/>
    <x v="0"/>
    <x v="0"/>
    <m/>
    <s v="TRANQUILO"/>
    <m/>
    <m/>
    <x v="0"/>
    <x v="0"/>
    <x v="4"/>
    <n v="0"/>
    <n v="0"/>
    <n v="1"/>
    <n v="0"/>
    <n v="0"/>
    <n v="0"/>
    <n v="0"/>
    <n v="0"/>
    <n v="0"/>
    <m/>
    <m/>
    <n v="83537173"/>
    <s v="7b73c320-1d96-43a1-a78b-c79ef8240708"/>
    <d v="2025-04-11T19:43:21"/>
    <m/>
    <m/>
    <s v="submitted_via_web"/>
    <m/>
    <s v="vsL33mCaFLo882kfJNCvYm"/>
    <m/>
    <n v="50"/>
  </r>
  <r>
    <d v="2025-04-11T14:31:36"/>
    <d v="2025-04-11T14:43:43"/>
    <s v="AFC"/>
    <n v="149"/>
    <d v="2025-03-23T00:00:00"/>
    <n v="3"/>
    <s v="JC"/>
    <s v="KV"/>
    <s v="-0,179617"/>
    <s v="-78,484168"/>
    <s v="1. Sí"/>
    <n v="30"/>
    <s v="1. Años"/>
    <n v="0"/>
    <n v="0"/>
    <n v="0"/>
    <n v="0"/>
    <x v="0"/>
    <n v="60"/>
    <x v="2"/>
    <s v="1. Sí"/>
    <m/>
    <s v="6. Mestiza(o)"/>
    <m/>
    <s v="4. Casada/o"/>
    <x v="1"/>
    <s v="1. Completa"/>
    <s v="1. Menos de $470"/>
    <s v="2. SEGURO"/>
    <s v="PRESENCIA DE POLICIA NACIONAL"/>
    <s v="PRESENCIA DE GUARDIAS"/>
    <s v="SE VE BUENA"/>
    <x v="0"/>
    <s v="Todos los horarios"/>
    <n v="0"/>
    <n v="0"/>
    <n v="0"/>
    <n v="0"/>
    <n v="1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1"/>
    <x v="2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0"/>
    <m/>
    <x v="0"/>
    <x v="0"/>
    <x v="0"/>
    <x v="1"/>
    <m/>
    <x v="1"/>
    <x v="2"/>
    <x v="1"/>
    <x v="0"/>
    <x v="0"/>
    <x v="0"/>
    <x v="0"/>
    <x v="0"/>
    <x v="0"/>
    <x v="1"/>
    <x v="1"/>
    <x v="2"/>
    <x v="0"/>
    <x v="0"/>
    <x v="0"/>
    <x v="1"/>
    <x v="1"/>
    <x v="1"/>
    <x v="0"/>
    <x v="2"/>
    <x v="2"/>
    <x v="0"/>
    <x v="1"/>
    <x v="1"/>
    <x v="0"/>
    <x v="0"/>
    <x v="0"/>
    <x v="0"/>
    <x v="0"/>
    <x v="0"/>
    <m/>
    <s v="FELIZ"/>
    <s v="TRANQUILA"/>
    <s v="SEGURA"/>
    <x v="0"/>
    <x v="0"/>
    <x v="10"/>
    <n v="0"/>
    <n v="1"/>
    <n v="0"/>
    <n v="0"/>
    <n v="0"/>
    <n v="0"/>
    <n v="0"/>
    <n v="0"/>
    <n v="1"/>
    <s v="JUGOS FRUTAS Y BEBIDAS"/>
    <m/>
    <n v="83537195"/>
    <s v="ae5c54d5-dcc4-4fa0-9089-396e983088ca"/>
    <d v="2025-04-11T19:43:43"/>
    <m/>
    <m/>
    <s v="submitted_via_web"/>
    <m/>
    <s v="vpsziw45rUquZQYxjPdXa5"/>
    <m/>
    <n v="51"/>
  </r>
  <r>
    <d v="2025-04-11T14:38:37"/>
    <d v="2025-04-11T14:54:04"/>
    <s v="AMC"/>
    <n v="62"/>
    <d v="2025-03-22T00:00:00"/>
    <n v="3"/>
    <s v="GP-GC"/>
    <s v="JA"/>
    <s v="-0,17906"/>
    <s v="-78,48399"/>
    <s v="1. Sí"/>
    <n v="20"/>
    <s v="1. Años"/>
    <n v="0"/>
    <n v="0"/>
    <n v="0"/>
    <n v="0"/>
    <x v="1"/>
    <n v="40"/>
    <x v="0"/>
    <s v="1. Sí"/>
    <m/>
    <s v="6. Mestiza(o)"/>
    <m/>
    <s v="5. Soltera/o"/>
    <x v="0"/>
    <s v="1. Completa"/>
    <s v="1. Menos de $470"/>
    <s v="3. INSEGURO"/>
    <s v="DROGAS PERSONAS"/>
    <s v="FALTA DE SEGURIDAD"/>
    <m/>
    <x v="0"/>
    <s v="Tarde (12:00 a 17:59) Noche  (18:00 a 23:59)"/>
    <n v="0"/>
    <n v="0"/>
    <n v="1"/>
    <n v="1"/>
    <n v="0"/>
    <x v="2"/>
    <x v="0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3"/>
    <x v="0"/>
    <x v="3"/>
    <x v="1"/>
    <x v="1"/>
    <x v="0"/>
    <x v="0"/>
    <x v="1"/>
    <x v="1"/>
    <x v="0"/>
    <x v="2"/>
    <x v="1"/>
    <x v="1"/>
    <x v="1"/>
    <x v="1"/>
    <x v="0"/>
    <x v="0"/>
    <x v="1"/>
    <x v="1"/>
    <x v="0"/>
    <x v="0"/>
    <x v="0"/>
    <x v="0"/>
    <x v="0"/>
    <x v="0"/>
    <x v="1"/>
    <x v="3"/>
    <x v="0"/>
    <m/>
    <x v="0"/>
    <x v="0"/>
    <x v="0"/>
    <x v="0"/>
    <m/>
    <x v="1"/>
    <x v="2"/>
    <x v="2"/>
    <x v="1"/>
    <x v="1"/>
    <x v="2"/>
    <x v="1"/>
    <x v="2"/>
    <x v="1"/>
    <x v="1"/>
    <x v="1"/>
    <x v="1"/>
    <x v="1"/>
    <x v="1"/>
    <x v="0"/>
    <x v="1"/>
    <x v="1"/>
    <x v="1"/>
    <x v="0"/>
    <x v="0"/>
    <x v="0"/>
    <x v="0"/>
    <x v="0"/>
    <x v="0"/>
    <x v="1"/>
    <x v="2"/>
    <x v="0"/>
    <x v="1"/>
    <x v="1"/>
    <x v="0"/>
    <m/>
    <s v="SE SIENTE CON AMOR"/>
    <s v="SE SIENTE FELIZ"/>
    <m/>
    <x v="0"/>
    <x v="0"/>
    <x v="3"/>
    <n v="0"/>
    <n v="0"/>
    <n v="0"/>
    <n v="0"/>
    <n v="1"/>
    <n v="1"/>
    <n v="0"/>
    <n v="0"/>
    <n v="0"/>
    <m/>
    <m/>
    <n v="83537970"/>
    <s v="62aa3b59-1f4e-4ef9-8aba-4f8b0edd01de"/>
    <d v="2025-04-11T19:54:05"/>
    <m/>
    <m/>
    <s v="submitted_via_web"/>
    <m/>
    <s v="vpsziw45rUquZQYxjPdXa5"/>
    <m/>
    <n v="52"/>
  </r>
  <r>
    <d v="2025-04-11T14:54:04"/>
    <d v="2025-04-11T14:58:03"/>
    <s v="AMC"/>
    <n v="61"/>
    <d v="2025-03-22T00:00:00"/>
    <n v="3"/>
    <s v="BP"/>
    <s v="JA"/>
    <s v="-0,17853"/>
    <s v="-78,48330"/>
    <s v="1. Sí"/>
    <n v="30"/>
    <s v="1. Años"/>
    <n v="0"/>
    <n v="0"/>
    <n v="0"/>
    <n v="0"/>
    <x v="1"/>
    <n v="55"/>
    <x v="1"/>
    <s v="1. Sí"/>
    <m/>
    <s v="6. Mestiza(o)"/>
    <m/>
    <s v="2. Divorciada/o"/>
    <x v="1"/>
    <s v="2. Incompleta"/>
    <s v="2. de $471 a $919"/>
    <s v="3. INSEGURO"/>
    <s v="HA VISTO QUE SE ROBAN LAS MOCHILAS DE LOS JOVENES"/>
    <s v="EN LA NOCHE ROBAN Y SE DROGAN"/>
    <m/>
    <x v="1"/>
    <s v="Noche  (18:00 a 23:59)"/>
    <n v="0"/>
    <n v="0"/>
    <n v="0"/>
    <n v="1"/>
    <n v="0"/>
    <x v="1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1"/>
    <x v="2"/>
    <x v="1"/>
    <x v="1"/>
    <x v="0"/>
    <x v="0"/>
    <x v="1"/>
    <x v="1"/>
    <x v="1"/>
    <x v="1"/>
    <x v="0"/>
    <x v="0"/>
    <x v="1"/>
    <x v="3"/>
    <x v="0"/>
    <x v="0"/>
    <x v="0"/>
    <x v="0"/>
    <x v="0"/>
    <x v="0"/>
    <x v="1"/>
    <x v="2"/>
    <x v="0"/>
    <x v="0"/>
    <x v="0"/>
    <x v="0"/>
    <x v="0"/>
    <m/>
    <x v="0"/>
    <x v="0"/>
    <x v="0"/>
    <x v="1"/>
    <m/>
    <x v="1"/>
    <x v="1"/>
    <x v="0"/>
    <x v="1"/>
    <x v="2"/>
    <x v="0"/>
    <x v="0"/>
    <x v="0"/>
    <x v="0"/>
    <x v="1"/>
    <x v="1"/>
    <x v="1"/>
    <x v="0"/>
    <x v="0"/>
    <x v="0"/>
    <x v="1"/>
    <x v="1"/>
    <x v="1"/>
    <x v="0"/>
    <x v="2"/>
    <x v="2"/>
    <x v="0"/>
    <x v="1"/>
    <x v="1"/>
    <x v="1"/>
    <x v="2"/>
    <x v="0"/>
    <x v="0"/>
    <x v="0"/>
    <x v="0"/>
    <m/>
    <s v="PARA TRABAJAR ESTA INSEGURO"/>
    <s v="PERO TIENE EL PERMISO Y PUEDE TRABAJAR"/>
    <m/>
    <x v="0"/>
    <x v="0"/>
    <x v="11"/>
    <n v="0"/>
    <n v="1"/>
    <n v="0"/>
    <n v="0"/>
    <n v="0"/>
    <n v="1"/>
    <n v="0"/>
    <n v="0"/>
    <n v="0"/>
    <m/>
    <m/>
    <n v="83538210"/>
    <s v="0b2f7350-16db-4d30-80fb-3e76f2299b95"/>
    <d v="2025-04-11T19:58:04"/>
    <m/>
    <m/>
    <s v="submitted_via_web"/>
    <m/>
    <s v="vpsziw45rUquZQYxjPdXa5"/>
    <m/>
    <n v="53"/>
  </r>
  <r>
    <d v="2025-04-11T14:43:43"/>
    <d v="2025-04-11T15:00:33"/>
    <s v="AFC"/>
    <n v="148"/>
    <d v="2025-03-23T00:00:00"/>
    <n v="3"/>
    <s v="JC"/>
    <s v="KV"/>
    <s v="-0,178860"/>
    <s v="-78,485673"/>
    <s v="1. Sí"/>
    <n v="13"/>
    <s v="1. Años"/>
    <n v="0"/>
    <n v="0"/>
    <n v="0"/>
    <n v="0"/>
    <x v="1"/>
    <n v="63"/>
    <x v="2"/>
    <s v="1. Sí"/>
    <m/>
    <s v="6. Mestiza(o)"/>
    <m/>
    <s v="2. Divorciada/o"/>
    <x v="2"/>
    <s v="1. Completa"/>
    <s v="3. de $920 a $1339"/>
    <s v="2. SEGURO"/>
    <s v="BASTANTE GENTE"/>
    <s v="NO TRANSITA POR LA NOCHE"/>
    <s v="GUARDA PARQUES"/>
    <x v="3"/>
    <s v="Tarde (12:00 a 17:59)"/>
    <n v="0"/>
    <n v="0"/>
    <n v="1"/>
    <n v="0"/>
    <n v="0"/>
    <x v="2"/>
    <x v="1"/>
    <x v="0"/>
    <x v="0"/>
    <x v="3"/>
    <n v="0"/>
    <n v="0"/>
    <n v="0"/>
    <n v="0"/>
    <n v="0"/>
    <n v="1"/>
    <s v="BOTON DE PANICO"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1"/>
    <x v="2"/>
    <x v="0"/>
    <x v="0"/>
    <x v="1"/>
    <x v="2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m/>
    <x v="0"/>
    <x v="0"/>
    <x v="0"/>
    <x v="1"/>
    <m/>
    <x v="0"/>
    <x v="0"/>
    <x v="0"/>
    <x v="0"/>
    <x v="0"/>
    <x v="0"/>
    <x v="0"/>
    <x v="0"/>
    <x v="0"/>
    <x v="1"/>
    <x v="1"/>
    <x v="2"/>
    <x v="1"/>
    <x v="1"/>
    <x v="0"/>
    <x v="1"/>
    <x v="1"/>
    <x v="1"/>
    <x v="0"/>
    <x v="2"/>
    <x v="2"/>
    <x v="0"/>
    <x v="1"/>
    <x v="1"/>
    <x v="0"/>
    <x v="0"/>
    <x v="0"/>
    <x v="0"/>
    <x v="0"/>
    <x v="0"/>
    <m/>
    <s v="ANGUSTIA"/>
    <s v="FELICIDAD"/>
    <s v="MALESTAR"/>
    <x v="0"/>
    <x v="0"/>
    <x v="0"/>
    <n v="0"/>
    <n v="0"/>
    <n v="0"/>
    <n v="0"/>
    <n v="1"/>
    <n v="0"/>
    <n v="0"/>
    <n v="0"/>
    <n v="0"/>
    <m/>
    <m/>
    <n v="83538245"/>
    <s v="96f4482d-4910-4fe7-8253-85bee308b718"/>
    <d v="2025-04-11T20:00:34"/>
    <m/>
    <m/>
    <s v="submitted_via_web"/>
    <m/>
    <s v="vpsziw45rUquZQYxjPdXa5"/>
    <m/>
    <n v="54"/>
  </r>
  <r>
    <d v="2025-04-11T15:00:33"/>
    <d v="2025-04-11T15:06:44"/>
    <s v="AFC"/>
    <n v="147"/>
    <d v="2025-03-23T00:00:00"/>
    <n v="3"/>
    <s v="GB-EG"/>
    <s v="KV"/>
    <s v="-0,178670"/>
    <s v="-78,485957"/>
    <s v="1. Sí"/>
    <n v="10"/>
    <s v="1. Años"/>
    <n v="0"/>
    <n v="0"/>
    <n v="0"/>
    <n v="0"/>
    <x v="1"/>
    <n v="31"/>
    <x v="0"/>
    <s v="1. Sí"/>
    <m/>
    <s v="6. Mestiza(o)"/>
    <m/>
    <s v="5. Soltera/o"/>
    <x v="0"/>
    <s v="2. Incompleta"/>
    <s v="1. Menos de $470"/>
    <s v="3. INSEGURO"/>
    <s v="PORQUE HAY INCREMENTO DELINCUENCIAL"/>
    <m/>
    <m/>
    <x v="0"/>
    <s v="Mañana  (06:00 a 11:59)"/>
    <n v="0"/>
    <n v="1"/>
    <n v="0"/>
    <n v="0"/>
    <n v="0"/>
    <x v="1"/>
    <x v="1"/>
    <x v="0"/>
    <x v="0"/>
    <x v="0"/>
    <n v="1"/>
    <n v="0"/>
    <n v="0"/>
    <n v="0"/>
    <n v="0"/>
    <n v="0"/>
    <m/>
    <x v="1"/>
    <x v="1"/>
    <n v="0"/>
    <n v="1"/>
    <n v="0"/>
    <n v="0"/>
    <n v="0"/>
    <n v="0"/>
    <n v="0"/>
    <n v="0"/>
    <m/>
    <m/>
    <n v="0"/>
    <m/>
    <m/>
    <m/>
    <s v="2. No"/>
    <m/>
    <m/>
    <m/>
    <m/>
    <m/>
    <m/>
    <x v="1"/>
    <m/>
    <x v="1"/>
    <x v="1"/>
    <x v="0"/>
    <x v="0"/>
    <x v="0"/>
    <x v="1"/>
    <x v="0"/>
    <x v="0"/>
    <x v="0"/>
    <x v="2"/>
    <x v="0"/>
    <x v="0"/>
    <x v="1"/>
    <x v="2"/>
    <x v="0"/>
    <x v="0"/>
    <x v="0"/>
    <x v="0"/>
    <x v="1"/>
    <x v="1"/>
    <x v="0"/>
    <x v="0"/>
    <x v="0"/>
    <x v="0"/>
    <x v="0"/>
    <x v="0"/>
    <x v="0"/>
    <x v="3"/>
    <x v="0"/>
    <x v="0"/>
    <x v="0"/>
    <x v="0"/>
    <x v="0"/>
    <m/>
    <x v="0"/>
    <x v="0"/>
    <x v="0"/>
    <x v="0"/>
    <m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m/>
    <s v="ALEGRIA"/>
    <s v="MUCHA TRANQUILIDAD"/>
    <m/>
    <x v="0"/>
    <x v="0"/>
    <x v="0"/>
    <n v="0"/>
    <n v="0"/>
    <n v="0"/>
    <n v="0"/>
    <n v="1"/>
    <n v="0"/>
    <n v="0"/>
    <n v="0"/>
    <n v="0"/>
    <m/>
    <s v="ADOQUINAR EL PUESTO PARA QUE NO HAYA LODO"/>
    <n v="83538564"/>
    <s v="42faf475-07e0-4f48-8474-386c3ab0f280"/>
    <d v="2025-04-11T20:06:45"/>
    <m/>
    <m/>
    <s v="submitted_via_web"/>
    <m/>
    <s v="vpsziw45rUquZQYxjPdXa5"/>
    <m/>
    <n v="55"/>
  </r>
  <r>
    <d v="2025-04-11T14:58:03"/>
    <d v="2025-04-11T15:08:42"/>
    <s v="AMC"/>
    <n v="59"/>
    <d v="2025-03-22T00:00:00"/>
    <n v="3"/>
    <s v="BP"/>
    <s v="JA"/>
    <s v="-0,17890"/>
    <s v="-78,49397"/>
    <s v="1. Sí"/>
    <n v="30"/>
    <s v="1. Años"/>
    <n v="0"/>
    <n v="0"/>
    <n v="0"/>
    <n v="0"/>
    <x v="1"/>
    <n v="64"/>
    <x v="2"/>
    <s v="1. Sí"/>
    <m/>
    <s v="6. Mestiza(o)"/>
    <m/>
    <s v="3. Viuda/o"/>
    <x v="1"/>
    <s v="2. Incompleta"/>
    <s v="1. Menos de $470"/>
    <s v="2. SEGURO"/>
    <s v="VE POLICIAS CON PERRITOS"/>
    <s v="POLICIAS EN CABALLOS"/>
    <m/>
    <x v="0"/>
    <s v="Todos los horarios"/>
    <n v="0"/>
    <n v="0"/>
    <n v="0"/>
    <n v="0"/>
    <n v="1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0"/>
    <x v="0"/>
    <x v="0"/>
    <x v="1"/>
    <x v="1"/>
    <x v="0"/>
    <x v="0"/>
    <x v="1"/>
    <x v="2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0"/>
    <m/>
    <x v="0"/>
    <x v="0"/>
    <x v="0"/>
    <x v="0"/>
    <m/>
    <x v="1"/>
    <x v="1"/>
    <x v="0"/>
    <x v="0"/>
    <x v="0"/>
    <x v="0"/>
    <x v="0"/>
    <x v="0"/>
    <x v="0"/>
    <x v="1"/>
    <x v="1"/>
    <x v="1"/>
    <x v="0"/>
    <x v="0"/>
    <x v="0"/>
    <x v="1"/>
    <x v="1"/>
    <x v="1"/>
    <x v="0"/>
    <x v="2"/>
    <x v="2"/>
    <x v="0"/>
    <x v="1"/>
    <x v="1"/>
    <x v="1"/>
    <x v="2"/>
    <x v="0"/>
    <x v="0"/>
    <x v="0"/>
    <x v="0"/>
    <m/>
    <s v="SE SIENTE BIEN POR TRABAJAR EN EL PARQUE"/>
    <s v="PUEDE TENER PLATA PARA MANTENERSE"/>
    <m/>
    <x v="0"/>
    <x v="0"/>
    <x v="1"/>
    <n v="0"/>
    <n v="0"/>
    <n v="0"/>
    <n v="0"/>
    <n v="0"/>
    <n v="0"/>
    <n v="0"/>
    <n v="0"/>
    <n v="1"/>
    <s v="TIRO AL BLANCO"/>
    <m/>
    <n v="83538626"/>
    <s v="23d92e48-ded4-4e12-9953-a0d7aa67d9e6"/>
    <d v="2025-04-11T20:08:42"/>
    <m/>
    <m/>
    <s v="submitted_via_web"/>
    <m/>
    <s v="vpsziw45rUquZQYxjPdXa5"/>
    <m/>
    <n v="56"/>
  </r>
  <r>
    <d v="2025-04-11T15:08:42"/>
    <d v="2025-04-11T15:13:06"/>
    <s v="AMC"/>
    <n v="57"/>
    <d v="2025-03-22T00:00:00"/>
    <n v="3"/>
    <s v="LS"/>
    <s v="JA"/>
    <s v="-0,17899"/>
    <s v="-78,48425"/>
    <s v="1. Sí"/>
    <n v="20"/>
    <s v="1. Años"/>
    <n v="0"/>
    <n v="0"/>
    <n v="0"/>
    <n v="0"/>
    <x v="1"/>
    <n v="70"/>
    <x v="2"/>
    <s v="1. Sí"/>
    <m/>
    <s v="6. Mestiza(o)"/>
    <m/>
    <s v="3. Viuda/o"/>
    <x v="0"/>
    <s v="2. Incompleta"/>
    <s v="1. Menos de $470"/>
    <s v="3. INSEGURO"/>
    <s v="PERSONAS QUE ESTAN TOMANDO Y DAÑANDO LOS JUEGOS"/>
    <m/>
    <m/>
    <x v="1"/>
    <s v="Madrugada (00:00 a 05:59) Noche  (18:00 a 23:59)"/>
    <n v="1"/>
    <n v="0"/>
    <n v="0"/>
    <n v="1"/>
    <n v="0"/>
    <x v="1"/>
    <x v="1"/>
    <x v="0"/>
    <x v="0"/>
    <x v="3"/>
    <n v="0"/>
    <n v="0"/>
    <n v="0"/>
    <n v="0"/>
    <n v="0"/>
    <n v="1"/>
    <s v="CADENA"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3"/>
    <x v="0"/>
    <x v="0"/>
    <x v="0"/>
    <x v="3"/>
    <x v="1"/>
    <x v="2"/>
    <x v="1"/>
    <x v="2"/>
    <x v="0"/>
    <x v="0"/>
    <x v="0"/>
    <x v="0"/>
    <x v="1"/>
    <x v="2"/>
    <x v="1"/>
    <x v="1"/>
    <x v="1"/>
    <x v="2"/>
    <x v="1"/>
    <x v="2"/>
    <x v="0"/>
    <x v="0"/>
    <x v="0"/>
    <x v="0"/>
    <x v="1"/>
    <x v="2"/>
    <x v="0"/>
    <m/>
    <x v="0"/>
    <x v="0"/>
    <x v="3"/>
    <x v="0"/>
    <m/>
    <x v="1"/>
    <x v="1"/>
    <x v="0"/>
    <x v="0"/>
    <x v="0"/>
    <x v="0"/>
    <x v="0"/>
    <x v="0"/>
    <x v="0"/>
    <x v="1"/>
    <x v="2"/>
    <x v="0"/>
    <x v="0"/>
    <x v="0"/>
    <x v="0"/>
    <x v="1"/>
    <x v="1"/>
    <x v="1"/>
    <x v="0"/>
    <x v="2"/>
    <x v="2"/>
    <x v="0"/>
    <x v="1"/>
    <x v="1"/>
    <x v="1"/>
    <x v="2"/>
    <x v="0"/>
    <x v="0"/>
    <x v="0"/>
    <x v="0"/>
    <m/>
    <s v="RECUERDOS"/>
    <s v="FELIZ"/>
    <m/>
    <x v="0"/>
    <x v="0"/>
    <x v="1"/>
    <n v="0"/>
    <n v="0"/>
    <n v="0"/>
    <n v="0"/>
    <n v="0"/>
    <n v="0"/>
    <n v="0"/>
    <n v="0"/>
    <n v="1"/>
    <s v="JUEGOS MECANICOS"/>
    <m/>
    <n v="83538784"/>
    <s v="2394cfd1-b3af-44b0-88ad-f49b17b59a9d"/>
    <d v="2025-04-11T20:13:06"/>
    <m/>
    <m/>
    <s v="submitted_via_web"/>
    <m/>
    <s v="vpsziw45rUquZQYxjPdXa5"/>
    <m/>
    <n v="57"/>
  </r>
  <r>
    <d v="2025-04-11T15:06:44"/>
    <d v="2025-04-11T15:17:36"/>
    <s v="AFC"/>
    <n v="146"/>
    <d v="2025-03-23T00:00:00"/>
    <n v="3"/>
    <s v="BP"/>
    <s v="KV"/>
    <s v="-0,178386"/>
    <s v="-78,483329"/>
    <s v="1. Sí"/>
    <n v="29"/>
    <s v="1. Años"/>
    <n v="0"/>
    <n v="0"/>
    <n v="0"/>
    <n v="0"/>
    <x v="1"/>
    <n v="67"/>
    <x v="2"/>
    <s v="1. Sí"/>
    <m/>
    <s v="6. Mestiza(o)"/>
    <m/>
    <s v="5. Soltera/o"/>
    <x v="0"/>
    <s v="2. Incompleta"/>
    <s v="2. de $471 a $919"/>
    <s v="3. INSEGURO"/>
    <s v="EN LA TARDE HA VISTO QUE ROBAN"/>
    <s v="NO HAY POLICIAS"/>
    <s v="HA VISTO CON MACHETE"/>
    <x v="1"/>
    <s v="Noche  (18:00 a 23:59)"/>
    <n v="0"/>
    <n v="0"/>
    <n v="0"/>
    <n v="1"/>
    <n v="0"/>
    <x v="1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3"/>
    <x v="1"/>
    <x v="2"/>
    <x v="1"/>
    <x v="1"/>
    <x v="1"/>
    <x v="2"/>
    <x v="1"/>
    <x v="1"/>
    <x v="1"/>
    <x v="1"/>
    <x v="0"/>
    <x v="0"/>
    <x v="0"/>
    <x v="0"/>
    <x v="0"/>
    <x v="0"/>
    <x v="1"/>
    <x v="1"/>
    <x v="1"/>
    <x v="2"/>
    <x v="1"/>
    <x v="2"/>
    <x v="0"/>
    <x v="0"/>
    <x v="0"/>
    <x v="0"/>
    <x v="0"/>
    <m/>
    <x v="0"/>
    <x v="0"/>
    <x v="0"/>
    <x v="1"/>
    <m/>
    <x v="1"/>
    <x v="1"/>
    <x v="0"/>
    <x v="0"/>
    <x v="0"/>
    <x v="0"/>
    <x v="0"/>
    <x v="0"/>
    <x v="0"/>
    <x v="1"/>
    <x v="1"/>
    <x v="2"/>
    <x v="1"/>
    <x v="1"/>
    <x v="0"/>
    <x v="1"/>
    <x v="1"/>
    <x v="1"/>
    <x v="0"/>
    <x v="0"/>
    <x v="0"/>
    <x v="0"/>
    <x v="1"/>
    <x v="1"/>
    <x v="0"/>
    <x v="0"/>
    <x v="0"/>
    <x v="0"/>
    <x v="0"/>
    <x v="0"/>
    <m/>
    <s v="HAY DEMASIADO VENTAS AMBULANTES"/>
    <s v="HAY MUCHA COMPETENCIA"/>
    <m/>
    <x v="0"/>
    <x v="0"/>
    <x v="0"/>
    <n v="0"/>
    <n v="0"/>
    <n v="0"/>
    <n v="0"/>
    <n v="1"/>
    <n v="0"/>
    <n v="0"/>
    <n v="0"/>
    <n v="0"/>
    <m/>
    <m/>
    <n v="83539136"/>
    <s v="f239b2d7-5aa3-4923-8486-97d1bd9e381b"/>
    <d v="2025-04-11T20:17:36"/>
    <m/>
    <m/>
    <s v="submitted_via_web"/>
    <m/>
    <s v="vpsziw45rUquZQYxjPdXa5"/>
    <m/>
    <n v="58"/>
  </r>
  <r>
    <d v="2025-04-11T15:13:06"/>
    <d v="2025-04-11T15:24:54"/>
    <s v="AMC"/>
    <n v="55"/>
    <d v="2025-03-23T00:00:00"/>
    <n v="1"/>
    <s v="EB"/>
    <s v="GH"/>
    <s v="-0,18616"/>
    <s v="-78,48486"/>
    <s v="1. Sí"/>
    <n v="30"/>
    <s v="1. Años"/>
    <n v="0"/>
    <n v="0"/>
    <n v="0"/>
    <n v="0"/>
    <x v="1"/>
    <n v="60"/>
    <x v="2"/>
    <s v="1. Sí"/>
    <m/>
    <s v="6. Mestiza(o)"/>
    <m/>
    <s v="2. Divorciada/o"/>
    <x v="0"/>
    <s v="2. Incompleta"/>
    <s v="99. NS/NC"/>
    <s v="3. INSEGURO"/>
    <s v="MUCHA GENTE EXTRANJERA"/>
    <m/>
    <m/>
    <x v="0"/>
    <s v="Todos los horarios"/>
    <n v="0"/>
    <n v="0"/>
    <n v="0"/>
    <n v="0"/>
    <n v="1"/>
    <x v="1"/>
    <x v="1"/>
    <x v="1"/>
    <x v="0"/>
    <x v="4"/>
    <n v="0"/>
    <n v="0"/>
    <n v="1"/>
    <n v="0"/>
    <n v="0"/>
    <n v="0"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1"/>
    <x v="0"/>
    <x v="0"/>
    <x v="0"/>
    <x v="3"/>
    <x v="0"/>
    <x v="0"/>
    <x v="0"/>
    <x v="0"/>
    <x v="0"/>
    <x v="0"/>
    <x v="1"/>
    <x v="3"/>
    <x v="0"/>
    <x v="2"/>
    <x v="0"/>
    <x v="0"/>
    <x v="1"/>
    <x v="3"/>
    <x v="0"/>
    <x v="0"/>
    <x v="0"/>
    <x v="0"/>
    <x v="1"/>
    <x v="3"/>
    <x v="0"/>
    <x v="3"/>
    <x v="0"/>
    <x v="0"/>
    <x v="1"/>
    <x v="3"/>
    <x v="0"/>
    <m/>
    <x v="0"/>
    <x v="0"/>
    <x v="0"/>
    <x v="0"/>
    <m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1"/>
    <x v="0"/>
    <x v="1"/>
    <x v="1"/>
    <x v="0"/>
    <x v="0"/>
    <x v="0"/>
    <x v="0"/>
    <x v="0"/>
    <x v="0"/>
    <m/>
    <s v="TRANQUILIDAD"/>
    <m/>
    <m/>
    <x v="0"/>
    <x v="0"/>
    <x v="1"/>
    <n v="0"/>
    <n v="0"/>
    <n v="0"/>
    <n v="0"/>
    <n v="0"/>
    <n v="0"/>
    <n v="0"/>
    <n v="0"/>
    <n v="1"/>
    <s v="ACCESORIOS, ARTESANIAS, JUGUETES"/>
    <m/>
    <n v="83539816"/>
    <s v="b2b5ae0c-ff26-40bd-b9e5-b05eac3fb537"/>
    <d v="2025-04-11T20:24:54"/>
    <m/>
    <m/>
    <s v="submitted_via_web"/>
    <m/>
    <s v="vpsziw45rUquZQYxjPdXa5"/>
    <m/>
    <n v="59"/>
  </r>
  <r>
    <d v="2025-04-11T15:17:36"/>
    <d v="2025-04-11T15:25:28"/>
    <s v="AFC"/>
    <n v="145"/>
    <d v="2025-03-23T00:00:00"/>
    <n v="3"/>
    <s v="BP"/>
    <s v="KV"/>
    <s v="-0,181276"/>
    <s v="-78,483798"/>
    <s v="1. Sí"/>
    <n v="35"/>
    <s v="1. Años"/>
    <n v="0"/>
    <n v="0"/>
    <n v="0"/>
    <n v="0"/>
    <x v="0"/>
    <n v="66"/>
    <x v="2"/>
    <s v="1. Sí"/>
    <m/>
    <s v="6. Mestiza(o)"/>
    <m/>
    <s v="4. Casada/o"/>
    <x v="1"/>
    <s v="1. Completa"/>
    <s v="1. Menos de $470"/>
    <s v="3. INSEGURO"/>
    <s v="VE MUCHACHOS ROBANDO"/>
    <s v="LOS VENEZOLANOS VENDEN DROGA"/>
    <s v="LAS VENTAS AMBULANTES HA CRECIDO EN EL PARQUE"/>
    <x v="1"/>
    <s v="Todos los horarios"/>
    <n v="0"/>
    <n v="0"/>
    <n v="0"/>
    <n v="0"/>
    <n v="1"/>
    <x v="1"/>
    <x v="1"/>
    <x v="0"/>
    <x v="0"/>
    <x v="3"/>
    <n v="0"/>
    <n v="0"/>
    <n v="0"/>
    <n v="0"/>
    <n v="0"/>
    <n v="1"/>
    <s v="GRUPO DE WHATSAPP"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1"/>
    <x v="1"/>
    <x v="0"/>
    <x v="3"/>
    <x v="0"/>
    <x v="3"/>
    <x v="1"/>
    <x v="1"/>
    <x v="0"/>
    <x v="0"/>
    <x v="1"/>
    <x v="1"/>
    <x v="0"/>
    <x v="0"/>
    <x v="0"/>
    <x v="0"/>
    <x v="1"/>
    <x v="3"/>
    <x v="0"/>
    <x v="0"/>
    <x v="0"/>
    <x v="0"/>
    <x v="0"/>
    <x v="0"/>
    <x v="1"/>
    <x v="2"/>
    <x v="0"/>
    <x v="0"/>
    <x v="0"/>
    <x v="0"/>
    <x v="0"/>
    <m/>
    <x v="0"/>
    <x v="0"/>
    <x v="0"/>
    <x v="0"/>
    <m/>
    <x v="0"/>
    <x v="0"/>
    <x v="0"/>
    <x v="0"/>
    <x v="0"/>
    <x v="0"/>
    <x v="0"/>
    <x v="0"/>
    <x v="0"/>
    <x v="1"/>
    <x v="2"/>
    <x v="0"/>
    <x v="1"/>
    <x v="1"/>
    <x v="0"/>
    <x v="1"/>
    <x v="1"/>
    <x v="1"/>
    <x v="0"/>
    <x v="0"/>
    <x v="0"/>
    <x v="0"/>
    <x v="1"/>
    <x v="1"/>
    <x v="1"/>
    <x v="2"/>
    <x v="0"/>
    <x v="0"/>
    <x v="0"/>
    <x v="0"/>
    <m/>
    <s v="PARA TRABAJAR ES BUENO"/>
    <s v="HAY COMPETENCIA DE LAS VENTAS AMBULANTES"/>
    <s v="FALTA SEGURIDAD"/>
    <x v="1"/>
    <x v="1"/>
    <x v="0"/>
    <n v="0"/>
    <n v="0"/>
    <n v="0"/>
    <n v="0"/>
    <n v="1"/>
    <n v="0"/>
    <n v="0"/>
    <n v="0"/>
    <n v="0"/>
    <m/>
    <m/>
    <n v="83539872"/>
    <s v="8edc3e9b-b7c7-4482-aaa8-8a667b22dc7a"/>
    <d v="2025-04-11T20:25:29"/>
    <m/>
    <m/>
    <s v="submitted_via_web"/>
    <m/>
    <s v="vpsziw45rUquZQYxjPdXa5"/>
    <m/>
    <n v="60"/>
  </r>
  <r>
    <d v="2025-04-11T15:24:54"/>
    <d v="2025-04-11T15:31:26"/>
    <s v="AMC"/>
    <n v="54"/>
    <d v="2025-03-23T00:00:00"/>
    <n v="1"/>
    <s v="MQ"/>
    <s v="GH"/>
    <s v="-0,18569"/>
    <s v="-78,48478"/>
    <s v="1. Sí"/>
    <n v="24"/>
    <s v="1. Años"/>
    <n v="0"/>
    <n v="0"/>
    <n v="0"/>
    <n v="0"/>
    <x v="1"/>
    <n v="45"/>
    <x v="1"/>
    <s v="1. Sí"/>
    <m/>
    <s v="6. Mestiza(o)"/>
    <m/>
    <s v="2. Divorciada/o"/>
    <x v="0"/>
    <s v="1. Completa"/>
    <s v="99. NS/NC"/>
    <s v="3. INSEGURO"/>
    <s v="FALTA DE PATRULLAJE DE POLICIA NACIONAL"/>
    <s v="COMERCIO INFORMAL"/>
    <s v="ILUMINACION"/>
    <x v="1"/>
    <s v="Tarde (12:00 a 17:59) Noche  (18:00 a 23:59)"/>
    <n v="0"/>
    <n v="0"/>
    <n v="1"/>
    <n v="1"/>
    <n v="0"/>
    <x v="1"/>
    <x v="0"/>
    <x v="1"/>
    <x v="0"/>
    <x v="3"/>
    <n v="0"/>
    <n v="0"/>
    <n v="0"/>
    <n v="0"/>
    <n v="0"/>
    <n v="1"/>
    <s v="GUARDIAS CONTRATADOS"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3"/>
    <x v="1"/>
    <x v="2"/>
    <x v="2"/>
    <x v="1"/>
    <x v="1"/>
    <x v="1"/>
    <x v="1"/>
    <x v="2"/>
    <x v="1"/>
    <x v="1"/>
    <x v="0"/>
    <x v="0"/>
    <x v="1"/>
    <x v="1"/>
    <x v="0"/>
    <x v="0"/>
    <x v="1"/>
    <x v="1"/>
    <x v="1"/>
    <x v="3"/>
    <x v="1"/>
    <x v="2"/>
    <x v="0"/>
    <x v="0"/>
    <x v="0"/>
    <x v="0"/>
    <x v="0"/>
    <m/>
    <x v="0"/>
    <x v="0"/>
    <x v="0"/>
    <x v="1"/>
    <m/>
    <x v="0"/>
    <x v="0"/>
    <x v="0"/>
    <x v="0"/>
    <x v="0"/>
    <x v="0"/>
    <x v="0"/>
    <x v="0"/>
    <x v="0"/>
    <x v="1"/>
    <x v="1"/>
    <x v="2"/>
    <x v="0"/>
    <x v="0"/>
    <x v="0"/>
    <x v="1"/>
    <x v="1"/>
    <x v="1"/>
    <x v="0"/>
    <x v="0"/>
    <x v="1"/>
    <x v="0"/>
    <x v="0"/>
    <x v="0"/>
    <x v="0"/>
    <x v="0"/>
    <x v="0"/>
    <x v="0"/>
    <x v="0"/>
    <x v="0"/>
    <m/>
    <s v="TRANQUILA"/>
    <s v="CONTENTA TRABAJANDO"/>
    <m/>
    <x v="0"/>
    <x v="0"/>
    <x v="0"/>
    <n v="0"/>
    <n v="0"/>
    <n v="0"/>
    <n v="0"/>
    <n v="1"/>
    <n v="0"/>
    <n v="0"/>
    <n v="0"/>
    <n v="0"/>
    <m/>
    <m/>
    <n v="83540230"/>
    <s v="4aa19ce1-9d70-4fe3-b4a7-eeb779219e2f"/>
    <d v="2025-04-11T20:31:27"/>
    <m/>
    <m/>
    <s v="submitted_via_web"/>
    <m/>
    <s v="vpsziw45rUquZQYxjPdXa5"/>
    <m/>
    <n v="61"/>
  </r>
  <r>
    <d v="2025-04-11T15:31:26"/>
    <d v="2025-04-11T15:35:59"/>
    <s v="AMC"/>
    <n v="53"/>
    <d v="2025-03-23T00:00:00"/>
    <n v="1"/>
    <s v="EB"/>
    <s v="GH"/>
    <s v="-0,18006"/>
    <s v="-78,48361"/>
    <s v="1. Sí"/>
    <n v="12"/>
    <s v="1. Años"/>
    <n v="0"/>
    <n v="0"/>
    <n v="0"/>
    <n v="0"/>
    <x v="0"/>
    <n v="37"/>
    <x v="0"/>
    <s v="1. Sí"/>
    <m/>
    <s v="4. Mulata(o)"/>
    <m/>
    <s v="1. Unión de Hecho/Libre"/>
    <x v="0"/>
    <s v="1. Completa"/>
    <s v="99. NS/NC"/>
    <s v="2. SEGURO"/>
    <s v="GUARDABOSQUES"/>
    <m/>
    <m/>
    <x v="0"/>
    <s v="Todos los horarios"/>
    <n v="0"/>
    <n v="0"/>
    <n v="0"/>
    <n v="0"/>
    <n v="1"/>
    <x v="0"/>
    <x v="1"/>
    <x v="0"/>
    <x v="1"/>
    <x v="1"/>
    <m/>
    <m/>
    <m/>
    <m/>
    <m/>
    <m/>
    <m/>
    <x v="1"/>
    <x v="3"/>
    <n v="0"/>
    <n v="0"/>
    <n v="0"/>
    <n v="0"/>
    <n v="1"/>
    <n v="0"/>
    <n v="0"/>
    <n v="0"/>
    <m/>
    <m/>
    <n v="0"/>
    <m/>
    <m/>
    <m/>
    <m/>
    <m/>
    <m/>
    <s v="1. Sí"/>
    <m/>
    <m/>
    <m/>
    <x v="0"/>
    <m/>
    <x v="0"/>
    <x v="0"/>
    <x v="0"/>
    <x v="0"/>
    <x v="1"/>
    <x v="2"/>
    <x v="0"/>
    <x v="0"/>
    <x v="1"/>
    <x v="1"/>
    <x v="0"/>
    <x v="0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3"/>
    <x v="0"/>
    <m/>
    <x v="0"/>
    <x v="0"/>
    <x v="0"/>
    <x v="0"/>
    <m/>
    <x v="1"/>
    <x v="1"/>
    <x v="0"/>
    <x v="1"/>
    <x v="2"/>
    <x v="0"/>
    <x v="0"/>
    <x v="0"/>
    <x v="0"/>
    <x v="1"/>
    <x v="2"/>
    <x v="0"/>
    <x v="0"/>
    <x v="0"/>
    <x v="0"/>
    <x v="0"/>
    <x v="2"/>
    <x v="1"/>
    <x v="0"/>
    <x v="0"/>
    <x v="1"/>
    <x v="0"/>
    <x v="0"/>
    <x v="2"/>
    <x v="1"/>
    <x v="1"/>
    <x v="2"/>
    <x v="0"/>
    <x v="0"/>
    <x v="0"/>
    <m/>
    <s v="PREOCUPACION"/>
    <m/>
    <m/>
    <x v="0"/>
    <x v="0"/>
    <x v="9"/>
    <n v="0"/>
    <n v="0"/>
    <n v="0"/>
    <n v="0"/>
    <n v="1"/>
    <n v="0"/>
    <n v="0"/>
    <n v="0"/>
    <n v="1"/>
    <s v="VENTA DE JUGO"/>
    <m/>
    <n v="83540411"/>
    <s v="1d1b551c-d62d-44d2-8d6f-0ed13ffb727a"/>
    <d v="2025-04-11T20:36:00"/>
    <m/>
    <m/>
    <s v="submitted_via_web"/>
    <m/>
    <s v="vpsziw45rUquZQYxjPdXa5"/>
    <m/>
    <n v="62"/>
  </r>
  <r>
    <d v="2025-04-11T15:36:00"/>
    <d v="2025-04-11T15:39:57"/>
    <s v="AMC"/>
    <n v="52"/>
    <d v="2025-03-23T00:00:00"/>
    <n v="3"/>
    <s v="GB-EG"/>
    <s v="KV"/>
    <s v="-0,18081"/>
    <s v="-78,48286"/>
    <s v="1. Sí"/>
    <n v="10"/>
    <s v="1. Años"/>
    <n v="0"/>
    <n v="0"/>
    <n v="0"/>
    <n v="0"/>
    <x v="1"/>
    <n v="31"/>
    <x v="0"/>
    <s v="1. Sí"/>
    <m/>
    <s v="6. Mestiza(o)"/>
    <m/>
    <s v="4. Casada/o"/>
    <x v="0"/>
    <s v="1. Completa"/>
    <s v="1. Menos de $470"/>
    <s v="2. SEGURO"/>
    <s v="PORQUE HAY SEGURIDAD"/>
    <m/>
    <m/>
    <x v="0"/>
    <s v="Tarde (12:00 a 17:59)"/>
    <n v="0"/>
    <n v="0"/>
    <n v="1"/>
    <n v="0"/>
    <n v="0"/>
    <x v="2"/>
    <x v="1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0"/>
    <x v="0"/>
    <x v="1"/>
    <x v="1"/>
    <x v="0"/>
    <x v="0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1"/>
    <x v="1"/>
    <x v="0"/>
    <m/>
    <x v="0"/>
    <x v="0"/>
    <x v="0"/>
    <x v="0"/>
    <m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m/>
    <s v="ALEGRIA"/>
    <s v="TRISTEZA"/>
    <m/>
    <x v="0"/>
    <x v="0"/>
    <x v="0"/>
    <n v="0"/>
    <n v="0"/>
    <n v="0"/>
    <n v="0"/>
    <n v="1"/>
    <n v="0"/>
    <n v="0"/>
    <n v="0"/>
    <n v="0"/>
    <m/>
    <s v="COLOCAR BASUREROS Y MAS LIMPIEZA"/>
    <n v="83540561"/>
    <s v="cb85e34c-ac90-45b0-9650-4798700d769d"/>
    <d v="2025-04-11T20:39:57"/>
    <m/>
    <m/>
    <s v="submitted_via_web"/>
    <m/>
    <s v="vpsziw45rUquZQYxjPdXa5"/>
    <m/>
    <n v="63"/>
  </r>
  <r>
    <d v="2025-04-11T15:39:57"/>
    <d v="2025-04-11T15:43:49"/>
    <s v="AMC"/>
    <n v="51"/>
    <d v="2025-03-23T00:00:00"/>
    <n v="1"/>
    <s v="MQ"/>
    <s v="GH"/>
    <s v="-0,17961"/>
    <s v="-78,48354"/>
    <s v="1. Sí"/>
    <n v="13"/>
    <s v="1. Años"/>
    <n v="0"/>
    <n v="0"/>
    <n v="0"/>
    <n v="0"/>
    <x v="1"/>
    <n v="61"/>
    <x v="2"/>
    <s v="1. Sí"/>
    <m/>
    <s v="6. Mestiza(o)"/>
    <m/>
    <s v="4. Casada/o"/>
    <x v="1"/>
    <s v="1. Completa"/>
    <s v="99. NS/NC"/>
    <s v="2. SEGURO"/>
    <s v="HAY GENTE"/>
    <s v="HAY CONTROL DE LOS GUARDABOSQUES"/>
    <s v="ES DE DIA"/>
    <x v="0"/>
    <s v="Tarde (12:00 a 17:59) Noche  (18:00 a 23:59)"/>
    <n v="0"/>
    <n v="0"/>
    <n v="1"/>
    <n v="1"/>
    <n v="0"/>
    <x v="1"/>
    <x v="1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3"/>
    <x v="1"/>
    <x v="2"/>
    <x v="1"/>
    <x v="1"/>
    <x v="1"/>
    <x v="1"/>
    <x v="0"/>
    <x v="0"/>
    <x v="0"/>
    <x v="0"/>
    <x v="0"/>
    <x v="0"/>
    <x v="0"/>
    <x v="0"/>
    <x v="0"/>
    <x v="0"/>
    <x v="0"/>
    <x v="0"/>
    <x v="1"/>
    <x v="3"/>
    <x v="0"/>
    <x v="3"/>
    <x v="0"/>
    <x v="0"/>
    <x v="0"/>
    <x v="0"/>
    <x v="0"/>
    <m/>
    <x v="0"/>
    <x v="0"/>
    <x v="0"/>
    <x v="1"/>
    <m/>
    <x v="1"/>
    <x v="2"/>
    <x v="1"/>
    <x v="0"/>
    <x v="0"/>
    <x v="0"/>
    <x v="0"/>
    <x v="0"/>
    <x v="0"/>
    <x v="1"/>
    <x v="1"/>
    <x v="2"/>
    <x v="0"/>
    <x v="0"/>
    <x v="0"/>
    <x v="0"/>
    <x v="0"/>
    <x v="2"/>
    <x v="0"/>
    <x v="0"/>
    <x v="0"/>
    <x v="0"/>
    <x v="0"/>
    <x v="2"/>
    <x v="0"/>
    <x v="0"/>
    <x v="0"/>
    <x v="0"/>
    <x v="0"/>
    <x v="0"/>
    <m/>
    <s v="SIENTE BIEN"/>
    <s v="TRANQUILA CON SU VENTA"/>
    <m/>
    <x v="0"/>
    <x v="0"/>
    <x v="4"/>
    <n v="0"/>
    <n v="0"/>
    <n v="1"/>
    <n v="0"/>
    <n v="0"/>
    <n v="0"/>
    <n v="0"/>
    <n v="0"/>
    <n v="0"/>
    <m/>
    <m/>
    <n v="83540683"/>
    <s v="c2f69a53-8e3a-4cbe-87d0-d28dabf4babe"/>
    <d v="2025-04-11T20:43:49"/>
    <m/>
    <m/>
    <s v="submitted_via_web"/>
    <m/>
    <s v="vpsziw45rUquZQYxjPdXa5"/>
    <m/>
    <n v="64"/>
  </r>
  <r>
    <d v="2025-04-11T15:43:49"/>
    <d v="2025-04-11T15:48:29"/>
    <s v="AMC"/>
    <n v="50"/>
    <d v="2025-03-23T00:00:00"/>
    <n v="1"/>
    <s v="GB-SCH"/>
    <s v="GH"/>
    <s v="-0,18020"/>
    <s v="-78,48365"/>
    <s v="1. Sí"/>
    <n v="6"/>
    <s v="1. Años"/>
    <n v="0"/>
    <n v="0"/>
    <n v="0"/>
    <n v="0"/>
    <x v="1"/>
    <n v="22"/>
    <x v="3"/>
    <s v="1. Sí"/>
    <m/>
    <s v="6. Mestiza(o)"/>
    <m/>
    <s v="5. Soltera/o"/>
    <x v="0"/>
    <s v="1. Completa"/>
    <s v="2. de $471 a $919"/>
    <s v="4. MUY INSEGURO"/>
    <s v="NO HAY PRESENCIA DE POLICIA NACIONAL"/>
    <m/>
    <m/>
    <x v="1"/>
    <s v="Todos los horarios"/>
    <n v="0"/>
    <n v="0"/>
    <n v="0"/>
    <n v="0"/>
    <n v="1"/>
    <x v="1"/>
    <x v="1"/>
    <x v="0"/>
    <x v="1"/>
    <x v="1"/>
    <m/>
    <m/>
    <m/>
    <m/>
    <m/>
    <m/>
    <m/>
    <x v="1"/>
    <x v="2"/>
    <n v="1"/>
    <n v="0"/>
    <n v="0"/>
    <n v="0"/>
    <n v="0"/>
    <n v="0"/>
    <n v="0"/>
    <n v="0"/>
    <m/>
    <m/>
    <n v="0"/>
    <m/>
    <m/>
    <s v="2. No"/>
    <m/>
    <m/>
    <m/>
    <m/>
    <m/>
    <m/>
    <m/>
    <x v="1"/>
    <m/>
    <x v="1"/>
    <x v="3"/>
    <x v="1"/>
    <x v="1"/>
    <x v="0"/>
    <x v="3"/>
    <x v="0"/>
    <x v="0"/>
    <x v="0"/>
    <x v="0"/>
    <x v="1"/>
    <x v="2"/>
    <x v="1"/>
    <x v="1"/>
    <x v="0"/>
    <x v="2"/>
    <x v="1"/>
    <x v="3"/>
    <x v="1"/>
    <x v="3"/>
    <x v="0"/>
    <x v="0"/>
    <x v="1"/>
    <x v="1"/>
    <x v="1"/>
    <x v="2"/>
    <x v="1"/>
    <x v="2"/>
    <x v="0"/>
    <x v="0"/>
    <x v="1"/>
    <x v="2"/>
    <x v="0"/>
    <m/>
    <x v="0"/>
    <x v="0"/>
    <x v="0"/>
    <x v="0"/>
    <m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1"/>
    <x v="2"/>
    <x v="1"/>
    <x v="0"/>
    <x v="0"/>
    <x v="0"/>
    <x v="0"/>
    <x v="0"/>
    <x v="0"/>
    <m/>
    <s v="INSEGURIDAD"/>
    <s v="FASTIDIO POR TANTA VENTA AMBULANTE"/>
    <m/>
    <x v="0"/>
    <x v="0"/>
    <x v="0"/>
    <n v="0"/>
    <n v="0"/>
    <n v="0"/>
    <n v="0"/>
    <n v="1"/>
    <n v="0"/>
    <n v="0"/>
    <n v="0"/>
    <n v="0"/>
    <m/>
    <s v="FALTA DE TACHOS DE BASURA"/>
    <n v="83540806"/>
    <s v="da2eee28-9909-4b1b-b26d-2ab457c83db9"/>
    <d v="2025-04-11T20:48:30"/>
    <m/>
    <m/>
    <s v="submitted_via_web"/>
    <m/>
    <s v="vpsziw45rUquZQYxjPdXa5"/>
    <m/>
    <n v="65"/>
  </r>
  <r>
    <d v="2025-04-11T15:25:29"/>
    <d v="2025-04-11T15:49:30"/>
    <s v="AFC"/>
    <n v="144"/>
    <d v="2025-03-23T00:00:00"/>
    <n v="3"/>
    <s v="JC"/>
    <s v="KV"/>
    <s v="-0,178892"/>
    <s v="-78,485784"/>
    <s v="1. Sí"/>
    <n v="10"/>
    <s v="1. Años"/>
    <n v="0"/>
    <n v="0"/>
    <n v="0"/>
    <n v="0"/>
    <x v="1"/>
    <n v="48"/>
    <x v="1"/>
    <s v="1. Sí"/>
    <m/>
    <s v="6. Mestiza(o)"/>
    <m/>
    <s v="4. Casada/o"/>
    <x v="0"/>
    <s v="1. Completa"/>
    <s v="1. Menos de $470"/>
    <s v="3. INSEGURO"/>
    <s v="MUCHOS VENEZOLANOS"/>
    <s v="DELINCUENTES"/>
    <s v="GOMEROS"/>
    <x v="0"/>
    <s v="Mañana  (06:00 a 11:59)"/>
    <n v="0"/>
    <n v="1"/>
    <n v="0"/>
    <n v="0"/>
    <n v="0"/>
    <x v="2"/>
    <x v="1"/>
    <x v="1"/>
    <x v="0"/>
    <x v="2"/>
    <n v="0"/>
    <n v="1"/>
    <n v="0"/>
    <n v="0"/>
    <n v="0"/>
    <n v="0"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2"/>
    <x v="0"/>
    <x v="0"/>
    <x v="0"/>
    <x v="3"/>
    <x v="1"/>
    <x v="2"/>
    <x v="1"/>
    <x v="1"/>
    <x v="1"/>
    <x v="1"/>
    <x v="1"/>
    <x v="2"/>
    <x v="0"/>
    <x v="0"/>
    <x v="0"/>
    <x v="0"/>
    <x v="0"/>
    <x v="0"/>
    <x v="0"/>
    <x v="0"/>
    <x v="1"/>
    <x v="1"/>
    <x v="0"/>
    <x v="0"/>
    <x v="1"/>
    <x v="2"/>
    <x v="0"/>
    <x v="0"/>
    <x v="0"/>
    <x v="0"/>
    <x v="0"/>
    <m/>
    <x v="0"/>
    <x v="0"/>
    <x v="0"/>
    <x v="1"/>
    <m/>
    <x v="1"/>
    <x v="1"/>
    <x v="0"/>
    <x v="0"/>
    <x v="0"/>
    <x v="0"/>
    <x v="0"/>
    <x v="0"/>
    <x v="0"/>
    <x v="1"/>
    <x v="1"/>
    <x v="2"/>
    <x v="0"/>
    <x v="0"/>
    <x v="0"/>
    <x v="1"/>
    <x v="1"/>
    <x v="1"/>
    <x v="0"/>
    <x v="0"/>
    <x v="1"/>
    <x v="0"/>
    <x v="1"/>
    <x v="1"/>
    <x v="0"/>
    <x v="0"/>
    <x v="0"/>
    <x v="0"/>
    <x v="0"/>
    <x v="0"/>
    <m/>
    <s v="INCONFORME"/>
    <s v="INSEGURA"/>
    <s v="TRISTE"/>
    <x v="0"/>
    <x v="0"/>
    <x v="0"/>
    <n v="0"/>
    <n v="0"/>
    <n v="0"/>
    <n v="0"/>
    <n v="1"/>
    <n v="0"/>
    <n v="0"/>
    <n v="0"/>
    <n v="0"/>
    <m/>
    <m/>
    <n v="83540899"/>
    <s v="c1759d64-fa79-43ae-9bdb-5ef0141006a7"/>
    <d v="2025-04-11T20:49:30"/>
    <m/>
    <m/>
    <s v="submitted_via_web"/>
    <m/>
    <s v="vpsziw45rUquZQYxjPdXa5"/>
    <m/>
    <n v="66"/>
  </r>
  <r>
    <d v="2025-04-11T14:43:21"/>
    <d v="2025-04-11T15:52:04"/>
    <s v="JP"/>
    <n v="98"/>
    <d v="2025-03-22T00:00:00"/>
    <n v="1"/>
    <s v="EB"/>
    <s v="GH"/>
    <s v="-0,18715"/>
    <s v="-78,48446"/>
    <s v="1. Sí"/>
    <n v="20"/>
    <s v="1. Años"/>
    <n v="0"/>
    <n v="0"/>
    <n v="0"/>
    <n v="0"/>
    <x v="1"/>
    <n v="21"/>
    <x v="3"/>
    <s v="1. Sí"/>
    <m/>
    <s v="6. Mestiza(o)"/>
    <m/>
    <s v="5. Soltera/o"/>
    <x v="0"/>
    <s v="1. Completa"/>
    <s v="99. NS/NC"/>
    <s v="2. SEGURO"/>
    <s v="POLICIA"/>
    <m/>
    <m/>
    <x v="0"/>
    <s v="Mañana  (06:00 a 11:59)"/>
    <n v="0"/>
    <n v="1"/>
    <n v="0"/>
    <n v="0"/>
    <n v="0"/>
    <x v="2"/>
    <x v="1"/>
    <x v="1"/>
    <x v="0"/>
    <x v="4"/>
    <n v="0"/>
    <n v="0"/>
    <n v="1"/>
    <n v="0"/>
    <n v="0"/>
    <n v="0"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0"/>
    <x v="3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0"/>
    <x v="1"/>
    <x v="1"/>
    <x v="0"/>
    <m/>
    <x v="0"/>
    <x v="1"/>
    <x v="1"/>
    <x v="2"/>
    <m/>
    <x v="1"/>
    <x v="1"/>
    <x v="0"/>
    <x v="0"/>
    <x v="0"/>
    <x v="0"/>
    <x v="1"/>
    <x v="1"/>
    <x v="0"/>
    <x v="1"/>
    <x v="1"/>
    <x v="2"/>
    <x v="1"/>
    <x v="1"/>
    <x v="0"/>
    <x v="0"/>
    <x v="0"/>
    <x v="2"/>
    <x v="0"/>
    <x v="0"/>
    <x v="1"/>
    <x v="0"/>
    <x v="1"/>
    <x v="1"/>
    <x v="0"/>
    <x v="0"/>
    <x v="0"/>
    <x v="0"/>
    <x v="0"/>
    <x v="0"/>
    <m/>
    <s v="FELICIDAD"/>
    <m/>
    <m/>
    <x v="0"/>
    <x v="0"/>
    <x v="0"/>
    <n v="0"/>
    <n v="0"/>
    <n v="0"/>
    <n v="0"/>
    <n v="1"/>
    <n v="0"/>
    <n v="0"/>
    <n v="0"/>
    <n v="0"/>
    <m/>
    <m/>
    <n v="83541079"/>
    <s v="823a6ded-da9f-4c65-8660-5b9db49261f7"/>
    <d v="2025-04-11T20:52:05"/>
    <m/>
    <m/>
    <s v="submitted_via_web"/>
    <m/>
    <s v="vsL33mCaFLo882kfJNCvYm"/>
    <m/>
    <n v="67"/>
  </r>
  <r>
    <d v="2025-04-11T15:48:29"/>
    <d v="2025-04-11T15:55:24"/>
    <s v="AMC"/>
    <n v="49"/>
    <d v="2025-03-23T00:00:00"/>
    <n v="3"/>
    <s v="GB-NC"/>
    <s v="KV"/>
    <s v="-0,17863"/>
    <s v="-78,48356"/>
    <s v="1. Sí"/>
    <n v="5"/>
    <s v="1. Años"/>
    <n v="0"/>
    <n v="0"/>
    <n v="0"/>
    <n v="0"/>
    <x v="1"/>
    <n v="33"/>
    <x v="0"/>
    <s v="1. Sí"/>
    <m/>
    <s v="1. Indígena"/>
    <m/>
    <s v="4. Casada/o"/>
    <x v="0"/>
    <s v="2. Incompleta"/>
    <s v="2. de $471 a $919"/>
    <s v="2. SEGURO"/>
    <s v="PORQUE NADIE LE MOLESTA"/>
    <s v="POR LA PRESENCIA DE GUARDABOSQUES"/>
    <m/>
    <x v="0"/>
    <s v="Tarde (12:00 a 17:59) Noche  (18:00 a 23:59)"/>
    <n v="0"/>
    <n v="0"/>
    <n v="1"/>
    <n v="1"/>
    <n v="0"/>
    <x v="0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1"/>
    <x v="0"/>
    <x v="0"/>
    <x v="0"/>
    <x v="0"/>
    <x v="1"/>
    <x v="2"/>
    <x v="1"/>
    <x v="1"/>
    <x v="0"/>
    <x v="0"/>
    <x v="1"/>
    <x v="1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0"/>
    <m/>
    <x v="0"/>
    <x v="0"/>
    <x v="0"/>
    <x v="0"/>
    <m/>
    <x v="1"/>
    <x v="1"/>
    <x v="0"/>
    <x v="0"/>
    <x v="0"/>
    <x v="0"/>
    <x v="0"/>
    <x v="0"/>
    <x v="0"/>
    <x v="1"/>
    <x v="1"/>
    <x v="2"/>
    <x v="1"/>
    <x v="1"/>
    <x v="0"/>
    <x v="0"/>
    <x v="2"/>
    <x v="1"/>
    <x v="0"/>
    <x v="0"/>
    <x v="1"/>
    <x v="0"/>
    <x v="1"/>
    <x v="1"/>
    <x v="1"/>
    <x v="2"/>
    <x v="0"/>
    <x v="0"/>
    <x v="0"/>
    <x v="0"/>
    <m/>
    <s v="TRANQUILA"/>
    <s v="SIN NOVEDADES"/>
    <s v="EN PAZ"/>
    <x v="0"/>
    <x v="0"/>
    <x v="6"/>
    <n v="0"/>
    <n v="1"/>
    <n v="0"/>
    <n v="0"/>
    <n v="1"/>
    <n v="0"/>
    <n v="0"/>
    <n v="0"/>
    <n v="0"/>
    <m/>
    <m/>
    <n v="83541167"/>
    <s v="71ac9e4f-8c0c-4688-96d7-1350d47ed133"/>
    <d v="2025-04-11T20:55:25"/>
    <m/>
    <m/>
    <s v="submitted_via_web"/>
    <m/>
    <s v="vpsziw45rUquZQYxjPdXa5"/>
    <m/>
    <n v="68"/>
  </r>
  <r>
    <d v="2025-04-11T15:52:04"/>
    <d v="2025-04-11T15:55:57"/>
    <s v="JP"/>
    <n v="92"/>
    <d v="2025-03-22T00:00:00"/>
    <n v="1"/>
    <s v="MQ"/>
    <s v="GH"/>
    <s v="-0,18657"/>
    <s v="-78,48494"/>
    <s v="1. Sí"/>
    <n v="25"/>
    <s v="1. Años"/>
    <n v="0"/>
    <n v="0"/>
    <n v="0"/>
    <n v="0"/>
    <x v="1"/>
    <n v="55"/>
    <x v="1"/>
    <s v="1. Sí"/>
    <m/>
    <s v="6. Mestiza(o)"/>
    <m/>
    <s v="1. Unión de Hecho/Libre"/>
    <x v="0"/>
    <s v="2. Incompleta"/>
    <s v="99. NS/NC"/>
    <s v="3. INSEGURO"/>
    <s v="POR LA DELINCUENCIA"/>
    <s v="INDIGENTE VIENE AMEDRENTAR CON ARMAS BLANCAS PARA PEDIR COMIDA"/>
    <s v="FALTA DE CONTROL POLICIAL"/>
    <x v="1"/>
    <s v="Mañana  (06:00 a 11:59) Tarde (12:00 a 17:59)"/>
    <n v="0"/>
    <n v="1"/>
    <n v="1"/>
    <n v="0"/>
    <n v="0"/>
    <x v="1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3"/>
    <x v="0"/>
    <x v="0"/>
    <x v="2"/>
    <x v="1"/>
    <x v="0"/>
    <x v="0"/>
    <x v="1"/>
    <x v="3"/>
    <x v="0"/>
    <x v="0"/>
    <x v="1"/>
    <x v="1"/>
    <x v="1"/>
    <x v="1"/>
    <x v="1"/>
    <x v="3"/>
    <x v="0"/>
    <x v="0"/>
    <x v="0"/>
    <x v="0"/>
    <x v="0"/>
    <x v="0"/>
    <x v="0"/>
    <x v="0"/>
    <x v="1"/>
    <x v="1"/>
    <x v="0"/>
    <m/>
    <x v="0"/>
    <x v="0"/>
    <x v="0"/>
    <x v="1"/>
    <m/>
    <x v="0"/>
    <x v="0"/>
    <x v="0"/>
    <x v="0"/>
    <x v="0"/>
    <x v="0"/>
    <x v="0"/>
    <x v="0"/>
    <x v="0"/>
    <x v="0"/>
    <x v="0"/>
    <x v="0"/>
    <x v="1"/>
    <x v="2"/>
    <x v="2"/>
    <x v="1"/>
    <x v="1"/>
    <x v="1"/>
    <x v="0"/>
    <x v="0"/>
    <x v="1"/>
    <x v="0"/>
    <x v="0"/>
    <x v="3"/>
    <x v="1"/>
    <x v="2"/>
    <x v="0"/>
    <x v="0"/>
    <x v="0"/>
    <x v="0"/>
    <m/>
    <s v="SERVIR AL PUBLICO"/>
    <s v="ALEGRIA"/>
    <m/>
    <x v="0"/>
    <x v="0"/>
    <x v="0"/>
    <n v="0"/>
    <n v="0"/>
    <n v="0"/>
    <n v="0"/>
    <n v="1"/>
    <n v="0"/>
    <n v="0"/>
    <n v="0"/>
    <n v="0"/>
    <m/>
    <m/>
    <n v="83541192"/>
    <s v="f2c611ca-ab05-4b2e-aece-416dca12eab4"/>
    <d v="2025-04-11T20:55:57"/>
    <m/>
    <m/>
    <s v="submitted_via_web"/>
    <m/>
    <s v="vsL33mCaFLo882kfJNCvYm"/>
    <m/>
    <n v="69"/>
  </r>
  <r>
    <d v="2025-04-11T15:49:30"/>
    <d v="2025-04-11T15:58:45"/>
    <s v="AFC"/>
    <n v="143"/>
    <d v="2025-03-23T00:00:00"/>
    <n v="3"/>
    <s v="JC"/>
    <s v="KV"/>
    <s v="-0,18072"/>
    <s v="-78,48330"/>
    <s v="1. Sí"/>
    <n v="6"/>
    <s v="1. Años"/>
    <n v="0"/>
    <n v="0"/>
    <n v="0"/>
    <n v="0"/>
    <x v="0"/>
    <n v="30"/>
    <x v="0"/>
    <s v="1. Sí"/>
    <m/>
    <s v="6. Mestiza(o)"/>
    <m/>
    <s v="5. Soltera/o"/>
    <x v="1"/>
    <s v="1. Completa"/>
    <s v="1. Menos de $470"/>
    <s v="2. SEGURO"/>
    <s v="PRESENCIA DE POLICIA NACIONAL"/>
    <s v="SEGURIDAD PRIVADA"/>
    <s v="AGLOMERACION DE GENTE"/>
    <x v="0"/>
    <s v="Todos los horarios"/>
    <n v="0"/>
    <n v="0"/>
    <n v="0"/>
    <n v="0"/>
    <n v="1"/>
    <x v="0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1"/>
    <x v="2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0"/>
    <m/>
    <x v="0"/>
    <x v="0"/>
    <x v="0"/>
    <x v="0"/>
    <m/>
    <x v="0"/>
    <x v="0"/>
    <x v="0"/>
    <x v="0"/>
    <x v="0"/>
    <x v="0"/>
    <x v="0"/>
    <x v="0"/>
    <x v="0"/>
    <x v="1"/>
    <x v="2"/>
    <x v="0"/>
    <x v="1"/>
    <x v="1"/>
    <x v="0"/>
    <x v="1"/>
    <x v="1"/>
    <x v="1"/>
    <x v="0"/>
    <x v="2"/>
    <x v="2"/>
    <x v="0"/>
    <x v="1"/>
    <x v="1"/>
    <x v="0"/>
    <x v="0"/>
    <x v="0"/>
    <x v="0"/>
    <x v="0"/>
    <x v="0"/>
    <m/>
    <s v="SEGURO"/>
    <s v="PAZ"/>
    <s v="TRANQUILO"/>
    <x v="0"/>
    <x v="0"/>
    <x v="1"/>
    <n v="0"/>
    <n v="0"/>
    <n v="0"/>
    <n v="0"/>
    <n v="0"/>
    <n v="0"/>
    <n v="0"/>
    <n v="0"/>
    <n v="1"/>
    <s v="VENTA DE ARTICULOS DEPORTIVOS"/>
    <m/>
    <n v="83541222"/>
    <s v="dbcb31b8-be67-4df9-b9b4-2ef1a848fd35"/>
    <d v="2025-04-11T20:58:45"/>
    <m/>
    <m/>
    <s v="submitted_via_web"/>
    <m/>
    <s v="vpsziw45rUquZQYxjPdXa5"/>
    <m/>
    <n v="70"/>
  </r>
  <r>
    <d v="2025-04-11T15:55:57"/>
    <d v="2025-04-11T15:59:06"/>
    <s v="JP"/>
    <n v="91"/>
    <d v="2025-03-22T00:00:00"/>
    <n v="1"/>
    <s v="GB-CP"/>
    <s v="GH"/>
    <s v="-0,18659"/>
    <s v="-78,48495"/>
    <s v="1. Sí"/>
    <n v="10"/>
    <s v="1. Años"/>
    <n v="0"/>
    <n v="0"/>
    <n v="0"/>
    <n v="0"/>
    <x v="1"/>
    <n v="54"/>
    <x v="1"/>
    <s v="1. Sí"/>
    <m/>
    <s v="1. Indígena"/>
    <m/>
    <s v="4. Casada/o"/>
    <x v="1"/>
    <s v="2. Incompleta"/>
    <s v="1. Menos de $470"/>
    <s v="2. SEGURO"/>
    <s v="HAY VENTAS ALEDAÑAS"/>
    <m/>
    <m/>
    <x v="0"/>
    <s v="Mañana  (06:00 a 11:59) Tarde (12:00 a 17:59)"/>
    <n v="0"/>
    <n v="1"/>
    <n v="1"/>
    <n v="0"/>
    <n v="0"/>
    <x v="2"/>
    <x v="1"/>
    <x v="0"/>
    <x v="1"/>
    <x v="1"/>
    <m/>
    <m/>
    <m/>
    <m/>
    <m/>
    <m/>
    <m/>
    <x v="1"/>
    <x v="1"/>
    <n v="0"/>
    <n v="1"/>
    <n v="0"/>
    <n v="0"/>
    <n v="0"/>
    <n v="0"/>
    <n v="0"/>
    <n v="0"/>
    <m/>
    <m/>
    <n v="0"/>
    <m/>
    <m/>
    <m/>
    <s v="2. No"/>
    <m/>
    <m/>
    <m/>
    <m/>
    <m/>
    <m/>
    <x v="1"/>
    <m/>
    <x v="0"/>
    <x v="0"/>
    <x v="0"/>
    <x v="0"/>
    <x v="1"/>
    <x v="2"/>
    <x v="0"/>
    <x v="3"/>
    <x v="1"/>
    <x v="1"/>
    <x v="0"/>
    <x v="0"/>
    <x v="0"/>
    <x v="0"/>
    <x v="1"/>
    <x v="1"/>
    <x v="0"/>
    <x v="0"/>
    <x v="1"/>
    <x v="3"/>
    <x v="1"/>
    <x v="2"/>
    <x v="0"/>
    <x v="0"/>
    <x v="0"/>
    <x v="0"/>
    <x v="0"/>
    <x v="3"/>
    <x v="0"/>
    <x v="0"/>
    <x v="0"/>
    <x v="0"/>
    <x v="0"/>
    <m/>
    <x v="0"/>
    <x v="0"/>
    <x v="3"/>
    <x v="0"/>
    <m/>
    <x v="1"/>
    <x v="1"/>
    <x v="0"/>
    <x v="1"/>
    <x v="2"/>
    <x v="0"/>
    <x v="0"/>
    <x v="0"/>
    <x v="0"/>
    <x v="1"/>
    <x v="2"/>
    <x v="0"/>
    <x v="0"/>
    <x v="0"/>
    <x v="0"/>
    <x v="1"/>
    <x v="1"/>
    <x v="1"/>
    <x v="0"/>
    <x v="0"/>
    <x v="1"/>
    <x v="0"/>
    <x v="0"/>
    <x v="2"/>
    <x v="1"/>
    <x v="1"/>
    <x v="2"/>
    <x v="0"/>
    <x v="0"/>
    <x v="0"/>
    <m/>
    <s v="SE SIENTE BIEN EN TERMINOS DE SEGURIDAD"/>
    <m/>
    <m/>
    <x v="0"/>
    <x v="0"/>
    <x v="1"/>
    <n v="0"/>
    <n v="0"/>
    <n v="0"/>
    <n v="0"/>
    <n v="0"/>
    <n v="0"/>
    <n v="0"/>
    <n v="0"/>
    <n v="1"/>
    <s v="GAFAS, PARAGUAS Y PULSERAS"/>
    <m/>
    <n v="83541228"/>
    <s v="9374ff31-f6cb-474d-b5d0-40df0eb4a3da"/>
    <d v="2025-04-11T20:59:06"/>
    <m/>
    <m/>
    <s v="submitted_via_web"/>
    <m/>
    <s v="vsL33mCaFLo882kfJNCvYm"/>
    <m/>
    <n v="71"/>
  </r>
  <r>
    <d v="2025-04-11T15:55:24"/>
    <d v="2025-04-11T15:59:28"/>
    <s v="AMC"/>
    <n v="48"/>
    <d v="2025-03-23T00:00:00"/>
    <n v="1"/>
    <s v="GP-CE"/>
    <s v="GH"/>
    <s v="-0,17773"/>
    <s v="-78,48193"/>
    <s v="1. Sí"/>
    <n v="40"/>
    <s v="1. Años"/>
    <n v="0"/>
    <n v="0"/>
    <n v="0"/>
    <n v="0"/>
    <x v="1"/>
    <n v="62"/>
    <x v="2"/>
    <s v="1. Sí"/>
    <m/>
    <s v="1. Indígena"/>
    <m/>
    <s v="4. Casada/o"/>
    <x v="1"/>
    <s v="2. Incompleta"/>
    <s v="1. Menos de $470"/>
    <s v="2. SEGURO"/>
    <s v="POLICIA NACIONAL"/>
    <s v="GUARDIAS"/>
    <m/>
    <x v="0"/>
    <s v="Noche  (18:00 a 23:59)"/>
    <n v="0"/>
    <n v="0"/>
    <n v="0"/>
    <n v="1"/>
    <n v="0"/>
    <x v="0"/>
    <x v="1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0"/>
    <x v="1"/>
    <x v="2"/>
    <x v="1"/>
    <x v="1"/>
    <x v="1"/>
    <x v="2"/>
    <x v="0"/>
    <x v="0"/>
    <x v="0"/>
    <x v="2"/>
    <x v="0"/>
    <x v="0"/>
    <x v="0"/>
    <x v="0"/>
    <x v="0"/>
    <x v="0"/>
    <x v="0"/>
    <x v="0"/>
    <x v="0"/>
    <x v="0"/>
    <x v="1"/>
    <x v="2"/>
    <x v="0"/>
    <x v="0"/>
    <x v="0"/>
    <x v="0"/>
    <x v="0"/>
    <m/>
    <x v="0"/>
    <x v="0"/>
    <x v="0"/>
    <x v="0"/>
    <m/>
    <x v="1"/>
    <x v="2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1"/>
    <x v="0"/>
    <x v="0"/>
    <x v="2"/>
    <x v="0"/>
    <x v="0"/>
    <x v="0"/>
    <x v="0"/>
    <x v="0"/>
    <x v="0"/>
    <m/>
    <s v="BIEN"/>
    <s v="FELIZ"/>
    <m/>
    <x v="0"/>
    <x v="0"/>
    <x v="0"/>
    <n v="0"/>
    <n v="0"/>
    <n v="0"/>
    <n v="0"/>
    <n v="1"/>
    <n v="0"/>
    <n v="0"/>
    <n v="0"/>
    <n v="0"/>
    <m/>
    <m/>
    <n v="83541231"/>
    <s v="1c644b41-c9e3-4adf-8544-154ee901fb6a"/>
    <d v="2025-04-11T20:59:29"/>
    <m/>
    <m/>
    <s v="submitted_via_web"/>
    <m/>
    <s v="vpsziw45rUquZQYxjPdXa5"/>
    <m/>
    <n v="72"/>
  </r>
  <r>
    <d v="2025-04-11T15:59:28"/>
    <d v="2025-04-11T16:05:05"/>
    <s v="AMC"/>
    <n v="47"/>
    <d v="2025-03-23T00:00:00"/>
    <n v="1"/>
    <s v="GB-SCH"/>
    <s v="GH"/>
    <s v="-0,17768"/>
    <s v="-78,48185"/>
    <s v="1. Sí"/>
    <n v="9"/>
    <s v="1. Años"/>
    <n v="0"/>
    <n v="0"/>
    <n v="0"/>
    <n v="0"/>
    <x v="0"/>
    <n v="55"/>
    <x v="1"/>
    <s v="1. Sí"/>
    <m/>
    <s v="5. Montubia(o)"/>
    <m/>
    <s v="5. Soltera/o"/>
    <x v="1"/>
    <s v="1. Completa"/>
    <s v="1. Menos de $470"/>
    <s v="2. SEGURO"/>
    <s v="PRESENCIA DE GUARDABOSQUES"/>
    <m/>
    <m/>
    <x v="0"/>
    <s v="Mañana  (06:00 a 11:59)"/>
    <n v="0"/>
    <n v="1"/>
    <n v="0"/>
    <n v="0"/>
    <n v="0"/>
    <x v="2"/>
    <x v="1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3"/>
    <x v="0"/>
    <x v="0"/>
    <x v="1"/>
    <x v="1"/>
    <x v="0"/>
    <x v="0"/>
    <x v="1"/>
    <x v="2"/>
    <x v="0"/>
    <x v="0"/>
    <x v="0"/>
    <x v="0"/>
    <x v="1"/>
    <x v="1"/>
    <x v="1"/>
    <x v="3"/>
    <x v="0"/>
    <x v="0"/>
    <x v="1"/>
    <x v="3"/>
    <x v="0"/>
    <x v="3"/>
    <x v="0"/>
    <x v="0"/>
    <x v="0"/>
    <x v="0"/>
    <x v="0"/>
    <m/>
    <x v="0"/>
    <x v="0"/>
    <x v="0"/>
    <x v="0"/>
    <m/>
    <x v="1"/>
    <x v="2"/>
    <x v="1"/>
    <x v="1"/>
    <x v="1"/>
    <x v="1"/>
    <x v="0"/>
    <x v="0"/>
    <x v="0"/>
    <x v="1"/>
    <x v="1"/>
    <x v="2"/>
    <x v="0"/>
    <x v="0"/>
    <x v="0"/>
    <x v="0"/>
    <x v="0"/>
    <x v="0"/>
    <x v="0"/>
    <x v="0"/>
    <x v="0"/>
    <x v="0"/>
    <x v="0"/>
    <x v="2"/>
    <x v="1"/>
    <x v="1"/>
    <x v="2"/>
    <x v="0"/>
    <x v="0"/>
    <x v="0"/>
    <m/>
    <s v="SEGURIDAD SIEMPRE Y CUANDO HAYA PERSONAL DE GUARDABOSQUES"/>
    <m/>
    <m/>
    <x v="0"/>
    <x v="0"/>
    <x v="1"/>
    <n v="0"/>
    <n v="0"/>
    <n v="0"/>
    <n v="0"/>
    <n v="0"/>
    <n v="0"/>
    <n v="0"/>
    <n v="0"/>
    <n v="1"/>
    <s v="VENTA DE BOLONES"/>
    <m/>
    <n v="83541567"/>
    <s v="57e74ab7-deda-4b31-8cec-d2a79fa95a75"/>
    <d v="2025-04-11T21:05:05"/>
    <m/>
    <m/>
    <s v="submitted_via_web"/>
    <m/>
    <s v="vpsziw45rUquZQYxjPdXa5"/>
    <m/>
    <n v="73"/>
  </r>
  <r>
    <d v="2025-04-11T15:59:06"/>
    <d v="2025-04-11T16:05:47"/>
    <s v="JP"/>
    <n v="89"/>
    <d v="2025-03-22T00:00:00"/>
    <n v="1"/>
    <s v="EB"/>
    <s v="GH"/>
    <s v="-0,18567"/>
    <s v="-78,48478"/>
    <s v="1. Sí"/>
    <n v="6"/>
    <s v="1. Años"/>
    <n v="0"/>
    <n v="0"/>
    <n v="0"/>
    <n v="0"/>
    <x v="1"/>
    <n v="26"/>
    <x v="0"/>
    <s v="1. Sí"/>
    <m/>
    <s v="6. Mestiza(o)"/>
    <m/>
    <s v="5. Soltera/o"/>
    <x v="0"/>
    <s v="1. Completa"/>
    <s v="99. NS/NC"/>
    <s v="3. INSEGURO"/>
    <s v="MUCHA DELINCUENCIA"/>
    <m/>
    <m/>
    <x v="0"/>
    <s v="Todos los horarios"/>
    <n v="0"/>
    <n v="0"/>
    <n v="0"/>
    <n v="0"/>
    <n v="1"/>
    <x v="1"/>
    <x v="1"/>
    <x v="1"/>
    <x v="0"/>
    <x v="4"/>
    <n v="0"/>
    <n v="0"/>
    <n v="1"/>
    <n v="0"/>
    <n v="0"/>
    <n v="0"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3"/>
    <x v="0"/>
    <x v="3"/>
    <x v="0"/>
    <x v="2"/>
    <x v="0"/>
    <x v="0"/>
    <x v="1"/>
    <x v="2"/>
    <x v="0"/>
    <x v="0"/>
    <x v="0"/>
    <x v="0"/>
    <x v="1"/>
    <x v="1"/>
    <x v="0"/>
    <x v="0"/>
    <x v="0"/>
    <x v="0"/>
    <x v="0"/>
    <x v="0"/>
    <x v="1"/>
    <x v="2"/>
    <x v="0"/>
    <x v="0"/>
    <x v="1"/>
    <x v="3"/>
    <x v="0"/>
    <m/>
    <x v="0"/>
    <x v="0"/>
    <x v="2"/>
    <x v="0"/>
    <m/>
    <x v="1"/>
    <x v="1"/>
    <x v="0"/>
    <x v="0"/>
    <x v="0"/>
    <x v="0"/>
    <x v="1"/>
    <x v="1"/>
    <x v="0"/>
    <x v="1"/>
    <x v="2"/>
    <x v="0"/>
    <x v="0"/>
    <x v="0"/>
    <x v="0"/>
    <x v="0"/>
    <x v="2"/>
    <x v="1"/>
    <x v="0"/>
    <x v="0"/>
    <x v="1"/>
    <x v="0"/>
    <x v="0"/>
    <x v="0"/>
    <x v="1"/>
    <x v="2"/>
    <x v="0"/>
    <x v="0"/>
    <x v="0"/>
    <x v="0"/>
    <m/>
    <s v="TRANQUILIDAD"/>
    <m/>
    <m/>
    <x v="1"/>
    <x v="1"/>
    <x v="2"/>
    <n v="0"/>
    <n v="1"/>
    <n v="0"/>
    <n v="0"/>
    <n v="0"/>
    <n v="0"/>
    <n v="0"/>
    <n v="0"/>
    <n v="0"/>
    <m/>
    <m/>
    <n v="83541611"/>
    <s v="79ee0bfe-96a6-4731-803b-74bf2ef00ecd"/>
    <d v="2025-04-11T21:05:48"/>
    <m/>
    <m/>
    <s v="submitted_via_web"/>
    <m/>
    <s v="vsL33mCaFLo882kfJNCvYm"/>
    <m/>
    <n v="74"/>
  </r>
  <r>
    <d v="2025-04-11T16:05:47"/>
    <d v="2025-04-11T16:10:24"/>
    <s v="JP"/>
    <n v="87"/>
    <d v="2025-03-22T00:00:00"/>
    <n v="1"/>
    <s v="GB-GP"/>
    <s v="GH"/>
    <s v="-0,18563"/>
    <s v="-78,48479"/>
    <s v="1. Sí"/>
    <n v="32"/>
    <s v="1. Años"/>
    <n v="0"/>
    <n v="0"/>
    <n v="0"/>
    <n v="0"/>
    <x v="1"/>
    <n v="51"/>
    <x v="1"/>
    <s v="1. Sí"/>
    <m/>
    <s v="6. Mestiza(o)"/>
    <m/>
    <s v="4. Casada/o"/>
    <x v="3"/>
    <s v="1. Completa"/>
    <s v="1. Menos de $470"/>
    <s v="2. SEGURO"/>
    <s v="S/C"/>
    <m/>
    <m/>
    <x v="0"/>
    <s v="Mañana  (06:00 a 11:59) Tarde (12:00 a 17:59)"/>
    <n v="0"/>
    <n v="1"/>
    <n v="1"/>
    <n v="0"/>
    <n v="0"/>
    <x v="0"/>
    <x v="1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0"/>
    <x v="3"/>
    <x v="1"/>
    <x v="1"/>
    <x v="0"/>
    <x v="0"/>
    <x v="1"/>
    <x v="2"/>
    <x v="1"/>
    <x v="1"/>
    <x v="0"/>
    <x v="0"/>
    <x v="1"/>
    <x v="1"/>
    <x v="0"/>
    <x v="0"/>
    <x v="0"/>
    <x v="0"/>
    <x v="0"/>
    <x v="0"/>
    <x v="0"/>
    <x v="3"/>
    <x v="0"/>
    <x v="0"/>
    <x v="0"/>
    <x v="0"/>
    <x v="0"/>
    <m/>
    <x v="0"/>
    <x v="0"/>
    <x v="0"/>
    <x v="0"/>
    <m/>
    <x v="1"/>
    <x v="1"/>
    <x v="0"/>
    <x v="1"/>
    <x v="2"/>
    <x v="0"/>
    <x v="0"/>
    <x v="0"/>
    <x v="0"/>
    <x v="1"/>
    <x v="2"/>
    <x v="0"/>
    <x v="1"/>
    <x v="1"/>
    <x v="0"/>
    <x v="0"/>
    <x v="2"/>
    <x v="1"/>
    <x v="0"/>
    <x v="0"/>
    <x v="1"/>
    <x v="0"/>
    <x v="1"/>
    <x v="1"/>
    <x v="1"/>
    <x v="2"/>
    <x v="0"/>
    <x v="1"/>
    <x v="1"/>
    <x v="0"/>
    <m/>
    <s v="S/N"/>
    <m/>
    <m/>
    <x v="0"/>
    <x v="0"/>
    <x v="1"/>
    <n v="0"/>
    <n v="0"/>
    <n v="0"/>
    <n v="0"/>
    <n v="0"/>
    <n v="0"/>
    <n v="0"/>
    <n v="0"/>
    <n v="1"/>
    <s v="HELADOS"/>
    <m/>
    <n v="83541730"/>
    <s v="286fc9cc-409f-4855-a883-c9ae3e589169"/>
    <d v="2025-04-11T21:10:25"/>
    <m/>
    <m/>
    <s v="submitted_via_web"/>
    <m/>
    <s v="vsL33mCaFLo882kfJNCvYm"/>
    <m/>
    <n v="75"/>
  </r>
  <r>
    <d v="2025-04-11T15:58:45"/>
    <d v="2025-04-11T16:15:44"/>
    <s v="AFC"/>
    <n v="141"/>
    <d v="2025-03-23T00:00:00"/>
    <n v="3"/>
    <s v="GB-NC"/>
    <s v="KV"/>
    <s v="-0,180618"/>
    <s v="-78,483693"/>
    <s v="1. Sí"/>
    <n v="10"/>
    <s v="1. Años"/>
    <n v="0"/>
    <n v="0"/>
    <n v="0"/>
    <n v="0"/>
    <x v="1"/>
    <n v="55"/>
    <x v="1"/>
    <s v="1. Sí"/>
    <m/>
    <s v="1. Indígena"/>
    <m/>
    <s v="4. Casada/o"/>
    <x v="1"/>
    <s v="1. Completa"/>
    <s v="1. Menos de $470"/>
    <s v="2. SEGURO"/>
    <s v="NO TIENE MIEDO"/>
    <s v="PRESENCIA DE PERSONAS"/>
    <m/>
    <x v="0"/>
    <s v="Mañana  (06:00 a 11:59) Tarde (12:00 a 17:59)"/>
    <n v="0"/>
    <n v="1"/>
    <n v="1"/>
    <n v="0"/>
    <n v="0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1"/>
    <x v="0"/>
    <x v="0"/>
    <x v="0"/>
    <x v="3"/>
    <x v="1"/>
    <x v="2"/>
    <x v="1"/>
    <x v="1"/>
    <x v="1"/>
    <x v="2"/>
    <x v="1"/>
    <x v="1"/>
    <x v="1"/>
    <x v="1"/>
    <x v="0"/>
    <x v="0"/>
    <x v="0"/>
    <x v="0"/>
    <x v="0"/>
    <x v="0"/>
    <x v="0"/>
    <x v="0"/>
    <x v="1"/>
    <x v="3"/>
    <x v="0"/>
    <x v="0"/>
    <x v="0"/>
    <x v="0"/>
    <x v="1"/>
    <x v="1"/>
    <x v="0"/>
    <m/>
    <x v="0"/>
    <x v="0"/>
    <x v="0"/>
    <x v="0"/>
    <m/>
    <x v="0"/>
    <x v="0"/>
    <x v="0"/>
    <x v="0"/>
    <x v="0"/>
    <x v="0"/>
    <x v="0"/>
    <x v="0"/>
    <x v="0"/>
    <x v="1"/>
    <x v="2"/>
    <x v="0"/>
    <x v="0"/>
    <x v="0"/>
    <x v="0"/>
    <x v="1"/>
    <x v="1"/>
    <x v="1"/>
    <x v="0"/>
    <x v="0"/>
    <x v="1"/>
    <x v="0"/>
    <x v="0"/>
    <x v="2"/>
    <x v="1"/>
    <x v="1"/>
    <x v="2"/>
    <x v="0"/>
    <x v="0"/>
    <x v="0"/>
    <m/>
    <s v="SE SIENTE BIEN"/>
    <s v="HAY MUCHA GENTE ENOJADA"/>
    <m/>
    <x v="0"/>
    <x v="0"/>
    <x v="7"/>
    <n v="0"/>
    <n v="0"/>
    <n v="1"/>
    <n v="0"/>
    <n v="0"/>
    <n v="0"/>
    <n v="1"/>
    <n v="0"/>
    <n v="0"/>
    <m/>
    <m/>
    <n v="83541956"/>
    <s v="57c6e0a9-63ef-43f9-a937-9b45d7cd5ce0"/>
    <d v="2025-04-11T21:15:45"/>
    <m/>
    <m/>
    <s v="submitted_via_web"/>
    <m/>
    <s v="vpsziw45rUquZQYxjPdXa5"/>
    <m/>
    <n v="76"/>
  </r>
  <r>
    <d v="2025-04-11T16:15:44"/>
    <d v="2025-04-11T16:21:34"/>
    <s v="AFC"/>
    <n v="141"/>
    <d v="2025-03-23T00:00:00"/>
    <n v="3"/>
    <s v="GB-EG"/>
    <s v="KV"/>
    <s v="-0,180793"/>
    <s v="-78,482887"/>
    <s v="1. Sí"/>
    <n v="25"/>
    <s v="1. Años"/>
    <n v="0"/>
    <n v="0"/>
    <n v="0"/>
    <n v="0"/>
    <x v="1"/>
    <n v="69"/>
    <x v="2"/>
    <s v="1. Sí"/>
    <m/>
    <s v="6. Mestiza(o)"/>
    <m/>
    <s v="2. Divorciada/o"/>
    <x v="1"/>
    <s v="1. Completa"/>
    <s v="1. Menos de $470"/>
    <s v="3. INSEGURO"/>
    <s v="POR AMENAZA DE VENTAS AMBULANTES"/>
    <m/>
    <m/>
    <x v="0"/>
    <s v="Mañana  (06:00 a 11:59)"/>
    <n v="0"/>
    <n v="1"/>
    <n v="0"/>
    <n v="0"/>
    <n v="0"/>
    <x v="1"/>
    <x v="1"/>
    <x v="1"/>
    <x v="0"/>
    <x v="4"/>
    <n v="1"/>
    <n v="0"/>
    <n v="0"/>
    <n v="0"/>
    <n v="0"/>
    <n v="0"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1"/>
    <x v="0"/>
    <x v="0"/>
    <x v="0"/>
    <x v="1"/>
    <x v="1"/>
    <x v="2"/>
    <x v="1"/>
    <x v="1"/>
    <x v="1"/>
    <x v="2"/>
    <x v="0"/>
    <x v="0"/>
    <x v="1"/>
    <x v="1"/>
    <x v="0"/>
    <x v="0"/>
    <x v="0"/>
    <x v="0"/>
    <x v="0"/>
    <x v="0"/>
    <x v="0"/>
    <x v="0"/>
    <x v="0"/>
    <x v="0"/>
    <x v="0"/>
    <x v="3"/>
    <x v="0"/>
    <x v="0"/>
    <x v="0"/>
    <x v="0"/>
    <x v="0"/>
    <m/>
    <x v="0"/>
    <x v="0"/>
    <x v="2"/>
    <x v="0"/>
    <m/>
    <x v="1"/>
    <x v="2"/>
    <x v="2"/>
    <x v="1"/>
    <x v="1"/>
    <x v="1"/>
    <x v="0"/>
    <x v="0"/>
    <x v="0"/>
    <x v="0"/>
    <x v="0"/>
    <x v="0"/>
    <x v="1"/>
    <x v="2"/>
    <x v="2"/>
    <x v="0"/>
    <x v="0"/>
    <x v="0"/>
    <x v="0"/>
    <x v="0"/>
    <x v="0"/>
    <x v="0"/>
    <x v="0"/>
    <x v="0"/>
    <x v="0"/>
    <x v="0"/>
    <x v="0"/>
    <x v="0"/>
    <x v="0"/>
    <x v="0"/>
    <m/>
    <s v="ME SIENTO FELIZ Y MUY TRANQUILA"/>
    <m/>
    <m/>
    <x v="0"/>
    <x v="0"/>
    <x v="0"/>
    <n v="0"/>
    <n v="0"/>
    <n v="0"/>
    <n v="0"/>
    <n v="1"/>
    <n v="0"/>
    <n v="0"/>
    <n v="0"/>
    <n v="0"/>
    <m/>
    <s v="ALZAR LAS MALLAS PORQUE LLEGAN LOS BALONASOS A SU NEGOCIO"/>
    <n v="83542152"/>
    <s v="c199d762-2102-4e20-aa4c-8490604e3719"/>
    <d v="2025-04-11T21:21:35"/>
    <m/>
    <m/>
    <s v="submitted_via_web"/>
    <m/>
    <s v="vpsziw45rUquZQYxjPdXa5"/>
    <m/>
    <n v="77"/>
  </r>
  <r>
    <d v="2025-04-14T08:28:34"/>
    <d v="2025-04-14T08:42:05"/>
    <s v="AFC"/>
    <n v="140"/>
    <d v="2025-03-23T00:00:00"/>
    <n v="3"/>
    <s v="GB-NC"/>
    <s v="KV"/>
    <s v="-0,180149"/>
    <s v="-78,485657"/>
    <s v="1. Sí"/>
    <n v="40"/>
    <s v="1. Años"/>
    <n v="0"/>
    <n v="0"/>
    <n v="0"/>
    <n v="0"/>
    <x v="1"/>
    <n v="54"/>
    <x v="1"/>
    <s v="1. Sí"/>
    <m/>
    <s v="6. Mestiza(o)"/>
    <m/>
    <s v="4. Casada/o"/>
    <x v="1"/>
    <s v="2. Incompleta"/>
    <s v="1. Menos de $470"/>
    <s v="2. SEGURO"/>
    <s v="NO LE HA PASADO NADA"/>
    <s v="NO SE VE DELINCUENCIA"/>
    <m/>
    <x v="0"/>
    <s v="Mañana  (06:00 a 11:59) Tarde (12:00 a 17:59)"/>
    <n v="0"/>
    <n v="1"/>
    <n v="1"/>
    <n v="0"/>
    <n v="0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1"/>
    <x v="0"/>
    <x v="0"/>
    <x v="0"/>
    <x v="3"/>
    <x v="1"/>
    <x v="2"/>
    <x v="1"/>
    <x v="1"/>
    <x v="0"/>
    <x v="0"/>
    <x v="0"/>
    <x v="0"/>
    <x v="0"/>
    <x v="2"/>
    <x v="0"/>
    <x v="0"/>
    <x v="0"/>
    <x v="0"/>
    <x v="0"/>
    <x v="0"/>
    <x v="0"/>
    <x v="0"/>
    <x v="0"/>
    <x v="0"/>
    <x v="1"/>
    <x v="2"/>
    <x v="0"/>
    <x v="0"/>
    <x v="1"/>
    <x v="1"/>
    <x v="0"/>
    <m/>
    <x v="0"/>
    <x v="0"/>
    <x v="0"/>
    <x v="0"/>
    <m/>
    <x v="1"/>
    <x v="1"/>
    <x v="0"/>
    <x v="0"/>
    <x v="0"/>
    <x v="0"/>
    <x v="0"/>
    <x v="0"/>
    <x v="0"/>
    <x v="1"/>
    <x v="2"/>
    <x v="0"/>
    <x v="1"/>
    <x v="1"/>
    <x v="0"/>
    <x v="0"/>
    <x v="2"/>
    <x v="1"/>
    <x v="0"/>
    <x v="0"/>
    <x v="0"/>
    <x v="0"/>
    <x v="1"/>
    <x v="1"/>
    <x v="1"/>
    <x v="1"/>
    <x v="1"/>
    <x v="0"/>
    <x v="0"/>
    <x v="0"/>
    <m/>
    <s v="ALEGRE"/>
    <s v="LE GUSTA SU TRABAJO"/>
    <m/>
    <x v="0"/>
    <x v="0"/>
    <x v="12"/>
    <n v="0"/>
    <n v="1"/>
    <n v="0"/>
    <n v="0"/>
    <n v="1"/>
    <n v="1"/>
    <n v="0"/>
    <n v="0"/>
    <n v="0"/>
    <m/>
    <m/>
    <n v="83702761"/>
    <s v="3931d23a-59c1-4a0a-bdc7-99649cb33f81"/>
    <d v="2025-04-14T13:42:06"/>
    <m/>
    <m/>
    <s v="submitted_via_web"/>
    <m/>
    <s v="vsL33mCaFLo882kfJNCvYm"/>
    <m/>
    <n v="78"/>
  </r>
  <r>
    <d v="2025-04-14T08:42:05"/>
    <d v="2025-04-14T08:50:14"/>
    <s v="AFC"/>
    <n v="139"/>
    <d v="2025-03-23T00:00:00"/>
    <n v="3"/>
    <s v="BP"/>
    <s v="KV"/>
    <s v="-0,180268"/>
    <s v="-78,484230"/>
    <s v="1. Sí"/>
    <n v="22"/>
    <s v="1. Años"/>
    <n v="0"/>
    <n v="0"/>
    <n v="0"/>
    <n v="0"/>
    <x v="1"/>
    <n v="38"/>
    <x v="0"/>
    <s v="1. Sí"/>
    <m/>
    <s v="6. Mestiza(o)"/>
    <m/>
    <s v="5. Soltera/o"/>
    <x v="1"/>
    <s v="1. Completa"/>
    <s v="99. NS/NC"/>
    <s v="3. INSEGURO"/>
    <s v="NO HAY SEGURIDAD"/>
    <s v="NO HAY POLICIAS"/>
    <m/>
    <x v="1"/>
    <s v="Todos los horarios"/>
    <n v="0"/>
    <n v="0"/>
    <n v="0"/>
    <n v="0"/>
    <n v="1"/>
    <x v="1"/>
    <x v="1"/>
    <x v="0"/>
    <x v="0"/>
    <x v="3"/>
    <n v="0"/>
    <n v="0"/>
    <n v="0"/>
    <n v="0"/>
    <n v="0"/>
    <n v="1"/>
    <s v="FIERROS DE LAS CARPAS"/>
    <x v="1"/>
    <x v="2"/>
    <n v="1"/>
    <n v="0"/>
    <n v="0"/>
    <n v="0"/>
    <n v="0"/>
    <n v="0"/>
    <n v="0"/>
    <n v="0"/>
    <m/>
    <m/>
    <n v="0"/>
    <m/>
    <m/>
    <s v="2. No"/>
    <m/>
    <m/>
    <m/>
    <m/>
    <m/>
    <m/>
    <m/>
    <x v="1"/>
    <m/>
    <x v="0"/>
    <x v="0"/>
    <x v="1"/>
    <x v="1"/>
    <x v="0"/>
    <x v="3"/>
    <x v="0"/>
    <x v="3"/>
    <x v="1"/>
    <x v="1"/>
    <x v="0"/>
    <x v="0"/>
    <x v="1"/>
    <x v="2"/>
    <x v="0"/>
    <x v="0"/>
    <x v="1"/>
    <x v="3"/>
    <x v="1"/>
    <x v="1"/>
    <x v="1"/>
    <x v="2"/>
    <x v="1"/>
    <x v="1"/>
    <x v="1"/>
    <x v="1"/>
    <x v="0"/>
    <x v="0"/>
    <x v="0"/>
    <x v="0"/>
    <x v="0"/>
    <x v="0"/>
    <x v="0"/>
    <m/>
    <x v="0"/>
    <x v="0"/>
    <x v="0"/>
    <x v="1"/>
    <m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2"/>
    <x v="2"/>
    <x v="1"/>
    <x v="2"/>
    <x v="1"/>
    <x v="0"/>
    <x v="0"/>
    <x v="0"/>
    <x v="0"/>
    <x v="0"/>
    <x v="0"/>
    <m/>
    <s v="ES INSEGURO PARA TRABAJAR EN EL PARQUE"/>
    <s v="HAY BANDAS DELINCUENCIALES EN EL PARQUE"/>
    <m/>
    <x v="0"/>
    <x v="0"/>
    <x v="0"/>
    <n v="0"/>
    <n v="0"/>
    <n v="0"/>
    <n v="0"/>
    <n v="1"/>
    <n v="0"/>
    <n v="0"/>
    <n v="0"/>
    <n v="0"/>
    <m/>
    <m/>
    <n v="83703389"/>
    <s v="8e8d27b4-8c5b-458f-b04f-09063af2babf"/>
    <d v="2025-04-14T13:50:14"/>
    <m/>
    <m/>
    <s v="submitted_via_web"/>
    <m/>
    <s v="vsL33mCaFLo882kfJNCvYm"/>
    <m/>
    <n v="79"/>
  </r>
  <r>
    <d v="2025-04-14T08:50:14"/>
    <d v="2025-04-14T09:01:18"/>
    <s v="AFC"/>
    <n v="138"/>
    <d v="2025-03-23T00:00:00"/>
    <n v="3"/>
    <s v="GB-EF"/>
    <s v="KV"/>
    <s v="-0,181176"/>
    <s v="-78,483421"/>
    <s v="1. Sí"/>
    <n v="30"/>
    <s v="1. Años"/>
    <n v="0"/>
    <n v="0"/>
    <n v="0"/>
    <n v="0"/>
    <x v="1"/>
    <n v="50"/>
    <x v="1"/>
    <s v="1. Sí"/>
    <m/>
    <s v="6. Mestiza(o)"/>
    <m/>
    <s v="2. Divorciada/o"/>
    <x v="1"/>
    <s v="1. Completa"/>
    <s v="1. Menos de $470"/>
    <s v="4. MUY INSEGURO"/>
    <s v="NO HAY SEGURIDAD EN LA TARDE"/>
    <m/>
    <m/>
    <x v="0"/>
    <s v="Mañana  (06:00 a 11:59)"/>
    <n v="0"/>
    <n v="1"/>
    <n v="0"/>
    <n v="0"/>
    <n v="0"/>
    <x v="1"/>
    <x v="1"/>
    <x v="0"/>
    <x v="0"/>
    <x v="0"/>
    <n v="1"/>
    <n v="0"/>
    <n v="0"/>
    <n v="0"/>
    <n v="0"/>
    <n v="0"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3"/>
    <x v="0"/>
    <x v="0"/>
    <x v="0"/>
    <x v="0"/>
    <x v="1"/>
    <x v="1"/>
    <x v="1"/>
    <x v="2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m/>
    <x v="0"/>
    <x v="0"/>
    <x v="0"/>
    <x v="0"/>
    <m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1"/>
    <x v="2"/>
    <x v="1"/>
    <x v="0"/>
    <x v="0"/>
    <x v="0"/>
    <x v="0"/>
    <x v="0"/>
    <x v="0"/>
    <m/>
    <s v="SIENTO MUCHA ALEGRIA POR ATENDER MI NEGOCIO"/>
    <m/>
    <m/>
    <x v="0"/>
    <x v="0"/>
    <x v="8"/>
    <n v="0"/>
    <n v="0"/>
    <n v="0"/>
    <n v="0"/>
    <n v="0"/>
    <n v="1"/>
    <n v="0"/>
    <n v="0"/>
    <n v="0"/>
    <m/>
    <s v="MAS BAÑOS Y BASUREROS"/>
    <n v="83704407"/>
    <s v="6f867784-ee69-4093-8e67-98f04ef76f95"/>
    <d v="2025-04-14T14:01:19"/>
    <m/>
    <m/>
    <s v="submitted_via_web"/>
    <m/>
    <s v="vsL33mCaFLo882kfJNCvYm"/>
    <m/>
    <n v="80"/>
  </r>
  <r>
    <d v="2025-04-14T09:01:18"/>
    <d v="2025-04-14T09:16:42"/>
    <s v="AFC"/>
    <n v="137"/>
    <d v="2025-03-23T00:00:00"/>
    <n v="3"/>
    <s v="BP-KV"/>
    <s v="KV"/>
    <s v="-0,179097"/>
    <s v="-78,485754"/>
    <s v="1. Sí"/>
    <n v="15"/>
    <s v="1. Años"/>
    <n v="0"/>
    <n v="0"/>
    <n v="0"/>
    <n v="0"/>
    <x v="0"/>
    <n v="29"/>
    <x v="0"/>
    <s v="1. Sí"/>
    <m/>
    <s v="6. Mestiza(o)"/>
    <m/>
    <s v="4. Casada/o"/>
    <x v="0"/>
    <s v="2. Incompleta"/>
    <s v="1. Menos de $470"/>
    <s v="3. INSEGURO"/>
    <s v="HA VISTO ROBOS"/>
    <s v="SE ROBARON IMPLEMENTOS DEL PARQUE"/>
    <m/>
    <x v="1"/>
    <s v="Todos los horarios"/>
    <n v="0"/>
    <n v="0"/>
    <n v="0"/>
    <n v="0"/>
    <n v="1"/>
    <x v="1"/>
    <x v="1"/>
    <x v="0"/>
    <x v="0"/>
    <x v="5"/>
    <n v="1"/>
    <n v="0"/>
    <n v="0"/>
    <n v="0"/>
    <n v="0"/>
    <n v="1"/>
    <s v="CAMARAS DE SEGURIDAD"/>
    <x v="0"/>
    <x v="0"/>
    <m/>
    <m/>
    <m/>
    <m/>
    <m/>
    <m/>
    <m/>
    <m/>
    <m/>
    <m/>
    <m/>
    <m/>
    <m/>
    <m/>
    <m/>
    <m/>
    <m/>
    <m/>
    <m/>
    <m/>
    <m/>
    <x v="0"/>
    <m/>
    <x v="1"/>
    <x v="1"/>
    <x v="1"/>
    <x v="1"/>
    <x v="0"/>
    <x v="3"/>
    <x v="1"/>
    <x v="2"/>
    <x v="1"/>
    <x v="1"/>
    <x v="1"/>
    <x v="2"/>
    <x v="1"/>
    <x v="1"/>
    <x v="0"/>
    <x v="0"/>
    <x v="0"/>
    <x v="0"/>
    <x v="1"/>
    <x v="3"/>
    <x v="0"/>
    <x v="0"/>
    <x v="1"/>
    <x v="1"/>
    <x v="1"/>
    <x v="3"/>
    <x v="0"/>
    <x v="3"/>
    <x v="0"/>
    <x v="0"/>
    <x v="0"/>
    <x v="0"/>
    <x v="0"/>
    <m/>
    <x v="0"/>
    <x v="0"/>
    <x v="0"/>
    <x v="0"/>
    <m/>
    <x v="1"/>
    <x v="1"/>
    <x v="0"/>
    <x v="1"/>
    <x v="2"/>
    <x v="0"/>
    <x v="1"/>
    <x v="2"/>
    <x v="2"/>
    <x v="1"/>
    <x v="1"/>
    <x v="2"/>
    <x v="1"/>
    <x v="1"/>
    <x v="0"/>
    <x v="0"/>
    <x v="2"/>
    <x v="1"/>
    <x v="0"/>
    <x v="2"/>
    <x v="2"/>
    <x v="0"/>
    <x v="1"/>
    <x v="1"/>
    <x v="0"/>
    <x v="0"/>
    <x v="0"/>
    <x v="0"/>
    <x v="0"/>
    <x v="0"/>
    <m/>
    <s v="FELIZ PORQUE AQUI CRECIO CON SU MAMA"/>
    <s v="UN POCO TRISTE POR LAS VENTAS Y DELINCUENCIA"/>
    <m/>
    <x v="0"/>
    <x v="0"/>
    <x v="11"/>
    <n v="0"/>
    <n v="1"/>
    <n v="0"/>
    <n v="0"/>
    <n v="0"/>
    <n v="1"/>
    <n v="0"/>
    <n v="0"/>
    <n v="0"/>
    <m/>
    <m/>
    <n v="83705719"/>
    <s v="2887087b-d930-447b-a2c6-996c533ddf42"/>
    <d v="2025-04-14T14:16:43"/>
    <m/>
    <m/>
    <s v="submitted_via_web"/>
    <m/>
    <s v="vsL33mCaFLo882kfJNCvYm"/>
    <m/>
    <n v="81"/>
  </r>
  <r>
    <d v="2025-04-14T09:16:42"/>
    <d v="2025-04-14T10:21:34"/>
    <s v="AFC"/>
    <n v="135"/>
    <d v="2025-03-23T00:00:00"/>
    <n v="2"/>
    <s v="GB-CCH"/>
    <s v="OM"/>
    <s v="-0,18168"/>
    <s v="-78,48359"/>
    <s v="1. Sí"/>
    <n v="10"/>
    <s v="1. Años"/>
    <n v="0"/>
    <n v="0"/>
    <n v="0"/>
    <n v="0"/>
    <x v="0"/>
    <n v="60"/>
    <x v="2"/>
    <s v="1. Sí"/>
    <m/>
    <s v="1. Indígena"/>
    <m/>
    <s v="4. Casada/o"/>
    <x v="1"/>
    <s v="2. Incompleta"/>
    <s v="1. Menos de $470"/>
    <s v="3. INSEGURO"/>
    <s v="HA VISTO ROBOS ENTRE SEMANA"/>
    <s v="EN LA TARDE PASA EL PARQUE BOTADO POR LA INSEGURIDAD"/>
    <m/>
    <x v="1"/>
    <s v="Mañana  (06:00 a 11:59) Tarde (12:00 a 17:59)"/>
    <n v="0"/>
    <n v="1"/>
    <n v="1"/>
    <n v="0"/>
    <n v="0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3"/>
    <x v="1"/>
    <x v="2"/>
    <x v="1"/>
    <x v="1"/>
    <x v="1"/>
    <x v="2"/>
    <x v="0"/>
    <x v="0"/>
    <x v="1"/>
    <x v="1"/>
    <x v="0"/>
    <x v="0"/>
    <x v="0"/>
    <x v="0"/>
    <x v="0"/>
    <x v="0"/>
    <x v="0"/>
    <x v="0"/>
    <x v="1"/>
    <x v="3"/>
    <x v="1"/>
    <x v="2"/>
    <x v="0"/>
    <x v="0"/>
    <x v="0"/>
    <x v="0"/>
    <x v="0"/>
    <m/>
    <x v="0"/>
    <x v="0"/>
    <x v="2"/>
    <x v="0"/>
    <m/>
    <x v="0"/>
    <x v="0"/>
    <x v="0"/>
    <x v="0"/>
    <x v="0"/>
    <x v="0"/>
    <x v="0"/>
    <x v="0"/>
    <x v="0"/>
    <x v="1"/>
    <x v="2"/>
    <x v="0"/>
    <x v="1"/>
    <x v="1"/>
    <x v="0"/>
    <x v="0"/>
    <x v="2"/>
    <x v="1"/>
    <x v="0"/>
    <x v="0"/>
    <x v="0"/>
    <x v="0"/>
    <x v="1"/>
    <x v="1"/>
    <x v="0"/>
    <x v="0"/>
    <x v="0"/>
    <x v="0"/>
    <x v="0"/>
    <x v="0"/>
    <m/>
    <s v="TODO NORMAL"/>
    <s v="POR QUE TRABAJA"/>
    <m/>
    <x v="0"/>
    <x v="0"/>
    <x v="1"/>
    <n v="0"/>
    <n v="0"/>
    <n v="0"/>
    <n v="0"/>
    <n v="0"/>
    <n v="0"/>
    <n v="0"/>
    <n v="0"/>
    <n v="1"/>
    <s v="MANGO Y JUGO"/>
    <m/>
    <n v="83708575"/>
    <s v="7e3a9451-fae7-449b-9a17-0cb03b98f6c4"/>
    <d v="2025-04-14T15:21:35"/>
    <m/>
    <m/>
    <s v="submitted_via_web"/>
    <m/>
    <s v="vsL33mCaFLo882kfJNCvYm"/>
    <m/>
    <n v="82"/>
  </r>
  <r>
    <d v="2025-04-14T10:21:34"/>
    <d v="2025-04-14T10:31:29"/>
    <s v="AFC"/>
    <n v="134"/>
    <d v="2025-03-23T00:00:00"/>
    <n v="2"/>
    <s v="LB"/>
    <s v="OM"/>
    <s v="-0,18152"/>
    <s v="-78,48390"/>
    <s v="1. Sí"/>
    <n v="17"/>
    <s v="1. Años"/>
    <n v="0"/>
    <n v="0"/>
    <n v="0"/>
    <n v="0"/>
    <x v="1"/>
    <n v="52"/>
    <x v="1"/>
    <s v="1. Sí"/>
    <m/>
    <s v="6. Mestiza(o)"/>
    <m/>
    <s v="3. Viuda/o"/>
    <x v="2"/>
    <s v="2. Incompleta"/>
    <s v="1. Menos de $470"/>
    <s v="2. SEGURO"/>
    <s v="PRESENCIA DE GUARDA PARQUES"/>
    <s v="PRESENCIA DE LA CIUDADANIA"/>
    <m/>
    <x v="0"/>
    <s v="Mañana  (06:00 a 11:59) Tarde (12:00 a 17:59)"/>
    <n v="0"/>
    <n v="1"/>
    <n v="1"/>
    <n v="0"/>
    <n v="0"/>
    <x v="1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1"/>
    <x v="0"/>
    <x v="0"/>
    <x v="0"/>
    <x v="1"/>
    <x v="0"/>
    <x v="1"/>
    <x v="0"/>
    <x v="2"/>
    <x v="1"/>
    <x v="1"/>
    <x v="1"/>
    <x v="1"/>
    <x v="1"/>
    <x v="1"/>
    <x v="0"/>
    <x v="0"/>
    <x v="1"/>
    <x v="1"/>
    <x v="0"/>
    <x v="0"/>
    <x v="1"/>
    <x v="2"/>
    <x v="0"/>
    <x v="0"/>
    <x v="0"/>
    <x v="3"/>
    <x v="0"/>
    <x v="0"/>
    <x v="0"/>
    <x v="0"/>
    <x v="0"/>
    <m/>
    <x v="0"/>
    <x v="0"/>
    <x v="0"/>
    <x v="1"/>
    <m/>
    <x v="1"/>
    <x v="1"/>
    <x v="0"/>
    <x v="1"/>
    <x v="2"/>
    <x v="0"/>
    <x v="0"/>
    <x v="0"/>
    <x v="0"/>
    <x v="0"/>
    <x v="0"/>
    <x v="0"/>
    <x v="0"/>
    <x v="0"/>
    <x v="0"/>
    <x v="1"/>
    <x v="1"/>
    <x v="1"/>
    <x v="0"/>
    <x v="2"/>
    <x v="2"/>
    <x v="0"/>
    <x v="1"/>
    <x v="1"/>
    <x v="1"/>
    <x v="2"/>
    <x v="0"/>
    <x v="0"/>
    <x v="0"/>
    <x v="0"/>
    <m/>
    <s v="PREOCUPACION"/>
    <s v="AGLOMERACION"/>
    <m/>
    <x v="0"/>
    <x v="0"/>
    <x v="1"/>
    <n v="0"/>
    <n v="0"/>
    <n v="0"/>
    <n v="0"/>
    <n v="0"/>
    <n v="0"/>
    <n v="0"/>
    <n v="0"/>
    <n v="1"/>
    <s v="BICICLETAS"/>
    <m/>
    <n v="83709157"/>
    <s v="df99cf49-015f-4155-b0d1-5074d3c17b9a"/>
    <d v="2025-04-14T15:31:29"/>
    <m/>
    <m/>
    <s v="submitted_via_web"/>
    <m/>
    <s v="vsL33mCaFLo882kfJNCvYm"/>
    <m/>
    <n v="83"/>
  </r>
  <r>
    <d v="2025-04-14T10:25:50"/>
    <d v="2025-04-14T10:42:27"/>
    <s v="GH"/>
    <n v="16"/>
    <d v="2025-03-22T00:00:00"/>
    <n v="2"/>
    <s v="DA"/>
    <s v="OM"/>
    <s v="-0,18531"/>
    <s v="-78,48468"/>
    <s v="1. Sí"/>
    <n v="20"/>
    <s v="1. Años"/>
    <n v="0"/>
    <n v="0"/>
    <n v="0"/>
    <n v="0"/>
    <x v="1"/>
    <n v="64"/>
    <x v="2"/>
    <s v="1. Sí"/>
    <m/>
    <s v="6. Mestiza(o)"/>
    <m/>
    <s v="5. Soltera/o"/>
    <x v="4"/>
    <m/>
    <s v="1. Menos de $470"/>
    <s v="3. INSEGURO"/>
    <s v="DELINCUENCIA"/>
    <s v="ROBOS"/>
    <m/>
    <x v="0"/>
    <s v="Mañana  (06:00 a 11:59) Tarde (12:00 a 17:59)"/>
    <n v="0"/>
    <n v="1"/>
    <n v="1"/>
    <n v="0"/>
    <n v="0"/>
    <x v="1"/>
    <x v="1"/>
    <x v="0"/>
    <x v="0"/>
    <x v="6"/>
    <n v="0"/>
    <n v="1"/>
    <n v="1"/>
    <n v="0"/>
    <n v="0"/>
    <n v="0"/>
    <m/>
    <x v="1"/>
    <x v="2"/>
    <n v="1"/>
    <n v="0"/>
    <n v="0"/>
    <n v="0"/>
    <n v="0"/>
    <n v="0"/>
    <n v="0"/>
    <n v="0"/>
    <m/>
    <m/>
    <n v="0"/>
    <m/>
    <m/>
    <s v="2. No"/>
    <m/>
    <m/>
    <m/>
    <m/>
    <m/>
    <m/>
    <m/>
    <x v="1"/>
    <m/>
    <x v="1"/>
    <x v="2"/>
    <x v="0"/>
    <x v="0"/>
    <x v="0"/>
    <x v="0"/>
    <x v="0"/>
    <x v="0"/>
    <x v="0"/>
    <x v="2"/>
    <x v="0"/>
    <x v="0"/>
    <x v="1"/>
    <x v="2"/>
    <x v="0"/>
    <x v="2"/>
    <x v="0"/>
    <x v="0"/>
    <x v="1"/>
    <x v="1"/>
    <x v="0"/>
    <x v="0"/>
    <x v="0"/>
    <x v="0"/>
    <x v="1"/>
    <x v="3"/>
    <x v="0"/>
    <x v="0"/>
    <x v="0"/>
    <x v="0"/>
    <x v="0"/>
    <x v="0"/>
    <x v="0"/>
    <m/>
    <x v="0"/>
    <x v="0"/>
    <x v="0"/>
    <x v="1"/>
    <m/>
    <x v="1"/>
    <x v="1"/>
    <x v="0"/>
    <x v="1"/>
    <x v="2"/>
    <x v="0"/>
    <x v="0"/>
    <x v="0"/>
    <x v="0"/>
    <x v="0"/>
    <x v="0"/>
    <x v="0"/>
    <x v="0"/>
    <x v="0"/>
    <x v="0"/>
    <x v="0"/>
    <x v="2"/>
    <x v="1"/>
    <x v="0"/>
    <x v="0"/>
    <x v="1"/>
    <x v="1"/>
    <x v="2"/>
    <x v="1"/>
    <x v="0"/>
    <x v="0"/>
    <x v="0"/>
    <x v="0"/>
    <x v="0"/>
    <x v="0"/>
    <m/>
    <s v="INSEGURA"/>
    <s v="INTRANQUILA"/>
    <m/>
    <x v="0"/>
    <x v="0"/>
    <x v="0"/>
    <n v="0"/>
    <n v="0"/>
    <n v="0"/>
    <n v="0"/>
    <n v="1"/>
    <n v="0"/>
    <n v="0"/>
    <n v="0"/>
    <n v="0"/>
    <m/>
    <s v="MAS SEGURIDAD"/>
    <n v="83711100"/>
    <s v="ed3e8268-e60b-42a1-9bb5-89d7d22d6d07"/>
    <d v="2025-04-14T15:42:28"/>
    <m/>
    <m/>
    <s v="submitted_via_web"/>
    <m/>
    <s v="vsL33mCaFLo882kfJNCvYm"/>
    <m/>
    <n v="84"/>
  </r>
  <r>
    <d v="2025-04-14T10:31:29"/>
    <d v="2025-04-14T10:49:50"/>
    <s v="AFC"/>
    <n v="133"/>
    <d v="2025-03-23T00:00:00"/>
    <n v="2"/>
    <s v="DA"/>
    <s v="OM"/>
    <s v="-0,18471"/>
    <s v="-78,48428"/>
    <s v="1. Sí"/>
    <n v="12"/>
    <s v="1. Años"/>
    <n v="0"/>
    <n v="0"/>
    <n v="0"/>
    <n v="0"/>
    <x v="0"/>
    <n v="40"/>
    <x v="0"/>
    <s v="1. Sí"/>
    <m/>
    <s v="6. Mestiza(o)"/>
    <m/>
    <s v="2. Divorciada/o"/>
    <x v="1"/>
    <s v="1. Completa"/>
    <s v="2. de $471 a $919"/>
    <s v="3. INSEGURO"/>
    <s v="DELINCUENCIA"/>
    <s v="VENTA DE DROGAS"/>
    <m/>
    <x v="0"/>
    <s v="Mañana  (06:00 a 11:59)"/>
    <n v="0"/>
    <n v="1"/>
    <n v="0"/>
    <n v="0"/>
    <n v="0"/>
    <x v="1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3"/>
    <x v="1"/>
    <x v="2"/>
    <x v="1"/>
    <x v="1"/>
    <x v="1"/>
    <x v="1"/>
    <x v="1"/>
    <x v="2"/>
    <x v="0"/>
    <x v="0"/>
    <x v="0"/>
    <x v="0"/>
    <x v="1"/>
    <x v="2"/>
    <x v="0"/>
    <x v="0"/>
    <x v="1"/>
    <x v="2"/>
    <x v="0"/>
    <x v="0"/>
    <x v="1"/>
    <x v="2"/>
    <x v="0"/>
    <x v="0"/>
    <x v="0"/>
    <x v="0"/>
    <x v="0"/>
    <m/>
    <x v="0"/>
    <x v="0"/>
    <x v="0"/>
    <x v="1"/>
    <m/>
    <x v="1"/>
    <x v="2"/>
    <x v="1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0"/>
    <x v="1"/>
    <x v="1"/>
    <x v="0"/>
    <x v="0"/>
    <x v="0"/>
    <x v="0"/>
    <x v="0"/>
    <x v="0"/>
    <m/>
    <s v="ALEGRE"/>
    <s v="PAZ"/>
    <s v="TRANQUILIDAD"/>
    <x v="0"/>
    <x v="0"/>
    <x v="2"/>
    <n v="0"/>
    <n v="1"/>
    <n v="0"/>
    <n v="0"/>
    <n v="0"/>
    <n v="0"/>
    <n v="0"/>
    <n v="0"/>
    <n v="0"/>
    <m/>
    <s v="MAS SEGURIDAD CONTROL DE VENTAS INFORMALES"/>
    <n v="83712603"/>
    <s v="828ec793-34d0-4336-b330-98c7e207f7b9"/>
    <d v="2025-04-14T15:49:50"/>
    <m/>
    <m/>
    <s v="submitted_via_web"/>
    <m/>
    <s v="vsL33mCaFLo882kfJNCvYm"/>
    <m/>
    <n v="85"/>
  </r>
  <r>
    <d v="2025-04-14T10:49:50"/>
    <d v="2025-04-14T10:58:26"/>
    <s v="AFC"/>
    <n v="132"/>
    <d v="2025-03-23T00:00:00"/>
    <n v="2"/>
    <s v="CCH"/>
    <s v="OM"/>
    <s v="-0,18464"/>
    <s v="-78,48408"/>
    <s v="1. Sí"/>
    <n v="20"/>
    <s v="1. Años"/>
    <n v="0"/>
    <n v="0"/>
    <n v="0"/>
    <n v="0"/>
    <x v="0"/>
    <n v="49"/>
    <x v="1"/>
    <s v="1. Sí"/>
    <m/>
    <s v="6. Mestiza(o)"/>
    <m/>
    <s v="5. Soltera/o"/>
    <x v="0"/>
    <s v="1. Completa"/>
    <s v="1. Menos de $470"/>
    <s v="3. INSEGURO"/>
    <s v="LA GENTE NO LE DA SEGURIDAD"/>
    <s v="NO HAY POLICIA"/>
    <m/>
    <x v="0"/>
    <s v="Tarde (12:00 a 17:59)"/>
    <n v="0"/>
    <n v="0"/>
    <n v="1"/>
    <n v="0"/>
    <n v="0"/>
    <x v="2"/>
    <x v="1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0"/>
    <x v="0"/>
    <x v="1"/>
    <x v="1"/>
    <x v="1"/>
    <x v="1"/>
    <x v="2"/>
    <x v="0"/>
    <x v="0"/>
    <x v="1"/>
    <x v="1"/>
    <x v="0"/>
    <x v="0"/>
    <x v="0"/>
    <x v="0"/>
    <x v="0"/>
    <x v="0"/>
    <x v="0"/>
    <x v="0"/>
    <x v="0"/>
    <x v="0"/>
    <x v="0"/>
    <x v="3"/>
    <x v="0"/>
    <x v="0"/>
    <x v="0"/>
    <x v="0"/>
    <x v="0"/>
    <m/>
    <x v="0"/>
    <x v="0"/>
    <x v="2"/>
    <x v="0"/>
    <m/>
    <x v="0"/>
    <x v="0"/>
    <x v="0"/>
    <x v="0"/>
    <x v="0"/>
    <x v="0"/>
    <x v="0"/>
    <x v="0"/>
    <x v="0"/>
    <x v="1"/>
    <x v="2"/>
    <x v="0"/>
    <x v="0"/>
    <x v="0"/>
    <x v="0"/>
    <x v="1"/>
    <x v="1"/>
    <x v="1"/>
    <x v="0"/>
    <x v="0"/>
    <x v="0"/>
    <x v="0"/>
    <x v="1"/>
    <x v="1"/>
    <x v="1"/>
    <x v="2"/>
    <x v="0"/>
    <x v="0"/>
    <x v="0"/>
    <x v="0"/>
    <m/>
    <s v="ES BONITO CUANDO LE VA BIEN EN EL PUESTO"/>
    <s v="SE SIENTE FELIZ"/>
    <m/>
    <x v="0"/>
    <x v="0"/>
    <x v="1"/>
    <n v="0"/>
    <n v="0"/>
    <n v="0"/>
    <n v="0"/>
    <n v="0"/>
    <n v="0"/>
    <n v="0"/>
    <n v="0"/>
    <n v="1"/>
    <s v="JUGUETES"/>
    <m/>
    <n v="83714119"/>
    <s v="3f5a0fd0-1339-4762-a7ac-10831b4c85c7"/>
    <d v="2025-04-14T15:58:27"/>
    <m/>
    <m/>
    <s v="submitted_via_web"/>
    <m/>
    <s v="vsL33mCaFLo882kfJNCvYm"/>
    <m/>
    <n v="86"/>
  </r>
  <r>
    <d v="2025-04-14T10:58:26"/>
    <d v="2025-04-14T11:07:42"/>
    <s v="AFC"/>
    <n v="131"/>
    <d v="2025-03-23T00:00:00"/>
    <n v="2"/>
    <s v="DA"/>
    <s v="OM"/>
    <s v="-0,18500"/>
    <s v="-78,48458"/>
    <s v="1. Sí"/>
    <n v="40"/>
    <s v="1. Años"/>
    <n v="0"/>
    <n v="0"/>
    <n v="0"/>
    <n v="0"/>
    <x v="1"/>
    <n v="81"/>
    <x v="2"/>
    <s v="1. Sí"/>
    <m/>
    <s v="6. Mestiza(o)"/>
    <m/>
    <s v="3. Viuda/o"/>
    <x v="1"/>
    <s v="1. Completa"/>
    <s v="1. Menos de $470"/>
    <s v="2. SEGURO"/>
    <s v="FUERA DEL ORDEN"/>
    <s v="AFLUENCIA DE GENTE"/>
    <m/>
    <x v="0"/>
    <s v="Tarde (12:00 a 17:59)"/>
    <n v="0"/>
    <n v="0"/>
    <n v="1"/>
    <n v="0"/>
    <n v="0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1"/>
    <x v="0"/>
    <x v="0"/>
    <x v="0"/>
    <x v="1"/>
    <x v="0"/>
    <x v="1"/>
    <x v="1"/>
    <x v="1"/>
    <x v="1"/>
    <x v="1"/>
    <x v="1"/>
    <x v="2"/>
    <x v="1"/>
    <x v="1"/>
    <x v="0"/>
    <x v="0"/>
    <x v="0"/>
    <x v="0"/>
    <x v="0"/>
    <x v="0"/>
    <x v="1"/>
    <x v="1"/>
    <x v="1"/>
    <x v="1"/>
    <x v="0"/>
    <x v="1"/>
    <x v="0"/>
    <x v="0"/>
    <x v="0"/>
    <x v="0"/>
    <x v="0"/>
    <m/>
    <x v="0"/>
    <x v="0"/>
    <x v="0"/>
    <x v="1"/>
    <m/>
    <x v="1"/>
    <x v="2"/>
    <x v="1"/>
    <x v="0"/>
    <x v="0"/>
    <x v="0"/>
    <x v="0"/>
    <x v="0"/>
    <x v="0"/>
    <x v="1"/>
    <x v="2"/>
    <x v="0"/>
    <x v="0"/>
    <x v="0"/>
    <x v="0"/>
    <x v="1"/>
    <x v="1"/>
    <x v="1"/>
    <x v="0"/>
    <x v="0"/>
    <x v="1"/>
    <x v="0"/>
    <x v="1"/>
    <x v="1"/>
    <x v="0"/>
    <x v="0"/>
    <x v="0"/>
    <x v="0"/>
    <x v="0"/>
    <x v="0"/>
    <m/>
    <s v="COMODIDAD"/>
    <s v="TRANQUILIDAD"/>
    <s v="SEGURIDAD"/>
    <x v="0"/>
    <x v="0"/>
    <x v="0"/>
    <n v="0"/>
    <n v="0"/>
    <n v="0"/>
    <n v="0"/>
    <n v="1"/>
    <n v="0"/>
    <n v="0"/>
    <n v="0"/>
    <n v="0"/>
    <m/>
    <s v="MAS CONTROL DE VENTAS AMBULANTES"/>
    <n v="83714604"/>
    <s v="6a7d45e6-db77-4537-989a-0f19b45842f2"/>
    <d v="2025-04-14T16:07:42"/>
    <m/>
    <m/>
    <s v="submitted_via_web"/>
    <m/>
    <s v="vsL33mCaFLo882kfJNCvYm"/>
    <m/>
    <n v="87"/>
  </r>
  <r>
    <d v="2025-04-14T11:07:42"/>
    <d v="2025-04-14T11:24:13"/>
    <s v="AFC"/>
    <n v="130"/>
    <d v="2025-03-23T00:00:00"/>
    <n v="2"/>
    <s v="LB"/>
    <s v="OM"/>
    <s v="-0,18508"/>
    <s v="-78,48463"/>
    <s v="1. Sí"/>
    <n v="18"/>
    <s v="1. Años"/>
    <n v="0"/>
    <n v="0"/>
    <n v="0"/>
    <n v="0"/>
    <x v="1"/>
    <n v="39"/>
    <x v="0"/>
    <s v="1. Sí"/>
    <m/>
    <s v="6. Mestiza(o)"/>
    <m/>
    <s v="5. Soltera/o"/>
    <x v="0"/>
    <s v="1. Completa"/>
    <s v="2. de $471 a $919"/>
    <s v="2. SEGURO"/>
    <s v="SEGURA YA QUE SALE SOLO LOS DOMINGOS"/>
    <s v="AFLUENCIA DE POLICIA"/>
    <m/>
    <x v="0"/>
    <s v="Mañana  (06:00 a 11:59) Tarde (12:00 a 17:59)"/>
    <n v="0"/>
    <n v="1"/>
    <n v="1"/>
    <n v="0"/>
    <n v="0"/>
    <x v="1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3"/>
    <x v="0"/>
    <x v="0"/>
    <x v="0"/>
    <x v="0"/>
    <x v="0"/>
    <x v="0"/>
    <x v="1"/>
    <x v="1"/>
    <x v="1"/>
    <x v="1"/>
    <x v="1"/>
    <x v="2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0"/>
    <m/>
    <x v="0"/>
    <x v="0"/>
    <x v="0"/>
    <x v="1"/>
    <m/>
    <x v="1"/>
    <x v="1"/>
    <x v="0"/>
    <x v="0"/>
    <x v="0"/>
    <x v="0"/>
    <x v="0"/>
    <x v="0"/>
    <x v="0"/>
    <x v="1"/>
    <x v="2"/>
    <x v="0"/>
    <x v="0"/>
    <x v="0"/>
    <x v="0"/>
    <x v="0"/>
    <x v="2"/>
    <x v="1"/>
    <x v="0"/>
    <x v="2"/>
    <x v="2"/>
    <x v="1"/>
    <x v="2"/>
    <x v="1"/>
    <x v="0"/>
    <x v="0"/>
    <x v="0"/>
    <x v="0"/>
    <x v="0"/>
    <x v="0"/>
    <m/>
    <s v="TRANQUILIDAD"/>
    <s v="PAZ"/>
    <m/>
    <x v="0"/>
    <x v="0"/>
    <x v="0"/>
    <n v="0"/>
    <n v="0"/>
    <n v="0"/>
    <n v="0"/>
    <n v="1"/>
    <n v="0"/>
    <n v="0"/>
    <n v="0"/>
    <n v="0"/>
    <m/>
    <m/>
    <n v="83715017"/>
    <s v="e62922f0-8ea4-490c-bb57-481e0b2d36d5"/>
    <d v="2025-04-14T16:24:14"/>
    <m/>
    <m/>
    <s v="submitted_via_web"/>
    <m/>
    <s v="vsL33mCaFLo882kfJNCvYm"/>
    <m/>
    <n v="88"/>
  </r>
  <r>
    <d v="2025-04-14T10:35:59"/>
    <d v="2025-04-14T11:26:58"/>
    <s v="JP"/>
    <n v="46"/>
    <d v="2025-03-23T00:00:00"/>
    <n v="1"/>
    <s v="EB"/>
    <s v="GH"/>
    <s v="-0,17854"/>
    <s v="-78,48223"/>
    <s v="1. Sí"/>
    <n v="20"/>
    <s v="1. Años"/>
    <n v="0"/>
    <n v="0"/>
    <n v="0"/>
    <n v="0"/>
    <x v="1"/>
    <n v="46"/>
    <x v="1"/>
    <s v="1. Sí"/>
    <m/>
    <s v="6. Mestiza(o)"/>
    <m/>
    <s v="4. Casada/o"/>
    <x v="0"/>
    <s v="1. Completa"/>
    <s v="99. NS/NC"/>
    <s v="3. INSEGURO"/>
    <s v="NO HAY SEGURIDAD"/>
    <m/>
    <m/>
    <x v="0"/>
    <s v="Tarde (12:00 a 17:59)"/>
    <n v="0"/>
    <n v="0"/>
    <n v="1"/>
    <n v="0"/>
    <n v="0"/>
    <x v="1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2"/>
    <x v="0"/>
    <x v="0"/>
    <x v="0"/>
    <x v="1"/>
    <x v="0"/>
    <x v="0"/>
    <x v="0"/>
    <x v="0"/>
    <x v="1"/>
    <x v="3"/>
    <x v="1"/>
    <x v="2"/>
    <x v="0"/>
    <x v="3"/>
    <x v="1"/>
    <x v="2"/>
    <x v="1"/>
    <x v="2"/>
    <x v="0"/>
    <x v="0"/>
    <x v="0"/>
    <x v="0"/>
    <x v="1"/>
    <x v="2"/>
    <x v="0"/>
    <x v="0"/>
    <x v="1"/>
    <x v="1"/>
    <x v="1"/>
    <x v="3"/>
    <x v="0"/>
    <m/>
    <x v="0"/>
    <x v="0"/>
    <x v="0"/>
    <x v="0"/>
    <m/>
    <x v="1"/>
    <x v="1"/>
    <x v="0"/>
    <x v="1"/>
    <x v="2"/>
    <x v="0"/>
    <x v="0"/>
    <x v="0"/>
    <x v="0"/>
    <x v="1"/>
    <x v="2"/>
    <x v="0"/>
    <x v="1"/>
    <x v="1"/>
    <x v="0"/>
    <x v="0"/>
    <x v="2"/>
    <x v="1"/>
    <x v="0"/>
    <x v="0"/>
    <x v="1"/>
    <x v="0"/>
    <x v="1"/>
    <x v="1"/>
    <x v="1"/>
    <x v="2"/>
    <x v="0"/>
    <x v="0"/>
    <x v="0"/>
    <x v="0"/>
    <m/>
    <s v="TRANQUILIDAD"/>
    <m/>
    <m/>
    <x v="0"/>
    <x v="0"/>
    <x v="0"/>
    <n v="0"/>
    <n v="0"/>
    <n v="0"/>
    <n v="0"/>
    <n v="1"/>
    <n v="0"/>
    <n v="0"/>
    <n v="0"/>
    <n v="0"/>
    <m/>
    <m/>
    <n v="83715094"/>
    <s v="703d4443-3fc9-4183-a415-101420b7b575"/>
    <d v="2025-04-14T16:27:00"/>
    <m/>
    <m/>
    <s v="submitted_via_web"/>
    <m/>
    <s v="vsL33mCaFLo882kfJNCvYm"/>
    <m/>
    <n v="89"/>
  </r>
  <r>
    <d v="2025-04-14T11:24:13"/>
    <d v="2025-04-14T11:31:20"/>
    <s v="AFC"/>
    <n v="128"/>
    <d v="2025-03-23T00:00:00"/>
    <n v="2"/>
    <s v="CCH"/>
    <s v="OM"/>
    <s v="-0,18484"/>
    <s v="-78,48456"/>
    <s v="1. Sí"/>
    <n v="40"/>
    <s v="1. Años"/>
    <n v="0"/>
    <n v="0"/>
    <n v="0"/>
    <n v="0"/>
    <x v="0"/>
    <n v="60"/>
    <x v="2"/>
    <s v="1. Sí"/>
    <m/>
    <s v="6. Mestiza(o)"/>
    <m/>
    <s v="3. Viuda/o"/>
    <x v="1"/>
    <s v="1. Completa"/>
    <s v="1. Menos de $470"/>
    <s v="2. SEGURO"/>
    <s v="MUY TRANQUILO PORQUE VIENE EL FIN DE SEMANA"/>
    <m/>
    <m/>
    <x v="0"/>
    <s v="Mañana  (06:00 a 11:59) Tarde (12:00 a 17:59)"/>
    <n v="0"/>
    <n v="1"/>
    <n v="1"/>
    <n v="0"/>
    <n v="0"/>
    <x v="0"/>
    <x v="1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0"/>
    <x v="0"/>
    <x v="3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0"/>
    <x v="3"/>
    <x v="0"/>
    <x v="0"/>
    <x v="0"/>
    <x v="0"/>
    <x v="0"/>
    <m/>
    <x v="0"/>
    <x v="0"/>
    <x v="2"/>
    <x v="0"/>
    <m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0"/>
    <x v="1"/>
    <x v="1"/>
    <x v="0"/>
    <x v="0"/>
    <x v="0"/>
    <x v="0"/>
    <x v="0"/>
    <x v="0"/>
    <m/>
    <s v="MUY FELIZ"/>
    <s v="SOY MUY SOCIABLE"/>
    <m/>
    <x v="0"/>
    <x v="0"/>
    <x v="1"/>
    <n v="0"/>
    <n v="0"/>
    <n v="0"/>
    <n v="0"/>
    <n v="0"/>
    <n v="0"/>
    <n v="0"/>
    <n v="0"/>
    <n v="1"/>
    <s v="JUEGUETES Y VARIEDADES"/>
    <m/>
    <n v="83715216"/>
    <s v="ebc6c297-7ec5-4608-b2d8-0cdd5948697f"/>
    <d v="2025-04-14T16:31:20"/>
    <m/>
    <m/>
    <s v="submitted_via_web"/>
    <m/>
    <s v="vsL33mCaFLo882kfJNCvYm"/>
    <m/>
    <n v="90"/>
  </r>
  <r>
    <d v="2025-04-14T11:26:59"/>
    <d v="2025-04-14T11:31:30"/>
    <s v="JP"/>
    <n v="45"/>
    <d v="2025-03-23T00:00:00"/>
    <n v="1"/>
    <s v="MQ"/>
    <s v="GH"/>
    <s v="-0,17792"/>
    <s v="-78,48191"/>
    <s v="1. Sí"/>
    <n v="10"/>
    <s v="1. Años"/>
    <n v="0"/>
    <n v="0"/>
    <n v="0"/>
    <n v="0"/>
    <x v="1"/>
    <n v="33"/>
    <x v="0"/>
    <s v="1. Sí"/>
    <m/>
    <s v="6. Mestiza(o)"/>
    <m/>
    <s v="5. Soltera/o"/>
    <x v="1"/>
    <s v="1. Completa"/>
    <s v="99. NS/NC"/>
    <s v="3. INSEGURO"/>
    <s v="MUCHA DELINCUENCIA, DROGADICTOS, GENTE DE CALLE"/>
    <s v="INSEGURIDAD"/>
    <s v="FALTA CONTROL POLICIA NACIONAL"/>
    <x v="1"/>
    <s v="Todos los horarios"/>
    <n v="0"/>
    <n v="0"/>
    <n v="0"/>
    <n v="0"/>
    <n v="1"/>
    <x v="1"/>
    <x v="1"/>
    <x v="1"/>
    <x v="1"/>
    <x v="1"/>
    <m/>
    <m/>
    <m/>
    <m/>
    <m/>
    <m/>
    <m/>
    <x v="1"/>
    <x v="2"/>
    <n v="1"/>
    <n v="0"/>
    <n v="0"/>
    <n v="0"/>
    <n v="0"/>
    <n v="0"/>
    <n v="0"/>
    <n v="0"/>
    <m/>
    <m/>
    <n v="0"/>
    <m/>
    <m/>
    <s v="2. No"/>
    <m/>
    <m/>
    <m/>
    <m/>
    <m/>
    <m/>
    <m/>
    <x v="1"/>
    <m/>
    <x v="0"/>
    <x v="0"/>
    <x v="0"/>
    <x v="0"/>
    <x v="0"/>
    <x v="1"/>
    <x v="0"/>
    <x v="1"/>
    <x v="2"/>
    <x v="1"/>
    <x v="1"/>
    <x v="1"/>
    <x v="1"/>
    <x v="2"/>
    <x v="0"/>
    <x v="3"/>
    <x v="0"/>
    <x v="0"/>
    <x v="1"/>
    <x v="1"/>
    <x v="1"/>
    <x v="3"/>
    <x v="1"/>
    <x v="1"/>
    <x v="0"/>
    <x v="0"/>
    <x v="1"/>
    <x v="2"/>
    <x v="0"/>
    <x v="0"/>
    <x v="1"/>
    <x v="1"/>
    <x v="0"/>
    <m/>
    <x v="0"/>
    <x v="0"/>
    <x v="0"/>
    <x v="1"/>
    <m/>
    <x v="0"/>
    <x v="0"/>
    <x v="0"/>
    <x v="0"/>
    <x v="0"/>
    <x v="0"/>
    <x v="0"/>
    <x v="0"/>
    <x v="0"/>
    <x v="1"/>
    <x v="1"/>
    <x v="2"/>
    <x v="0"/>
    <x v="0"/>
    <x v="0"/>
    <x v="1"/>
    <x v="1"/>
    <x v="1"/>
    <x v="0"/>
    <x v="0"/>
    <x v="1"/>
    <x v="1"/>
    <x v="2"/>
    <x v="1"/>
    <x v="0"/>
    <x v="0"/>
    <x v="0"/>
    <x v="0"/>
    <x v="0"/>
    <x v="0"/>
    <m/>
    <s v="INSEGURIDAD, QUE HAYA MAS CONTROL VENTAS AMBULANTES"/>
    <m/>
    <m/>
    <x v="0"/>
    <x v="0"/>
    <x v="0"/>
    <n v="0"/>
    <n v="0"/>
    <n v="0"/>
    <n v="0"/>
    <n v="1"/>
    <n v="0"/>
    <n v="0"/>
    <n v="0"/>
    <n v="0"/>
    <m/>
    <m/>
    <n v="83715218"/>
    <s v="844b6282-87af-4b21-b76d-3d55fd59669f"/>
    <d v="2025-04-14T16:31:31"/>
    <m/>
    <m/>
    <s v="submitted_via_web"/>
    <m/>
    <s v="vsL33mCaFLo882kfJNCvYm"/>
    <m/>
    <n v="91"/>
  </r>
  <r>
    <d v="2025-04-14T11:31:20"/>
    <d v="2025-04-14T11:40:34"/>
    <s v="AFC"/>
    <n v="127"/>
    <d v="2025-03-23T00:00:00"/>
    <n v="2"/>
    <s v="DA"/>
    <s v="OM"/>
    <s v="-0,18471"/>
    <s v="-78,48438"/>
    <s v="1. Sí"/>
    <n v="32"/>
    <s v="1. Años"/>
    <n v="0"/>
    <n v="0"/>
    <n v="0"/>
    <n v="0"/>
    <x v="0"/>
    <n v="54"/>
    <x v="1"/>
    <s v="1. Sí"/>
    <m/>
    <s v="7. Blanca(o)"/>
    <m/>
    <s v="4. Casada/o"/>
    <x v="0"/>
    <s v="2. Incompleta"/>
    <s v="1. Menos de $470"/>
    <s v="3. INSEGURO"/>
    <s v="MUCHA DELINCUENCIA"/>
    <s v="FALTA DE GUARDIAS"/>
    <s v="FALTA DE POLICIA"/>
    <x v="0"/>
    <s v="Mañana  (06:00 a 11:59) Tarde (12:00 a 17:59)"/>
    <n v="0"/>
    <n v="1"/>
    <n v="1"/>
    <n v="0"/>
    <n v="0"/>
    <x v="1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1"/>
    <x v="0"/>
    <x v="0"/>
    <x v="1"/>
    <x v="1"/>
    <x v="1"/>
    <x v="2"/>
    <x v="1"/>
    <x v="1"/>
    <x v="0"/>
    <x v="2"/>
    <x v="1"/>
    <x v="3"/>
    <x v="1"/>
    <x v="2"/>
    <x v="1"/>
    <x v="1"/>
    <x v="0"/>
    <x v="0"/>
    <x v="0"/>
    <x v="0"/>
    <x v="0"/>
    <x v="0"/>
    <x v="0"/>
    <x v="0"/>
    <x v="0"/>
    <x v="0"/>
    <x v="0"/>
    <m/>
    <x v="0"/>
    <x v="0"/>
    <x v="2"/>
    <x v="0"/>
    <m/>
    <x v="0"/>
    <x v="0"/>
    <x v="0"/>
    <x v="0"/>
    <x v="0"/>
    <x v="0"/>
    <x v="0"/>
    <x v="0"/>
    <x v="0"/>
    <x v="1"/>
    <x v="1"/>
    <x v="2"/>
    <x v="0"/>
    <x v="0"/>
    <x v="0"/>
    <x v="1"/>
    <x v="1"/>
    <x v="1"/>
    <x v="0"/>
    <x v="0"/>
    <x v="0"/>
    <x v="1"/>
    <x v="2"/>
    <x v="1"/>
    <x v="0"/>
    <x v="0"/>
    <x v="0"/>
    <x v="0"/>
    <x v="0"/>
    <x v="0"/>
    <m/>
    <s v="BIEN"/>
    <s v="TRANQUILO"/>
    <s v="FELIZ"/>
    <x v="0"/>
    <x v="0"/>
    <x v="1"/>
    <n v="0"/>
    <n v="0"/>
    <n v="0"/>
    <n v="0"/>
    <n v="0"/>
    <n v="0"/>
    <n v="0"/>
    <n v="0"/>
    <n v="1"/>
    <s v="HELADOS PINGÜINO"/>
    <s v="MAS SEGURIDAD MAS PRESENCIA POLICIAL"/>
    <n v="83715388"/>
    <s v="c3c4dcae-80c9-46e3-b219-f679700ce858"/>
    <d v="2025-04-14T16:40:35"/>
    <m/>
    <m/>
    <s v="submitted_via_web"/>
    <m/>
    <s v="vsL33mCaFLo882kfJNCvYm"/>
    <m/>
    <n v="92"/>
  </r>
  <r>
    <d v="2025-04-14T11:31:30"/>
    <d v="2025-04-14T11:41:23"/>
    <s v="JP"/>
    <n v="43"/>
    <d v="2025-03-23T00:00:00"/>
    <n v="1"/>
    <s v="GB-SCH"/>
    <s v="GH"/>
    <s v="-0,18021"/>
    <s v="-78,48227"/>
    <s v="1. Sí"/>
    <n v="36"/>
    <s v="1. Años"/>
    <n v="0"/>
    <n v="0"/>
    <n v="0"/>
    <n v="0"/>
    <x v="0"/>
    <n v="44"/>
    <x v="1"/>
    <s v="1. Sí"/>
    <m/>
    <s v="6. Mestiza(o)"/>
    <m/>
    <s v="5. Soltera/o"/>
    <x v="1"/>
    <s v="1. Completa"/>
    <s v="1. Menos de $470"/>
    <s v="3. INSEGURO"/>
    <s v="NO HAY PRESENCIA POLICIAL"/>
    <m/>
    <m/>
    <x v="0"/>
    <s v="Mañana  (06:00 a 11:59) Tarde (12:00 a 17:59)"/>
    <n v="0"/>
    <n v="1"/>
    <n v="1"/>
    <n v="0"/>
    <n v="0"/>
    <x v="1"/>
    <x v="0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0"/>
    <x v="0"/>
    <x v="0"/>
    <x v="1"/>
    <x v="1"/>
    <x v="0"/>
    <x v="0"/>
    <x v="1"/>
    <x v="2"/>
    <x v="1"/>
    <x v="1"/>
    <x v="0"/>
    <x v="0"/>
    <x v="0"/>
    <x v="0"/>
    <x v="0"/>
    <x v="0"/>
    <x v="1"/>
    <x v="1"/>
    <x v="1"/>
    <x v="3"/>
    <x v="0"/>
    <x v="3"/>
    <x v="0"/>
    <x v="0"/>
    <x v="0"/>
    <x v="0"/>
    <x v="0"/>
    <m/>
    <x v="0"/>
    <x v="0"/>
    <x v="0"/>
    <x v="0"/>
    <m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1"/>
    <x v="2"/>
    <x v="1"/>
    <x v="1"/>
    <x v="1"/>
    <x v="2"/>
    <x v="0"/>
    <x v="0"/>
    <x v="0"/>
    <m/>
    <s v="TEMOR PORQUE HAY ROBOS"/>
    <m/>
    <m/>
    <x v="0"/>
    <x v="0"/>
    <x v="0"/>
    <n v="0"/>
    <n v="0"/>
    <n v="0"/>
    <n v="0"/>
    <n v="1"/>
    <n v="0"/>
    <n v="0"/>
    <n v="0"/>
    <n v="0"/>
    <m/>
    <s v="QUE HAYA MAS CONTROL"/>
    <n v="83715391"/>
    <s v="1fd7f105-ba09-479e-885b-69a7d3984cf6"/>
    <d v="2025-04-14T16:41:25"/>
    <m/>
    <m/>
    <s v="submitted_via_web"/>
    <m/>
    <s v="vsL33mCaFLo882kfJNCvYm"/>
    <m/>
    <n v="93"/>
  </r>
  <r>
    <d v="2025-04-14T11:41:23"/>
    <d v="2025-04-14T11:50:48"/>
    <s v="JP"/>
    <n v="41"/>
    <d v="2025-03-23T00:00:00"/>
    <n v="1"/>
    <s v="MQ"/>
    <s v="GH"/>
    <s v="-0,18733"/>
    <s v="-78,48643"/>
    <s v="1. Sí"/>
    <n v="40"/>
    <s v="1. Años"/>
    <n v="0"/>
    <n v="0"/>
    <n v="0"/>
    <n v="0"/>
    <x v="1"/>
    <n v="55"/>
    <x v="1"/>
    <s v="1. Sí"/>
    <m/>
    <s v="6. Mestiza(o)"/>
    <m/>
    <s v="5. Soltera/o"/>
    <x v="0"/>
    <s v="2. Incompleta"/>
    <s v="99. NS/NC"/>
    <s v="2. SEGURO"/>
    <s v="PORQUE NO HAY ROBOS"/>
    <s v="PATRULLAJE POLICIA NACIONAL"/>
    <s v="OATRULLAJE GUARDABOSQUES"/>
    <x v="0"/>
    <s v="Madrugada (00:00 a 05:59) Noche  (18:00 a 23:59)"/>
    <n v="1"/>
    <n v="0"/>
    <n v="0"/>
    <n v="1"/>
    <n v="0"/>
    <x v="2"/>
    <x v="1"/>
    <x v="1"/>
    <x v="2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0"/>
    <x v="0"/>
    <x v="2"/>
    <x v="1"/>
    <x v="0"/>
    <x v="0"/>
    <x v="1"/>
    <x v="1"/>
    <x v="1"/>
    <x v="1"/>
    <x v="0"/>
    <x v="0"/>
    <x v="0"/>
    <x v="0"/>
    <x v="0"/>
    <x v="0"/>
    <x v="0"/>
    <x v="0"/>
    <x v="1"/>
    <x v="3"/>
    <x v="1"/>
    <x v="2"/>
    <x v="0"/>
    <x v="0"/>
    <x v="0"/>
    <x v="0"/>
    <x v="0"/>
    <m/>
    <x v="0"/>
    <x v="0"/>
    <x v="2"/>
    <x v="0"/>
    <m/>
    <x v="1"/>
    <x v="1"/>
    <x v="0"/>
    <x v="0"/>
    <x v="0"/>
    <x v="0"/>
    <x v="0"/>
    <x v="0"/>
    <x v="0"/>
    <x v="1"/>
    <x v="1"/>
    <x v="1"/>
    <x v="0"/>
    <x v="0"/>
    <x v="0"/>
    <x v="0"/>
    <x v="0"/>
    <x v="2"/>
    <x v="0"/>
    <x v="0"/>
    <x v="0"/>
    <x v="0"/>
    <x v="0"/>
    <x v="0"/>
    <x v="1"/>
    <x v="1"/>
    <x v="1"/>
    <x v="0"/>
    <x v="0"/>
    <x v="0"/>
    <m/>
    <s v="BIEN"/>
    <s v="SEGURA"/>
    <s v="TRANQUILA PORQUE YA CONOCE SU AREA DE TRABAJO"/>
    <x v="0"/>
    <x v="0"/>
    <x v="1"/>
    <n v="0"/>
    <n v="0"/>
    <n v="0"/>
    <n v="0"/>
    <n v="0"/>
    <n v="0"/>
    <n v="0"/>
    <n v="0"/>
    <n v="1"/>
    <s v="CABALLITOS"/>
    <s v="EN EL AREA DE CABALLOS, PROPIETARIA INDICA QUE NECESSITA UN GRIFO CON AGUA PARA LOS ANIMALES"/>
    <n v="83715958"/>
    <s v="1d1dd228-6a1d-4518-8380-148d75d23359"/>
    <d v="2025-04-14T16:50:50"/>
    <m/>
    <m/>
    <s v="submitted_via_web"/>
    <m/>
    <s v="vsL33mCaFLo882kfJNCvYm"/>
    <m/>
    <n v="94"/>
  </r>
  <r>
    <d v="2025-04-14T11:50:48"/>
    <d v="2025-04-14T11:54:32"/>
    <s v="JP"/>
    <n v="40"/>
    <d v="2025-03-23T00:00:00"/>
    <n v="1"/>
    <s v="EB"/>
    <s v="GH"/>
    <s v="-0,18787"/>
    <s v="-78,48665"/>
    <s v="1. Sí"/>
    <n v="20"/>
    <s v="1. Años"/>
    <n v="0"/>
    <n v="0"/>
    <n v="0"/>
    <n v="0"/>
    <x v="1"/>
    <n v="62"/>
    <x v="2"/>
    <s v="1. Sí"/>
    <m/>
    <s v="6. Mestiza(o)"/>
    <m/>
    <s v="2. Divorciada/o"/>
    <x v="1"/>
    <s v="1. Completa"/>
    <s v="99. NS/NC"/>
    <s v="2. SEGURO"/>
    <s v="POLICIA"/>
    <m/>
    <m/>
    <x v="0"/>
    <s v="Mañana  (06:00 a 11:59)"/>
    <n v="0"/>
    <n v="1"/>
    <n v="0"/>
    <n v="0"/>
    <n v="0"/>
    <x v="2"/>
    <x v="1"/>
    <x v="0"/>
    <x v="0"/>
    <x v="4"/>
    <n v="0"/>
    <n v="0"/>
    <n v="1"/>
    <n v="0"/>
    <n v="0"/>
    <n v="0"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3"/>
    <x v="0"/>
    <x v="0"/>
    <x v="0"/>
    <x v="0"/>
    <x v="1"/>
    <x v="2"/>
    <x v="0"/>
    <x v="0"/>
    <x v="1"/>
    <x v="1"/>
    <x v="0"/>
    <x v="0"/>
    <x v="1"/>
    <x v="3"/>
    <x v="1"/>
    <x v="2"/>
    <x v="1"/>
    <x v="3"/>
    <x v="1"/>
    <x v="3"/>
    <x v="1"/>
    <x v="2"/>
    <x v="0"/>
    <x v="0"/>
    <x v="0"/>
    <x v="0"/>
    <x v="0"/>
    <m/>
    <x v="0"/>
    <x v="0"/>
    <x v="0"/>
    <x v="0"/>
    <m/>
    <x v="1"/>
    <x v="1"/>
    <x v="0"/>
    <x v="0"/>
    <x v="0"/>
    <x v="0"/>
    <x v="0"/>
    <x v="0"/>
    <x v="0"/>
    <x v="1"/>
    <x v="2"/>
    <x v="0"/>
    <x v="0"/>
    <x v="0"/>
    <x v="0"/>
    <x v="1"/>
    <x v="1"/>
    <x v="1"/>
    <x v="0"/>
    <x v="0"/>
    <x v="1"/>
    <x v="0"/>
    <x v="0"/>
    <x v="2"/>
    <x v="1"/>
    <x v="2"/>
    <x v="0"/>
    <x v="0"/>
    <x v="0"/>
    <x v="0"/>
    <m/>
    <s v="TRANQUILIDAD"/>
    <m/>
    <m/>
    <x v="0"/>
    <x v="0"/>
    <x v="1"/>
    <n v="0"/>
    <n v="0"/>
    <n v="0"/>
    <n v="0"/>
    <n v="0"/>
    <n v="0"/>
    <n v="0"/>
    <n v="0"/>
    <n v="1"/>
    <s v="BAÑO PUBLICO"/>
    <m/>
    <n v="83716527"/>
    <s v="ab1d4069-4437-4d52-bf93-66a145f6e739"/>
    <d v="2025-04-14T16:54:32"/>
    <m/>
    <m/>
    <s v="submitted_via_web"/>
    <m/>
    <s v="vsL33mCaFLo882kfJNCvYm"/>
    <m/>
    <n v="95"/>
  </r>
  <r>
    <d v="2025-04-14T11:54:32"/>
    <d v="2025-04-14T11:59:17"/>
    <s v="JP"/>
    <n v="39"/>
    <d v="2025-03-23T00:00:00"/>
    <n v="1"/>
    <s v="GB-CE"/>
    <s v="GH"/>
    <s v="-0,18733"/>
    <s v="-78,48643"/>
    <s v="1. Sí"/>
    <n v="9"/>
    <s v="1. Años"/>
    <n v="0"/>
    <n v="0"/>
    <n v="0"/>
    <n v="0"/>
    <x v="1"/>
    <n v="40"/>
    <x v="0"/>
    <s v="1. Sí"/>
    <m/>
    <s v="6. Mestiza(o)"/>
    <m/>
    <s v="5. Soltera/o"/>
    <x v="0"/>
    <s v="1. Completa"/>
    <s v="1. Menos de $470"/>
    <s v="4. MUY INSEGURO"/>
    <s v="NO HAY CONTROL"/>
    <s v="LOS POLICIAS PASAN RAPIDO"/>
    <s v="NO HAY ILUMINACION"/>
    <x v="1"/>
    <s v="Mañana  (06:00 a 11:59) Tarde (12:00 a 17:59)"/>
    <n v="0"/>
    <n v="1"/>
    <n v="1"/>
    <n v="0"/>
    <n v="0"/>
    <x v="1"/>
    <x v="0"/>
    <x v="1"/>
    <x v="0"/>
    <x v="6"/>
    <n v="0"/>
    <n v="1"/>
    <n v="1"/>
    <n v="0"/>
    <n v="0"/>
    <n v="0"/>
    <m/>
    <x v="1"/>
    <x v="1"/>
    <n v="0"/>
    <n v="1"/>
    <n v="0"/>
    <n v="0"/>
    <n v="0"/>
    <n v="0"/>
    <n v="0"/>
    <n v="0"/>
    <m/>
    <m/>
    <n v="0"/>
    <m/>
    <m/>
    <m/>
    <s v="2. No"/>
    <m/>
    <m/>
    <m/>
    <m/>
    <m/>
    <m/>
    <x v="1"/>
    <m/>
    <x v="1"/>
    <x v="2"/>
    <x v="0"/>
    <x v="0"/>
    <x v="0"/>
    <x v="0"/>
    <x v="0"/>
    <x v="3"/>
    <x v="0"/>
    <x v="2"/>
    <x v="1"/>
    <x v="2"/>
    <x v="1"/>
    <x v="1"/>
    <x v="0"/>
    <x v="0"/>
    <x v="0"/>
    <x v="0"/>
    <x v="1"/>
    <x v="1"/>
    <x v="1"/>
    <x v="3"/>
    <x v="1"/>
    <x v="1"/>
    <x v="1"/>
    <x v="3"/>
    <x v="0"/>
    <x v="3"/>
    <x v="0"/>
    <x v="0"/>
    <x v="1"/>
    <x v="2"/>
    <x v="0"/>
    <m/>
    <x v="0"/>
    <x v="0"/>
    <x v="0"/>
    <x v="0"/>
    <m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1"/>
    <x v="1"/>
    <x v="1"/>
    <x v="2"/>
    <x v="0"/>
    <x v="0"/>
    <x v="0"/>
    <x v="0"/>
    <m/>
    <s v="INSEGURIDAD"/>
    <s v="TRANQUILIDAD AL MOMENTO QUE ESTA ACOMPAÑADA"/>
    <m/>
    <x v="0"/>
    <x v="0"/>
    <x v="1"/>
    <n v="0"/>
    <n v="0"/>
    <n v="0"/>
    <n v="0"/>
    <n v="0"/>
    <n v="0"/>
    <n v="0"/>
    <n v="0"/>
    <n v="1"/>
    <s v="JUGUETES Y VARIEDADES"/>
    <m/>
    <n v="83716836"/>
    <s v="251a5cbf-3bad-4c56-8655-90af7f4d857e"/>
    <d v="2025-04-14T16:59:17"/>
    <m/>
    <m/>
    <s v="submitted_via_web"/>
    <m/>
    <s v="vsL33mCaFLo882kfJNCvYm"/>
    <m/>
    <n v="96"/>
  </r>
  <r>
    <d v="2025-04-14T11:59:17"/>
    <d v="2025-04-14T12:03:24"/>
    <s v="JP"/>
    <n v="38"/>
    <d v="2025-03-23T00:00:00"/>
    <n v="1"/>
    <s v="MQ"/>
    <s v="GH"/>
    <s v="-0,18734"/>
    <s v="-78,48640"/>
    <s v="1. Sí"/>
    <n v="16"/>
    <s v="1. Años"/>
    <n v="0"/>
    <n v="0"/>
    <n v="0"/>
    <n v="0"/>
    <x v="1"/>
    <n v="45"/>
    <x v="1"/>
    <s v="1. Sí"/>
    <m/>
    <s v="6. Mestiza(o)"/>
    <m/>
    <s v="5. Soltera/o"/>
    <x v="2"/>
    <s v="1. Completa"/>
    <s v="99. NS/NC"/>
    <s v="2. SEGURO"/>
    <s v="NO HABIDO PROBLEMAS"/>
    <m/>
    <m/>
    <x v="0"/>
    <s v="Mañana  (06:00 a 11:59) Tarde (12:00 a 17:59) Noche  (18:00 a 23:59)"/>
    <n v="0"/>
    <n v="1"/>
    <n v="1"/>
    <n v="1"/>
    <n v="0"/>
    <x v="1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0"/>
    <x v="2"/>
    <x v="2"/>
    <x v="2"/>
    <x v="1"/>
    <x v="1"/>
    <x v="2"/>
    <x v="0"/>
    <x v="0"/>
    <x v="1"/>
    <x v="1"/>
    <x v="0"/>
    <x v="0"/>
    <x v="0"/>
    <x v="0"/>
    <x v="0"/>
    <x v="0"/>
    <x v="1"/>
    <x v="1"/>
    <x v="0"/>
    <x v="0"/>
    <x v="0"/>
    <x v="3"/>
    <x v="0"/>
    <x v="0"/>
    <x v="0"/>
    <x v="0"/>
    <x v="0"/>
    <m/>
    <x v="0"/>
    <x v="0"/>
    <x v="2"/>
    <x v="1"/>
    <m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1"/>
    <x v="0"/>
    <x v="0"/>
    <x v="2"/>
    <x v="0"/>
    <x v="0"/>
    <x v="0"/>
    <x v="0"/>
    <x v="0"/>
    <x v="0"/>
    <m/>
    <s v="PAZ TRANQUILIDAD"/>
    <s v="AHORA INTRANQUILIDAD"/>
    <m/>
    <x v="1"/>
    <x v="0"/>
    <x v="1"/>
    <n v="0"/>
    <n v="0"/>
    <n v="0"/>
    <n v="0"/>
    <n v="0"/>
    <n v="0"/>
    <n v="0"/>
    <n v="0"/>
    <n v="1"/>
    <s v="CARRITOS ELECTRICOS"/>
    <m/>
    <n v="83716965"/>
    <s v="52bccb22-23e6-4db8-8320-800c21f663c5"/>
    <d v="2025-04-14T17:03:25"/>
    <m/>
    <m/>
    <s v="submitted_via_web"/>
    <m/>
    <s v="vsL33mCaFLo882kfJNCvYm"/>
    <m/>
    <n v="97"/>
  </r>
  <r>
    <d v="2025-04-14T12:03:24"/>
    <d v="2025-04-14T12:08:26"/>
    <s v="JP"/>
    <n v="37"/>
    <d v="2025-03-23T00:00:00"/>
    <n v="1"/>
    <s v="GB-SCH"/>
    <s v="GH"/>
    <s v="-0,18760"/>
    <s v="-78,48666"/>
    <s v="1. Sí"/>
    <n v="7"/>
    <s v="1. Años"/>
    <n v="0"/>
    <n v="0"/>
    <n v="0"/>
    <n v="0"/>
    <x v="0"/>
    <n v="31"/>
    <x v="0"/>
    <s v="1. Sí"/>
    <m/>
    <s v="6. Mestiza(o)"/>
    <m/>
    <s v="5. Soltera/o"/>
    <x v="3"/>
    <s v="1. Completa"/>
    <s v="3. de $920 a $1339"/>
    <s v="2. SEGURO"/>
    <s v="HASTA EL MOMENTO NO HAN TENIDO NINGUN INCONVENIENTE"/>
    <m/>
    <m/>
    <x v="0"/>
    <s v="Mañana  (06:00 a 11:59) Tarde (12:00 a 17:59)"/>
    <n v="0"/>
    <n v="1"/>
    <n v="1"/>
    <n v="0"/>
    <n v="0"/>
    <x v="2"/>
    <x v="1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0"/>
    <x v="0"/>
    <x v="3"/>
    <x v="1"/>
    <x v="1"/>
    <x v="0"/>
    <x v="0"/>
    <x v="1"/>
    <x v="1"/>
    <x v="0"/>
    <x v="2"/>
    <x v="0"/>
    <x v="0"/>
    <x v="0"/>
    <x v="0"/>
    <x v="0"/>
    <x v="0"/>
    <x v="0"/>
    <x v="0"/>
    <x v="0"/>
    <x v="0"/>
    <x v="0"/>
    <x v="3"/>
    <x v="0"/>
    <x v="0"/>
    <x v="0"/>
    <x v="0"/>
    <x v="0"/>
    <m/>
    <x v="0"/>
    <x v="0"/>
    <x v="0"/>
    <x v="0"/>
    <m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2"/>
    <x v="1"/>
    <x v="1"/>
    <x v="2"/>
    <x v="0"/>
    <x v="0"/>
    <x v="0"/>
    <m/>
    <s v="DECEPCION (AL NO VENDER)"/>
    <m/>
    <m/>
    <x v="0"/>
    <x v="0"/>
    <x v="1"/>
    <n v="0"/>
    <n v="0"/>
    <n v="0"/>
    <n v="0"/>
    <n v="0"/>
    <n v="0"/>
    <n v="0"/>
    <n v="0"/>
    <n v="1"/>
    <s v="JUGUETES Y VARIEDADES"/>
    <m/>
    <n v="83717161"/>
    <s v="c190dad0-5615-41fa-b234-6d0527010e02"/>
    <d v="2025-04-14T17:08:28"/>
    <m/>
    <m/>
    <s v="submitted_via_web"/>
    <m/>
    <s v="vsL33mCaFLo882kfJNCvYm"/>
    <m/>
    <n v="98"/>
  </r>
  <r>
    <d v="2025-04-14T12:01:47"/>
    <d v="2025-04-14T12:10:53"/>
    <s v="GH"/>
    <n v="1"/>
    <d v="2025-03-22T00:00:00"/>
    <n v="2"/>
    <s v="JA"/>
    <s v="OM"/>
    <s v="-0,18264"/>
    <s v="-78,48534"/>
    <s v="1. Sí"/>
    <n v="25"/>
    <s v="1. Años"/>
    <n v="0"/>
    <n v="0"/>
    <n v="0"/>
    <n v="0"/>
    <x v="1"/>
    <n v="64"/>
    <x v="2"/>
    <s v="1. Sí"/>
    <m/>
    <s v="6. Mestiza(o)"/>
    <m/>
    <s v="4. Casada/o"/>
    <x v="1"/>
    <s v="1. Completa"/>
    <s v="1. Menos de $470"/>
    <s v="2. SEGURO"/>
    <s v="PORQUE HAY MAS GENTE"/>
    <m/>
    <m/>
    <x v="2"/>
    <s v="Mañana  (06:00 a 11:59) Tarde (12:00 a 17:59)"/>
    <n v="0"/>
    <n v="1"/>
    <n v="1"/>
    <n v="0"/>
    <n v="0"/>
    <x v="1"/>
    <x v="1"/>
    <x v="1"/>
    <x v="0"/>
    <x v="4"/>
    <n v="0"/>
    <n v="0"/>
    <n v="1"/>
    <n v="0"/>
    <n v="0"/>
    <n v="0"/>
    <m/>
    <x v="1"/>
    <x v="2"/>
    <n v="1"/>
    <n v="0"/>
    <n v="0"/>
    <n v="0"/>
    <n v="0"/>
    <n v="0"/>
    <n v="0"/>
    <n v="0"/>
    <m/>
    <m/>
    <n v="0"/>
    <m/>
    <m/>
    <s v="1. Sí"/>
    <m/>
    <m/>
    <m/>
    <m/>
    <m/>
    <m/>
    <m/>
    <x v="0"/>
    <m/>
    <x v="1"/>
    <x v="1"/>
    <x v="0"/>
    <x v="0"/>
    <x v="1"/>
    <x v="2"/>
    <x v="0"/>
    <x v="3"/>
    <x v="1"/>
    <x v="1"/>
    <x v="0"/>
    <x v="0"/>
    <x v="1"/>
    <x v="1"/>
    <x v="1"/>
    <x v="1"/>
    <x v="0"/>
    <x v="0"/>
    <x v="0"/>
    <x v="0"/>
    <x v="2"/>
    <x v="0"/>
    <x v="1"/>
    <x v="1"/>
    <x v="1"/>
    <x v="3"/>
    <x v="0"/>
    <x v="3"/>
    <x v="0"/>
    <x v="0"/>
    <x v="0"/>
    <x v="0"/>
    <x v="0"/>
    <m/>
    <x v="0"/>
    <x v="0"/>
    <x v="2"/>
    <x v="0"/>
    <m/>
    <x v="1"/>
    <x v="1"/>
    <x v="0"/>
    <x v="1"/>
    <x v="2"/>
    <x v="0"/>
    <x v="0"/>
    <x v="0"/>
    <x v="0"/>
    <x v="1"/>
    <x v="2"/>
    <x v="0"/>
    <x v="0"/>
    <x v="0"/>
    <x v="0"/>
    <x v="1"/>
    <x v="1"/>
    <x v="1"/>
    <x v="0"/>
    <x v="0"/>
    <x v="1"/>
    <x v="0"/>
    <x v="1"/>
    <x v="1"/>
    <x v="0"/>
    <x v="0"/>
    <x v="0"/>
    <x v="0"/>
    <x v="0"/>
    <x v="0"/>
    <m/>
    <s v="LE GUSTA LA NATURALEZA"/>
    <m/>
    <m/>
    <x v="0"/>
    <x v="0"/>
    <x v="0"/>
    <n v="0"/>
    <n v="0"/>
    <n v="0"/>
    <n v="0"/>
    <n v="1"/>
    <n v="0"/>
    <n v="0"/>
    <n v="0"/>
    <n v="0"/>
    <m/>
    <m/>
    <n v="83717527"/>
    <s v="97ed7aa5-1136-4e3f-a19a-6ecb63f7ba83"/>
    <d v="2025-04-14T17:10:54"/>
    <m/>
    <m/>
    <s v="submitted_via_web"/>
    <m/>
    <s v="vsL33mCaFLo882kfJNCvYm"/>
    <m/>
    <n v="99"/>
  </r>
  <r>
    <d v="2025-04-14T12:08:26"/>
    <d v="2025-04-14T12:13:06"/>
    <s v="JP"/>
    <n v="36"/>
    <d v="2025-03-23T00:00:00"/>
    <n v="1"/>
    <s v="MQ"/>
    <s v="GH"/>
    <s v="-0,18748"/>
    <s v="-78,48611"/>
    <s v="1. Sí"/>
    <n v="10"/>
    <s v="1. Años"/>
    <n v="0"/>
    <n v="0"/>
    <n v="0"/>
    <n v="0"/>
    <x v="1"/>
    <n v="64"/>
    <x v="2"/>
    <s v="1. Sí"/>
    <m/>
    <s v="6. Mestiza(o)"/>
    <m/>
    <s v="3. Viuda/o"/>
    <x v="1"/>
    <s v="1. Completa"/>
    <s v="99. NS/NC"/>
    <s v="3. INSEGURO"/>
    <s v="MUCHA DELINCUENCIA"/>
    <s v="MUCHO VENDEDOR INFORMAL AGRESIVO"/>
    <m/>
    <x v="1"/>
    <s v="Mañana  (06:00 a 11:59) Tarde (12:00 a 17:59) Noche  (18:00 a 23:59)"/>
    <n v="0"/>
    <n v="1"/>
    <n v="1"/>
    <n v="1"/>
    <n v="0"/>
    <x v="1"/>
    <x v="1"/>
    <x v="0"/>
    <x v="0"/>
    <x v="3"/>
    <n v="0"/>
    <n v="0"/>
    <n v="0"/>
    <n v="0"/>
    <n v="0"/>
    <n v="1"/>
    <s v="SEGURIDAD DE LA ASOCIACION"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3"/>
    <x v="1"/>
    <x v="2"/>
    <x v="2"/>
    <x v="1"/>
    <x v="1"/>
    <x v="2"/>
    <x v="0"/>
    <x v="0"/>
    <x v="0"/>
    <x v="2"/>
    <x v="0"/>
    <x v="0"/>
    <x v="1"/>
    <x v="3"/>
    <x v="1"/>
    <x v="2"/>
    <x v="0"/>
    <x v="0"/>
    <x v="1"/>
    <x v="3"/>
    <x v="1"/>
    <x v="2"/>
    <x v="0"/>
    <x v="0"/>
    <x v="0"/>
    <x v="0"/>
    <x v="0"/>
    <m/>
    <x v="0"/>
    <x v="0"/>
    <x v="0"/>
    <x v="1"/>
    <m/>
    <x v="1"/>
    <x v="2"/>
    <x v="1"/>
    <x v="0"/>
    <x v="0"/>
    <x v="0"/>
    <x v="0"/>
    <x v="0"/>
    <x v="0"/>
    <x v="1"/>
    <x v="1"/>
    <x v="1"/>
    <x v="1"/>
    <x v="2"/>
    <x v="1"/>
    <x v="0"/>
    <x v="0"/>
    <x v="2"/>
    <x v="0"/>
    <x v="0"/>
    <x v="0"/>
    <x v="0"/>
    <x v="0"/>
    <x v="2"/>
    <x v="1"/>
    <x v="2"/>
    <x v="0"/>
    <x v="0"/>
    <x v="0"/>
    <x v="0"/>
    <m/>
    <s v="ME SIENTO BIEN"/>
    <s v="INSEGURA POR LOS COMERCIANTES INFORMALES"/>
    <m/>
    <x v="0"/>
    <x v="0"/>
    <x v="2"/>
    <n v="0"/>
    <n v="1"/>
    <n v="0"/>
    <n v="0"/>
    <n v="0"/>
    <n v="0"/>
    <n v="0"/>
    <n v="0"/>
    <n v="0"/>
    <m/>
    <m/>
    <n v="83717646"/>
    <s v="adf6a8b8-45bd-4ba9-9f40-445b3c1ca500"/>
    <d v="2025-04-14T17:13:07"/>
    <m/>
    <m/>
    <s v="submitted_via_web"/>
    <m/>
    <s v="vsL33mCaFLo882kfJNCvYm"/>
    <m/>
    <n v="100"/>
  </r>
  <r>
    <d v="2025-04-14T12:13:06"/>
    <d v="2025-04-14T12:18:48"/>
    <s v="JP"/>
    <n v="34"/>
    <d v="2025-03-23T00:00:00"/>
    <n v="1"/>
    <s v="GB-SCH"/>
    <s v="GH"/>
    <s v="-0,18735"/>
    <s v="-78,48636"/>
    <s v="1. Sí"/>
    <n v="8"/>
    <s v="1. Años"/>
    <n v="0"/>
    <n v="0"/>
    <n v="0"/>
    <n v="1"/>
    <x v="0"/>
    <n v="37"/>
    <x v="0"/>
    <s v="1. Sí"/>
    <m/>
    <s v="6. Mestiza(o)"/>
    <m/>
    <s v="4. Casada/o"/>
    <x v="0"/>
    <s v="1. Completa"/>
    <s v="2. de $471 a $919"/>
    <s v="3. INSEGURO"/>
    <s v="NO HAY PRESENCIA POLICIAL"/>
    <s v="DELINCUENCIA"/>
    <m/>
    <x v="1"/>
    <s v="Todos los horarios"/>
    <n v="0"/>
    <n v="0"/>
    <n v="0"/>
    <n v="0"/>
    <n v="1"/>
    <x v="1"/>
    <x v="1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1"/>
    <x v="1"/>
    <x v="0"/>
    <x v="0"/>
    <x v="0"/>
    <x v="3"/>
    <x v="1"/>
    <x v="1"/>
    <x v="0"/>
    <x v="0"/>
    <x v="1"/>
    <x v="1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0"/>
    <m/>
    <x v="0"/>
    <x v="0"/>
    <x v="0"/>
    <x v="0"/>
    <m/>
    <x v="0"/>
    <x v="0"/>
    <x v="0"/>
    <x v="0"/>
    <x v="0"/>
    <x v="0"/>
    <x v="0"/>
    <x v="0"/>
    <x v="0"/>
    <x v="1"/>
    <x v="1"/>
    <x v="2"/>
    <x v="0"/>
    <x v="0"/>
    <x v="0"/>
    <x v="1"/>
    <x v="1"/>
    <x v="1"/>
    <x v="0"/>
    <x v="0"/>
    <x v="0"/>
    <x v="0"/>
    <x v="1"/>
    <x v="1"/>
    <x v="0"/>
    <x v="0"/>
    <x v="0"/>
    <x v="0"/>
    <x v="0"/>
    <x v="0"/>
    <m/>
    <s v="INSEGURIDAD"/>
    <s v="PREOCUPACION (POR LA DELINCUENCIA)"/>
    <m/>
    <x v="0"/>
    <x v="0"/>
    <x v="0"/>
    <n v="0"/>
    <n v="0"/>
    <n v="0"/>
    <n v="0"/>
    <n v="1"/>
    <n v="0"/>
    <n v="0"/>
    <n v="0"/>
    <n v="0"/>
    <m/>
    <s v="HACER CONTROL DE VENTAS INFORMALES"/>
    <n v="83717924"/>
    <s v="64ca6fbb-8acd-4f35-b2c5-d9dcc6a332be"/>
    <d v="2025-04-14T17:18:49"/>
    <m/>
    <m/>
    <s v="submitted_via_web"/>
    <m/>
    <s v="vsL33mCaFLo882kfJNCvYm"/>
    <m/>
    <n v="101"/>
  </r>
  <r>
    <d v="2025-04-14T12:10:53"/>
    <d v="2025-04-14T12:22:20"/>
    <s v="GH"/>
    <n v="2"/>
    <d v="2025-03-22T00:00:00"/>
    <n v="2"/>
    <s v="LB"/>
    <s v="OM"/>
    <s v="-0,18288"/>
    <s v="-78,48553"/>
    <s v="1. Sí"/>
    <n v="33"/>
    <s v="1. Años"/>
    <n v="0"/>
    <n v="0"/>
    <n v="0"/>
    <n v="0"/>
    <x v="0"/>
    <n v="67"/>
    <x v="2"/>
    <s v="1. Sí"/>
    <m/>
    <s v="6. Mestiza(o)"/>
    <m/>
    <s v="2. Divorciada/o"/>
    <x v="0"/>
    <s v="1. Completa"/>
    <s v="2. de $471 a $919"/>
    <s v="2. SEGURO"/>
    <s v="PRESENCIA POLICIAL"/>
    <s v="AFLUENCIA DE GENTE"/>
    <m/>
    <x v="0"/>
    <s v="Madrugada (00:00 a 05:59)"/>
    <n v="1"/>
    <n v="0"/>
    <n v="0"/>
    <n v="0"/>
    <n v="0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1"/>
    <x v="0"/>
    <x v="0"/>
    <x v="1"/>
    <x v="2"/>
    <x v="1"/>
    <x v="2"/>
    <x v="1"/>
    <x v="1"/>
    <x v="0"/>
    <x v="0"/>
    <x v="0"/>
    <x v="0"/>
    <x v="0"/>
    <x v="0"/>
    <x v="0"/>
    <x v="0"/>
    <x v="0"/>
    <x v="0"/>
    <x v="0"/>
    <x v="0"/>
    <x v="1"/>
    <x v="3"/>
    <x v="0"/>
    <x v="0"/>
    <x v="1"/>
    <x v="2"/>
    <x v="0"/>
    <x v="0"/>
    <x v="0"/>
    <x v="0"/>
    <x v="0"/>
    <m/>
    <x v="0"/>
    <x v="0"/>
    <x v="0"/>
    <x v="0"/>
    <m/>
    <x v="0"/>
    <x v="0"/>
    <x v="0"/>
    <x v="0"/>
    <x v="0"/>
    <x v="0"/>
    <x v="0"/>
    <x v="0"/>
    <x v="0"/>
    <x v="0"/>
    <x v="0"/>
    <x v="0"/>
    <x v="1"/>
    <x v="1"/>
    <x v="0"/>
    <x v="1"/>
    <x v="1"/>
    <x v="1"/>
    <x v="1"/>
    <x v="1"/>
    <x v="2"/>
    <x v="1"/>
    <x v="2"/>
    <x v="1"/>
    <x v="0"/>
    <x v="0"/>
    <x v="0"/>
    <x v="0"/>
    <x v="0"/>
    <x v="0"/>
    <m/>
    <s v="PERSONAL DE EMASEO QUE RECOJE LA BASURA"/>
    <s v="PRESENCIA DE AMC"/>
    <s v="ARREGLAR SU AREA DE TRABAJO Y VERIFICAR LAS INSTALACIONES"/>
    <x v="1"/>
    <x v="1"/>
    <x v="6"/>
    <n v="0"/>
    <n v="1"/>
    <n v="0"/>
    <n v="0"/>
    <n v="1"/>
    <n v="0"/>
    <n v="0"/>
    <n v="0"/>
    <n v="0"/>
    <m/>
    <m/>
    <n v="83718052"/>
    <s v="9caa86f3-f8d1-4d5a-b665-d3b808c9f9e2"/>
    <d v="2025-04-14T17:22:20"/>
    <m/>
    <m/>
    <s v="submitted_via_web"/>
    <m/>
    <s v="vsL33mCaFLo882kfJNCvYm"/>
    <m/>
    <n v="102"/>
  </r>
  <r>
    <d v="2025-04-14T12:18:48"/>
    <d v="2025-04-14T12:23:34"/>
    <s v="JP"/>
    <n v="32"/>
    <d v="2025-03-23T00:00:00"/>
    <n v="1"/>
    <s v="EB"/>
    <s v="GH"/>
    <s v="-0,18773"/>
    <s v="-78,48608"/>
    <s v="1. Sí"/>
    <n v="12"/>
    <s v="1. Años"/>
    <n v="0"/>
    <n v="0"/>
    <n v="0"/>
    <n v="0"/>
    <x v="0"/>
    <n v="33"/>
    <x v="0"/>
    <s v="1. Sí"/>
    <m/>
    <s v="6. Mestiza(o)"/>
    <m/>
    <s v="4. Casada/o"/>
    <x v="0"/>
    <s v="1. Completa"/>
    <s v="99. NS/NC"/>
    <s v="2. SEGURO"/>
    <s v="POLICIA NACIONAL"/>
    <m/>
    <m/>
    <x v="1"/>
    <s v="Tarde (12:00 a 17:59)"/>
    <n v="0"/>
    <n v="0"/>
    <n v="1"/>
    <n v="0"/>
    <n v="0"/>
    <x v="0"/>
    <x v="1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2"/>
    <x v="1"/>
    <x v="1"/>
    <x v="0"/>
    <x v="1"/>
    <x v="0"/>
    <x v="0"/>
    <x v="0"/>
    <x v="0"/>
    <x v="1"/>
    <x v="2"/>
    <x v="1"/>
    <x v="2"/>
    <x v="1"/>
    <x v="1"/>
    <x v="0"/>
    <x v="0"/>
    <x v="1"/>
    <x v="1"/>
    <x v="1"/>
    <x v="3"/>
    <x v="1"/>
    <x v="2"/>
    <x v="0"/>
    <x v="0"/>
    <x v="0"/>
    <x v="1"/>
    <x v="0"/>
    <x v="0"/>
    <x v="1"/>
    <x v="3"/>
    <x v="0"/>
    <m/>
    <x v="0"/>
    <x v="0"/>
    <x v="0"/>
    <x v="0"/>
    <m/>
    <x v="1"/>
    <x v="2"/>
    <x v="1"/>
    <x v="1"/>
    <x v="2"/>
    <x v="0"/>
    <x v="0"/>
    <x v="0"/>
    <x v="0"/>
    <x v="1"/>
    <x v="1"/>
    <x v="2"/>
    <x v="0"/>
    <x v="0"/>
    <x v="0"/>
    <x v="1"/>
    <x v="1"/>
    <x v="1"/>
    <x v="0"/>
    <x v="0"/>
    <x v="1"/>
    <x v="0"/>
    <x v="1"/>
    <x v="1"/>
    <x v="1"/>
    <x v="2"/>
    <x v="0"/>
    <x v="0"/>
    <x v="0"/>
    <x v="0"/>
    <m/>
    <s v="CONFORTABLE"/>
    <m/>
    <m/>
    <x v="0"/>
    <x v="0"/>
    <x v="1"/>
    <n v="0"/>
    <n v="0"/>
    <n v="0"/>
    <n v="0"/>
    <n v="0"/>
    <n v="0"/>
    <n v="0"/>
    <n v="0"/>
    <n v="1"/>
    <s v="SALTARIN INFLABLE"/>
    <m/>
    <n v="83718072"/>
    <s v="774016c1-f264-4bdb-81b4-09c390cb62ac"/>
    <d v="2025-04-14T17:23:35"/>
    <m/>
    <m/>
    <s v="submitted_via_web"/>
    <m/>
    <s v="vsL33mCaFLo882kfJNCvYm"/>
    <m/>
    <n v="103"/>
  </r>
  <r>
    <d v="2025-04-14T12:22:20"/>
    <d v="2025-04-14T12:26:52"/>
    <s v="GH"/>
    <n v="3"/>
    <d v="2025-03-22T00:00:00"/>
    <n v="2"/>
    <s v="DA"/>
    <s v="OM"/>
    <s v="-0,18292"/>
    <s v="-78,48548"/>
    <s v="1. Sí"/>
    <n v="37"/>
    <s v="1. Años"/>
    <n v="0"/>
    <n v="0"/>
    <n v="0"/>
    <n v="0"/>
    <x v="1"/>
    <n v="83"/>
    <x v="2"/>
    <s v="1. Sí"/>
    <m/>
    <s v="6. Mestiza(o)"/>
    <m/>
    <s v="3. Viuda/o"/>
    <x v="1"/>
    <s v="2. Incompleta"/>
    <s v="2. de $471 a $919"/>
    <s v="2. SEGURO"/>
    <s v="GUARDIAS"/>
    <s v="AGENTES"/>
    <s v="POLICIA NACIONAL"/>
    <x v="0"/>
    <s v="Mañana  (06:00 a 11:59) Tarde (12:00 a 17:59)"/>
    <n v="0"/>
    <n v="1"/>
    <n v="1"/>
    <n v="0"/>
    <n v="0"/>
    <x v="1"/>
    <x v="1"/>
    <x v="0"/>
    <x v="0"/>
    <x v="0"/>
    <n v="1"/>
    <n v="0"/>
    <n v="0"/>
    <n v="0"/>
    <n v="0"/>
    <n v="0"/>
    <m/>
    <x v="1"/>
    <x v="1"/>
    <n v="0"/>
    <n v="1"/>
    <n v="0"/>
    <n v="0"/>
    <n v="0"/>
    <n v="0"/>
    <n v="0"/>
    <n v="0"/>
    <m/>
    <m/>
    <n v="0"/>
    <m/>
    <m/>
    <m/>
    <s v="2. No"/>
    <m/>
    <m/>
    <m/>
    <m/>
    <m/>
    <m/>
    <x v="1"/>
    <m/>
    <x v="0"/>
    <x v="0"/>
    <x v="1"/>
    <x v="1"/>
    <x v="0"/>
    <x v="1"/>
    <x v="0"/>
    <x v="3"/>
    <x v="0"/>
    <x v="0"/>
    <x v="0"/>
    <x v="0"/>
    <x v="1"/>
    <x v="1"/>
    <x v="1"/>
    <x v="1"/>
    <x v="0"/>
    <x v="0"/>
    <x v="1"/>
    <x v="2"/>
    <x v="1"/>
    <x v="1"/>
    <x v="0"/>
    <x v="0"/>
    <x v="1"/>
    <x v="3"/>
    <x v="1"/>
    <x v="2"/>
    <x v="0"/>
    <x v="0"/>
    <x v="0"/>
    <x v="0"/>
    <x v="0"/>
    <m/>
    <x v="0"/>
    <x v="0"/>
    <x v="0"/>
    <x v="0"/>
    <m/>
    <x v="0"/>
    <x v="0"/>
    <x v="0"/>
    <x v="0"/>
    <x v="0"/>
    <x v="0"/>
    <x v="0"/>
    <x v="0"/>
    <x v="0"/>
    <x v="0"/>
    <x v="0"/>
    <x v="0"/>
    <x v="0"/>
    <x v="0"/>
    <x v="0"/>
    <x v="0"/>
    <x v="2"/>
    <x v="1"/>
    <x v="0"/>
    <x v="2"/>
    <x v="2"/>
    <x v="0"/>
    <x v="0"/>
    <x v="2"/>
    <x v="0"/>
    <x v="0"/>
    <x v="0"/>
    <x v="0"/>
    <x v="0"/>
    <x v="0"/>
    <m/>
    <s v="PAZ"/>
    <s v="SEGURIDAD"/>
    <s v="TRANQUILIDAD"/>
    <x v="0"/>
    <x v="0"/>
    <x v="0"/>
    <n v="0"/>
    <n v="0"/>
    <n v="0"/>
    <n v="0"/>
    <n v="1"/>
    <n v="0"/>
    <n v="0"/>
    <n v="0"/>
    <n v="0"/>
    <m/>
    <m/>
    <n v="83718195"/>
    <s v="d26b600f-7ded-43a9-ad85-32549ec9fff5"/>
    <d v="2025-04-14T17:26:52"/>
    <m/>
    <m/>
    <s v="submitted_via_web"/>
    <m/>
    <s v="vsL33mCaFLo882kfJNCvYm"/>
    <m/>
    <n v="104"/>
  </r>
  <r>
    <d v="2025-04-14T12:23:34"/>
    <d v="2025-04-14T12:28:40"/>
    <s v="JP"/>
    <n v="30"/>
    <d v="2025-03-23T00:00:00"/>
    <n v="1"/>
    <s v="MQ"/>
    <s v="GH"/>
    <s v="-0,18761"/>
    <s v="-78,48571"/>
    <s v="1. Sí"/>
    <n v="25"/>
    <s v="1. Años"/>
    <n v="0"/>
    <n v="0"/>
    <n v="0"/>
    <n v="0"/>
    <x v="0"/>
    <n v="52"/>
    <x v="1"/>
    <s v="1. Sí"/>
    <m/>
    <s v="6. Mestiza(o)"/>
    <m/>
    <s v="4. Casada/o"/>
    <x v="1"/>
    <s v="1. Completa"/>
    <s v="99. NS/NC"/>
    <s v="3. INSEGURO"/>
    <s v="POR EL SECTOR INFANTIL AFLUENCIA DE LADRONES"/>
    <s v="ALUMBRADO PUBLICO"/>
    <m/>
    <x v="1"/>
    <s v="Madrugada (00:00 a 05:59) Mañana  (06:00 a 11:59) Noche  (18:00 a 23:59)"/>
    <n v="1"/>
    <n v="1"/>
    <n v="0"/>
    <n v="1"/>
    <n v="0"/>
    <x v="2"/>
    <x v="1"/>
    <x v="1"/>
    <x v="0"/>
    <x v="3"/>
    <n v="0"/>
    <n v="0"/>
    <n v="0"/>
    <n v="0"/>
    <n v="0"/>
    <n v="1"/>
    <s v="GUARDIAS CONTRATADOS DE LA ASOCIACION, CHAT POLICIA, ASOCIACION"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0"/>
    <x v="0"/>
    <x v="0"/>
    <x v="0"/>
    <x v="3"/>
    <x v="0"/>
    <x v="0"/>
    <x v="1"/>
    <x v="2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0"/>
    <m/>
    <x v="0"/>
    <x v="0"/>
    <x v="2"/>
    <x v="0"/>
    <m/>
    <x v="0"/>
    <x v="0"/>
    <x v="0"/>
    <x v="0"/>
    <x v="0"/>
    <x v="0"/>
    <x v="0"/>
    <x v="0"/>
    <x v="0"/>
    <x v="1"/>
    <x v="1"/>
    <x v="2"/>
    <x v="1"/>
    <x v="2"/>
    <x v="1"/>
    <x v="1"/>
    <x v="1"/>
    <x v="1"/>
    <x v="0"/>
    <x v="0"/>
    <x v="0"/>
    <x v="0"/>
    <x v="0"/>
    <x v="2"/>
    <x v="0"/>
    <x v="0"/>
    <x v="0"/>
    <x v="0"/>
    <x v="0"/>
    <x v="0"/>
    <m/>
    <s v="ALEGRIA"/>
    <s v="ESPERANZA"/>
    <s v="GRATITUD A DIOS Y LAS AUTORIDADES QUE PERMITEN TRABAJAR"/>
    <x v="0"/>
    <x v="0"/>
    <x v="1"/>
    <n v="0"/>
    <n v="0"/>
    <n v="0"/>
    <n v="0"/>
    <n v="0"/>
    <n v="0"/>
    <n v="0"/>
    <n v="0"/>
    <n v="1"/>
    <s v="ALGODON DE AZUCAR Y REPOSTERIA"/>
    <m/>
    <n v="83718212"/>
    <s v="a39491bf-90ef-4c95-90db-d788a94903e8"/>
    <d v="2025-04-14T17:28:42"/>
    <m/>
    <m/>
    <s v="submitted_via_web"/>
    <m/>
    <s v="vsL33mCaFLo882kfJNCvYm"/>
    <m/>
    <n v="105"/>
  </r>
  <r>
    <d v="2025-04-14T12:28:40"/>
    <d v="2025-04-14T12:32:02"/>
    <s v="JP"/>
    <n v="28"/>
    <d v="2025-03-23T00:00:00"/>
    <n v="1"/>
    <s v="GB-SCH"/>
    <s v="GH"/>
    <s v="-0,18898"/>
    <s v="-78,48462"/>
    <s v="1. Sí"/>
    <n v="20"/>
    <s v="1. Años"/>
    <n v="0"/>
    <n v="0"/>
    <n v="0"/>
    <n v="0"/>
    <x v="1"/>
    <n v="60"/>
    <x v="2"/>
    <s v="1. Sí"/>
    <m/>
    <s v="1. Indígena"/>
    <m/>
    <s v="2. Divorciada/o"/>
    <x v="4"/>
    <m/>
    <s v="2. de $471 a $919"/>
    <s v="2. SEGURO"/>
    <s v="POLICIA NACIONAL"/>
    <m/>
    <m/>
    <x v="0"/>
    <s v="Todos los horarios"/>
    <n v="0"/>
    <n v="0"/>
    <n v="0"/>
    <n v="0"/>
    <n v="1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1"/>
    <x v="0"/>
    <x v="0"/>
    <x v="1"/>
    <x v="1"/>
    <x v="0"/>
    <x v="0"/>
    <x v="1"/>
    <x v="1"/>
    <x v="0"/>
    <x v="0"/>
    <x v="0"/>
    <x v="0"/>
    <x v="0"/>
    <x v="0"/>
    <x v="0"/>
    <x v="0"/>
    <x v="0"/>
    <x v="0"/>
    <x v="0"/>
    <x v="0"/>
    <x v="1"/>
    <x v="2"/>
    <x v="0"/>
    <x v="0"/>
    <x v="0"/>
    <x v="0"/>
    <x v="0"/>
    <m/>
    <x v="0"/>
    <x v="0"/>
    <x v="0"/>
    <x v="0"/>
    <m/>
    <x v="0"/>
    <x v="0"/>
    <x v="0"/>
    <x v="0"/>
    <x v="0"/>
    <x v="0"/>
    <x v="0"/>
    <x v="0"/>
    <x v="0"/>
    <x v="1"/>
    <x v="2"/>
    <x v="0"/>
    <x v="0"/>
    <x v="0"/>
    <x v="0"/>
    <x v="1"/>
    <x v="1"/>
    <x v="1"/>
    <x v="0"/>
    <x v="0"/>
    <x v="0"/>
    <x v="0"/>
    <x v="1"/>
    <x v="1"/>
    <x v="0"/>
    <x v="0"/>
    <x v="0"/>
    <x v="0"/>
    <x v="0"/>
    <x v="0"/>
    <m/>
    <s v="TRANQUILIDAD"/>
    <m/>
    <m/>
    <x v="0"/>
    <x v="0"/>
    <x v="0"/>
    <n v="0"/>
    <n v="0"/>
    <n v="0"/>
    <n v="0"/>
    <n v="1"/>
    <n v="0"/>
    <n v="0"/>
    <n v="0"/>
    <n v="0"/>
    <m/>
    <m/>
    <n v="83718380"/>
    <s v="6281a156-74ce-448f-96f6-f97abd870347"/>
    <d v="2025-04-14T17:32:03"/>
    <m/>
    <m/>
    <s v="submitted_via_web"/>
    <m/>
    <s v="vsL33mCaFLo882kfJNCvYm"/>
    <m/>
    <n v="106"/>
  </r>
  <r>
    <d v="2025-04-14T12:26:52"/>
    <d v="2025-04-14T12:34:37"/>
    <s v="GH"/>
    <n v="5"/>
    <d v="2025-03-22T00:00:00"/>
    <n v="2"/>
    <s v="LB"/>
    <s v="OM"/>
    <s v="-0,18302"/>
    <s v="-78,48651"/>
    <s v="1. Sí"/>
    <n v="30"/>
    <s v="1. Años"/>
    <n v="0"/>
    <n v="0"/>
    <n v="0"/>
    <n v="0"/>
    <x v="0"/>
    <n v="61"/>
    <x v="2"/>
    <s v="1. Sí"/>
    <m/>
    <s v="5. Montubia(o)"/>
    <m/>
    <s v="5. Soltera/o"/>
    <x v="1"/>
    <s v="1. Completa"/>
    <s v="3. de $920 a $1339"/>
    <s v="2. SEGURO"/>
    <s v="ESTÁ CERCA DE UPC"/>
    <s v="SIEMPRE ESTÁN LOS MOTORISADOS"/>
    <m/>
    <x v="0"/>
    <s v="Tarde (12:00 a 17:59)"/>
    <n v="0"/>
    <n v="0"/>
    <n v="1"/>
    <n v="0"/>
    <n v="0"/>
    <x v="0"/>
    <x v="1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3"/>
    <x v="1"/>
    <x v="2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1"/>
    <x v="1"/>
    <x v="0"/>
    <m/>
    <x v="0"/>
    <x v="0"/>
    <x v="0"/>
    <x v="1"/>
    <m/>
    <x v="1"/>
    <x v="1"/>
    <x v="0"/>
    <x v="1"/>
    <x v="2"/>
    <x v="0"/>
    <x v="0"/>
    <x v="0"/>
    <x v="0"/>
    <x v="1"/>
    <x v="2"/>
    <x v="0"/>
    <x v="1"/>
    <x v="1"/>
    <x v="0"/>
    <x v="1"/>
    <x v="1"/>
    <x v="1"/>
    <x v="0"/>
    <x v="2"/>
    <x v="2"/>
    <x v="0"/>
    <x v="0"/>
    <x v="2"/>
    <x v="0"/>
    <x v="0"/>
    <x v="0"/>
    <x v="0"/>
    <x v="0"/>
    <x v="0"/>
    <m/>
    <s v="MAS PRESENCIA PERSONAL DE EMASEO"/>
    <s v="AYUDA CON ALUMBRADO"/>
    <m/>
    <x v="0"/>
    <x v="1"/>
    <x v="0"/>
    <n v="0"/>
    <n v="0"/>
    <n v="0"/>
    <n v="0"/>
    <n v="1"/>
    <n v="0"/>
    <n v="0"/>
    <n v="0"/>
    <n v="0"/>
    <m/>
    <m/>
    <n v="83718451"/>
    <s v="9f288562-e9d7-4364-b0ba-0a5ef9f8ac5f"/>
    <d v="2025-04-14T17:34:38"/>
    <m/>
    <m/>
    <s v="submitted_via_web"/>
    <m/>
    <s v="vsL33mCaFLo882kfJNCvYm"/>
    <m/>
    <n v="107"/>
  </r>
  <r>
    <d v="2025-04-14T12:32:02"/>
    <d v="2025-04-14T12:35:45"/>
    <s v="JP"/>
    <n v="27"/>
    <d v="2025-03-23T00:00:00"/>
    <n v="1"/>
    <s v="EB"/>
    <s v="GH"/>
    <s v="-0,18794"/>
    <s v="-78,48396"/>
    <s v="1. Sí"/>
    <n v="35"/>
    <s v="1. Años"/>
    <n v="0"/>
    <n v="0"/>
    <n v="0"/>
    <n v="0"/>
    <x v="1"/>
    <n v="55"/>
    <x v="1"/>
    <s v="1. Sí"/>
    <m/>
    <s v="1. Indígena"/>
    <m/>
    <s v="4. Casada/o"/>
    <x v="1"/>
    <s v="1. Completa"/>
    <s v="99. NS/NC"/>
    <s v="2. SEGURO"/>
    <s v="ORGANIZACION ENTRE VENDEDORES"/>
    <m/>
    <m/>
    <x v="2"/>
    <s v="Tarde (12:00 a 17:59)"/>
    <n v="0"/>
    <n v="0"/>
    <n v="1"/>
    <n v="0"/>
    <n v="0"/>
    <x v="2"/>
    <x v="0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2"/>
    <x v="0"/>
    <x v="0"/>
    <x v="1"/>
    <x v="2"/>
    <x v="0"/>
    <x v="3"/>
    <x v="0"/>
    <x v="2"/>
    <x v="0"/>
    <x v="0"/>
    <x v="1"/>
    <x v="1"/>
    <x v="1"/>
    <x v="1"/>
    <x v="0"/>
    <x v="0"/>
    <x v="0"/>
    <x v="0"/>
    <x v="0"/>
    <x v="0"/>
    <x v="0"/>
    <x v="0"/>
    <x v="0"/>
    <x v="0"/>
    <x v="1"/>
    <x v="2"/>
    <x v="0"/>
    <x v="0"/>
    <x v="1"/>
    <x v="3"/>
    <x v="0"/>
    <m/>
    <x v="0"/>
    <x v="1"/>
    <x v="1"/>
    <x v="2"/>
    <m/>
    <x v="1"/>
    <x v="1"/>
    <x v="0"/>
    <x v="1"/>
    <x v="2"/>
    <x v="0"/>
    <x v="0"/>
    <x v="0"/>
    <x v="0"/>
    <x v="1"/>
    <x v="1"/>
    <x v="2"/>
    <x v="0"/>
    <x v="0"/>
    <x v="0"/>
    <x v="0"/>
    <x v="2"/>
    <x v="1"/>
    <x v="0"/>
    <x v="0"/>
    <x v="0"/>
    <x v="0"/>
    <x v="1"/>
    <x v="1"/>
    <x v="0"/>
    <x v="0"/>
    <x v="0"/>
    <x v="0"/>
    <x v="0"/>
    <x v="0"/>
    <m/>
    <s v="TRANQUILIDAD"/>
    <m/>
    <m/>
    <x v="0"/>
    <x v="0"/>
    <x v="1"/>
    <n v="0"/>
    <n v="0"/>
    <n v="0"/>
    <n v="0"/>
    <n v="0"/>
    <n v="0"/>
    <n v="0"/>
    <n v="0"/>
    <n v="1"/>
    <s v="ALGODON DE AZUCAR"/>
    <m/>
    <n v="83718504"/>
    <s v="8f74de8d-1115-4533-822a-196a2f67c790"/>
    <d v="2025-04-14T17:35:46"/>
    <m/>
    <m/>
    <s v="submitted_via_web"/>
    <m/>
    <s v="vsL33mCaFLo882kfJNCvYm"/>
    <m/>
    <n v="108"/>
  </r>
  <r>
    <d v="2025-04-14T12:34:37"/>
    <d v="2025-04-14T12:39:35"/>
    <s v="GH"/>
    <n v="6"/>
    <d v="2025-03-22T00:00:00"/>
    <n v="2"/>
    <s v="DA"/>
    <s v="OM"/>
    <s v="-0,18301"/>
    <s v="-78,48655"/>
    <s v="1. Sí"/>
    <n v="20"/>
    <s v="1. Años"/>
    <n v="0"/>
    <n v="0"/>
    <n v="0"/>
    <n v="0"/>
    <x v="1"/>
    <n v="40"/>
    <x v="0"/>
    <s v="1. Sí"/>
    <m/>
    <s v="6. Mestiza(o)"/>
    <m/>
    <s v="5. Soltera/o"/>
    <x v="0"/>
    <s v="2. Incompleta"/>
    <s v="1. Menos de $470"/>
    <s v="2. SEGURO"/>
    <s v="POR LA RAZON QUE ESTÁN JUNTO A UPC"/>
    <s v="POLICIA NACIONAL"/>
    <m/>
    <x v="1"/>
    <s v="Madrugada (00:00 a 05:59) Mañana  (06:00 a 11:59) Noche  (18:00 a 23:59)"/>
    <n v="1"/>
    <n v="1"/>
    <n v="0"/>
    <n v="1"/>
    <n v="0"/>
    <x v="0"/>
    <x v="1"/>
    <x v="1"/>
    <x v="0"/>
    <x v="2"/>
    <n v="0"/>
    <n v="1"/>
    <n v="0"/>
    <n v="0"/>
    <n v="0"/>
    <n v="0"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1"/>
    <x v="0"/>
    <x v="1"/>
    <x v="0"/>
    <x v="2"/>
    <x v="0"/>
    <x v="0"/>
    <x v="1"/>
    <x v="1"/>
    <x v="1"/>
    <x v="1"/>
    <x v="0"/>
    <x v="0"/>
    <x v="0"/>
    <x v="0"/>
    <x v="0"/>
    <x v="0"/>
    <x v="0"/>
    <x v="0"/>
    <x v="1"/>
    <x v="2"/>
    <x v="0"/>
    <x v="1"/>
    <x v="0"/>
    <x v="0"/>
    <x v="0"/>
    <x v="0"/>
    <x v="0"/>
    <m/>
    <x v="0"/>
    <x v="0"/>
    <x v="0"/>
    <x v="1"/>
    <m/>
    <x v="1"/>
    <x v="1"/>
    <x v="0"/>
    <x v="0"/>
    <x v="0"/>
    <x v="0"/>
    <x v="0"/>
    <x v="0"/>
    <x v="0"/>
    <x v="1"/>
    <x v="1"/>
    <x v="2"/>
    <x v="0"/>
    <x v="0"/>
    <x v="0"/>
    <x v="1"/>
    <x v="1"/>
    <x v="1"/>
    <x v="0"/>
    <x v="0"/>
    <x v="1"/>
    <x v="0"/>
    <x v="0"/>
    <x v="2"/>
    <x v="0"/>
    <x v="0"/>
    <x v="0"/>
    <x v="0"/>
    <x v="0"/>
    <x v="0"/>
    <m/>
    <s v="ANSIEDAD"/>
    <s v="INTRANQUILIDAD"/>
    <m/>
    <x v="0"/>
    <x v="0"/>
    <x v="6"/>
    <n v="0"/>
    <n v="1"/>
    <n v="0"/>
    <n v="0"/>
    <n v="1"/>
    <n v="0"/>
    <n v="0"/>
    <n v="0"/>
    <n v="0"/>
    <m/>
    <s v="PERMISO PARA INSTALAR SERVICIOS HIGIENICOS"/>
    <n v="83718608"/>
    <s v="9ee9716b-8fca-4024-a502-f59ba0a81623"/>
    <d v="2025-04-14T17:39:36"/>
    <m/>
    <m/>
    <s v="submitted_via_web"/>
    <m/>
    <s v="vsL33mCaFLo882kfJNCvYm"/>
    <m/>
    <n v="109"/>
  </r>
  <r>
    <d v="2025-04-14T12:35:45"/>
    <d v="2025-04-14T12:40:06"/>
    <s v="JP"/>
    <n v="26"/>
    <d v="2025-03-23T00:00:00"/>
    <n v="1"/>
    <s v="MQ"/>
    <s v="GH"/>
    <s v="-0,18568"/>
    <s v="-78,48476"/>
    <s v="1. Sí"/>
    <n v="20"/>
    <s v="1. Años"/>
    <n v="0"/>
    <n v="0"/>
    <n v="0"/>
    <n v="0"/>
    <x v="0"/>
    <n v="25"/>
    <x v="3"/>
    <s v="1. Sí"/>
    <m/>
    <s v="6. Mestiza(o)"/>
    <m/>
    <s v="5. Soltera/o"/>
    <x v="0"/>
    <s v="1. Completa"/>
    <s v="99. NS/NC"/>
    <s v="2. SEGURO"/>
    <s v="PORQUE HAY GUARDIAS"/>
    <s v="PORQUE ES DE DIA"/>
    <s v="PORQUE HAY GENTE"/>
    <x v="0"/>
    <s v="Noche  (18:00 a 23:59)"/>
    <n v="0"/>
    <n v="0"/>
    <n v="0"/>
    <n v="1"/>
    <n v="0"/>
    <x v="2"/>
    <x v="1"/>
    <x v="1"/>
    <x v="0"/>
    <x v="3"/>
    <n v="0"/>
    <n v="0"/>
    <n v="0"/>
    <n v="0"/>
    <n v="0"/>
    <n v="1"/>
    <s v="GUARDIAS CONTRATADOS POR ASOCIACION"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1"/>
    <x v="1"/>
    <x v="0"/>
    <x v="3"/>
    <x v="1"/>
    <x v="2"/>
    <x v="2"/>
    <x v="1"/>
    <x v="0"/>
    <x v="0"/>
    <x v="1"/>
    <x v="2"/>
    <x v="0"/>
    <x v="2"/>
    <x v="0"/>
    <x v="0"/>
    <x v="1"/>
    <x v="1"/>
    <x v="0"/>
    <x v="0"/>
    <x v="1"/>
    <x v="1"/>
    <x v="0"/>
    <x v="0"/>
    <x v="1"/>
    <x v="2"/>
    <x v="0"/>
    <x v="0"/>
    <x v="0"/>
    <x v="0"/>
    <x v="0"/>
    <m/>
    <x v="0"/>
    <x v="0"/>
    <x v="0"/>
    <x v="0"/>
    <m/>
    <x v="1"/>
    <x v="1"/>
    <x v="0"/>
    <x v="0"/>
    <x v="0"/>
    <x v="0"/>
    <x v="0"/>
    <x v="0"/>
    <x v="0"/>
    <x v="1"/>
    <x v="1"/>
    <x v="2"/>
    <x v="1"/>
    <x v="2"/>
    <x v="1"/>
    <x v="1"/>
    <x v="1"/>
    <x v="1"/>
    <x v="0"/>
    <x v="0"/>
    <x v="1"/>
    <x v="0"/>
    <x v="0"/>
    <x v="2"/>
    <x v="0"/>
    <x v="0"/>
    <x v="0"/>
    <x v="0"/>
    <x v="0"/>
    <x v="0"/>
    <m/>
    <s v="BONITO"/>
    <s v="TRABAJAR EN MI PUESTO TODOS LOS DIAS"/>
    <s v="SIENTE BIEN"/>
    <x v="0"/>
    <x v="0"/>
    <x v="0"/>
    <n v="0"/>
    <n v="0"/>
    <n v="0"/>
    <n v="0"/>
    <n v="1"/>
    <n v="0"/>
    <n v="0"/>
    <n v="0"/>
    <n v="0"/>
    <m/>
    <m/>
    <n v="83718614"/>
    <s v="3ff163e4-feab-4939-906a-6764530204db"/>
    <d v="2025-04-14T17:40:06"/>
    <m/>
    <m/>
    <s v="submitted_via_web"/>
    <m/>
    <s v="vsL33mCaFLo882kfJNCvYm"/>
    <m/>
    <n v="110"/>
  </r>
  <r>
    <d v="2025-04-14T12:40:06"/>
    <d v="2025-04-14T12:43:30"/>
    <s v="JP"/>
    <n v="24"/>
    <d v="2025-03-23T00:00:00"/>
    <n v="1"/>
    <s v="GB-SCH"/>
    <s v="GH"/>
    <s v="-0,18763"/>
    <s v="-78,48366"/>
    <s v="1. Sí"/>
    <n v="12"/>
    <s v="1. Años"/>
    <n v="0"/>
    <n v="0"/>
    <n v="0"/>
    <n v="0"/>
    <x v="1"/>
    <n v="60"/>
    <x v="2"/>
    <s v="1. Sí"/>
    <m/>
    <s v="6. Mestiza(o)"/>
    <m/>
    <s v="1. Unión de Hecho/Libre"/>
    <x v="1"/>
    <s v="1. Completa"/>
    <s v="2. de $471 a $919"/>
    <s v="2. SEGURO"/>
    <s v="HASTA EL MOMENTO NO LE HAN ROBADO"/>
    <m/>
    <m/>
    <x v="0"/>
    <s v="Tarde (12:00 a 17:59)"/>
    <n v="0"/>
    <n v="0"/>
    <n v="1"/>
    <n v="0"/>
    <n v="0"/>
    <x v="0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3"/>
    <x v="0"/>
    <x v="3"/>
    <x v="1"/>
    <x v="1"/>
    <x v="1"/>
    <x v="2"/>
    <x v="1"/>
    <x v="2"/>
    <x v="0"/>
    <x v="2"/>
    <x v="0"/>
    <x v="0"/>
    <x v="1"/>
    <x v="1"/>
    <x v="0"/>
    <x v="0"/>
    <x v="0"/>
    <x v="0"/>
    <x v="0"/>
    <x v="0"/>
    <x v="1"/>
    <x v="2"/>
    <x v="0"/>
    <x v="0"/>
    <x v="1"/>
    <x v="2"/>
    <x v="0"/>
    <m/>
    <x v="0"/>
    <x v="0"/>
    <x v="0"/>
    <x v="0"/>
    <m/>
    <x v="0"/>
    <x v="0"/>
    <x v="0"/>
    <x v="1"/>
    <x v="2"/>
    <x v="0"/>
    <x v="0"/>
    <x v="0"/>
    <x v="0"/>
    <x v="1"/>
    <x v="1"/>
    <x v="2"/>
    <x v="0"/>
    <x v="0"/>
    <x v="0"/>
    <x v="0"/>
    <x v="0"/>
    <x v="2"/>
    <x v="0"/>
    <x v="0"/>
    <x v="0"/>
    <x v="0"/>
    <x v="1"/>
    <x v="1"/>
    <x v="1"/>
    <x v="2"/>
    <x v="0"/>
    <x v="0"/>
    <x v="0"/>
    <x v="0"/>
    <m/>
    <s v="FELICIDAD (ES SU FUENTE DE INGRESO)"/>
    <m/>
    <m/>
    <x v="0"/>
    <x v="0"/>
    <x v="0"/>
    <n v="0"/>
    <n v="0"/>
    <n v="0"/>
    <n v="0"/>
    <n v="1"/>
    <n v="0"/>
    <n v="0"/>
    <n v="0"/>
    <n v="0"/>
    <m/>
    <s v="REUBICACION DE SECTOR"/>
    <n v="83718725"/>
    <s v="057887ab-f2dc-4d2f-957a-449425a17586"/>
    <d v="2025-04-14T17:43:30"/>
    <m/>
    <m/>
    <s v="submitted_via_web"/>
    <m/>
    <s v="vsL33mCaFLo882kfJNCvYm"/>
    <m/>
    <n v="111"/>
  </r>
  <r>
    <d v="2025-04-14T12:39:35"/>
    <d v="2025-04-14T12:44:58"/>
    <s v="GH"/>
    <n v="7"/>
    <d v="2025-03-22T00:00:00"/>
    <n v="2"/>
    <s v="JA"/>
    <s v="OM"/>
    <s v="-0,18299"/>
    <s v="-78,48656"/>
    <s v="1. Sí"/>
    <n v="15"/>
    <s v="1. Años"/>
    <n v="0"/>
    <n v="0"/>
    <n v="0"/>
    <n v="0"/>
    <x v="0"/>
    <n v="39"/>
    <x v="0"/>
    <s v="2. No"/>
    <s v="PERUANA"/>
    <s v="6. Mestiza(o)"/>
    <m/>
    <s v="1. Unión de Hecho/Libre"/>
    <x v="0"/>
    <s v="1. Completa"/>
    <s v="1. Menos de $470"/>
    <s v="2. SEGURO"/>
    <s v="ESTÁ CERCA DEL UPC"/>
    <s v="POR LOS GUARDIAS DE SEGURIDAD"/>
    <m/>
    <x v="2"/>
    <s v="Mañana  (06:00 a 11:59)"/>
    <n v="0"/>
    <n v="1"/>
    <n v="0"/>
    <n v="0"/>
    <n v="0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0"/>
    <x v="3"/>
    <x v="1"/>
    <x v="1"/>
    <x v="0"/>
    <x v="0"/>
    <x v="1"/>
    <x v="1"/>
    <x v="1"/>
    <x v="1"/>
    <x v="0"/>
    <x v="0"/>
    <x v="0"/>
    <x v="0"/>
    <x v="0"/>
    <x v="0"/>
    <x v="0"/>
    <x v="0"/>
    <x v="1"/>
    <x v="1"/>
    <x v="0"/>
    <x v="0"/>
    <x v="0"/>
    <x v="0"/>
    <x v="0"/>
    <x v="0"/>
    <x v="0"/>
    <m/>
    <x v="0"/>
    <x v="0"/>
    <x v="3"/>
    <x v="0"/>
    <m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1"/>
    <x v="0"/>
    <x v="1"/>
    <x v="1"/>
    <x v="0"/>
    <x v="0"/>
    <x v="0"/>
    <x v="0"/>
    <x v="0"/>
    <x v="0"/>
    <m/>
    <s v="HACEN LENGUA TERAPIA FELIZ"/>
    <s v="SEGURO EMOCIONADO"/>
    <m/>
    <x v="0"/>
    <x v="0"/>
    <x v="1"/>
    <n v="0"/>
    <n v="0"/>
    <n v="0"/>
    <n v="0"/>
    <n v="0"/>
    <n v="0"/>
    <n v="0"/>
    <n v="0"/>
    <n v="1"/>
    <s v="AGUAS AROMÁTICAS"/>
    <m/>
    <n v="83718754"/>
    <s v="7e7fd3bc-5faa-45cc-8b24-8e3750384914"/>
    <d v="2025-04-14T17:44:59"/>
    <m/>
    <m/>
    <s v="submitted_via_web"/>
    <m/>
    <s v="vsL33mCaFLo882kfJNCvYm"/>
    <m/>
    <n v="112"/>
  </r>
  <r>
    <d v="2025-04-14T12:43:30"/>
    <d v="2025-04-14T12:47:46"/>
    <s v="JP"/>
    <n v="23"/>
    <d v="2025-03-23T00:00:00"/>
    <n v="1"/>
    <s v="EB"/>
    <s v="GH"/>
    <s v="-0,18744"/>
    <s v="-78,48371"/>
    <s v="1. Sí"/>
    <n v="10"/>
    <s v="1. Años"/>
    <n v="0"/>
    <n v="0"/>
    <n v="0"/>
    <n v="0"/>
    <x v="1"/>
    <n v="51"/>
    <x v="1"/>
    <s v="1. Sí"/>
    <m/>
    <s v="6. Mestiza(o)"/>
    <m/>
    <s v="4. Casada/o"/>
    <x v="0"/>
    <s v="1. Completa"/>
    <s v="99. NS/NC"/>
    <s v="2. SEGURO"/>
    <s v="GUARDIAS"/>
    <m/>
    <m/>
    <x v="0"/>
    <s v="Tarde (12:00 a 17:59)"/>
    <n v="0"/>
    <n v="0"/>
    <n v="1"/>
    <n v="0"/>
    <n v="0"/>
    <x v="1"/>
    <x v="1"/>
    <x v="1"/>
    <x v="0"/>
    <x v="3"/>
    <n v="0"/>
    <n v="0"/>
    <n v="0"/>
    <n v="0"/>
    <n v="0"/>
    <n v="1"/>
    <s v="CAMARAS DE SEGURIDAD"/>
    <x v="0"/>
    <x v="0"/>
    <m/>
    <m/>
    <m/>
    <m/>
    <m/>
    <m/>
    <m/>
    <m/>
    <m/>
    <m/>
    <m/>
    <m/>
    <m/>
    <m/>
    <m/>
    <m/>
    <m/>
    <m/>
    <m/>
    <m/>
    <m/>
    <x v="0"/>
    <m/>
    <x v="1"/>
    <x v="2"/>
    <x v="0"/>
    <x v="0"/>
    <x v="1"/>
    <x v="2"/>
    <x v="1"/>
    <x v="2"/>
    <x v="1"/>
    <x v="1"/>
    <x v="1"/>
    <x v="2"/>
    <x v="1"/>
    <x v="3"/>
    <x v="1"/>
    <x v="1"/>
    <x v="0"/>
    <x v="0"/>
    <x v="1"/>
    <x v="3"/>
    <x v="0"/>
    <x v="0"/>
    <x v="0"/>
    <x v="0"/>
    <x v="1"/>
    <x v="3"/>
    <x v="0"/>
    <x v="3"/>
    <x v="0"/>
    <x v="0"/>
    <x v="1"/>
    <x v="3"/>
    <x v="0"/>
    <m/>
    <x v="0"/>
    <x v="1"/>
    <x v="1"/>
    <x v="2"/>
    <m/>
    <x v="1"/>
    <x v="1"/>
    <x v="0"/>
    <x v="1"/>
    <x v="2"/>
    <x v="0"/>
    <x v="0"/>
    <x v="0"/>
    <x v="0"/>
    <x v="1"/>
    <x v="2"/>
    <x v="0"/>
    <x v="0"/>
    <x v="0"/>
    <x v="0"/>
    <x v="0"/>
    <x v="2"/>
    <x v="1"/>
    <x v="0"/>
    <x v="0"/>
    <x v="1"/>
    <x v="0"/>
    <x v="1"/>
    <x v="1"/>
    <x v="1"/>
    <x v="2"/>
    <x v="0"/>
    <x v="0"/>
    <x v="0"/>
    <x v="0"/>
    <m/>
    <s v="TRANQUILIDAD"/>
    <m/>
    <m/>
    <x v="0"/>
    <x v="0"/>
    <x v="0"/>
    <n v="0"/>
    <n v="0"/>
    <n v="0"/>
    <n v="0"/>
    <n v="1"/>
    <n v="0"/>
    <n v="0"/>
    <n v="0"/>
    <n v="0"/>
    <m/>
    <m/>
    <n v="83718840"/>
    <s v="87522688-86ef-4db4-aa20-677484157f93"/>
    <d v="2025-04-14T17:47:46"/>
    <m/>
    <m/>
    <s v="submitted_via_web"/>
    <m/>
    <s v="vsL33mCaFLo882kfJNCvYm"/>
    <m/>
    <n v="113"/>
  </r>
  <r>
    <d v="2025-04-14T12:47:46"/>
    <d v="2025-04-14T12:52:42"/>
    <s v="JP"/>
    <n v="22"/>
    <d v="2025-03-23T00:00:00"/>
    <n v="1"/>
    <s v="GB-CE"/>
    <s v="GH"/>
    <s v="-0,18752"/>
    <s v="-78,48376"/>
    <s v="1. Sí"/>
    <n v="37"/>
    <s v="1. Años"/>
    <n v="0"/>
    <n v="0"/>
    <n v="0"/>
    <n v="0"/>
    <x v="1"/>
    <n v="74"/>
    <x v="2"/>
    <s v="1. Sí"/>
    <m/>
    <s v="6. Mestiza(o)"/>
    <m/>
    <s v="4. Casada/o"/>
    <x v="0"/>
    <s v="1. Completa"/>
    <s v="2. de $471 a $919"/>
    <s v="3. INSEGURO"/>
    <s v="NARCOTRAFICO"/>
    <s v="VACUNAS"/>
    <m/>
    <x v="3"/>
    <s v="Todos los horarios"/>
    <n v="0"/>
    <n v="0"/>
    <n v="0"/>
    <n v="0"/>
    <n v="1"/>
    <x v="1"/>
    <x v="0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1"/>
    <x v="0"/>
    <x v="0"/>
    <x v="0"/>
    <x v="0"/>
    <x v="1"/>
    <x v="2"/>
    <x v="1"/>
    <x v="1"/>
    <x v="1"/>
    <x v="1"/>
    <x v="1"/>
    <x v="3"/>
    <x v="0"/>
    <x v="0"/>
    <x v="0"/>
    <x v="0"/>
    <x v="1"/>
    <x v="2"/>
    <x v="1"/>
    <x v="1"/>
    <x v="0"/>
    <x v="0"/>
    <x v="0"/>
    <x v="0"/>
    <x v="0"/>
    <x v="0"/>
    <x v="0"/>
    <x v="0"/>
    <x v="0"/>
    <x v="0"/>
    <x v="0"/>
    <m/>
    <x v="0"/>
    <x v="0"/>
    <x v="0"/>
    <x v="0"/>
    <m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1"/>
    <x v="0"/>
    <x v="0"/>
    <x v="2"/>
    <x v="1"/>
    <x v="1"/>
    <x v="1"/>
    <x v="0"/>
    <x v="0"/>
    <x v="0"/>
    <m/>
    <s v="FELICIDAD"/>
    <s v="NOSTALGIA"/>
    <m/>
    <x v="0"/>
    <x v="0"/>
    <x v="2"/>
    <n v="0"/>
    <n v="1"/>
    <n v="0"/>
    <n v="0"/>
    <n v="0"/>
    <n v="0"/>
    <n v="0"/>
    <n v="0"/>
    <n v="0"/>
    <m/>
    <m/>
    <n v="83718962"/>
    <s v="87f94cef-3bb4-410e-a712-c1e617ceb5e0"/>
    <d v="2025-04-14T17:52:43"/>
    <m/>
    <m/>
    <s v="submitted_via_web"/>
    <m/>
    <s v="vsL33mCaFLo882kfJNCvYm"/>
    <m/>
    <n v="114"/>
  </r>
  <r>
    <d v="2025-04-14T12:44:59"/>
    <d v="2025-04-14T12:53:34"/>
    <s v="GH"/>
    <n v="8"/>
    <d v="2025-03-22T00:00:00"/>
    <n v="2"/>
    <s v="LB"/>
    <s v="OM"/>
    <s v="-0,18338"/>
    <s v="-78,48566"/>
    <s v="1. Sí"/>
    <n v="25"/>
    <s v="1. Años"/>
    <n v="0"/>
    <n v="0"/>
    <n v="0"/>
    <n v="0"/>
    <x v="0"/>
    <n v="73"/>
    <x v="2"/>
    <s v="1. Sí"/>
    <m/>
    <s v="6. Mestiza(o)"/>
    <m/>
    <s v="4. Casada/o"/>
    <x v="1"/>
    <s v="1. Completa"/>
    <s v="2. de $471 a $919"/>
    <s v="3. INSEGURO"/>
    <s v="NO HAY PRESENCIA POLICIAL"/>
    <s v="MUCHO VENEZOLANO"/>
    <m/>
    <x v="0"/>
    <s v="Mañana  (06:00 a 11:59)"/>
    <n v="0"/>
    <n v="1"/>
    <n v="0"/>
    <n v="0"/>
    <n v="0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1"/>
    <x v="0"/>
    <x v="1"/>
    <x v="1"/>
    <x v="1"/>
    <x v="0"/>
    <x v="0"/>
    <x v="0"/>
    <x v="0"/>
    <x v="0"/>
    <x v="3"/>
    <x v="0"/>
    <x v="0"/>
    <x v="1"/>
    <x v="2"/>
    <x v="0"/>
    <x v="0"/>
    <x v="0"/>
    <x v="0"/>
    <x v="0"/>
    <x v="0"/>
    <x v="0"/>
    <x v="0"/>
    <x v="0"/>
    <x v="0"/>
    <x v="0"/>
    <x v="0"/>
    <x v="0"/>
    <m/>
    <x v="0"/>
    <x v="0"/>
    <x v="0"/>
    <x v="0"/>
    <m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2"/>
    <x v="2"/>
    <x v="0"/>
    <x v="1"/>
    <x v="1"/>
    <x v="0"/>
    <x v="0"/>
    <x v="0"/>
    <x v="0"/>
    <x v="0"/>
    <x v="0"/>
    <m/>
    <s v="MIEDO"/>
    <s v="TEMOR"/>
    <m/>
    <x v="0"/>
    <x v="0"/>
    <x v="0"/>
    <n v="0"/>
    <n v="0"/>
    <n v="0"/>
    <n v="0"/>
    <n v="1"/>
    <n v="0"/>
    <n v="0"/>
    <n v="0"/>
    <n v="0"/>
    <m/>
    <m/>
    <n v="83718967"/>
    <s v="be3d7ab0-fd60-4a28-8da4-b5dd398ddbde"/>
    <d v="2025-04-14T17:53:35"/>
    <m/>
    <m/>
    <s v="submitted_via_web"/>
    <m/>
    <s v="vsL33mCaFLo882kfJNCvYm"/>
    <m/>
    <n v="115"/>
  </r>
  <r>
    <d v="2025-04-14T12:53:34"/>
    <d v="2025-04-14T13:48:58"/>
    <s v="GH"/>
    <n v="9"/>
    <d v="2025-03-22T00:00:00"/>
    <n v="2"/>
    <s v="DA"/>
    <s v="OM"/>
    <s v="-0,18303"/>
    <s v="-78,48646"/>
    <s v="1. Sí"/>
    <n v="20"/>
    <s v="1. Años"/>
    <n v="0"/>
    <n v="0"/>
    <n v="0"/>
    <n v="0"/>
    <x v="1"/>
    <n v="46"/>
    <x v="1"/>
    <s v="1. Sí"/>
    <m/>
    <s v="6. Mestiza(o)"/>
    <m/>
    <s v="4. Casada/o"/>
    <x v="0"/>
    <s v="1. Completa"/>
    <s v="2. de $471 a $919"/>
    <s v="2. SEGURO"/>
    <s v="POR EL UPC JUNTO AL PUESTO"/>
    <s v="GUARDIAS"/>
    <s v="NO HE SUFRIDO NINGUN INCIDENTE"/>
    <x v="0"/>
    <s v="Mañana  (06:00 a 11:59) Tarde (12:00 a 17:59)"/>
    <n v="0"/>
    <n v="1"/>
    <n v="1"/>
    <n v="0"/>
    <n v="0"/>
    <x v="2"/>
    <x v="1"/>
    <x v="0"/>
    <x v="0"/>
    <x v="0"/>
    <n v="1"/>
    <n v="0"/>
    <n v="0"/>
    <n v="0"/>
    <n v="0"/>
    <n v="0"/>
    <m/>
    <x v="1"/>
    <x v="1"/>
    <n v="0"/>
    <n v="1"/>
    <n v="0"/>
    <n v="0"/>
    <n v="0"/>
    <n v="0"/>
    <n v="0"/>
    <n v="0"/>
    <m/>
    <m/>
    <n v="0"/>
    <m/>
    <m/>
    <m/>
    <s v="2. No"/>
    <m/>
    <m/>
    <m/>
    <m/>
    <m/>
    <m/>
    <x v="1"/>
    <m/>
    <x v="0"/>
    <x v="0"/>
    <x v="0"/>
    <x v="0"/>
    <x v="0"/>
    <x v="1"/>
    <x v="0"/>
    <x v="0"/>
    <x v="0"/>
    <x v="2"/>
    <x v="1"/>
    <x v="1"/>
    <x v="1"/>
    <x v="3"/>
    <x v="0"/>
    <x v="2"/>
    <x v="0"/>
    <x v="0"/>
    <x v="1"/>
    <x v="2"/>
    <x v="1"/>
    <x v="1"/>
    <x v="0"/>
    <x v="0"/>
    <x v="1"/>
    <x v="1"/>
    <x v="1"/>
    <x v="2"/>
    <x v="0"/>
    <x v="0"/>
    <x v="0"/>
    <x v="0"/>
    <x v="0"/>
    <m/>
    <x v="0"/>
    <x v="0"/>
    <x v="0"/>
    <x v="0"/>
    <m/>
    <x v="1"/>
    <x v="1"/>
    <x v="0"/>
    <x v="1"/>
    <x v="2"/>
    <x v="0"/>
    <x v="1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m/>
    <s v="BONITO"/>
    <s v="LIBRE"/>
    <s v="TRANQUILAS"/>
    <x v="0"/>
    <x v="0"/>
    <x v="0"/>
    <n v="0"/>
    <n v="0"/>
    <n v="0"/>
    <n v="0"/>
    <n v="1"/>
    <n v="0"/>
    <n v="0"/>
    <n v="0"/>
    <n v="0"/>
    <m/>
    <s v="BAÑOS PUBLICOS EN EL LUGAR"/>
    <n v="83720351"/>
    <s v="c7a0ca59-5977-4baf-8e42-6b6b1d479fe9"/>
    <d v="2025-04-14T18:48:59"/>
    <m/>
    <m/>
    <s v="submitted_via_web"/>
    <m/>
    <s v="vsL33mCaFLo882kfJNCvYm"/>
    <m/>
    <n v="116"/>
  </r>
  <r>
    <d v="2025-04-14T12:52:42"/>
    <d v="2025-04-14T14:04:00"/>
    <s v="JP"/>
    <n v="21"/>
    <d v="2025-03-23T00:00:00"/>
    <n v="1"/>
    <s v="GB-SCH"/>
    <s v="GH"/>
    <s v="-0,18754"/>
    <s v="-78,48376"/>
    <s v="1. Sí"/>
    <n v="20"/>
    <s v="1. Años"/>
    <n v="0"/>
    <n v="0"/>
    <n v="0"/>
    <n v="0"/>
    <x v="0"/>
    <n v="37"/>
    <x v="0"/>
    <s v="1. Sí"/>
    <m/>
    <s v="6. Mestiza(o)"/>
    <m/>
    <s v="5. Soltera/o"/>
    <x v="2"/>
    <s v="1. Completa"/>
    <s v="3. de $920 a $1339"/>
    <s v="3. INSEGURO"/>
    <s v="VENTAS DE DROGAS"/>
    <s v="COMERCIO INFORMAL (AGREDEN)"/>
    <s v="PRESENCIA DE VACUNADORES"/>
    <x v="1"/>
    <s v="Tarde (12:00 a 17:59) Noche  (18:00 a 23:59)"/>
    <n v="0"/>
    <n v="0"/>
    <n v="1"/>
    <n v="1"/>
    <n v="0"/>
    <x v="1"/>
    <x v="0"/>
    <x v="1"/>
    <x v="0"/>
    <x v="7"/>
    <n v="0"/>
    <n v="1"/>
    <n v="0"/>
    <n v="0"/>
    <n v="0"/>
    <n v="1"/>
    <s v="TOLETE"/>
    <x v="0"/>
    <x v="0"/>
    <m/>
    <m/>
    <m/>
    <m/>
    <m/>
    <m/>
    <m/>
    <m/>
    <m/>
    <m/>
    <m/>
    <m/>
    <m/>
    <m/>
    <m/>
    <m/>
    <m/>
    <m/>
    <m/>
    <m/>
    <m/>
    <x v="0"/>
    <m/>
    <x v="1"/>
    <x v="2"/>
    <x v="1"/>
    <x v="1"/>
    <x v="0"/>
    <x v="3"/>
    <x v="1"/>
    <x v="2"/>
    <x v="0"/>
    <x v="2"/>
    <x v="1"/>
    <x v="1"/>
    <x v="1"/>
    <x v="1"/>
    <x v="0"/>
    <x v="2"/>
    <x v="0"/>
    <x v="0"/>
    <x v="1"/>
    <x v="1"/>
    <x v="1"/>
    <x v="3"/>
    <x v="1"/>
    <x v="1"/>
    <x v="0"/>
    <x v="0"/>
    <x v="0"/>
    <x v="0"/>
    <x v="0"/>
    <x v="0"/>
    <x v="1"/>
    <x v="2"/>
    <x v="0"/>
    <m/>
    <x v="0"/>
    <x v="0"/>
    <x v="0"/>
    <x v="0"/>
    <m/>
    <x v="0"/>
    <x v="0"/>
    <x v="0"/>
    <x v="0"/>
    <x v="0"/>
    <x v="0"/>
    <x v="0"/>
    <x v="0"/>
    <x v="0"/>
    <x v="1"/>
    <x v="2"/>
    <x v="0"/>
    <x v="0"/>
    <x v="0"/>
    <x v="0"/>
    <x v="0"/>
    <x v="0"/>
    <x v="2"/>
    <x v="0"/>
    <x v="0"/>
    <x v="0"/>
    <x v="0"/>
    <x v="1"/>
    <x v="1"/>
    <x v="1"/>
    <x v="2"/>
    <x v="0"/>
    <x v="0"/>
    <x v="0"/>
    <x v="0"/>
    <m/>
    <s v="IRA"/>
    <s v="IMPOTENCIA"/>
    <s v="INJUSTICIA"/>
    <x v="0"/>
    <x v="0"/>
    <x v="0"/>
    <n v="0"/>
    <n v="0"/>
    <n v="0"/>
    <n v="0"/>
    <n v="1"/>
    <n v="0"/>
    <n v="0"/>
    <n v="0"/>
    <n v="0"/>
    <m/>
    <s v="QUE HAYA MAYOR CONTROL DE COMERCIO INFORMAL - MEJORAS EN EL PARQUE (ILUMINACION)"/>
    <n v="83720881"/>
    <s v="a64a64d5-1174-4a35-9f11-9db0fa59791d"/>
    <d v="2025-04-14T19:04:01"/>
    <m/>
    <m/>
    <s v="submitted_via_web"/>
    <m/>
    <s v="vsL33mCaFLo882kfJNCvYm"/>
    <m/>
    <n v="117"/>
  </r>
  <r>
    <d v="2025-04-14T14:04:00"/>
    <d v="2025-04-14T14:14:09"/>
    <s v="JP"/>
    <n v="20"/>
    <d v="2025-03-22T00:00:00"/>
    <n v="2"/>
    <s v="GB-AG"/>
    <s v="OM"/>
    <s v="-0,18437"/>
    <s v="-78,48360"/>
    <s v="1. Sí"/>
    <n v="20"/>
    <s v="1. Años"/>
    <n v="0"/>
    <n v="0"/>
    <n v="0"/>
    <n v="0"/>
    <x v="1"/>
    <n v="37"/>
    <x v="0"/>
    <s v="1. Sí"/>
    <m/>
    <s v="1. Indígena"/>
    <m/>
    <s v="4. Casada/o"/>
    <x v="2"/>
    <s v="1. Completa"/>
    <s v="1. Menos de $470"/>
    <s v="2. SEGURO"/>
    <s v="POLICIA NACIONAL"/>
    <s v="SEGURIDAD DE PARQUE"/>
    <m/>
    <x v="0"/>
    <s v="Mañana  (06:00 a 11:59) Tarde (12:00 a 17:59)"/>
    <n v="0"/>
    <n v="1"/>
    <n v="1"/>
    <n v="0"/>
    <n v="0"/>
    <x v="0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1"/>
    <x v="0"/>
    <x v="0"/>
    <x v="0"/>
    <x v="3"/>
    <x v="0"/>
    <x v="0"/>
    <x v="0"/>
    <x v="3"/>
    <x v="0"/>
    <x v="0"/>
    <x v="1"/>
    <x v="2"/>
    <x v="1"/>
    <x v="1"/>
    <x v="0"/>
    <x v="0"/>
    <x v="1"/>
    <x v="1"/>
    <x v="0"/>
    <x v="0"/>
    <x v="0"/>
    <x v="0"/>
    <x v="0"/>
    <x v="0"/>
    <x v="0"/>
    <x v="0"/>
    <x v="0"/>
    <x v="0"/>
    <x v="0"/>
    <x v="0"/>
    <x v="0"/>
    <m/>
    <x v="0"/>
    <x v="0"/>
    <x v="0"/>
    <x v="0"/>
    <m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0"/>
    <x v="1"/>
    <x v="1"/>
    <x v="0"/>
    <x v="0"/>
    <x v="0"/>
    <x v="0"/>
    <x v="0"/>
    <x v="0"/>
    <m/>
    <s v="ESTRESADO POR VENTAS INFORMALES"/>
    <s v="PAZ"/>
    <s v="TRANQUILIDAD"/>
    <x v="0"/>
    <x v="0"/>
    <x v="0"/>
    <n v="0"/>
    <n v="0"/>
    <n v="0"/>
    <n v="0"/>
    <n v="1"/>
    <n v="0"/>
    <n v="0"/>
    <n v="0"/>
    <n v="0"/>
    <m/>
    <m/>
    <n v="83721779"/>
    <s v="18e05754-eab8-4447-a923-2ea94ecf100a"/>
    <d v="2025-04-14T19:14:10"/>
    <m/>
    <m/>
    <s v="submitted_via_web"/>
    <m/>
    <s v="vsL33mCaFLo882kfJNCvYm"/>
    <m/>
    <n v="118"/>
  </r>
  <r>
    <d v="2025-04-14T14:14:09"/>
    <d v="2025-04-14T14:19:38"/>
    <s v="JP"/>
    <n v="19"/>
    <d v="2025-03-22T00:00:00"/>
    <n v="2"/>
    <s v="AG"/>
    <s v="OM"/>
    <s v="-0,18438"/>
    <s v="-78,48364"/>
    <s v="1. Sí"/>
    <n v="25"/>
    <s v="1. Años"/>
    <n v="0"/>
    <n v="0"/>
    <n v="0"/>
    <n v="0"/>
    <x v="0"/>
    <n v="27"/>
    <x v="0"/>
    <s v="1. Sí"/>
    <m/>
    <s v="6. Mestiza(o)"/>
    <m/>
    <s v="5. Soltera/o"/>
    <x v="0"/>
    <s v="1. Completa"/>
    <s v="1. Menos de $470"/>
    <s v="2. SEGURO"/>
    <s v="POR LA GENTE AMABLE"/>
    <s v="POLICIA ESTA RONDANDO"/>
    <m/>
    <x v="0"/>
    <s v="Mañana  (06:00 a 11:59) Tarde (12:00 a 17:59)"/>
    <n v="0"/>
    <n v="1"/>
    <n v="1"/>
    <n v="0"/>
    <n v="0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0"/>
    <x v="0"/>
    <x v="1"/>
    <x v="1"/>
    <x v="1"/>
    <x v="0"/>
    <x v="0"/>
    <x v="1"/>
    <x v="2"/>
    <x v="0"/>
    <x v="2"/>
    <x v="0"/>
    <x v="0"/>
    <x v="0"/>
    <x v="0"/>
    <x v="0"/>
    <x v="0"/>
    <x v="0"/>
    <x v="0"/>
    <x v="1"/>
    <x v="2"/>
    <x v="1"/>
    <x v="2"/>
    <x v="0"/>
    <x v="0"/>
    <x v="0"/>
    <x v="0"/>
    <x v="0"/>
    <m/>
    <x v="0"/>
    <x v="0"/>
    <x v="3"/>
    <x v="0"/>
    <m/>
    <x v="1"/>
    <x v="1"/>
    <x v="0"/>
    <x v="0"/>
    <x v="0"/>
    <x v="0"/>
    <x v="0"/>
    <x v="0"/>
    <x v="0"/>
    <x v="1"/>
    <x v="2"/>
    <x v="0"/>
    <x v="1"/>
    <x v="1"/>
    <x v="0"/>
    <x v="0"/>
    <x v="2"/>
    <x v="1"/>
    <x v="0"/>
    <x v="2"/>
    <x v="2"/>
    <x v="0"/>
    <x v="1"/>
    <x v="1"/>
    <x v="1"/>
    <x v="2"/>
    <x v="0"/>
    <x v="0"/>
    <x v="0"/>
    <x v="0"/>
    <m/>
    <s v="ALEGRIA"/>
    <s v="AGRADECIMIENTO"/>
    <m/>
    <x v="0"/>
    <x v="0"/>
    <x v="1"/>
    <n v="0"/>
    <n v="0"/>
    <n v="0"/>
    <n v="0"/>
    <n v="0"/>
    <n v="0"/>
    <n v="0"/>
    <n v="0"/>
    <n v="1"/>
    <s v="ALGODON DE AZUCAR"/>
    <m/>
    <n v="83721976"/>
    <s v="f706e382-ee34-4d1a-898f-2585e1928967"/>
    <d v="2025-04-14T19:19:38"/>
    <m/>
    <m/>
    <s v="submitted_via_web"/>
    <m/>
    <s v="vsL33mCaFLo882kfJNCvYm"/>
    <m/>
    <n v="119"/>
  </r>
  <r>
    <d v="2025-04-14T14:19:38"/>
    <d v="2025-04-14T14:23:09"/>
    <s v="JP"/>
    <n v="17"/>
    <d v="2025-03-22T00:00:00"/>
    <n v="2"/>
    <s v="GB-AG"/>
    <s v="OM"/>
    <s v="-0,18534"/>
    <s v="-78,48473"/>
    <s v="1. Sí"/>
    <n v="6"/>
    <s v="1. Años"/>
    <n v="0"/>
    <n v="0"/>
    <n v="0"/>
    <n v="0"/>
    <x v="0"/>
    <n v="30"/>
    <x v="0"/>
    <s v="1. Sí"/>
    <m/>
    <s v="6. Mestiza(o)"/>
    <m/>
    <s v="5. Soltera/o"/>
    <x v="3"/>
    <s v="1. Completa"/>
    <s v="1. Menos de $470"/>
    <s v="2. SEGURO"/>
    <s v="ACTIVIDAD SOCIAL"/>
    <s v="POR LA PRESENCIA DE MUCHA GENTE"/>
    <m/>
    <x v="2"/>
    <s v="Mañana  (06:00 a 11:59) Tarde (12:00 a 17:59)"/>
    <n v="0"/>
    <n v="1"/>
    <n v="1"/>
    <n v="0"/>
    <n v="0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0"/>
    <x v="0"/>
    <x v="1"/>
    <x v="0"/>
    <x v="0"/>
    <x v="0"/>
    <x v="0"/>
    <x v="1"/>
    <x v="2"/>
    <x v="1"/>
    <x v="1"/>
    <x v="0"/>
    <x v="0"/>
    <x v="0"/>
    <x v="0"/>
    <x v="0"/>
    <x v="0"/>
    <x v="0"/>
    <x v="0"/>
    <x v="0"/>
    <x v="0"/>
    <x v="0"/>
    <x v="0"/>
    <x v="0"/>
    <x v="0"/>
    <x v="1"/>
    <x v="3"/>
    <x v="0"/>
    <m/>
    <x v="0"/>
    <x v="0"/>
    <x v="2"/>
    <x v="0"/>
    <m/>
    <x v="1"/>
    <x v="1"/>
    <x v="0"/>
    <x v="0"/>
    <x v="0"/>
    <x v="0"/>
    <x v="0"/>
    <x v="0"/>
    <x v="0"/>
    <x v="1"/>
    <x v="2"/>
    <x v="0"/>
    <x v="0"/>
    <x v="0"/>
    <x v="0"/>
    <x v="1"/>
    <x v="1"/>
    <x v="1"/>
    <x v="1"/>
    <x v="1"/>
    <x v="2"/>
    <x v="0"/>
    <x v="1"/>
    <x v="1"/>
    <x v="1"/>
    <x v="2"/>
    <x v="0"/>
    <x v="0"/>
    <x v="0"/>
    <x v="0"/>
    <m/>
    <s v="EUFORIA"/>
    <s v="CANSANCIO"/>
    <s v="IMPARCIALIDAD"/>
    <x v="0"/>
    <x v="1"/>
    <x v="0"/>
    <n v="0"/>
    <n v="0"/>
    <n v="0"/>
    <n v="0"/>
    <n v="1"/>
    <n v="0"/>
    <n v="0"/>
    <n v="0"/>
    <n v="0"/>
    <m/>
    <m/>
    <n v="83722089"/>
    <s v="3e0706cc-d372-424d-9e60-ec0e5f30a9eb"/>
    <d v="2025-04-14T19:23:09"/>
    <m/>
    <m/>
    <s v="submitted_via_web"/>
    <m/>
    <s v="vsL33mCaFLo882kfJNCvYm"/>
    <m/>
    <n v="120"/>
  </r>
  <r>
    <d v="2025-04-14T13:48:58"/>
    <d v="2025-04-14T14:47:13"/>
    <s v="GH"/>
    <n v="10"/>
    <d v="2025-03-22T00:00:00"/>
    <n v="2"/>
    <s v="JM"/>
    <s v="OM"/>
    <s v="-0,18339"/>
    <s v="-78,48546"/>
    <s v="1. Sí"/>
    <n v="10"/>
    <s v="1. Años"/>
    <n v="0"/>
    <n v="0"/>
    <n v="0"/>
    <n v="0"/>
    <x v="0"/>
    <n v="31"/>
    <x v="0"/>
    <s v="1. Sí"/>
    <m/>
    <s v="1. Indígena"/>
    <m/>
    <s v="4. Casada/o"/>
    <x v="0"/>
    <s v="1. Completa"/>
    <s v="2. de $471 a $919"/>
    <s v="2. SEGURO"/>
    <s v="PORQUE ESTA CERCA EL UPC"/>
    <s v="RONDA DE POLICIAS"/>
    <m/>
    <x v="0"/>
    <s v="Tarde (12:00 a 17:59) Noche  (18:00 a 23:59)"/>
    <n v="0"/>
    <n v="0"/>
    <n v="1"/>
    <n v="1"/>
    <n v="0"/>
    <x v="2"/>
    <x v="0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2"/>
    <x v="0"/>
    <x v="0"/>
    <x v="0"/>
    <x v="0"/>
    <x v="0"/>
    <x v="0"/>
    <x v="0"/>
    <x v="3"/>
    <x v="0"/>
    <x v="0"/>
    <x v="0"/>
    <x v="0"/>
    <x v="1"/>
    <x v="1"/>
    <x v="0"/>
    <x v="0"/>
    <x v="1"/>
    <x v="1"/>
    <x v="0"/>
    <x v="0"/>
    <x v="0"/>
    <x v="0"/>
    <x v="0"/>
    <x v="0"/>
    <x v="0"/>
    <x v="3"/>
    <x v="0"/>
    <x v="0"/>
    <x v="0"/>
    <x v="0"/>
    <x v="0"/>
    <m/>
    <x v="0"/>
    <x v="0"/>
    <x v="2"/>
    <x v="0"/>
    <m/>
    <x v="1"/>
    <x v="2"/>
    <x v="1"/>
    <x v="1"/>
    <x v="1"/>
    <x v="1"/>
    <x v="0"/>
    <x v="0"/>
    <x v="0"/>
    <x v="1"/>
    <x v="1"/>
    <x v="2"/>
    <x v="1"/>
    <x v="1"/>
    <x v="0"/>
    <x v="0"/>
    <x v="2"/>
    <x v="1"/>
    <x v="0"/>
    <x v="0"/>
    <x v="0"/>
    <x v="0"/>
    <x v="1"/>
    <x v="1"/>
    <x v="0"/>
    <x v="0"/>
    <x v="0"/>
    <x v="0"/>
    <x v="0"/>
    <x v="0"/>
    <m/>
    <s v="FELIZ DE TRABAJAR EN ESTE PARQUE"/>
    <s v="SE SIENTE SEGURO"/>
    <m/>
    <x v="0"/>
    <x v="0"/>
    <x v="1"/>
    <n v="0"/>
    <n v="0"/>
    <n v="0"/>
    <n v="0"/>
    <n v="0"/>
    <n v="0"/>
    <n v="0"/>
    <n v="0"/>
    <n v="1"/>
    <s v="ALGODÓN DE AZUCAR Y MANGOS"/>
    <m/>
    <n v="83722927"/>
    <s v="f416b1f0-8eec-4b70-b716-b6d79e04c352"/>
    <d v="2025-04-14T19:47:14"/>
    <m/>
    <m/>
    <s v="submitted_via_web"/>
    <m/>
    <s v="vsL33mCaFLo882kfJNCvYm"/>
    <m/>
    <n v="121"/>
  </r>
  <r>
    <d v="2025-04-14T14:47:13"/>
    <d v="2025-04-14T14:51:50"/>
    <s v="GH"/>
    <n v="11"/>
    <d v="2025-03-22T00:00:00"/>
    <n v="2"/>
    <s v="JA"/>
    <s v="OM"/>
    <s v="-0,18414"/>
    <s v="-78,48528"/>
    <s v="1. Sí"/>
    <n v="25"/>
    <s v="1. Años"/>
    <n v="0"/>
    <n v="0"/>
    <n v="0"/>
    <n v="0"/>
    <x v="0"/>
    <n v="40"/>
    <x v="0"/>
    <s v="1. Sí"/>
    <m/>
    <s v="1. Indígena"/>
    <m/>
    <s v="4. Casada/o"/>
    <x v="0"/>
    <s v="1. Completa"/>
    <s v="1. Menos de $470"/>
    <s v="2. SEGURO"/>
    <s v="POR LA ADMINISTRACIÓN DEL PARQUE"/>
    <s v="POR EL UPC"/>
    <m/>
    <x v="0"/>
    <s v="Mañana  (06:00 a 11:59) Tarde (12:00 a 17:59)"/>
    <n v="0"/>
    <n v="1"/>
    <n v="1"/>
    <n v="0"/>
    <n v="0"/>
    <x v="1"/>
    <x v="1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1"/>
    <x v="0"/>
    <x v="1"/>
    <x v="0"/>
    <x v="0"/>
    <x v="0"/>
    <x v="0"/>
    <x v="1"/>
    <x v="1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0"/>
    <m/>
    <x v="0"/>
    <x v="0"/>
    <x v="2"/>
    <x v="0"/>
    <m/>
    <x v="1"/>
    <x v="1"/>
    <x v="0"/>
    <x v="0"/>
    <x v="0"/>
    <x v="0"/>
    <x v="0"/>
    <x v="0"/>
    <x v="0"/>
    <x v="0"/>
    <x v="0"/>
    <x v="0"/>
    <x v="0"/>
    <x v="0"/>
    <x v="0"/>
    <x v="0"/>
    <x v="2"/>
    <x v="1"/>
    <x v="0"/>
    <x v="0"/>
    <x v="0"/>
    <x v="1"/>
    <x v="2"/>
    <x v="1"/>
    <x v="0"/>
    <x v="0"/>
    <x v="0"/>
    <x v="0"/>
    <x v="0"/>
    <x v="0"/>
    <m/>
    <s v="INDIFNACIÓN PORQUE NO RECOJEN LOS DESECHOS DE LAS MASCOTAS"/>
    <s v="FELIZ POR LOS ARBOLES"/>
    <s v="CONTENTO POR SU TRABAJO"/>
    <x v="0"/>
    <x v="0"/>
    <x v="1"/>
    <n v="0"/>
    <n v="0"/>
    <n v="0"/>
    <n v="0"/>
    <n v="0"/>
    <n v="0"/>
    <n v="0"/>
    <n v="0"/>
    <n v="1"/>
    <s v="GRANIZADOS CON FRUTA Y ENCEBOLLADOS"/>
    <m/>
    <n v="83723035"/>
    <s v="da65da57-0b20-4da5-a788-04853c55c7af"/>
    <d v="2025-04-14T19:51:51"/>
    <m/>
    <m/>
    <s v="submitted_via_web"/>
    <m/>
    <s v="vsL33mCaFLo882kfJNCvYm"/>
    <m/>
    <n v="122"/>
  </r>
  <r>
    <d v="2025-04-14T14:51:50"/>
    <d v="2025-04-14T14:59:38"/>
    <s v="GH"/>
    <n v="12"/>
    <d v="2025-03-22T00:00:00"/>
    <n v="2"/>
    <s v="DP"/>
    <s v="OM"/>
    <s v="-0,18480"/>
    <s v="-78,18432"/>
    <s v="1. Sí"/>
    <n v="12"/>
    <s v="1. Años"/>
    <n v="0"/>
    <n v="0"/>
    <n v="0"/>
    <n v="0"/>
    <x v="1"/>
    <n v="30"/>
    <x v="0"/>
    <s v="1. Sí"/>
    <m/>
    <s v="6. Mestiza(o)"/>
    <m/>
    <s v="5. Soltera/o"/>
    <x v="2"/>
    <s v="1. Completa"/>
    <s v="2. de $471 a $919"/>
    <s v="3. INSEGURO"/>
    <s v="DROGADICTOS"/>
    <s v="BORRACHOS"/>
    <s v="DELINCUENCIA"/>
    <x v="1"/>
    <s v="Mañana  (06:00 a 11:59) Tarde (12:00 a 17:59)"/>
    <n v="0"/>
    <n v="1"/>
    <n v="1"/>
    <n v="0"/>
    <n v="0"/>
    <x v="2"/>
    <x v="1"/>
    <x v="1"/>
    <x v="0"/>
    <x v="4"/>
    <n v="0"/>
    <n v="0"/>
    <n v="1"/>
    <n v="0"/>
    <n v="0"/>
    <n v="0"/>
    <m/>
    <x v="1"/>
    <x v="1"/>
    <n v="0"/>
    <n v="1"/>
    <n v="0"/>
    <n v="0"/>
    <n v="0"/>
    <n v="0"/>
    <n v="0"/>
    <n v="0"/>
    <m/>
    <m/>
    <n v="0"/>
    <m/>
    <m/>
    <m/>
    <s v="2. No"/>
    <m/>
    <m/>
    <m/>
    <m/>
    <m/>
    <m/>
    <x v="1"/>
    <m/>
    <x v="0"/>
    <x v="0"/>
    <x v="0"/>
    <x v="0"/>
    <x v="0"/>
    <x v="0"/>
    <x v="0"/>
    <x v="3"/>
    <x v="0"/>
    <x v="0"/>
    <x v="1"/>
    <x v="2"/>
    <x v="1"/>
    <x v="1"/>
    <x v="1"/>
    <x v="1"/>
    <x v="0"/>
    <x v="0"/>
    <x v="0"/>
    <x v="0"/>
    <x v="0"/>
    <x v="0"/>
    <x v="0"/>
    <x v="0"/>
    <x v="1"/>
    <x v="2"/>
    <x v="0"/>
    <x v="1"/>
    <x v="0"/>
    <x v="0"/>
    <x v="0"/>
    <x v="0"/>
    <x v="0"/>
    <m/>
    <x v="0"/>
    <x v="0"/>
    <x v="0"/>
    <x v="1"/>
    <m/>
    <x v="1"/>
    <x v="1"/>
    <x v="0"/>
    <x v="0"/>
    <x v="0"/>
    <x v="0"/>
    <x v="0"/>
    <x v="0"/>
    <x v="0"/>
    <x v="1"/>
    <x v="2"/>
    <x v="0"/>
    <x v="0"/>
    <x v="0"/>
    <x v="0"/>
    <x v="1"/>
    <x v="1"/>
    <x v="1"/>
    <x v="0"/>
    <x v="0"/>
    <x v="0"/>
    <x v="0"/>
    <x v="1"/>
    <x v="1"/>
    <x v="0"/>
    <x v="0"/>
    <x v="0"/>
    <x v="0"/>
    <x v="0"/>
    <x v="0"/>
    <m/>
    <s v="PREOCUPADA"/>
    <s v="INSEGURA"/>
    <s v="RESIGNADA"/>
    <x v="0"/>
    <x v="0"/>
    <x v="9"/>
    <n v="0"/>
    <n v="0"/>
    <n v="0"/>
    <n v="0"/>
    <n v="1"/>
    <n v="0"/>
    <n v="0"/>
    <n v="0"/>
    <n v="1"/>
    <s v="JUGUETES"/>
    <s v="MÁS BASUREROS EN EL PARQUE"/>
    <n v="83723255"/>
    <s v="fc0fe54c-8ffb-4ad3-9305-21748c95d42e"/>
    <d v="2025-04-14T19:59:40"/>
    <m/>
    <m/>
    <s v="submitted_via_web"/>
    <m/>
    <s v="vsL33mCaFLo882kfJNCvYm"/>
    <m/>
    <n v="123"/>
  </r>
  <r>
    <d v="2025-04-14T14:59:38"/>
    <d v="2025-04-14T15:05:35"/>
    <s v="GH"/>
    <n v="13"/>
    <d v="2025-03-22T00:00:00"/>
    <n v="2"/>
    <s v="LB"/>
    <s v="OM"/>
    <s v="-0,18472"/>
    <s v="-78,48464"/>
    <s v="1. Sí"/>
    <n v="40"/>
    <s v="1. Años"/>
    <n v="0"/>
    <n v="0"/>
    <n v="0"/>
    <n v="0"/>
    <x v="1"/>
    <n v="68"/>
    <x v="2"/>
    <s v="1. Sí"/>
    <m/>
    <s v="4. Mulata(o)"/>
    <m/>
    <s v="3. Viuda/o"/>
    <x v="0"/>
    <s v="1. Completa"/>
    <s v="2. de $471 a $919"/>
    <s v="3. INSEGURO"/>
    <s v="PRESENCIA DE LOS VENEZOLANOS"/>
    <s v="POCA PRESENCIA POLICIAL"/>
    <m/>
    <x v="0"/>
    <s v="Mañana  (06:00 a 11:59) Tarde (12:00 a 17:59)"/>
    <n v="0"/>
    <n v="1"/>
    <n v="1"/>
    <n v="0"/>
    <n v="0"/>
    <x v="0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1"/>
    <x v="0"/>
    <x v="0"/>
    <x v="1"/>
    <x v="2"/>
    <x v="1"/>
    <x v="2"/>
    <x v="1"/>
    <x v="1"/>
    <x v="0"/>
    <x v="0"/>
    <x v="0"/>
    <x v="0"/>
    <x v="1"/>
    <x v="1"/>
    <x v="0"/>
    <x v="0"/>
    <x v="1"/>
    <x v="2"/>
    <x v="0"/>
    <x v="0"/>
    <x v="0"/>
    <x v="0"/>
    <x v="0"/>
    <x v="0"/>
    <x v="0"/>
    <x v="0"/>
    <x v="0"/>
    <x v="0"/>
    <x v="0"/>
    <x v="0"/>
    <x v="0"/>
    <m/>
    <x v="0"/>
    <x v="0"/>
    <x v="0"/>
    <x v="0"/>
    <m/>
    <x v="1"/>
    <x v="1"/>
    <x v="0"/>
    <x v="0"/>
    <x v="0"/>
    <x v="0"/>
    <x v="0"/>
    <x v="0"/>
    <x v="0"/>
    <x v="1"/>
    <x v="2"/>
    <x v="0"/>
    <x v="0"/>
    <x v="0"/>
    <x v="0"/>
    <x v="1"/>
    <x v="1"/>
    <x v="1"/>
    <x v="1"/>
    <x v="1"/>
    <x v="2"/>
    <x v="0"/>
    <x v="1"/>
    <x v="1"/>
    <x v="1"/>
    <x v="2"/>
    <x v="0"/>
    <x v="0"/>
    <x v="0"/>
    <x v="0"/>
    <m/>
    <s v="PREOCUPADO POR LA PRESENCIA DE VENEZOLANOS"/>
    <s v="MÁS PRESENCIA DE POLICIA"/>
    <m/>
    <x v="0"/>
    <x v="0"/>
    <x v="2"/>
    <n v="0"/>
    <n v="1"/>
    <n v="0"/>
    <n v="0"/>
    <n v="0"/>
    <n v="0"/>
    <n v="0"/>
    <n v="0"/>
    <n v="0"/>
    <m/>
    <m/>
    <n v="83723497"/>
    <s v="edd03d77-96e6-4966-91e7-f2202685ba4a"/>
    <d v="2025-04-14T20:05:36"/>
    <m/>
    <m/>
    <s v="submitted_via_web"/>
    <m/>
    <s v="vsL33mCaFLo882kfJNCvYm"/>
    <m/>
    <n v="124"/>
  </r>
  <r>
    <d v="2025-04-14T15:05:35"/>
    <d v="2025-04-14T15:16:12"/>
    <s v="GH"/>
    <n v="14"/>
    <d v="2025-03-22T00:00:00"/>
    <n v="2"/>
    <s v="JA"/>
    <s v="OM"/>
    <s v="-0,18518"/>
    <s v="-78,48467"/>
    <s v="1. Sí"/>
    <n v="25"/>
    <s v="1. Años"/>
    <n v="0"/>
    <n v="0"/>
    <n v="0"/>
    <n v="0"/>
    <x v="0"/>
    <n v="76"/>
    <x v="2"/>
    <s v="1. Sí"/>
    <m/>
    <s v="6. Mestiza(o)"/>
    <m/>
    <s v="3. Viuda/o"/>
    <x v="0"/>
    <s v="1. Completa"/>
    <s v="1. Menos de $470"/>
    <s v="3. INSEGURO"/>
    <s v="POR VENEZOLANOS"/>
    <s v="VENDEDORES AMBULANTES"/>
    <m/>
    <x v="0"/>
    <s v="Mañana  (06:00 a 11:59) Tarde (12:00 a 17:59)"/>
    <n v="0"/>
    <n v="1"/>
    <n v="1"/>
    <n v="0"/>
    <n v="0"/>
    <x v="1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1"/>
    <x v="0"/>
    <x v="0"/>
    <x v="1"/>
    <x v="2"/>
    <x v="1"/>
    <x v="2"/>
    <x v="1"/>
    <x v="1"/>
    <x v="0"/>
    <x v="0"/>
    <x v="1"/>
    <x v="1"/>
    <x v="1"/>
    <x v="1"/>
    <x v="0"/>
    <x v="0"/>
    <x v="0"/>
    <x v="0"/>
    <x v="0"/>
    <x v="0"/>
    <x v="0"/>
    <x v="0"/>
    <x v="0"/>
    <x v="0"/>
    <x v="0"/>
    <x v="3"/>
    <x v="0"/>
    <x v="0"/>
    <x v="0"/>
    <x v="0"/>
    <x v="0"/>
    <m/>
    <x v="0"/>
    <x v="0"/>
    <x v="0"/>
    <x v="0"/>
    <m/>
    <x v="1"/>
    <x v="2"/>
    <x v="1"/>
    <x v="0"/>
    <x v="0"/>
    <x v="0"/>
    <x v="1"/>
    <x v="1"/>
    <x v="0"/>
    <x v="1"/>
    <x v="1"/>
    <x v="2"/>
    <x v="0"/>
    <x v="0"/>
    <x v="0"/>
    <x v="0"/>
    <x v="2"/>
    <x v="1"/>
    <x v="0"/>
    <x v="0"/>
    <x v="0"/>
    <x v="0"/>
    <x v="1"/>
    <x v="1"/>
    <x v="1"/>
    <x v="2"/>
    <x v="0"/>
    <x v="0"/>
    <x v="0"/>
    <x v="0"/>
    <m/>
    <s v="MUY BIEN"/>
    <s v="RESPIRA AIRE PURO"/>
    <s v="ENTRETENIDO CON LAS PERSONAS"/>
    <x v="0"/>
    <x v="1"/>
    <x v="1"/>
    <n v="0"/>
    <n v="0"/>
    <n v="0"/>
    <n v="0"/>
    <n v="0"/>
    <n v="0"/>
    <n v="0"/>
    <n v="0"/>
    <n v="1"/>
    <s v="FRUTAS ENCOFITADAS"/>
    <m/>
    <n v="83723743"/>
    <s v="90fc0805-4dec-4060-81d0-d6d4ebce3d9e"/>
    <d v="2025-04-14T20:16:13"/>
    <m/>
    <m/>
    <s v="submitted_via_web"/>
    <m/>
    <s v="vsL33mCaFLo882kfJNCvYm"/>
    <m/>
    <n v="125"/>
  </r>
  <r>
    <d v="2025-04-15T08:34:12"/>
    <d v="2025-04-15T08:45:04"/>
    <s v="GH"/>
    <n v="4"/>
    <d v="2025-03-22T00:00:00"/>
    <n v="2"/>
    <s v="JA"/>
    <s v="OM"/>
    <s v="-0,18337"/>
    <s v="-78,48555"/>
    <s v="1. Sí"/>
    <n v="21"/>
    <s v="1. Años"/>
    <n v="0"/>
    <n v="0"/>
    <n v="0"/>
    <n v="0"/>
    <x v="1"/>
    <n v="52"/>
    <x v="1"/>
    <s v="1. Sí"/>
    <m/>
    <s v="1. Indígena"/>
    <m/>
    <s v="4. Casada/o"/>
    <x v="0"/>
    <s v="1. Completa"/>
    <s v="1. Menos de $470"/>
    <s v="2. SEGURO"/>
    <s v="POR EL UPC POLICIA MONTADA"/>
    <m/>
    <m/>
    <x v="0"/>
    <s v="Mañana  (06:00 a 11:59) Tarde (12:00 a 17:59)"/>
    <n v="0"/>
    <n v="1"/>
    <n v="1"/>
    <n v="0"/>
    <n v="0"/>
    <x v="2"/>
    <x v="1"/>
    <x v="0"/>
    <x v="0"/>
    <x v="4"/>
    <n v="0"/>
    <n v="0"/>
    <n v="1"/>
    <n v="0"/>
    <n v="0"/>
    <n v="0"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3"/>
    <x v="0"/>
    <x v="0"/>
    <x v="1"/>
    <x v="1"/>
    <x v="1"/>
    <x v="2"/>
    <x v="1"/>
    <x v="1"/>
    <x v="0"/>
    <x v="2"/>
    <x v="0"/>
    <x v="0"/>
    <x v="1"/>
    <x v="1"/>
    <x v="0"/>
    <x v="0"/>
    <x v="1"/>
    <x v="1"/>
    <x v="1"/>
    <x v="2"/>
    <x v="0"/>
    <x v="3"/>
    <x v="0"/>
    <x v="0"/>
    <x v="1"/>
    <x v="2"/>
    <x v="0"/>
    <m/>
    <x v="0"/>
    <x v="0"/>
    <x v="0"/>
    <x v="0"/>
    <m/>
    <x v="1"/>
    <x v="1"/>
    <x v="0"/>
    <x v="1"/>
    <x v="1"/>
    <x v="1"/>
    <x v="0"/>
    <x v="0"/>
    <x v="0"/>
    <x v="1"/>
    <x v="2"/>
    <x v="0"/>
    <x v="1"/>
    <x v="1"/>
    <x v="0"/>
    <x v="1"/>
    <x v="1"/>
    <x v="1"/>
    <x v="0"/>
    <x v="0"/>
    <x v="0"/>
    <x v="0"/>
    <x v="0"/>
    <x v="2"/>
    <x v="1"/>
    <x v="2"/>
    <x v="0"/>
    <x v="0"/>
    <x v="0"/>
    <x v="0"/>
    <m/>
    <s v="TRANQUILIDAD"/>
    <s v="ALEGRÍA"/>
    <m/>
    <x v="0"/>
    <x v="0"/>
    <x v="1"/>
    <n v="0"/>
    <n v="0"/>
    <n v="0"/>
    <n v="0"/>
    <n v="0"/>
    <n v="0"/>
    <n v="0"/>
    <n v="0"/>
    <n v="1"/>
    <s v="INFLABLE SALTARÍN"/>
    <m/>
    <n v="83797462"/>
    <s v="d2d253b6-8754-4d8f-bfff-1d29875dba91"/>
    <d v="2025-04-15T13:45:06"/>
    <m/>
    <m/>
    <s v="submitted_via_web"/>
    <m/>
    <s v="vVTBbbcBrmiSLVRNsT59sL"/>
    <m/>
    <n v="126"/>
  </r>
  <r>
    <d v="2025-04-15T08:45:04"/>
    <d v="2025-04-15T08:53:40"/>
    <s v="GH"/>
    <n v="15"/>
    <d v="2025-03-22T00:00:00"/>
    <n v="2"/>
    <s v="LB"/>
    <s v="OM"/>
    <s v="-0,18529"/>
    <s v="-78,48468"/>
    <s v="1. Sí"/>
    <n v="20"/>
    <s v="1. Años"/>
    <n v="0"/>
    <n v="0"/>
    <n v="0"/>
    <n v="0"/>
    <x v="1"/>
    <n v="43"/>
    <x v="1"/>
    <s v="1. Sí"/>
    <m/>
    <s v="6. Mestiza(o)"/>
    <m/>
    <s v="5. Soltera/o"/>
    <x v="0"/>
    <s v="1. Completa"/>
    <s v="2. de $471 a $919"/>
    <s v="3. INSEGURO"/>
    <s v="NO HAY SEGURIDAD"/>
    <s v="NUNCA VE POLICIAS"/>
    <m/>
    <x v="0"/>
    <s v="Madrugada (00:00 a 05:59) Mañana  (06:00 a 11:59) Tarde (12:00 a 17:59)"/>
    <n v="1"/>
    <n v="1"/>
    <n v="1"/>
    <n v="0"/>
    <n v="0"/>
    <x v="1"/>
    <x v="0"/>
    <x v="1"/>
    <x v="0"/>
    <x v="2"/>
    <n v="0"/>
    <n v="1"/>
    <n v="0"/>
    <n v="0"/>
    <n v="0"/>
    <n v="0"/>
    <m/>
    <x v="1"/>
    <x v="2"/>
    <n v="1"/>
    <n v="0"/>
    <n v="0"/>
    <n v="0"/>
    <n v="0"/>
    <n v="0"/>
    <n v="0"/>
    <n v="0"/>
    <n v="0"/>
    <n v="0"/>
    <n v="0"/>
    <m/>
    <m/>
    <s v="1. Sí"/>
    <m/>
    <m/>
    <m/>
    <m/>
    <m/>
    <m/>
    <m/>
    <x v="0"/>
    <m/>
    <x v="1"/>
    <x v="1"/>
    <x v="0"/>
    <x v="0"/>
    <x v="1"/>
    <x v="2"/>
    <x v="0"/>
    <x v="0"/>
    <x v="1"/>
    <x v="1"/>
    <x v="0"/>
    <x v="0"/>
    <x v="1"/>
    <x v="2"/>
    <x v="0"/>
    <x v="0"/>
    <x v="0"/>
    <x v="0"/>
    <x v="1"/>
    <x v="1"/>
    <x v="0"/>
    <x v="0"/>
    <x v="0"/>
    <x v="0"/>
    <x v="0"/>
    <x v="0"/>
    <x v="1"/>
    <x v="2"/>
    <x v="0"/>
    <x v="0"/>
    <x v="0"/>
    <x v="0"/>
    <x v="0"/>
    <m/>
    <x v="0"/>
    <x v="0"/>
    <x v="0"/>
    <x v="1"/>
    <m/>
    <x v="0"/>
    <x v="0"/>
    <x v="0"/>
    <x v="0"/>
    <x v="0"/>
    <x v="0"/>
    <x v="0"/>
    <x v="0"/>
    <x v="0"/>
    <x v="0"/>
    <x v="0"/>
    <x v="0"/>
    <x v="0"/>
    <x v="0"/>
    <x v="0"/>
    <x v="0"/>
    <x v="2"/>
    <x v="1"/>
    <x v="0"/>
    <x v="2"/>
    <x v="2"/>
    <x v="1"/>
    <x v="2"/>
    <x v="1"/>
    <x v="0"/>
    <x v="0"/>
    <x v="0"/>
    <x v="0"/>
    <x v="0"/>
    <x v="0"/>
    <m/>
    <s v="INSEGURIDAD"/>
    <s v="SOSOBRA"/>
    <m/>
    <x v="0"/>
    <x v="0"/>
    <x v="0"/>
    <n v="0"/>
    <n v="0"/>
    <n v="0"/>
    <n v="0"/>
    <n v="1"/>
    <n v="0"/>
    <n v="0"/>
    <n v="0"/>
    <n v="0"/>
    <m/>
    <m/>
    <n v="83798058"/>
    <s v="46611066-4a9f-4d8d-bb6f-c622569d2b83"/>
    <d v="2025-04-15T13:53:41"/>
    <m/>
    <m/>
    <s v="submitted_via_web"/>
    <m/>
    <s v="vVTBbbcBrmiSLVRNsT59sL"/>
    <m/>
    <n v="127"/>
  </r>
  <r>
    <d v="2025-04-15T08:53:40"/>
    <d v="2025-04-15T09:00:54"/>
    <s v="GH"/>
    <n v="29"/>
    <d v="2025-03-23T00:00:00"/>
    <n v="1"/>
    <s v="GB-SCH"/>
    <s v="GH"/>
    <s v="-0,18758"/>
    <s v="-78,48573"/>
    <s v="1. Sí"/>
    <n v="45"/>
    <s v="1. Años"/>
    <n v="0"/>
    <n v="0"/>
    <n v="0"/>
    <n v="0"/>
    <x v="1"/>
    <n v="70"/>
    <x v="2"/>
    <s v="1. Sí"/>
    <m/>
    <s v="6. Mestiza(o)"/>
    <m/>
    <s v="4. Casada/o"/>
    <x v="1"/>
    <s v="1. Completa"/>
    <s v="2. de $471 a $919"/>
    <s v="3. INSEGURO"/>
    <s v="MUCHA DELINCUENCIA"/>
    <m/>
    <m/>
    <x v="0"/>
    <s v="Mañana  (06:00 a 11:59)"/>
    <n v="0"/>
    <n v="1"/>
    <n v="0"/>
    <n v="0"/>
    <n v="0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1"/>
    <x v="0"/>
    <x v="3"/>
    <x v="1"/>
    <x v="1"/>
    <x v="0"/>
    <x v="0"/>
    <x v="1"/>
    <x v="1"/>
    <x v="1"/>
    <x v="1"/>
    <x v="0"/>
    <x v="0"/>
    <x v="0"/>
    <x v="0"/>
    <x v="0"/>
    <x v="0"/>
    <x v="0"/>
    <x v="0"/>
    <x v="1"/>
    <x v="3"/>
    <x v="1"/>
    <x v="2"/>
    <x v="0"/>
    <x v="0"/>
    <x v="0"/>
    <x v="0"/>
    <x v="0"/>
    <m/>
    <x v="0"/>
    <x v="0"/>
    <x v="0"/>
    <x v="0"/>
    <m/>
    <x v="1"/>
    <x v="1"/>
    <x v="0"/>
    <x v="1"/>
    <x v="1"/>
    <x v="1"/>
    <x v="0"/>
    <x v="0"/>
    <x v="0"/>
    <x v="1"/>
    <x v="2"/>
    <x v="0"/>
    <x v="0"/>
    <x v="0"/>
    <x v="0"/>
    <x v="1"/>
    <x v="1"/>
    <x v="1"/>
    <x v="0"/>
    <x v="2"/>
    <x v="2"/>
    <x v="0"/>
    <x v="1"/>
    <x v="1"/>
    <x v="0"/>
    <x v="0"/>
    <x v="0"/>
    <x v="0"/>
    <x v="0"/>
    <x v="0"/>
    <m/>
    <s v="TRNAQUILIDAD SIEMPRE Y CUANDO ESTE ACOMPAÑADO"/>
    <m/>
    <m/>
    <x v="0"/>
    <x v="1"/>
    <x v="0"/>
    <n v="0"/>
    <n v="0"/>
    <n v="0"/>
    <n v="0"/>
    <n v="1"/>
    <n v="0"/>
    <n v="0"/>
    <n v="0"/>
    <n v="0"/>
    <m/>
    <m/>
    <n v="83798579"/>
    <s v="10dd9109-18f6-408d-a79c-68ef18f36b54"/>
    <d v="2025-04-15T14:00:55"/>
    <m/>
    <m/>
    <s v="submitted_via_web"/>
    <m/>
    <s v="vVTBbbcBrmiSLVRNsT59sL"/>
    <m/>
    <n v="128"/>
  </r>
  <r>
    <d v="2025-04-15T09:00:54"/>
    <d v="2025-04-15T09:05:29"/>
    <s v="GH"/>
    <n v="35"/>
    <d v="2025-03-23T00:00:00"/>
    <n v="1"/>
    <s v="EB"/>
    <s v="GH"/>
    <s v="-0,18745"/>
    <s v="-78,48618"/>
    <s v="1. Sí"/>
    <n v="35"/>
    <s v="1. Años"/>
    <n v="0"/>
    <n v="0"/>
    <n v="0"/>
    <n v="0"/>
    <x v="0"/>
    <n v="75"/>
    <x v="2"/>
    <s v="1. Sí"/>
    <m/>
    <s v="6. Mestiza(o)"/>
    <m/>
    <s v="4. Casada/o"/>
    <x v="1"/>
    <s v="1. Completa"/>
    <s v="99. NS/NC"/>
    <s v="3. INSEGURO"/>
    <s v="MUCHO DELINCUENTE"/>
    <m/>
    <m/>
    <x v="3"/>
    <s v="Tarde (12:00 a 17:59)"/>
    <n v="0"/>
    <n v="0"/>
    <n v="1"/>
    <n v="0"/>
    <n v="0"/>
    <x v="1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1"/>
    <x v="0"/>
    <x v="0"/>
    <x v="0"/>
    <x v="3"/>
    <x v="1"/>
    <x v="2"/>
    <x v="1"/>
    <x v="1"/>
    <x v="0"/>
    <x v="0"/>
    <x v="1"/>
    <x v="1"/>
    <x v="1"/>
    <x v="1"/>
    <x v="0"/>
    <x v="0"/>
    <x v="0"/>
    <x v="0"/>
    <x v="0"/>
    <x v="0"/>
    <x v="0"/>
    <x v="0"/>
    <x v="0"/>
    <x v="0"/>
    <x v="0"/>
    <x v="3"/>
    <x v="0"/>
    <x v="0"/>
    <x v="0"/>
    <x v="0"/>
    <x v="0"/>
    <m/>
    <x v="0"/>
    <x v="0"/>
    <x v="0"/>
    <x v="1"/>
    <m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1"/>
    <x v="0"/>
    <x v="0"/>
    <x v="2"/>
    <x v="1"/>
    <x v="2"/>
    <x v="0"/>
    <x v="0"/>
    <x v="0"/>
    <x v="0"/>
    <m/>
    <s v="INSEGURIDAD"/>
    <m/>
    <m/>
    <x v="0"/>
    <x v="0"/>
    <x v="1"/>
    <n v="0"/>
    <n v="0"/>
    <n v="0"/>
    <n v="0"/>
    <n v="0"/>
    <n v="0"/>
    <n v="0"/>
    <n v="0"/>
    <n v="1"/>
    <s v="TIRO AL BLANCO"/>
    <m/>
    <n v="83798983"/>
    <s v="0a71e713-db97-42e9-a7f7-7cd13eabb8c3"/>
    <d v="2025-04-15T14:05:30"/>
    <m/>
    <m/>
    <s v="submitted_via_web"/>
    <m/>
    <s v="vVTBbbcBrmiSLVRNsT59sL"/>
    <m/>
    <n v="129"/>
  </r>
  <r>
    <d v="2025-04-15T09:05:29"/>
    <d v="2025-04-15T09:09:51"/>
    <s v="GH"/>
    <n v="33"/>
    <d v="2025-03-23T00:00:00"/>
    <n v="1"/>
    <s v="GB-CE"/>
    <s v="GH"/>
    <s v="-0,17843"/>
    <s v="-78,48623"/>
    <s v="1. Sí"/>
    <n v="50"/>
    <s v="1. Años"/>
    <n v="0"/>
    <n v="0"/>
    <n v="0"/>
    <n v="0"/>
    <x v="1"/>
    <n v="74"/>
    <x v="2"/>
    <s v="1. Sí"/>
    <m/>
    <s v="1. Indígena"/>
    <m/>
    <s v="5. Soltera/o"/>
    <x v="1"/>
    <s v="2. Incompleta"/>
    <s v="1. Menos de $470"/>
    <s v="2. SEGURO"/>
    <s v="POLICIA N."/>
    <s v="GUARDIAS"/>
    <m/>
    <x v="0"/>
    <s v="Tarde (12:00 a 17:59)"/>
    <n v="0"/>
    <n v="0"/>
    <n v="1"/>
    <n v="0"/>
    <n v="0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1"/>
    <x v="1"/>
    <x v="0"/>
    <x v="0"/>
    <x v="1"/>
    <x v="2"/>
    <x v="1"/>
    <x v="1"/>
    <x v="1"/>
    <x v="2"/>
    <x v="1"/>
    <x v="1"/>
    <x v="0"/>
    <x v="2"/>
    <x v="0"/>
    <x v="0"/>
    <x v="0"/>
    <x v="0"/>
    <x v="0"/>
    <x v="0"/>
    <x v="0"/>
    <x v="0"/>
    <x v="1"/>
    <x v="3"/>
    <x v="1"/>
    <x v="2"/>
    <x v="0"/>
    <x v="0"/>
    <x v="0"/>
    <x v="0"/>
    <x v="0"/>
    <m/>
    <x v="0"/>
    <x v="0"/>
    <x v="0"/>
    <x v="0"/>
    <m/>
    <x v="0"/>
    <x v="0"/>
    <x v="0"/>
    <x v="0"/>
    <x v="0"/>
    <x v="0"/>
    <x v="0"/>
    <x v="0"/>
    <x v="0"/>
    <x v="0"/>
    <x v="0"/>
    <x v="0"/>
    <x v="1"/>
    <x v="2"/>
    <x v="1"/>
    <x v="0"/>
    <x v="0"/>
    <x v="2"/>
    <x v="0"/>
    <x v="0"/>
    <x v="1"/>
    <x v="0"/>
    <x v="0"/>
    <x v="2"/>
    <x v="1"/>
    <x v="2"/>
    <x v="0"/>
    <x v="0"/>
    <x v="0"/>
    <x v="0"/>
    <m/>
    <s v="ALEGRE"/>
    <s v="SEGURO"/>
    <m/>
    <x v="0"/>
    <x v="0"/>
    <x v="2"/>
    <n v="0"/>
    <n v="1"/>
    <n v="0"/>
    <n v="0"/>
    <n v="0"/>
    <n v="0"/>
    <n v="0"/>
    <n v="0"/>
    <n v="0"/>
    <m/>
    <m/>
    <n v="83799478"/>
    <s v="6c753d6c-58ca-40f5-84a1-83f6badcabf9"/>
    <d v="2025-04-15T14:09:52"/>
    <m/>
    <m/>
    <s v="submitted_via_web"/>
    <m/>
    <s v="vVTBbbcBrmiSLVRNsT59sL"/>
    <m/>
    <n v="130"/>
  </r>
  <r>
    <d v="2025-04-15T09:09:51"/>
    <d v="2025-04-15T09:17:31"/>
    <s v="GH"/>
    <n v="31"/>
    <d v="2025-03-23T00:00:00"/>
    <n v="1"/>
    <s v="GB-CE"/>
    <s v="GH"/>
    <s v="-0,18756"/>
    <s v="-78,48578"/>
    <s v="1. Sí"/>
    <n v="35"/>
    <s v="1. Años"/>
    <n v="0"/>
    <n v="0"/>
    <n v="0"/>
    <n v="0"/>
    <x v="0"/>
    <n v="69"/>
    <x v="2"/>
    <s v="1. Sí"/>
    <m/>
    <s v="1. Indígena"/>
    <m/>
    <s v="4. Casada/o"/>
    <x v="1"/>
    <s v="1. Completa"/>
    <s v="2. de $471 a $919"/>
    <s v="2. SEGURO"/>
    <s v="POLICA"/>
    <s v="GUARDABOSQUES"/>
    <s v="METROPOLITANOS"/>
    <x v="0"/>
    <s v="Todos los horarios"/>
    <n v="0"/>
    <n v="0"/>
    <n v="0"/>
    <n v="0"/>
    <n v="1"/>
    <x v="0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2"/>
    <x v="0"/>
    <x v="0"/>
    <x v="1"/>
    <x v="2"/>
    <x v="0"/>
    <x v="3"/>
    <x v="1"/>
    <x v="1"/>
    <x v="1"/>
    <x v="1"/>
    <x v="0"/>
    <x v="0"/>
    <x v="1"/>
    <x v="1"/>
    <x v="0"/>
    <x v="0"/>
    <x v="0"/>
    <x v="0"/>
    <x v="0"/>
    <x v="0"/>
    <x v="0"/>
    <x v="0"/>
    <x v="0"/>
    <x v="0"/>
    <x v="0"/>
    <x v="3"/>
    <x v="0"/>
    <x v="0"/>
    <x v="0"/>
    <x v="0"/>
    <x v="0"/>
    <m/>
    <x v="0"/>
    <x v="0"/>
    <x v="0"/>
    <x v="0"/>
    <m/>
    <x v="0"/>
    <x v="0"/>
    <x v="0"/>
    <x v="0"/>
    <x v="0"/>
    <x v="0"/>
    <x v="0"/>
    <x v="0"/>
    <x v="0"/>
    <x v="1"/>
    <x v="1"/>
    <x v="2"/>
    <x v="0"/>
    <x v="0"/>
    <x v="0"/>
    <x v="0"/>
    <x v="0"/>
    <x v="2"/>
    <x v="0"/>
    <x v="0"/>
    <x v="1"/>
    <x v="0"/>
    <x v="0"/>
    <x v="0"/>
    <x v="1"/>
    <x v="1"/>
    <x v="1"/>
    <x v="0"/>
    <x v="0"/>
    <x v="0"/>
    <m/>
    <s v="BIEN"/>
    <s v="NADIE MOLESTA"/>
    <m/>
    <x v="0"/>
    <x v="0"/>
    <x v="0"/>
    <n v="0"/>
    <n v="0"/>
    <n v="0"/>
    <n v="0"/>
    <n v="1"/>
    <n v="0"/>
    <n v="0"/>
    <n v="0"/>
    <n v="0"/>
    <m/>
    <m/>
    <n v="83799860"/>
    <s v="13d0a1f1-1682-4b10-9431-529139551e85"/>
    <d v="2025-04-15T14:17:31"/>
    <m/>
    <m/>
    <s v="submitted_via_web"/>
    <m/>
    <s v="vVTBbbcBrmiSLVRNsT59sL"/>
    <m/>
    <n v="131"/>
  </r>
  <r>
    <d v="2025-04-15T09:17:31"/>
    <d v="2025-04-15T09:22:37"/>
    <s v="GH"/>
    <n v="25"/>
    <d v="2025-03-23T00:00:00"/>
    <n v="1"/>
    <s v="GB-CE"/>
    <s v="GH"/>
    <s v="-0,18758"/>
    <s v="-78,49383"/>
    <s v="1. Sí"/>
    <n v="10"/>
    <s v="1. Años"/>
    <n v="0"/>
    <n v="0"/>
    <n v="0"/>
    <n v="0"/>
    <x v="0"/>
    <n v="46"/>
    <x v="1"/>
    <s v="1. Sí"/>
    <m/>
    <s v="1. Indígena"/>
    <m/>
    <s v="4. Casada/o"/>
    <x v="1"/>
    <s v="1. Completa"/>
    <s v="1. Menos de $470"/>
    <s v="4. MUY INSEGURO"/>
    <s v="DELINCUENCIA"/>
    <s v="DROGAS"/>
    <m/>
    <x v="0"/>
    <s v="Todos los horarios"/>
    <n v="0"/>
    <n v="0"/>
    <n v="0"/>
    <n v="0"/>
    <n v="1"/>
    <x v="1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1"/>
    <x v="0"/>
    <x v="0"/>
    <x v="0"/>
    <x v="3"/>
    <x v="0"/>
    <x v="0"/>
    <x v="0"/>
    <x v="2"/>
    <x v="1"/>
    <x v="2"/>
    <x v="1"/>
    <x v="2"/>
    <x v="0"/>
    <x v="0"/>
    <x v="1"/>
    <x v="3"/>
    <x v="1"/>
    <x v="2"/>
    <x v="1"/>
    <x v="1"/>
    <x v="0"/>
    <x v="0"/>
    <x v="0"/>
    <x v="0"/>
    <x v="0"/>
    <x v="3"/>
    <x v="0"/>
    <x v="0"/>
    <x v="0"/>
    <x v="0"/>
    <x v="0"/>
    <m/>
    <x v="0"/>
    <x v="0"/>
    <x v="0"/>
    <x v="0"/>
    <m/>
    <x v="0"/>
    <x v="0"/>
    <x v="0"/>
    <x v="0"/>
    <x v="0"/>
    <x v="0"/>
    <x v="0"/>
    <x v="0"/>
    <x v="0"/>
    <x v="1"/>
    <x v="1"/>
    <x v="2"/>
    <x v="0"/>
    <x v="0"/>
    <x v="0"/>
    <x v="0"/>
    <x v="0"/>
    <x v="0"/>
    <x v="0"/>
    <x v="0"/>
    <x v="1"/>
    <x v="1"/>
    <x v="2"/>
    <x v="1"/>
    <x v="0"/>
    <x v="0"/>
    <x v="0"/>
    <x v="0"/>
    <x v="0"/>
    <x v="0"/>
    <m/>
    <s v="CONTENTO"/>
    <s v="ALEGRE"/>
    <m/>
    <x v="0"/>
    <x v="0"/>
    <x v="0"/>
    <n v="0"/>
    <n v="0"/>
    <n v="0"/>
    <n v="0"/>
    <n v="1"/>
    <n v="0"/>
    <n v="0"/>
    <n v="0"/>
    <n v="0"/>
    <m/>
    <m/>
    <n v="83800198"/>
    <s v="fd843063-d8da-463c-910c-7d6eaef1266d"/>
    <d v="2025-04-15T14:22:39"/>
    <m/>
    <m/>
    <s v="submitted_via_web"/>
    <m/>
    <s v="vVTBbbcBrmiSLVRNsT59sL"/>
    <m/>
    <n v="132"/>
  </r>
  <r>
    <d v="2025-04-15T09:22:38"/>
    <d v="2025-04-15T09:48:07"/>
    <s v="GH"/>
    <n v="42"/>
    <d v="2025-03-23T00:00:00"/>
    <n v="1"/>
    <s v="GB-CE"/>
    <s v="GH"/>
    <s v="-0,18048"/>
    <s v="-78,48235"/>
    <s v="1. Sí"/>
    <n v="10"/>
    <s v="1. Años"/>
    <n v="0"/>
    <n v="0"/>
    <n v="0"/>
    <n v="0"/>
    <x v="0"/>
    <n v="52"/>
    <x v="1"/>
    <s v="1. Sí"/>
    <m/>
    <s v="1. Indígena"/>
    <m/>
    <s v="4. Casada/o"/>
    <x v="1"/>
    <s v="2. Incompleta"/>
    <s v="1. Menos de $470"/>
    <s v="2. SEGURO"/>
    <s v="POLICIA N."/>
    <s v="GUARDABOSQUES"/>
    <m/>
    <x v="0"/>
    <s v="Mañana  (06:00 a 11:59) Tarde (12:00 a 17:59)"/>
    <n v="0"/>
    <n v="1"/>
    <n v="1"/>
    <n v="0"/>
    <n v="0"/>
    <x v="1"/>
    <x v="1"/>
    <x v="1"/>
    <x v="0"/>
    <x v="2"/>
    <n v="0"/>
    <n v="1"/>
    <n v="0"/>
    <n v="0"/>
    <n v="0"/>
    <n v="0"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1"/>
    <x v="1"/>
    <x v="1"/>
    <x v="2"/>
    <x v="0"/>
    <x v="3"/>
    <x v="1"/>
    <x v="1"/>
    <x v="0"/>
    <x v="0"/>
    <x v="0"/>
    <x v="0"/>
    <x v="1"/>
    <x v="1"/>
    <x v="0"/>
    <x v="0"/>
    <x v="0"/>
    <x v="0"/>
    <x v="0"/>
    <x v="0"/>
    <x v="0"/>
    <x v="0"/>
    <x v="1"/>
    <x v="3"/>
    <x v="1"/>
    <x v="2"/>
    <x v="1"/>
    <x v="1"/>
    <x v="1"/>
    <x v="1"/>
    <x v="0"/>
    <m/>
    <x v="0"/>
    <x v="0"/>
    <x v="2"/>
    <x v="0"/>
    <m/>
    <x v="1"/>
    <x v="2"/>
    <x v="1"/>
    <x v="0"/>
    <x v="0"/>
    <x v="0"/>
    <x v="0"/>
    <x v="0"/>
    <x v="0"/>
    <x v="0"/>
    <x v="0"/>
    <x v="0"/>
    <x v="1"/>
    <x v="2"/>
    <x v="1"/>
    <x v="0"/>
    <x v="0"/>
    <x v="2"/>
    <x v="1"/>
    <x v="1"/>
    <x v="2"/>
    <x v="0"/>
    <x v="0"/>
    <x v="0"/>
    <x v="1"/>
    <x v="1"/>
    <x v="1"/>
    <x v="0"/>
    <x v="0"/>
    <x v="0"/>
    <m/>
    <s v="ALEGRE"/>
    <s v="NOSTALGIA"/>
    <m/>
    <x v="0"/>
    <x v="0"/>
    <x v="2"/>
    <n v="0"/>
    <n v="1"/>
    <n v="0"/>
    <n v="0"/>
    <n v="0"/>
    <n v="0"/>
    <n v="0"/>
    <n v="0"/>
    <n v="0"/>
    <m/>
    <m/>
    <n v="83802537"/>
    <s v="fd32f603-edb7-4d46-bea6-caabedeae4e2"/>
    <d v="2025-04-15T14:48:08"/>
    <m/>
    <m/>
    <s v="submitted_via_web"/>
    <m/>
    <s v="vVTBbbcBrmiSLVRNsT59sL"/>
    <m/>
    <n v="133"/>
  </r>
  <r>
    <d v="2025-04-15T09:48:07"/>
    <d v="2025-04-15T09:52:54"/>
    <s v="GH"/>
    <n v="78"/>
    <d v="2025-03-22T00:00:00"/>
    <n v="3"/>
    <s v="BP"/>
    <s v="JA"/>
    <s v="-0,17814"/>
    <s v="-78,48524"/>
    <s v="1. Sí"/>
    <n v="7"/>
    <s v="1. Años"/>
    <n v="0"/>
    <n v="0"/>
    <n v="0"/>
    <n v="0"/>
    <x v="1"/>
    <n v="52"/>
    <x v="1"/>
    <s v="1. Sí"/>
    <m/>
    <s v="6. Mestiza(o)"/>
    <m/>
    <s v="5. Soltera/o"/>
    <x v="0"/>
    <s v="1. Completa"/>
    <s v="2. de $471 a $919"/>
    <s v="2. SEGURO"/>
    <s v="SI HAY SEGURIDAD"/>
    <s v="HAY POLICIAS"/>
    <s v="HAY GUARDIAS"/>
    <x v="1"/>
    <s v="Noche  (18:00 a 23:59)"/>
    <n v="0"/>
    <n v="0"/>
    <n v="0"/>
    <n v="1"/>
    <n v="0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1"/>
    <x v="1"/>
    <x v="0"/>
    <x v="0"/>
    <x v="0"/>
    <x v="3"/>
    <x v="1"/>
    <x v="1"/>
    <x v="0"/>
    <x v="0"/>
    <x v="1"/>
    <x v="1"/>
    <x v="0"/>
    <x v="2"/>
    <x v="0"/>
    <x v="0"/>
    <x v="1"/>
    <x v="3"/>
    <x v="1"/>
    <x v="2"/>
    <x v="1"/>
    <x v="1"/>
    <x v="0"/>
    <x v="0"/>
    <x v="1"/>
    <x v="2"/>
    <x v="0"/>
    <x v="0"/>
    <x v="0"/>
    <x v="0"/>
    <x v="0"/>
    <m/>
    <x v="0"/>
    <x v="0"/>
    <x v="2"/>
    <x v="1"/>
    <m/>
    <x v="0"/>
    <x v="0"/>
    <x v="0"/>
    <x v="0"/>
    <x v="0"/>
    <x v="0"/>
    <x v="0"/>
    <x v="0"/>
    <x v="0"/>
    <x v="1"/>
    <x v="2"/>
    <x v="0"/>
    <x v="1"/>
    <x v="1"/>
    <x v="0"/>
    <x v="1"/>
    <x v="1"/>
    <x v="1"/>
    <x v="0"/>
    <x v="2"/>
    <x v="2"/>
    <x v="0"/>
    <x v="1"/>
    <x v="1"/>
    <x v="1"/>
    <x v="2"/>
    <x v="0"/>
    <x v="0"/>
    <x v="0"/>
    <x v="0"/>
    <m/>
    <s v="SI ES UN LUGAR PARA TRABAJAR"/>
    <s v="PERO SI HAY INSEGURIDAD"/>
    <m/>
    <x v="1"/>
    <x v="1"/>
    <x v="1"/>
    <n v="0"/>
    <n v="0"/>
    <n v="0"/>
    <n v="0"/>
    <n v="0"/>
    <n v="0"/>
    <n v="0"/>
    <n v="0"/>
    <n v="1"/>
    <s v="TABLEROS PARA PINTAR CARITAS PINTADAS"/>
    <m/>
    <n v="83802848"/>
    <s v="3fe33b78-b0a0-462b-80f1-78761fc587b8"/>
    <d v="2025-04-15T14:52:55"/>
    <m/>
    <m/>
    <s v="submitted_via_web"/>
    <m/>
    <s v="vVTBbbcBrmiSLVRNsT59sL"/>
    <m/>
    <n v="134"/>
  </r>
  <r>
    <d v="2025-04-15T09:52:54"/>
    <d v="2025-04-15T09:56:49"/>
    <s v="GH"/>
    <n v="77"/>
    <d v="2025-03-22T00:00:00"/>
    <n v="3"/>
    <s v="JC"/>
    <s v="JA"/>
    <s v="-0,17855"/>
    <s v="-78,48376"/>
    <s v="1. Sí"/>
    <n v="20"/>
    <s v="1. Años"/>
    <n v="0"/>
    <n v="0"/>
    <n v="0"/>
    <n v="0"/>
    <x v="1"/>
    <n v="52"/>
    <x v="1"/>
    <s v="1. Sí"/>
    <m/>
    <s v="6. Mestiza(o)"/>
    <m/>
    <s v="4. Casada/o"/>
    <x v="1"/>
    <s v="1. Completa"/>
    <s v="1. Menos de $470"/>
    <s v="3. INSEGURO"/>
    <s v="GENTE RARA"/>
    <s v="DELINCUENCIA"/>
    <s v="VENTA DE DROGA"/>
    <x v="1"/>
    <s v="Tarde (12:00 a 17:59)"/>
    <n v="0"/>
    <n v="0"/>
    <n v="1"/>
    <n v="0"/>
    <n v="0"/>
    <x v="1"/>
    <x v="0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3"/>
    <x v="1"/>
    <x v="2"/>
    <x v="1"/>
    <x v="1"/>
    <x v="1"/>
    <x v="2"/>
    <x v="1"/>
    <x v="3"/>
    <x v="1"/>
    <x v="1"/>
    <x v="0"/>
    <x v="0"/>
    <x v="1"/>
    <x v="3"/>
    <x v="0"/>
    <x v="0"/>
    <x v="0"/>
    <x v="0"/>
    <x v="1"/>
    <x v="3"/>
    <x v="0"/>
    <x v="0"/>
    <x v="0"/>
    <x v="0"/>
    <x v="0"/>
    <x v="0"/>
    <x v="0"/>
    <m/>
    <x v="0"/>
    <x v="0"/>
    <x v="2"/>
    <x v="0"/>
    <m/>
    <x v="1"/>
    <x v="1"/>
    <x v="0"/>
    <x v="1"/>
    <x v="2"/>
    <x v="0"/>
    <x v="0"/>
    <x v="0"/>
    <x v="0"/>
    <x v="0"/>
    <x v="0"/>
    <x v="0"/>
    <x v="0"/>
    <x v="0"/>
    <x v="0"/>
    <x v="0"/>
    <x v="2"/>
    <x v="1"/>
    <x v="0"/>
    <x v="0"/>
    <x v="1"/>
    <x v="1"/>
    <x v="2"/>
    <x v="1"/>
    <x v="1"/>
    <x v="1"/>
    <x v="2"/>
    <x v="0"/>
    <x v="0"/>
    <x v="0"/>
    <m/>
    <s v="SEGURA"/>
    <s v="SATISFECHA"/>
    <s v="FELIZ"/>
    <x v="0"/>
    <x v="0"/>
    <x v="1"/>
    <n v="0"/>
    <n v="0"/>
    <n v="0"/>
    <n v="0"/>
    <n v="0"/>
    <n v="0"/>
    <n v="0"/>
    <n v="0"/>
    <n v="1"/>
    <s v="VENTA DE JUGUETES"/>
    <m/>
    <n v="83803256"/>
    <s v="0a9fdc3c-fbd1-4f83-a997-ddf0b0683f59"/>
    <d v="2025-04-15T14:56:50"/>
    <m/>
    <m/>
    <s v="submitted_via_web"/>
    <m/>
    <s v="vVTBbbcBrmiSLVRNsT59sL"/>
    <m/>
    <n v="135"/>
  </r>
  <r>
    <d v="2025-04-15T09:56:49"/>
    <d v="2025-04-15T09:59:51"/>
    <s v="GH"/>
    <n v="79"/>
    <d v="2025-03-22T00:00:00"/>
    <n v="3"/>
    <s v="JC"/>
    <s v="JA"/>
    <s v="-0,17829"/>
    <s v="-78,48333"/>
    <s v="1. Sí"/>
    <n v="8"/>
    <s v="1. Años"/>
    <n v="0"/>
    <n v="0"/>
    <n v="0"/>
    <n v="0"/>
    <x v="1"/>
    <n v="52"/>
    <x v="1"/>
    <s v="1. Sí"/>
    <m/>
    <s v="6. Mestiza(o)"/>
    <m/>
    <s v="1. Unión de Hecho/Libre"/>
    <x v="0"/>
    <s v="1. Completa"/>
    <s v="1. Menos de $470"/>
    <s v="3. INSEGURO"/>
    <s v="PERSONAS CONSUMEN DROGA"/>
    <s v="PERSONAS CONSUMEN ALCOHOL"/>
    <s v="MUCHA GENTE MALA"/>
    <x v="0"/>
    <s v="Todos los horarios"/>
    <n v="0"/>
    <n v="0"/>
    <n v="0"/>
    <n v="0"/>
    <n v="1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1"/>
    <x v="2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0"/>
    <m/>
    <x v="0"/>
    <x v="0"/>
    <x v="2"/>
    <x v="1"/>
    <m/>
    <x v="1"/>
    <x v="1"/>
    <x v="0"/>
    <x v="1"/>
    <x v="2"/>
    <x v="0"/>
    <x v="0"/>
    <x v="0"/>
    <x v="0"/>
    <x v="0"/>
    <x v="0"/>
    <x v="0"/>
    <x v="0"/>
    <x v="0"/>
    <x v="0"/>
    <x v="1"/>
    <x v="1"/>
    <x v="1"/>
    <x v="0"/>
    <x v="2"/>
    <x v="2"/>
    <x v="0"/>
    <x v="1"/>
    <x v="1"/>
    <x v="0"/>
    <x v="0"/>
    <x v="0"/>
    <x v="0"/>
    <x v="0"/>
    <x v="0"/>
    <m/>
    <s v="FELIZ"/>
    <s v="SEGURA"/>
    <s v="EN PAZ"/>
    <x v="0"/>
    <x v="0"/>
    <x v="6"/>
    <n v="0"/>
    <n v="1"/>
    <n v="0"/>
    <n v="0"/>
    <n v="1"/>
    <n v="0"/>
    <n v="0"/>
    <n v="0"/>
    <n v="0"/>
    <m/>
    <m/>
    <n v="83803438"/>
    <s v="ec18d9b2-82a6-4b42-9b01-f41e35a29d35"/>
    <d v="2025-04-15T14:59:51"/>
    <m/>
    <m/>
    <s v="submitted_via_web"/>
    <m/>
    <s v="vVTBbbcBrmiSLVRNsT59sL"/>
    <m/>
    <n v="136"/>
  </r>
  <r>
    <d v="2025-04-15T09:59:51"/>
    <d v="2025-04-15T10:04:09"/>
    <s v="GH"/>
    <n v="81"/>
    <d v="2025-03-22T00:00:00"/>
    <n v="3"/>
    <s v="BG-GC"/>
    <s v="JA"/>
    <s v="-0,17863"/>
    <s v="-78,48391"/>
    <s v="1. Sí"/>
    <n v="20"/>
    <s v="1. Años"/>
    <n v="0"/>
    <n v="0"/>
    <n v="0"/>
    <n v="0"/>
    <x v="0"/>
    <n v="52"/>
    <x v="1"/>
    <s v="1. Sí"/>
    <m/>
    <s v="6. Mestiza(o)"/>
    <m/>
    <s v="4. Casada/o"/>
    <x v="0"/>
    <s v="1. Completa"/>
    <s v="2. de $471 a $919"/>
    <s v="2. SEGURO"/>
    <s v="POLICIA NACIONAL"/>
    <s v="MILITARES"/>
    <m/>
    <x v="0"/>
    <s v="Mañana  (06:00 a 11:59) Tarde (12:00 a 17:59)"/>
    <n v="0"/>
    <n v="1"/>
    <n v="1"/>
    <n v="0"/>
    <n v="0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2"/>
    <x v="1"/>
    <x v="1"/>
    <x v="0"/>
    <x v="3"/>
    <x v="0"/>
    <x v="1"/>
    <x v="0"/>
    <x v="3"/>
    <x v="0"/>
    <x v="0"/>
    <x v="1"/>
    <x v="3"/>
    <x v="0"/>
    <x v="0"/>
    <x v="0"/>
    <x v="0"/>
    <x v="1"/>
    <x v="2"/>
    <x v="0"/>
    <x v="0"/>
    <x v="1"/>
    <x v="1"/>
    <x v="0"/>
    <x v="0"/>
    <x v="1"/>
    <x v="2"/>
    <x v="0"/>
    <x v="0"/>
    <x v="0"/>
    <x v="0"/>
    <x v="0"/>
    <m/>
    <x v="0"/>
    <x v="0"/>
    <x v="0"/>
    <x v="0"/>
    <m/>
    <x v="0"/>
    <x v="0"/>
    <x v="0"/>
    <x v="1"/>
    <x v="2"/>
    <x v="0"/>
    <x v="0"/>
    <x v="0"/>
    <x v="0"/>
    <x v="0"/>
    <x v="0"/>
    <x v="0"/>
    <x v="0"/>
    <x v="0"/>
    <x v="0"/>
    <x v="0"/>
    <x v="2"/>
    <x v="1"/>
    <x v="0"/>
    <x v="0"/>
    <x v="1"/>
    <x v="0"/>
    <x v="0"/>
    <x v="2"/>
    <x v="1"/>
    <x v="2"/>
    <x v="0"/>
    <x v="0"/>
    <x v="0"/>
    <x v="0"/>
    <m/>
    <s v="ALEGRE"/>
    <s v="PAZ"/>
    <s v="CONFIADO"/>
    <x v="1"/>
    <x v="0"/>
    <x v="1"/>
    <n v="0"/>
    <n v="0"/>
    <n v="0"/>
    <n v="0"/>
    <n v="0"/>
    <n v="0"/>
    <n v="0"/>
    <n v="0"/>
    <n v="1"/>
    <s v="SERVICIO AL CLIENTE INFLABLE"/>
    <m/>
    <n v="83803788"/>
    <s v="da054d8a-ee4a-4e7c-bedb-56093937f63a"/>
    <d v="2025-04-15T15:04:10"/>
    <m/>
    <m/>
    <s v="submitted_via_web"/>
    <m/>
    <s v="vVTBbbcBrmiSLVRNsT59sL"/>
    <m/>
    <n v="137"/>
  </r>
  <r>
    <d v="2025-04-15T09:59:17"/>
    <d v="2025-04-15T10:05:23"/>
    <s v="JP"/>
    <n v="93"/>
    <d v="2025-03-22T00:00:00"/>
    <n v="1"/>
    <s v="EB"/>
    <s v="GH"/>
    <s v="-0,18709"/>
    <s v="-78,48453"/>
    <s v="1. Sí"/>
    <n v="32"/>
    <s v="1. Años"/>
    <n v="0"/>
    <n v="0"/>
    <n v="0"/>
    <n v="0"/>
    <x v="0"/>
    <n v="68"/>
    <x v="2"/>
    <s v="1. Sí"/>
    <m/>
    <s v="6. Mestiza(o)"/>
    <m/>
    <s v="2. Divorciada/o"/>
    <x v="1"/>
    <s v="1. Completa"/>
    <s v="99. NS/NC"/>
    <s v="3. INSEGURO"/>
    <s v="VACUNADORES EN EL SECTOR"/>
    <m/>
    <m/>
    <x v="1"/>
    <s v="Todos los horarios"/>
    <n v="0"/>
    <n v="0"/>
    <n v="0"/>
    <n v="0"/>
    <n v="1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0"/>
    <x v="0"/>
    <x v="1"/>
    <x v="1"/>
    <x v="1"/>
    <x v="2"/>
    <x v="1"/>
    <x v="2"/>
    <x v="1"/>
    <x v="1"/>
    <x v="0"/>
    <x v="0"/>
    <x v="0"/>
    <x v="0"/>
    <x v="0"/>
    <x v="0"/>
    <x v="0"/>
    <x v="0"/>
    <x v="0"/>
    <x v="0"/>
    <x v="1"/>
    <x v="2"/>
    <x v="0"/>
    <x v="0"/>
    <x v="1"/>
    <x v="2"/>
    <x v="0"/>
    <m/>
    <x v="0"/>
    <x v="0"/>
    <x v="0"/>
    <x v="0"/>
    <m/>
    <x v="1"/>
    <x v="2"/>
    <x v="3"/>
    <x v="1"/>
    <x v="1"/>
    <x v="1"/>
    <x v="0"/>
    <x v="0"/>
    <x v="0"/>
    <x v="1"/>
    <x v="1"/>
    <x v="2"/>
    <x v="1"/>
    <x v="2"/>
    <x v="1"/>
    <x v="0"/>
    <x v="0"/>
    <x v="2"/>
    <x v="0"/>
    <x v="0"/>
    <x v="1"/>
    <x v="0"/>
    <x v="0"/>
    <x v="0"/>
    <x v="1"/>
    <x v="1"/>
    <x v="1"/>
    <x v="0"/>
    <x v="0"/>
    <x v="0"/>
    <m/>
    <s v="TRANQUILIDAD"/>
    <m/>
    <m/>
    <x v="0"/>
    <x v="0"/>
    <x v="0"/>
    <n v="0"/>
    <n v="0"/>
    <n v="0"/>
    <n v="0"/>
    <n v="1"/>
    <n v="0"/>
    <n v="0"/>
    <n v="0"/>
    <n v="0"/>
    <m/>
    <m/>
    <n v="83803934"/>
    <s v="3ce9e0b2-c70c-4ead-9fb9-5185165d98c6"/>
    <d v="2025-04-15T15:05:24"/>
    <m/>
    <m/>
    <s v="submitted_via_web"/>
    <m/>
    <s v="vVTBbbcBrmiSLVRNsT59sL"/>
    <m/>
    <n v="138"/>
  </r>
  <r>
    <d v="2025-04-15T10:05:23"/>
    <d v="2025-04-15T10:09:32"/>
    <s v="JP"/>
    <n v="90"/>
    <d v="2025-03-22T00:00:00"/>
    <n v="1"/>
    <s v="GB-SCH"/>
    <s v="GH"/>
    <s v="-0,18658"/>
    <s v="-78,48495"/>
    <s v="1. Sí"/>
    <n v="32"/>
    <s v="1. Años"/>
    <n v="0"/>
    <n v="0"/>
    <n v="0"/>
    <n v="0"/>
    <x v="1"/>
    <n v="44"/>
    <x v="1"/>
    <s v="1. Sí"/>
    <m/>
    <s v="6. Mestiza(o)"/>
    <m/>
    <s v="2. Divorciada/o"/>
    <x v="3"/>
    <s v="1. Completa"/>
    <s v="1. Menos de $470"/>
    <s v="2. SEGURO"/>
    <s v="NO LE HA PASADO NADA"/>
    <m/>
    <m/>
    <x v="0"/>
    <s v="Mañana  (06:00 a 11:59) Tarde (12:00 a 17:59)"/>
    <n v="0"/>
    <n v="1"/>
    <n v="1"/>
    <n v="0"/>
    <n v="0"/>
    <x v="2"/>
    <x v="1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1"/>
    <x v="2"/>
    <x v="1"/>
    <x v="1"/>
    <x v="0"/>
    <x v="0"/>
    <x v="1"/>
    <x v="2"/>
    <x v="1"/>
    <x v="1"/>
    <x v="0"/>
    <x v="0"/>
    <x v="1"/>
    <x v="1"/>
    <x v="0"/>
    <x v="0"/>
    <x v="0"/>
    <x v="0"/>
    <x v="0"/>
    <x v="0"/>
    <x v="1"/>
    <x v="2"/>
    <x v="0"/>
    <x v="0"/>
    <x v="0"/>
    <x v="0"/>
    <x v="0"/>
    <m/>
    <x v="0"/>
    <x v="0"/>
    <x v="0"/>
    <x v="0"/>
    <m/>
    <x v="1"/>
    <x v="1"/>
    <x v="0"/>
    <x v="1"/>
    <x v="2"/>
    <x v="0"/>
    <x v="1"/>
    <x v="1"/>
    <x v="0"/>
    <x v="1"/>
    <x v="2"/>
    <x v="0"/>
    <x v="1"/>
    <x v="1"/>
    <x v="0"/>
    <x v="0"/>
    <x v="2"/>
    <x v="1"/>
    <x v="0"/>
    <x v="2"/>
    <x v="2"/>
    <x v="0"/>
    <x v="1"/>
    <x v="1"/>
    <x v="1"/>
    <x v="2"/>
    <x v="0"/>
    <x v="1"/>
    <x v="1"/>
    <x v="0"/>
    <m/>
    <s v="SIN COMENTARIOS"/>
    <m/>
    <m/>
    <x v="0"/>
    <x v="0"/>
    <x v="1"/>
    <n v="0"/>
    <n v="0"/>
    <n v="0"/>
    <n v="0"/>
    <n v="0"/>
    <n v="0"/>
    <n v="0"/>
    <n v="0"/>
    <n v="1"/>
    <s v="HELADOS Y POSTRES"/>
    <m/>
    <n v="83804303"/>
    <s v="45bc0904-3613-49b1-bc7c-f4b17eade321"/>
    <d v="2025-04-15T15:09:33"/>
    <m/>
    <m/>
    <s v="submitted_via_web"/>
    <m/>
    <s v="vVTBbbcBrmiSLVRNsT59sL"/>
    <m/>
    <n v="139"/>
  </r>
  <r>
    <d v="2025-04-15T10:09:32"/>
    <d v="2025-04-15T10:13:25"/>
    <s v="JP"/>
    <n v="88"/>
    <d v="2025-03-22T00:00:00"/>
    <n v="1"/>
    <s v="GB-SCH"/>
    <s v="GH"/>
    <s v="-0,18627"/>
    <s v="-78,48490"/>
    <s v="1. Sí"/>
    <n v="10"/>
    <s v="1. Años"/>
    <n v="0"/>
    <n v="0"/>
    <n v="0"/>
    <n v="0"/>
    <x v="0"/>
    <n v="32"/>
    <x v="0"/>
    <s v="1. Sí"/>
    <m/>
    <s v="6. Mestiza(o)"/>
    <m/>
    <s v="5. Soltera/o"/>
    <x v="3"/>
    <s v="2. Incompleta"/>
    <s v="1. Menos de $470"/>
    <s v="3. INSEGURO"/>
    <s v="LA DELINCUENCIA"/>
    <s v="NARCOTRAFICO"/>
    <m/>
    <x v="1"/>
    <s v="Mañana  (06:00 a 11:59)"/>
    <n v="0"/>
    <n v="1"/>
    <n v="0"/>
    <n v="0"/>
    <n v="0"/>
    <x v="2"/>
    <x v="1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1"/>
    <x v="0"/>
    <x v="0"/>
    <x v="1"/>
    <x v="2"/>
    <x v="0"/>
    <x v="3"/>
    <x v="0"/>
    <x v="0"/>
    <x v="1"/>
    <x v="1"/>
    <x v="0"/>
    <x v="0"/>
    <x v="0"/>
    <x v="2"/>
    <x v="0"/>
    <x v="0"/>
    <x v="1"/>
    <x v="3"/>
    <x v="1"/>
    <x v="3"/>
    <x v="0"/>
    <x v="0"/>
    <x v="0"/>
    <x v="0"/>
    <x v="0"/>
    <x v="3"/>
    <x v="0"/>
    <x v="0"/>
    <x v="1"/>
    <x v="2"/>
    <x v="0"/>
    <m/>
    <x v="0"/>
    <x v="0"/>
    <x v="0"/>
    <x v="0"/>
    <m/>
    <x v="1"/>
    <x v="1"/>
    <x v="0"/>
    <x v="1"/>
    <x v="2"/>
    <x v="0"/>
    <x v="0"/>
    <x v="0"/>
    <x v="0"/>
    <x v="1"/>
    <x v="2"/>
    <x v="0"/>
    <x v="0"/>
    <x v="0"/>
    <x v="0"/>
    <x v="1"/>
    <x v="1"/>
    <x v="1"/>
    <x v="0"/>
    <x v="0"/>
    <x v="1"/>
    <x v="0"/>
    <x v="1"/>
    <x v="1"/>
    <x v="1"/>
    <x v="2"/>
    <x v="0"/>
    <x v="0"/>
    <x v="0"/>
    <x v="0"/>
    <m/>
    <s v="INSEGURIDAD"/>
    <s v="VENTAS AMBULANTES ME SIENTO MAL"/>
    <m/>
    <x v="0"/>
    <x v="0"/>
    <x v="1"/>
    <n v="0"/>
    <n v="0"/>
    <n v="0"/>
    <n v="0"/>
    <n v="0"/>
    <n v="0"/>
    <n v="0"/>
    <n v="0"/>
    <n v="1"/>
    <s v="JUGUETES"/>
    <m/>
    <n v="83804818"/>
    <s v="ed131cc3-523e-422a-8553-6abb6e12887a"/>
    <d v="2025-04-15T15:13:25"/>
    <m/>
    <m/>
    <s v="submitted_via_web"/>
    <m/>
    <s v="vVTBbbcBrmiSLVRNsT59sL"/>
    <m/>
    <n v="140"/>
  </r>
  <r>
    <d v="2025-04-15T10:13:25"/>
    <d v="2025-04-15T10:17:10"/>
    <s v="JP"/>
    <n v="56"/>
    <d v="2025-03-23T00:00:00"/>
    <n v="1"/>
    <s v="MQ"/>
    <s v="GH"/>
    <s v="-0,18657"/>
    <s v="-78,48492"/>
    <s v="1. Sí"/>
    <n v="12"/>
    <s v="1. Años"/>
    <n v="0"/>
    <n v="0"/>
    <n v="0"/>
    <n v="0"/>
    <x v="1"/>
    <n v="52"/>
    <x v="1"/>
    <s v="1. Sí"/>
    <m/>
    <s v="1. Indígena"/>
    <m/>
    <s v="3. Viuda/o"/>
    <x v="1"/>
    <s v="2. Incompleta"/>
    <s v="99. NS/NC"/>
    <s v="2. SEGURO"/>
    <s v="PORQUE HAY CONTROL DE GUARDABOSQUES"/>
    <s v="PORQUE HAY LOS GUARDIAS QUE CONTRATARON COMO ASOCIACION"/>
    <m/>
    <x v="0"/>
    <s v="Tarde (12:00 a 17:59)"/>
    <n v="0"/>
    <n v="0"/>
    <n v="1"/>
    <n v="0"/>
    <n v="0"/>
    <x v="1"/>
    <x v="1"/>
    <x v="0"/>
    <x v="0"/>
    <x v="3"/>
    <n v="0"/>
    <n v="0"/>
    <n v="0"/>
    <n v="0"/>
    <n v="0"/>
    <n v="1"/>
    <s v="GUARDIAS CONTRATADOS POR LA ASOCIACION"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1"/>
    <x v="2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0"/>
    <m/>
    <x v="0"/>
    <x v="0"/>
    <x v="0"/>
    <x v="1"/>
    <m/>
    <x v="0"/>
    <x v="0"/>
    <x v="0"/>
    <x v="0"/>
    <x v="0"/>
    <x v="0"/>
    <x v="1"/>
    <x v="2"/>
    <x v="2"/>
    <x v="1"/>
    <x v="1"/>
    <x v="2"/>
    <x v="0"/>
    <x v="0"/>
    <x v="0"/>
    <x v="1"/>
    <x v="1"/>
    <x v="1"/>
    <x v="0"/>
    <x v="0"/>
    <x v="1"/>
    <x v="0"/>
    <x v="0"/>
    <x v="2"/>
    <x v="0"/>
    <x v="0"/>
    <x v="0"/>
    <x v="0"/>
    <x v="0"/>
    <x v="0"/>
    <m/>
    <s v="ALEGRE CUANDO VENDO"/>
    <s v="TRISTE CUANDO NO VENDO POR EL COMERCIO INFORMAL"/>
    <m/>
    <x v="0"/>
    <x v="0"/>
    <x v="0"/>
    <n v="0"/>
    <n v="0"/>
    <n v="0"/>
    <n v="0"/>
    <n v="1"/>
    <n v="0"/>
    <n v="0"/>
    <n v="0"/>
    <n v="0"/>
    <m/>
    <m/>
    <n v="83805507"/>
    <s v="45667d5c-f4c9-4414-bbe3-a7e843b715ac"/>
    <d v="2025-04-15T15:17:11"/>
    <m/>
    <m/>
    <s v="submitted_via_web"/>
    <m/>
    <s v="vVTBbbcBrmiSLVRNsT59sL"/>
    <m/>
    <n v="141"/>
  </r>
  <r>
    <d v="2025-04-15T10:17:10"/>
    <d v="2025-04-15T10:20:15"/>
    <s v="JP"/>
    <n v="58"/>
    <d v="2025-03-22T00:00:00"/>
    <n v="3"/>
    <s v="JC"/>
    <s v="JA"/>
    <s v="-0,17891"/>
    <s v="-78,48402"/>
    <s v="1. Sí"/>
    <n v="35"/>
    <s v="1. Años"/>
    <n v="0"/>
    <n v="0"/>
    <n v="0"/>
    <n v="0"/>
    <x v="1"/>
    <n v="52"/>
    <x v="1"/>
    <s v="1. Sí"/>
    <m/>
    <s v="6. Mestiza(o)"/>
    <m/>
    <s v="2. Divorciada/o"/>
    <x v="1"/>
    <s v="1. Completa"/>
    <s v="1. Menos de $470"/>
    <s v="3. INSEGURO"/>
    <s v="DELINCUENCIA"/>
    <s v="VENTA DE DROGA"/>
    <s v="VENTA DE ALCOHOL"/>
    <x v="0"/>
    <s v="Mañana  (06:00 a 11:59)"/>
    <n v="0"/>
    <n v="1"/>
    <n v="0"/>
    <n v="0"/>
    <n v="0"/>
    <x v="0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1"/>
    <x v="2"/>
    <x v="1"/>
    <x v="1"/>
    <x v="0"/>
    <x v="0"/>
    <x v="0"/>
    <x v="0"/>
    <x v="0"/>
    <x v="2"/>
    <x v="1"/>
    <x v="3"/>
    <x v="1"/>
    <x v="3"/>
    <x v="1"/>
    <x v="2"/>
    <x v="0"/>
    <x v="0"/>
    <x v="0"/>
    <x v="0"/>
    <x v="1"/>
    <x v="2"/>
    <x v="0"/>
    <x v="0"/>
    <x v="0"/>
    <x v="0"/>
    <x v="0"/>
    <m/>
    <x v="0"/>
    <x v="0"/>
    <x v="0"/>
    <x v="1"/>
    <m/>
    <x v="1"/>
    <x v="2"/>
    <x v="1"/>
    <x v="0"/>
    <x v="0"/>
    <x v="0"/>
    <x v="0"/>
    <x v="0"/>
    <x v="0"/>
    <x v="1"/>
    <x v="1"/>
    <x v="1"/>
    <x v="0"/>
    <x v="0"/>
    <x v="0"/>
    <x v="1"/>
    <x v="1"/>
    <x v="1"/>
    <x v="0"/>
    <x v="0"/>
    <x v="0"/>
    <x v="0"/>
    <x v="0"/>
    <x v="0"/>
    <x v="1"/>
    <x v="1"/>
    <x v="2"/>
    <x v="0"/>
    <x v="0"/>
    <x v="0"/>
    <m/>
    <s v="FELIZ"/>
    <s v="EN PAZ"/>
    <s v="SEGURA"/>
    <x v="0"/>
    <x v="0"/>
    <x v="11"/>
    <n v="0"/>
    <n v="1"/>
    <n v="0"/>
    <n v="0"/>
    <n v="0"/>
    <n v="1"/>
    <n v="0"/>
    <n v="0"/>
    <n v="0"/>
    <m/>
    <m/>
    <n v="83806067"/>
    <s v="8eb476b7-8d85-463f-9520-08f5f68b873d"/>
    <d v="2025-04-15T15:20:16"/>
    <m/>
    <m/>
    <s v="submitted_via_web"/>
    <m/>
    <s v="vVTBbbcBrmiSLVRNsT59sL"/>
    <m/>
    <n v="142"/>
  </r>
  <r>
    <d v="2025-04-15T10:20:15"/>
    <d v="2025-04-15T10:24:22"/>
    <s v="JP"/>
    <n v="44"/>
    <d v="2025-03-23T00:00:00"/>
    <n v="1"/>
    <s v="GB-CE"/>
    <s v="GH"/>
    <s v="-0,17772"/>
    <s v="-78,48190"/>
    <s v="1. Sí"/>
    <n v="25"/>
    <s v="1. Años"/>
    <n v="0"/>
    <n v="0"/>
    <n v="0"/>
    <n v="0"/>
    <x v="1"/>
    <n v="52"/>
    <x v="1"/>
    <s v="1. Sí"/>
    <m/>
    <s v="6. Mestiza(o)"/>
    <m/>
    <s v="2. Divorciada/o"/>
    <x v="0"/>
    <s v="1. Completa"/>
    <s v="1. Menos de $470"/>
    <s v="3. INSEGURO"/>
    <s v="DELINCUENCIA"/>
    <s v="FALTA DE POLICIAS"/>
    <s v="INFORMALES"/>
    <x v="0"/>
    <s v="Mañana  (06:00 a 11:59) Tarde (12:00 a 17:59)"/>
    <n v="0"/>
    <n v="1"/>
    <n v="1"/>
    <n v="0"/>
    <n v="0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0"/>
    <x v="0"/>
    <x v="3"/>
    <x v="1"/>
    <x v="1"/>
    <x v="0"/>
    <x v="0"/>
    <x v="1"/>
    <x v="2"/>
    <x v="1"/>
    <x v="1"/>
    <x v="0"/>
    <x v="0"/>
    <x v="0"/>
    <x v="0"/>
    <x v="0"/>
    <x v="0"/>
    <x v="0"/>
    <x v="0"/>
    <x v="1"/>
    <x v="3"/>
    <x v="1"/>
    <x v="2"/>
    <x v="0"/>
    <x v="0"/>
    <x v="0"/>
    <x v="0"/>
    <x v="0"/>
    <m/>
    <x v="0"/>
    <x v="0"/>
    <x v="2"/>
    <x v="0"/>
    <m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1"/>
    <x v="0"/>
    <x v="0"/>
    <x v="2"/>
    <x v="0"/>
    <x v="0"/>
    <x v="0"/>
    <x v="0"/>
    <x v="0"/>
    <x v="0"/>
    <m/>
    <s v="ALEGRE"/>
    <s v="TRABAJAR"/>
    <m/>
    <x v="0"/>
    <x v="0"/>
    <x v="0"/>
    <n v="0"/>
    <n v="0"/>
    <n v="0"/>
    <n v="0"/>
    <n v="1"/>
    <n v="0"/>
    <n v="0"/>
    <n v="0"/>
    <n v="0"/>
    <m/>
    <m/>
    <n v="83806353"/>
    <s v="694d5c49-0841-49ce-b9fd-17462a09c18f"/>
    <d v="2025-04-15T15:24:23"/>
    <m/>
    <m/>
    <s v="submitted_via_web"/>
    <m/>
    <s v="vVTBbbcBrmiSLVRNsT59sL"/>
    <m/>
    <n v="143"/>
  </r>
  <r>
    <d v="2025-04-15T10:24:22"/>
    <d v="2025-04-15T10:29:56"/>
    <s v="JP"/>
    <n v="18"/>
    <d v="2025-03-22T00:00:00"/>
    <n v="2"/>
    <s v="GB-AG"/>
    <s v="OM"/>
    <s v="-0,18538"/>
    <s v="-78,48471"/>
    <s v="1. Sí"/>
    <n v="20"/>
    <s v="1. Años"/>
    <n v="0"/>
    <n v="0"/>
    <n v="0"/>
    <n v="0"/>
    <x v="0"/>
    <n v="52"/>
    <x v="1"/>
    <s v="1. Sí"/>
    <m/>
    <s v="6. Mestiza(o)"/>
    <m/>
    <s v="3. Viuda/o"/>
    <x v="0"/>
    <s v="2. Incompleta"/>
    <s v="1. Menos de $470"/>
    <s v="4. MUY INSEGURO"/>
    <s v="NO HAY SEGURIDAD POLICIAL"/>
    <s v="POR LAS VENTAS INFORMALES"/>
    <m/>
    <x v="1"/>
    <s v="Mañana  (06:00 a 11:59) Tarde (12:00 a 17:59)"/>
    <n v="0"/>
    <n v="1"/>
    <n v="1"/>
    <n v="0"/>
    <n v="0"/>
    <x v="1"/>
    <x v="1"/>
    <x v="0"/>
    <x v="0"/>
    <x v="0"/>
    <n v="1"/>
    <n v="0"/>
    <n v="0"/>
    <n v="0"/>
    <n v="0"/>
    <n v="0"/>
    <m/>
    <x v="1"/>
    <x v="2"/>
    <n v="1"/>
    <n v="0"/>
    <n v="0"/>
    <n v="0"/>
    <n v="0"/>
    <n v="0"/>
    <n v="0"/>
    <n v="0"/>
    <n v="0"/>
    <n v="0"/>
    <n v="0"/>
    <m/>
    <m/>
    <s v="1. Sí"/>
    <m/>
    <m/>
    <m/>
    <m/>
    <m/>
    <m/>
    <m/>
    <x v="0"/>
    <m/>
    <x v="1"/>
    <x v="3"/>
    <x v="0"/>
    <x v="0"/>
    <x v="0"/>
    <x v="3"/>
    <x v="0"/>
    <x v="0"/>
    <x v="0"/>
    <x v="0"/>
    <x v="1"/>
    <x v="1"/>
    <x v="1"/>
    <x v="2"/>
    <x v="0"/>
    <x v="0"/>
    <x v="1"/>
    <x v="1"/>
    <x v="1"/>
    <x v="1"/>
    <x v="1"/>
    <x v="3"/>
    <x v="1"/>
    <x v="2"/>
    <x v="0"/>
    <x v="0"/>
    <x v="0"/>
    <x v="0"/>
    <x v="0"/>
    <x v="0"/>
    <x v="1"/>
    <x v="1"/>
    <x v="0"/>
    <m/>
    <x v="0"/>
    <x v="0"/>
    <x v="0"/>
    <x v="0"/>
    <m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2"/>
    <x v="2"/>
    <x v="0"/>
    <x v="1"/>
    <x v="1"/>
    <x v="0"/>
    <x v="0"/>
    <x v="0"/>
    <x v="0"/>
    <x v="0"/>
    <x v="0"/>
    <m/>
    <s v="BIEN POR EL TRABAJO"/>
    <s v="FALTA DE COLABORACION PARA LOS PUESTOS"/>
    <m/>
    <x v="0"/>
    <x v="0"/>
    <x v="0"/>
    <n v="0"/>
    <n v="0"/>
    <n v="0"/>
    <n v="0"/>
    <n v="1"/>
    <n v="0"/>
    <n v="0"/>
    <n v="0"/>
    <n v="0"/>
    <m/>
    <m/>
    <n v="83806575"/>
    <s v="a3c00725-aed1-47ec-8e47-b2a08186609b"/>
    <d v="2025-04-15T15:29:56"/>
    <m/>
    <m/>
    <s v="submitted_via_web"/>
    <m/>
    <s v="vVTBbbcBrmiSLVRNsT59sL"/>
    <m/>
    <n v="144"/>
  </r>
  <r>
    <d v="2025-04-15T10:29:56"/>
    <d v="2025-04-15T10:34:12"/>
    <s v="JP"/>
    <n v="136"/>
    <d v="2025-03-23T00:00:00"/>
    <n v="2"/>
    <s v="DA"/>
    <s v="OM"/>
    <s v="-0,18165"/>
    <s v="-78,48363"/>
    <s v="1. Sí"/>
    <n v="8"/>
    <s v="1. Años"/>
    <n v="0"/>
    <n v="0"/>
    <n v="0"/>
    <n v="0"/>
    <x v="1"/>
    <n v="35"/>
    <x v="0"/>
    <s v="1. Sí"/>
    <m/>
    <s v="6. Mestiza(o)"/>
    <m/>
    <s v="4. Casada/o"/>
    <x v="0"/>
    <s v="1. Completa"/>
    <s v="2. de $471 a $919"/>
    <s v="3. INSEGURO"/>
    <s v="ROBOS"/>
    <s v="FALTA DE GUARDIAS"/>
    <s v="FALTA DE PRESENCIA POLICIAL"/>
    <x v="0"/>
    <s v="Mañana  (06:00 a 11:59) Tarde (12:00 a 17:59)"/>
    <n v="0"/>
    <n v="1"/>
    <n v="1"/>
    <n v="0"/>
    <n v="0"/>
    <x v="1"/>
    <x v="1"/>
    <x v="0"/>
    <x v="0"/>
    <x v="4"/>
    <n v="0"/>
    <n v="0"/>
    <n v="1"/>
    <n v="0"/>
    <n v="0"/>
    <n v="0"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1"/>
    <x v="0"/>
    <x v="1"/>
    <x v="1"/>
    <x v="1"/>
    <x v="1"/>
    <x v="1"/>
    <x v="1"/>
    <x v="3"/>
    <x v="1"/>
    <x v="1"/>
    <x v="0"/>
    <x v="0"/>
    <x v="1"/>
    <x v="3"/>
    <x v="0"/>
    <x v="0"/>
    <x v="0"/>
    <x v="0"/>
    <x v="0"/>
    <x v="0"/>
    <x v="0"/>
    <x v="0"/>
    <x v="0"/>
    <x v="0"/>
    <x v="0"/>
    <x v="0"/>
    <x v="0"/>
    <m/>
    <x v="0"/>
    <x v="0"/>
    <x v="0"/>
    <x v="1"/>
    <m/>
    <x v="1"/>
    <x v="1"/>
    <x v="0"/>
    <x v="1"/>
    <x v="1"/>
    <x v="0"/>
    <x v="1"/>
    <x v="2"/>
    <x v="2"/>
    <x v="1"/>
    <x v="1"/>
    <x v="1"/>
    <x v="0"/>
    <x v="0"/>
    <x v="0"/>
    <x v="1"/>
    <x v="1"/>
    <x v="1"/>
    <x v="0"/>
    <x v="0"/>
    <x v="0"/>
    <x v="0"/>
    <x v="1"/>
    <x v="1"/>
    <x v="0"/>
    <x v="0"/>
    <x v="0"/>
    <x v="0"/>
    <x v="0"/>
    <x v="0"/>
    <m/>
    <s v="SEGURA"/>
    <s v="TRANQUILA"/>
    <s v="PREOCUPACION"/>
    <x v="0"/>
    <x v="0"/>
    <x v="1"/>
    <n v="0"/>
    <n v="0"/>
    <n v="0"/>
    <n v="0"/>
    <n v="0"/>
    <n v="0"/>
    <n v="0"/>
    <n v="0"/>
    <n v="1"/>
    <s v="GRANIZADO"/>
    <s v="MAS SEGURIDAD, MAS CONTROL DE VENTAS AMBULANTES"/>
    <n v="83807047"/>
    <s v="3a185cfa-84e0-4de1-ab98-0f219f414234"/>
    <d v="2025-04-15T15:34:12"/>
    <m/>
    <m/>
    <s v="submitted_via_web"/>
    <m/>
    <s v="vVTBbbcBrmiSLVRNsT59sL"/>
    <m/>
    <n v="145"/>
  </r>
  <r>
    <d v="2025-04-15T10:00:48"/>
    <d v="2025-04-15T10:36:44"/>
    <s v="AFC"/>
    <n v="60"/>
    <d v="2025-03-22T00:00:00"/>
    <n v="3"/>
    <s v="JC"/>
    <s v="JA"/>
    <s v="-0,17901"/>
    <s v="-78,48415"/>
    <s v="1. Sí"/>
    <n v="25"/>
    <s v="1. Años"/>
    <n v="0"/>
    <n v="0"/>
    <n v="0"/>
    <n v="0"/>
    <x v="0"/>
    <n v="52"/>
    <x v="1"/>
    <s v="1. Sí"/>
    <m/>
    <s v="6. Mestiza(o)"/>
    <m/>
    <s v="5. Soltera/o"/>
    <x v="0"/>
    <s v="2. Incompleta"/>
    <s v="1. Menos de $470"/>
    <s v="3. INSEGURO"/>
    <s v="GENTE AGENA"/>
    <s v="PERSONAS TOMANDO"/>
    <s v="PERSONAS QUE VIENEN A DESTRUIR LAS COSAS"/>
    <x v="0"/>
    <s v="Tarde (12:00 a 17:59)"/>
    <n v="0"/>
    <n v="0"/>
    <n v="1"/>
    <n v="0"/>
    <n v="0"/>
    <x v="1"/>
    <x v="0"/>
    <x v="1"/>
    <x v="0"/>
    <x v="4"/>
    <n v="0"/>
    <n v="0"/>
    <n v="1"/>
    <n v="0"/>
    <n v="0"/>
    <n v="0"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1"/>
    <x v="2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0"/>
    <m/>
    <x v="0"/>
    <x v="0"/>
    <x v="3"/>
    <x v="0"/>
    <m/>
    <x v="0"/>
    <x v="0"/>
    <x v="0"/>
    <x v="0"/>
    <x v="0"/>
    <x v="0"/>
    <x v="0"/>
    <x v="0"/>
    <x v="0"/>
    <x v="1"/>
    <x v="2"/>
    <x v="0"/>
    <x v="0"/>
    <x v="0"/>
    <x v="0"/>
    <x v="1"/>
    <x v="1"/>
    <x v="1"/>
    <x v="0"/>
    <x v="2"/>
    <x v="2"/>
    <x v="0"/>
    <x v="0"/>
    <x v="2"/>
    <x v="1"/>
    <x v="1"/>
    <x v="2"/>
    <x v="0"/>
    <x v="0"/>
    <x v="0"/>
    <m/>
    <s v="ENERMO"/>
    <s v="TRISTE"/>
    <s v="SEGURO"/>
    <x v="0"/>
    <x v="0"/>
    <x v="1"/>
    <n v="0"/>
    <n v="0"/>
    <n v="0"/>
    <n v="0"/>
    <n v="0"/>
    <n v="0"/>
    <n v="0"/>
    <n v="0"/>
    <n v="1"/>
    <s v="JUEGOS INFANTILES"/>
    <m/>
    <n v="83807331"/>
    <s v="af2d1176-8b09-4072-a3f8-cc9265d2ca78"/>
    <d v="2025-04-15T15:36:44"/>
    <m/>
    <m/>
    <s v="submitted_via_web"/>
    <m/>
    <s v="vVTBbbcBrmiSLVRNsT59sL"/>
    <m/>
    <n v="146"/>
  </r>
  <r>
    <d v="2025-04-15T10:34:12"/>
    <d v="2025-04-15T10:37:14"/>
    <s v="JP"/>
    <n v="129"/>
    <d v="2025-03-23T00:00:00"/>
    <n v="2"/>
    <s v="LB"/>
    <s v="OM"/>
    <s v="-0,18413"/>
    <s v="-78,48525"/>
    <s v="1. Sí"/>
    <n v="20"/>
    <s v="1. Años"/>
    <n v="0"/>
    <n v="0"/>
    <n v="0"/>
    <n v="0"/>
    <x v="0"/>
    <n v="52"/>
    <x v="1"/>
    <s v="1. Sí"/>
    <m/>
    <s v="1. Indígena"/>
    <m/>
    <s v="4. Casada/o"/>
    <x v="0"/>
    <s v="1. Completa"/>
    <s v="1. Menos de $470"/>
    <s v="2. SEGURO"/>
    <s v="HAY AFLUENCIA DE GENTE"/>
    <s v="ESTOY CERCA DEL UPC"/>
    <m/>
    <x v="0"/>
    <s v="Mañana  (06:00 a 11:59) Tarde (12:00 a 17:59)"/>
    <n v="0"/>
    <n v="1"/>
    <n v="1"/>
    <n v="0"/>
    <n v="0"/>
    <x v="1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1"/>
    <x v="0"/>
    <x v="1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0"/>
    <x v="3"/>
    <x v="0"/>
    <x v="0"/>
    <x v="0"/>
    <x v="0"/>
    <x v="0"/>
    <m/>
    <x v="0"/>
    <x v="0"/>
    <x v="2"/>
    <x v="1"/>
    <m/>
    <x v="1"/>
    <x v="1"/>
    <x v="0"/>
    <x v="0"/>
    <x v="0"/>
    <x v="0"/>
    <x v="0"/>
    <x v="0"/>
    <x v="0"/>
    <x v="1"/>
    <x v="2"/>
    <x v="0"/>
    <x v="0"/>
    <x v="0"/>
    <x v="0"/>
    <x v="0"/>
    <x v="2"/>
    <x v="1"/>
    <x v="1"/>
    <x v="1"/>
    <x v="2"/>
    <x v="0"/>
    <x v="1"/>
    <x v="1"/>
    <x v="0"/>
    <x v="0"/>
    <x v="0"/>
    <x v="0"/>
    <x v="0"/>
    <x v="0"/>
    <m/>
    <s v="ALEGRIA"/>
    <s v="PAZ"/>
    <m/>
    <x v="0"/>
    <x v="0"/>
    <x v="0"/>
    <n v="0"/>
    <n v="0"/>
    <n v="0"/>
    <n v="0"/>
    <n v="1"/>
    <n v="0"/>
    <n v="0"/>
    <n v="0"/>
    <n v="0"/>
    <m/>
    <m/>
    <n v="83807399"/>
    <s v="f296342b-d131-4a2d-8ec8-6f3ca50440a5"/>
    <d v="2025-04-15T15:37:16"/>
    <m/>
    <m/>
    <s v="submitted_via_web"/>
    <m/>
    <s v="vVTBbbcBrmiSLVRNsT59sL"/>
    <m/>
    <n v="147"/>
  </r>
  <r>
    <d v="2025-04-15T10:37:14"/>
    <d v="2025-04-15T10:42:27"/>
    <s v="JP"/>
    <n v="125"/>
    <d v="2025-03-23T00:00:00"/>
    <n v="2"/>
    <s v="LB"/>
    <s v="OM"/>
    <s v="-0,18279"/>
    <s v="-78,48315"/>
    <s v="1. Sí"/>
    <n v="28"/>
    <s v="1. Años"/>
    <n v="0"/>
    <n v="0"/>
    <n v="0"/>
    <n v="0"/>
    <x v="0"/>
    <n v="52"/>
    <x v="1"/>
    <s v="1. Sí"/>
    <m/>
    <s v="6. Mestiza(o)"/>
    <m/>
    <s v="4. Casada/o"/>
    <x v="0"/>
    <s v="1. Completa"/>
    <s v="2. de $471 a $919"/>
    <s v="2. SEGURO"/>
    <s v="AYUDA DE LOS GUARDA PARQUES"/>
    <s v="PRESENCIA DE POLICIAS"/>
    <m/>
    <x v="0"/>
    <s v="Mañana  (06:00 a 11:59) Tarde (12:00 a 17:59)"/>
    <n v="0"/>
    <n v="1"/>
    <n v="1"/>
    <n v="0"/>
    <n v="0"/>
    <x v="0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0"/>
    <m/>
    <x v="0"/>
    <x v="0"/>
    <x v="0"/>
    <x v="1"/>
    <m/>
    <x v="1"/>
    <x v="1"/>
    <x v="0"/>
    <x v="0"/>
    <x v="0"/>
    <x v="0"/>
    <x v="0"/>
    <x v="0"/>
    <x v="0"/>
    <x v="1"/>
    <x v="2"/>
    <x v="0"/>
    <x v="0"/>
    <x v="0"/>
    <x v="0"/>
    <x v="0"/>
    <x v="2"/>
    <x v="1"/>
    <x v="0"/>
    <x v="2"/>
    <x v="2"/>
    <x v="0"/>
    <x v="1"/>
    <x v="1"/>
    <x v="0"/>
    <x v="0"/>
    <x v="0"/>
    <x v="0"/>
    <x v="0"/>
    <x v="0"/>
    <m/>
    <s v="TRANQUILIDAD"/>
    <s v="PAZ"/>
    <m/>
    <x v="0"/>
    <x v="0"/>
    <x v="1"/>
    <n v="0"/>
    <n v="0"/>
    <n v="0"/>
    <n v="0"/>
    <n v="0"/>
    <n v="0"/>
    <n v="0"/>
    <n v="0"/>
    <n v="1"/>
    <s v="BICICLETA (TALLER DE BICICLETAS)"/>
    <m/>
    <n v="83808357"/>
    <s v="8a9b528d-badc-45a8-bb95-ee4e91f976f3"/>
    <d v="2025-04-15T15:42:28"/>
    <m/>
    <m/>
    <s v="submitted_via_web"/>
    <m/>
    <s v="vVTBbbcBrmiSLVRNsT59sL"/>
    <m/>
    <n v="148"/>
  </r>
  <r>
    <d v="2025-04-15T10:42:27"/>
    <d v="2025-04-15T10:46:22"/>
    <s v="JP"/>
    <n v="116"/>
    <d v="2025-03-22T00:00:00"/>
    <n v="1"/>
    <s v="GB-SCH"/>
    <s v="GH"/>
    <s v="-0,18753"/>
    <s v="-78,48384"/>
    <s v="1. Sí"/>
    <n v="40"/>
    <s v="1. Años"/>
    <n v="0"/>
    <n v="0"/>
    <n v="0"/>
    <n v="0"/>
    <x v="1"/>
    <n v="52"/>
    <x v="1"/>
    <s v="1. Sí"/>
    <m/>
    <s v="6. Mestiza(o)"/>
    <m/>
    <s v="4. Casada/o"/>
    <x v="0"/>
    <s v="2. Incompleta"/>
    <s v="3. de $920 a $1339"/>
    <s v="3. INSEGURO"/>
    <s v="DELINCUENCIA"/>
    <s v="DROGA"/>
    <s v="INFORMALES"/>
    <x v="1"/>
    <s v="Mañana  (06:00 a 11:59) Tarde (12:00 a 17:59)"/>
    <n v="0"/>
    <n v="1"/>
    <n v="1"/>
    <n v="0"/>
    <n v="0"/>
    <x v="1"/>
    <x v="0"/>
    <x v="1"/>
    <x v="0"/>
    <x v="7"/>
    <n v="0"/>
    <n v="1"/>
    <n v="0"/>
    <n v="0"/>
    <n v="0"/>
    <n v="1"/>
    <s v="TOLETE"/>
    <x v="1"/>
    <x v="1"/>
    <n v="0"/>
    <n v="1"/>
    <n v="0"/>
    <n v="0"/>
    <n v="0"/>
    <n v="0"/>
    <n v="0"/>
    <n v="0"/>
    <n v="0"/>
    <n v="0"/>
    <n v="0"/>
    <m/>
    <m/>
    <m/>
    <s v="1. Sí"/>
    <m/>
    <m/>
    <m/>
    <m/>
    <m/>
    <m/>
    <x v="0"/>
    <m/>
    <x v="1"/>
    <x v="2"/>
    <x v="1"/>
    <x v="1"/>
    <x v="0"/>
    <x v="1"/>
    <x v="0"/>
    <x v="3"/>
    <x v="0"/>
    <x v="2"/>
    <x v="1"/>
    <x v="2"/>
    <x v="1"/>
    <x v="2"/>
    <x v="0"/>
    <x v="0"/>
    <x v="1"/>
    <x v="1"/>
    <x v="1"/>
    <x v="1"/>
    <x v="1"/>
    <x v="3"/>
    <x v="1"/>
    <x v="1"/>
    <x v="1"/>
    <x v="3"/>
    <x v="0"/>
    <x v="3"/>
    <x v="0"/>
    <x v="0"/>
    <x v="0"/>
    <x v="0"/>
    <x v="0"/>
    <m/>
    <x v="0"/>
    <x v="0"/>
    <x v="0"/>
    <x v="0"/>
    <m/>
    <x v="0"/>
    <x v="0"/>
    <x v="0"/>
    <x v="0"/>
    <x v="0"/>
    <x v="0"/>
    <x v="0"/>
    <x v="0"/>
    <x v="0"/>
    <x v="0"/>
    <x v="0"/>
    <x v="0"/>
    <x v="1"/>
    <x v="1"/>
    <x v="0"/>
    <x v="1"/>
    <x v="1"/>
    <x v="1"/>
    <x v="0"/>
    <x v="0"/>
    <x v="0"/>
    <x v="1"/>
    <x v="2"/>
    <x v="1"/>
    <x v="0"/>
    <x v="0"/>
    <x v="0"/>
    <x v="0"/>
    <x v="0"/>
    <x v="0"/>
    <m/>
    <s v="DESTRUCCION"/>
    <s v="INSEGURIDAD"/>
    <m/>
    <x v="0"/>
    <x v="0"/>
    <x v="0"/>
    <n v="0"/>
    <n v="0"/>
    <n v="0"/>
    <n v="0"/>
    <n v="1"/>
    <n v="0"/>
    <n v="0"/>
    <n v="0"/>
    <n v="0"/>
    <m/>
    <m/>
    <n v="83808847"/>
    <s v="ab4e01b9-d162-413e-b306-02f1510e8123"/>
    <d v="2025-04-15T15:46:23"/>
    <m/>
    <m/>
    <s v="submitted_via_web"/>
    <m/>
    <s v="vVTBbbcBrmiSLVRNsT59sL"/>
    <m/>
    <n v="149"/>
  </r>
  <r>
    <d v="2025-04-15T10:46:23"/>
    <d v="2025-04-15T10:49:44"/>
    <s v="JP"/>
    <n v="107"/>
    <d v="2025-03-22T00:00:00"/>
    <n v="1"/>
    <s v="CV"/>
    <s v="GH"/>
    <s v="-0,18758"/>
    <s v="-78,48412"/>
    <s v="1. Sí"/>
    <n v="30"/>
    <s v="1. Años"/>
    <n v="1"/>
    <n v="0"/>
    <n v="0"/>
    <n v="0"/>
    <x v="0"/>
    <n v="72"/>
    <x v="2"/>
    <s v="1. Sí"/>
    <m/>
    <s v="1. Indígena"/>
    <m/>
    <s v="3. Viuda/o"/>
    <x v="4"/>
    <s v="1. Completa"/>
    <s v="1. Menos de $470"/>
    <s v="2. SEGURO"/>
    <s v="EN DIOS CONFIA"/>
    <m/>
    <m/>
    <x v="2"/>
    <s v="Mañana  (06:00 a 11:59)"/>
    <n v="0"/>
    <n v="1"/>
    <n v="0"/>
    <n v="0"/>
    <n v="0"/>
    <x v="0"/>
    <x v="1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1"/>
    <x v="2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0"/>
    <m/>
    <x v="0"/>
    <x v="1"/>
    <x v="1"/>
    <x v="2"/>
    <m/>
    <x v="1"/>
    <x v="2"/>
    <x v="2"/>
    <x v="1"/>
    <x v="1"/>
    <x v="1"/>
    <x v="1"/>
    <x v="2"/>
    <x v="2"/>
    <x v="1"/>
    <x v="1"/>
    <x v="1"/>
    <x v="1"/>
    <x v="2"/>
    <x v="1"/>
    <x v="0"/>
    <x v="0"/>
    <x v="0"/>
    <x v="1"/>
    <x v="1"/>
    <x v="2"/>
    <x v="0"/>
    <x v="1"/>
    <x v="1"/>
    <x v="1"/>
    <x v="1"/>
    <x v="1"/>
    <x v="1"/>
    <x v="2"/>
    <x v="1"/>
    <m/>
    <m/>
    <m/>
    <m/>
    <x v="0"/>
    <x v="0"/>
    <x v="1"/>
    <n v="0"/>
    <n v="0"/>
    <n v="0"/>
    <n v="0"/>
    <n v="0"/>
    <n v="0"/>
    <n v="0"/>
    <n v="0"/>
    <n v="1"/>
    <s v="GRANIZADO CON FRUTAS"/>
    <m/>
    <n v="83809163"/>
    <s v="c5ca4df2-e947-40a8-a1e0-a22cedf16e3f"/>
    <d v="2025-04-15T15:49:44"/>
    <m/>
    <m/>
    <s v="submitted_via_web"/>
    <m/>
    <s v="vVTBbbcBrmiSLVRNsT59sL"/>
    <m/>
    <n v="150"/>
  </r>
  <r>
    <d v="2025-04-15T10:36:44"/>
    <d v="2025-04-15T10:50:12"/>
    <s v="AFC"/>
    <n v="63"/>
    <d v="2025-03-22T00:00:00"/>
    <n v="3"/>
    <s v="BP"/>
    <s v="JA"/>
    <s v="-0,17910"/>
    <s v="-78,48408"/>
    <s v="1. Sí"/>
    <n v="30"/>
    <s v="1. Años"/>
    <n v="0"/>
    <n v="0"/>
    <n v="0"/>
    <n v="0"/>
    <x v="0"/>
    <n v="52"/>
    <x v="1"/>
    <s v="1. Sí"/>
    <m/>
    <s v="6. Mestiza(o)"/>
    <m/>
    <s v="5. Soltera/o"/>
    <x v="0"/>
    <s v="1. Completa"/>
    <s v="2. de $471 a $919"/>
    <s v="3. INSEGURO"/>
    <s v="LE HAN INTENTADO PASAR"/>
    <s v="HAY DELINCUENCIA"/>
    <m/>
    <x v="1"/>
    <s v="Noche  (18:00 a 23:59)"/>
    <n v="0"/>
    <n v="0"/>
    <n v="0"/>
    <n v="1"/>
    <n v="0"/>
    <x v="1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1"/>
    <x v="2"/>
    <x v="1"/>
    <x v="1"/>
    <x v="0"/>
    <x v="0"/>
    <x v="1"/>
    <x v="1"/>
    <x v="0"/>
    <x v="2"/>
    <x v="0"/>
    <x v="0"/>
    <x v="1"/>
    <x v="3"/>
    <x v="0"/>
    <x v="0"/>
    <x v="0"/>
    <x v="0"/>
    <x v="1"/>
    <x v="3"/>
    <x v="1"/>
    <x v="2"/>
    <x v="0"/>
    <x v="0"/>
    <x v="0"/>
    <x v="0"/>
    <x v="0"/>
    <m/>
    <x v="0"/>
    <x v="0"/>
    <x v="2"/>
    <x v="1"/>
    <m/>
    <x v="0"/>
    <x v="0"/>
    <x v="0"/>
    <x v="0"/>
    <x v="0"/>
    <x v="0"/>
    <x v="0"/>
    <x v="0"/>
    <x v="0"/>
    <x v="1"/>
    <x v="1"/>
    <x v="2"/>
    <x v="0"/>
    <x v="0"/>
    <x v="0"/>
    <x v="0"/>
    <x v="2"/>
    <x v="1"/>
    <x v="0"/>
    <x v="2"/>
    <x v="2"/>
    <x v="0"/>
    <x v="1"/>
    <x v="1"/>
    <x v="1"/>
    <x v="2"/>
    <x v="0"/>
    <x v="0"/>
    <x v="0"/>
    <x v="0"/>
    <m/>
    <s v="FELIZ PORQUE TIENE UN MEDIO DE SUSTENTO"/>
    <s v="PERO FATAL SEGURIDAD"/>
    <m/>
    <x v="0"/>
    <x v="0"/>
    <x v="1"/>
    <n v="0"/>
    <n v="0"/>
    <n v="0"/>
    <n v="0"/>
    <n v="0"/>
    <n v="0"/>
    <n v="0"/>
    <n v="0"/>
    <n v="1"/>
    <s v="JUEGO DE LA CAMA ELASTICA"/>
    <m/>
    <n v="83809183"/>
    <s v="7fd5422d-a6db-4bab-b8ed-1034d7147409"/>
    <d v="2025-04-15T15:50:13"/>
    <m/>
    <m/>
    <s v="submitted_via_web"/>
    <m/>
    <s v="vVTBbbcBrmiSLVRNsT59sL"/>
    <m/>
    <n v="151"/>
  </r>
  <r>
    <d v="2025-04-15T10:49:44"/>
    <d v="2025-04-15T10:53:28"/>
    <s v="JP"/>
    <n v="124"/>
    <d v="2025-03-23T00:00:00"/>
    <n v="2"/>
    <s v="GB-CCH"/>
    <s v="OM"/>
    <s v="-0,18268"/>
    <s v="-78,48312"/>
    <s v="1. Sí"/>
    <n v="32"/>
    <s v="1. Años"/>
    <n v="0"/>
    <n v="0"/>
    <n v="0"/>
    <n v="0"/>
    <x v="1"/>
    <n v="61"/>
    <x v="2"/>
    <s v="1. Sí"/>
    <m/>
    <s v="6. Mestiza(o)"/>
    <m/>
    <s v="5. Soltera/o"/>
    <x v="3"/>
    <s v="1. Completa"/>
    <s v="1. Menos de $470"/>
    <s v="4. MUY INSEGURO"/>
    <s v="MUCHOS ASALTOS"/>
    <s v="NO HAY AYUDA DE POLCIA"/>
    <m/>
    <x v="0"/>
    <s v="Mañana  (06:00 a 11:59) Tarde (12:00 a 17:59)"/>
    <n v="0"/>
    <n v="1"/>
    <n v="1"/>
    <n v="0"/>
    <n v="0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2"/>
    <x v="1"/>
    <x v="1"/>
    <x v="0"/>
    <x v="3"/>
    <x v="0"/>
    <x v="0"/>
    <x v="1"/>
    <x v="1"/>
    <x v="0"/>
    <x v="0"/>
    <x v="1"/>
    <x v="1"/>
    <x v="1"/>
    <x v="1"/>
    <x v="0"/>
    <x v="0"/>
    <x v="0"/>
    <x v="0"/>
    <x v="0"/>
    <x v="0"/>
    <x v="1"/>
    <x v="1"/>
    <x v="1"/>
    <x v="2"/>
    <x v="0"/>
    <x v="0"/>
    <x v="0"/>
    <x v="0"/>
    <x v="0"/>
    <x v="0"/>
    <x v="0"/>
    <m/>
    <x v="0"/>
    <x v="0"/>
    <x v="0"/>
    <x v="0"/>
    <m/>
    <x v="0"/>
    <x v="0"/>
    <x v="0"/>
    <x v="0"/>
    <x v="0"/>
    <x v="0"/>
    <x v="1"/>
    <x v="1"/>
    <x v="0"/>
    <x v="0"/>
    <x v="0"/>
    <x v="0"/>
    <x v="1"/>
    <x v="1"/>
    <x v="0"/>
    <x v="1"/>
    <x v="1"/>
    <x v="1"/>
    <x v="0"/>
    <x v="0"/>
    <x v="0"/>
    <x v="1"/>
    <x v="2"/>
    <x v="1"/>
    <x v="1"/>
    <x v="2"/>
    <x v="0"/>
    <x v="0"/>
    <x v="0"/>
    <x v="0"/>
    <m/>
    <s v="ALEGRIA"/>
    <s v="TRISTEZA"/>
    <s v="COMPARTIR CON LOS CLIENTES"/>
    <x v="0"/>
    <x v="0"/>
    <x v="1"/>
    <n v="0"/>
    <n v="0"/>
    <n v="0"/>
    <n v="0"/>
    <n v="0"/>
    <n v="0"/>
    <n v="0"/>
    <n v="0"/>
    <n v="1"/>
    <s v="JUGOS Y BEBIDAS"/>
    <m/>
    <n v="83809400"/>
    <s v="eeeec4ba-18bd-4b18-81ad-9b83e6e1666a"/>
    <d v="2025-04-15T15:53:29"/>
    <m/>
    <m/>
    <s v="submitted_via_web"/>
    <m/>
    <s v="vVTBbbcBrmiSLVRNsT59sL"/>
    <m/>
    <n v="152"/>
  </r>
  <r>
    <d v="2025-04-15T10:53:28"/>
    <d v="2025-04-15T10:57:10"/>
    <s v="JP"/>
    <n v="121"/>
    <d v="2025-03-23T00:00:00"/>
    <n v="2"/>
    <s v="GB-CCH"/>
    <s v="OM"/>
    <s v="-0,18143"/>
    <s v="-78,48384"/>
    <s v="1. Sí"/>
    <n v="30"/>
    <s v="1. Años"/>
    <n v="0"/>
    <n v="0"/>
    <n v="0"/>
    <n v="0"/>
    <x v="0"/>
    <n v="35"/>
    <x v="0"/>
    <s v="1. Sí"/>
    <m/>
    <s v="6. Mestiza(o)"/>
    <m/>
    <s v="1. Unión de Hecho/Libre"/>
    <x v="0"/>
    <s v="1. Completa"/>
    <s v="1. Menos de $470"/>
    <s v="4. MUY INSEGURO"/>
    <s v="LA DELINCUENCIA"/>
    <s v="VENTA DE DORGAS"/>
    <s v="VENTAS AMBULANTES"/>
    <x v="3"/>
    <s v="Mañana  (06:00 a 11:59) Tarde (12:00 a 17:59)"/>
    <n v="0"/>
    <n v="1"/>
    <n v="1"/>
    <n v="0"/>
    <n v="0"/>
    <x v="1"/>
    <x v="0"/>
    <x v="1"/>
    <x v="0"/>
    <x v="3"/>
    <n v="0"/>
    <n v="0"/>
    <n v="0"/>
    <n v="0"/>
    <n v="0"/>
    <n v="1"/>
    <s v="CHAT COMUNITARIO"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1"/>
    <x v="1"/>
    <x v="0"/>
    <x v="1"/>
    <x v="0"/>
    <x v="1"/>
    <x v="0"/>
    <x v="2"/>
    <x v="1"/>
    <x v="1"/>
    <x v="1"/>
    <x v="3"/>
    <x v="0"/>
    <x v="0"/>
    <x v="1"/>
    <x v="3"/>
    <x v="1"/>
    <x v="2"/>
    <x v="1"/>
    <x v="1"/>
    <x v="1"/>
    <x v="1"/>
    <x v="1"/>
    <x v="2"/>
    <x v="0"/>
    <x v="1"/>
    <x v="0"/>
    <x v="0"/>
    <x v="0"/>
    <x v="0"/>
    <x v="0"/>
    <m/>
    <x v="0"/>
    <x v="0"/>
    <x v="0"/>
    <x v="0"/>
    <m/>
    <x v="0"/>
    <x v="0"/>
    <x v="0"/>
    <x v="0"/>
    <x v="0"/>
    <x v="0"/>
    <x v="0"/>
    <x v="0"/>
    <x v="0"/>
    <x v="0"/>
    <x v="0"/>
    <x v="0"/>
    <x v="0"/>
    <x v="0"/>
    <x v="0"/>
    <x v="0"/>
    <x v="2"/>
    <x v="1"/>
    <x v="0"/>
    <x v="0"/>
    <x v="0"/>
    <x v="0"/>
    <x v="1"/>
    <x v="1"/>
    <x v="1"/>
    <x v="2"/>
    <x v="0"/>
    <x v="0"/>
    <x v="0"/>
    <x v="0"/>
    <m/>
    <s v="INSEGURIDAD"/>
    <s v="ESTRES PARECE MERCADO"/>
    <m/>
    <x v="0"/>
    <x v="0"/>
    <x v="1"/>
    <n v="0"/>
    <n v="0"/>
    <n v="0"/>
    <n v="0"/>
    <n v="0"/>
    <n v="0"/>
    <n v="0"/>
    <n v="0"/>
    <n v="1"/>
    <s v="JUGOS"/>
    <m/>
    <n v="83809783"/>
    <s v="dcefb4a0-6e67-4d12-9278-9664d86318ce"/>
    <d v="2025-04-15T15:57:10"/>
    <m/>
    <m/>
    <s v="submitted_via_web"/>
    <m/>
    <s v="vVTBbbcBrmiSLVRNsT59sL"/>
    <m/>
    <n v="153"/>
  </r>
  <r>
    <d v="2025-04-15T10:57:10"/>
    <d v="2025-04-15T11:00:29"/>
    <s v="JP"/>
    <n v="114"/>
    <m/>
    <m/>
    <s v="CV"/>
    <m/>
    <s v="-0,18757"/>
    <s v="-78,48383"/>
    <s v="1. Sí"/>
    <n v="22"/>
    <s v="1. Años"/>
    <n v="2"/>
    <n v="0"/>
    <n v="0"/>
    <n v="0"/>
    <x v="0"/>
    <n v="52"/>
    <x v="1"/>
    <s v="1. Sí"/>
    <m/>
    <s v="6. Mestiza(o)"/>
    <m/>
    <s v="4. Casada/o"/>
    <x v="0"/>
    <s v="1. Completa"/>
    <s v="1. Menos de $470"/>
    <s v="2. SEGURO"/>
    <s v="UN GRUPO DE COMERCIANTES"/>
    <m/>
    <m/>
    <x v="0"/>
    <s v="Mañana  (06:00 a 11:59)"/>
    <n v="0"/>
    <n v="1"/>
    <n v="0"/>
    <n v="0"/>
    <n v="0"/>
    <x v="1"/>
    <x v="0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2"/>
    <x v="0"/>
    <x v="0"/>
    <x v="1"/>
    <x v="2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0"/>
    <m/>
    <x v="0"/>
    <x v="1"/>
    <x v="1"/>
    <x v="2"/>
    <m/>
    <x v="1"/>
    <x v="2"/>
    <x v="2"/>
    <x v="1"/>
    <x v="1"/>
    <x v="1"/>
    <x v="1"/>
    <x v="2"/>
    <x v="2"/>
    <x v="1"/>
    <x v="1"/>
    <x v="2"/>
    <x v="1"/>
    <x v="2"/>
    <x v="2"/>
    <x v="1"/>
    <x v="1"/>
    <x v="1"/>
    <x v="0"/>
    <x v="0"/>
    <x v="0"/>
    <x v="0"/>
    <x v="0"/>
    <x v="0"/>
    <x v="0"/>
    <x v="0"/>
    <x v="0"/>
    <x v="0"/>
    <x v="0"/>
    <x v="0"/>
    <m/>
    <s v="VISITANTE AL PARQUE"/>
    <m/>
    <m/>
    <x v="0"/>
    <x v="0"/>
    <x v="0"/>
    <n v="0"/>
    <n v="0"/>
    <n v="0"/>
    <n v="0"/>
    <n v="1"/>
    <n v="0"/>
    <n v="0"/>
    <n v="0"/>
    <n v="0"/>
    <m/>
    <m/>
    <n v="83810132"/>
    <s v="f359bfe8-7091-427c-bcd4-4bad5c656cc4"/>
    <d v="2025-04-15T16:00:30"/>
    <m/>
    <m/>
    <s v="submitted_via_web"/>
    <m/>
    <s v="vVTBbbcBrmiSLVRNsT59sL"/>
    <m/>
    <n v="154"/>
  </r>
  <r>
    <d v="2025-04-15T10:50:12"/>
    <d v="2025-04-15T11:09:43"/>
    <s v="AFC"/>
    <n v="65"/>
    <d v="2025-03-22T00:00:00"/>
    <n v="3"/>
    <s v="BP"/>
    <s v="JA"/>
    <s v="-0,17928"/>
    <s v="-78,48409"/>
    <s v="1. Sí"/>
    <n v="21"/>
    <s v="1. Años"/>
    <n v="0"/>
    <n v="0"/>
    <n v="0"/>
    <n v="0"/>
    <x v="1"/>
    <n v="52"/>
    <x v="1"/>
    <s v="1. Sí"/>
    <m/>
    <s v="6. Mestiza(o)"/>
    <m/>
    <s v="4. Casada/o"/>
    <x v="1"/>
    <s v="1. Completa"/>
    <s v="2. de $471 a $919"/>
    <s v="3. INSEGURO"/>
    <s v="HAY VARIOS DELINCUENTES ROBANDO LOS PUESTOS"/>
    <s v="GENTE TOMANDO ALCOHOL"/>
    <m/>
    <x v="1"/>
    <s v="Noche  (18:00 a 23:59)"/>
    <n v="0"/>
    <n v="0"/>
    <n v="0"/>
    <n v="1"/>
    <n v="0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0"/>
    <x v="3"/>
    <x v="1"/>
    <x v="1"/>
    <x v="0"/>
    <x v="0"/>
    <x v="1"/>
    <x v="2"/>
    <x v="0"/>
    <x v="2"/>
    <x v="0"/>
    <x v="0"/>
    <x v="0"/>
    <x v="0"/>
    <x v="0"/>
    <x v="0"/>
    <x v="0"/>
    <x v="0"/>
    <x v="0"/>
    <x v="0"/>
    <x v="1"/>
    <x v="2"/>
    <x v="0"/>
    <x v="0"/>
    <x v="0"/>
    <x v="0"/>
    <x v="0"/>
    <m/>
    <x v="0"/>
    <x v="0"/>
    <x v="2"/>
    <x v="0"/>
    <m/>
    <x v="1"/>
    <x v="1"/>
    <x v="0"/>
    <x v="0"/>
    <x v="0"/>
    <x v="0"/>
    <x v="0"/>
    <x v="0"/>
    <x v="0"/>
    <x v="1"/>
    <x v="2"/>
    <x v="0"/>
    <x v="0"/>
    <x v="0"/>
    <x v="0"/>
    <x v="1"/>
    <x v="1"/>
    <x v="1"/>
    <x v="1"/>
    <x v="1"/>
    <x v="2"/>
    <x v="0"/>
    <x v="1"/>
    <x v="1"/>
    <x v="1"/>
    <x v="2"/>
    <x v="0"/>
    <x v="0"/>
    <x v="0"/>
    <x v="0"/>
    <m/>
    <s v="SIENTE INSEGURIDAD EN EL PARQUE"/>
    <s v="PERO ES SU PUESTO DE TRABAJO"/>
    <s v="SE SIENTE FELIZ AL TENER UN SUSTENTO"/>
    <x v="0"/>
    <x v="0"/>
    <x v="0"/>
    <n v="0"/>
    <n v="0"/>
    <n v="0"/>
    <n v="0"/>
    <n v="1"/>
    <n v="0"/>
    <n v="0"/>
    <n v="0"/>
    <n v="0"/>
    <m/>
    <m/>
    <n v="83810764"/>
    <s v="96113c64-7021-45e6-858c-c17b186238f5"/>
    <d v="2025-04-15T16:09:43"/>
    <m/>
    <m/>
    <s v="submitted_via_web"/>
    <m/>
    <s v="vVTBbbcBrmiSLVRNsT59sL"/>
    <m/>
    <n v="155"/>
  </r>
  <r>
    <d v="2025-04-15T11:09:43"/>
    <d v="2025-04-15T15:25:50"/>
    <s v="AFC"/>
    <n v="69"/>
    <d v="2025-03-22T00:00:00"/>
    <n v="3"/>
    <s v="JC"/>
    <s v="JA"/>
    <s v="-0,17841"/>
    <s v="-78,48340"/>
    <s v="1. Sí"/>
    <n v="17"/>
    <s v="1. Años"/>
    <n v="0"/>
    <n v="0"/>
    <n v="0"/>
    <n v="0"/>
    <x v="1"/>
    <n v="52"/>
    <x v="1"/>
    <s v="1. Sí"/>
    <m/>
    <s v="6. Mestiza(o)"/>
    <m/>
    <s v="2. Divorciada/o"/>
    <x v="0"/>
    <s v="1. Completa"/>
    <s v="1. Menos de $470"/>
    <s v="3. INSEGURO"/>
    <s v="NO HAY POLICIA NACIONAL"/>
    <s v="GENTE MALA"/>
    <s v="NO HAY AGUA"/>
    <x v="0"/>
    <s v="Todos los horarios"/>
    <n v="0"/>
    <n v="0"/>
    <n v="0"/>
    <n v="0"/>
    <n v="1"/>
    <x v="0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0"/>
    <x v="1"/>
    <x v="0"/>
    <x v="0"/>
    <x v="0"/>
    <x v="0"/>
    <x v="1"/>
    <x v="3"/>
    <x v="1"/>
    <x v="1"/>
    <x v="0"/>
    <x v="0"/>
    <x v="0"/>
    <x v="0"/>
    <x v="0"/>
    <x v="0"/>
    <x v="0"/>
    <x v="0"/>
    <x v="1"/>
    <x v="1"/>
    <x v="0"/>
    <x v="3"/>
    <x v="0"/>
    <x v="0"/>
    <x v="1"/>
    <x v="2"/>
    <x v="0"/>
    <m/>
    <x v="0"/>
    <x v="0"/>
    <x v="0"/>
    <x v="1"/>
    <m/>
    <x v="1"/>
    <x v="1"/>
    <x v="0"/>
    <x v="1"/>
    <x v="2"/>
    <x v="0"/>
    <x v="0"/>
    <x v="0"/>
    <x v="0"/>
    <x v="1"/>
    <x v="2"/>
    <x v="0"/>
    <x v="1"/>
    <x v="1"/>
    <x v="0"/>
    <x v="0"/>
    <x v="2"/>
    <x v="1"/>
    <x v="0"/>
    <x v="2"/>
    <x v="2"/>
    <x v="0"/>
    <x v="1"/>
    <x v="1"/>
    <x v="1"/>
    <x v="2"/>
    <x v="0"/>
    <x v="0"/>
    <x v="0"/>
    <x v="0"/>
    <m/>
    <s v="TRISTE"/>
    <s v="MAL POR MUCHAS VENTAS INFORMALES"/>
    <s v="MAL TIEMPO"/>
    <x v="0"/>
    <x v="0"/>
    <x v="1"/>
    <n v="0"/>
    <n v="0"/>
    <n v="0"/>
    <n v="0"/>
    <n v="0"/>
    <n v="0"/>
    <n v="0"/>
    <n v="0"/>
    <n v="1"/>
    <s v="JUGOS Y FRUTAS"/>
    <m/>
    <n v="83827916"/>
    <s v="01092356-73f0-4724-a898-8199581dec33"/>
    <d v="2025-04-15T20:25:50"/>
    <m/>
    <m/>
    <s v="submitted_via_web"/>
    <m/>
    <s v="vVTBbbcBrmiSLVRNsT59sL"/>
    <m/>
    <n v="156"/>
  </r>
  <r>
    <d v="2025-04-15T15:25:50"/>
    <d v="2025-04-15T15:36:02"/>
    <s v="AFC"/>
    <n v="70"/>
    <d v="2025-03-22T00:00:00"/>
    <n v="3"/>
    <s v="JC"/>
    <s v="JD"/>
    <s v="-0,17870"/>
    <s v="-78,48341"/>
    <s v="1. Sí"/>
    <n v="17"/>
    <s v="1. Años"/>
    <n v="0"/>
    <n v="0"/>
    <n v="0"/>
    <n v="0"/>
    <x v="1"/>
    <n v="52"/>
    <x v="1"/>
    <s v="1. Sí"/>
    <m/>
    <s v="1. Indígena"/>
    <m/>
    <s v="4. Casada/o"/>
    <x v="1"/>
    <s v="1. Completa"/>
    <s v="1. Menos de $470"/>
    <s v="2. SEGURO"/>
    <s v="PRESENCIA DE POLICIA"/>
    <s v="AFLUENCIA DE PERSONAS EJERCITANDOSE"/>
    <s v="GENTE BUENA"/>
    <x v="0"/>
    <s v="Todos los horarios"/>
    <n v="0"/>
    <n v="0"/>
    <n v="0"/>
    <n v="0"/>
    <n v="1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1"/>
    <x v="2"/>
    <x v="1"/>
    <x v="2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0"/>
    <m/>
    <x v="0"/>
    <x v="0"/>
    <x v="0"/>
    <x v="0"/>
    <m/>
    <x v="1"/>
    <x v="2"/>
    <x v="1"/>
    <x v="0"/>
    <x v="0"/>
    <x v="0"/>
    <x v="0"/>
    <x v="0"/>
    <x v="0"/>
    <x v="1"/>
    <x v="1"/>
    <x v="2"/>
    <x v="0"/>
    <x v="0"/>
    <x v="0"/>
    <x v="1"/>
    <x v="1"/>
    <x v="1"/>
    <x v="0"/>
    <x v="0"/>
    <x v="1"/>
    <x v="0"/>
    <x v="1"/>
    <x v="1"/>
    <x v="0"/>
    <x v="0"/>
    <x v="0"/>
    <x v="0"/>
    <x v="0"/>
    <x v="0"/>
    <m/>
    <s v="TRANQUILIDAD"/>
    <s v="PAZ"/>
    <s v="AFLUENCIA"/>
    <x v="0"/>
    <x v="0"/>
    <x v="1"/>
    <n v="0"/>
    <n v="0"/>
    <n v="0"/>
    <n v="0"/>
    <n v="0"/>
    <n v="0"/>
    <n v="0"/>
    <n v="0"/>
    <n v="1"/>
    <s v="GRANIZADOS Y ALGODON DE  AZUCAR"/>
    <m/>
    <n v="83828130"/>
    <s v="9e34059f-8403-4288-947c-8832788ceda2"/>
    <d v="2025-04-15T20:36:02"/>
    <m/>
    <m/>
    <s v="submitted_via_web"/>
    <m/>
    <s v="vVTBbbcBrmiSLVRNsT59sL"/>
    <m/>
    <n v="157"/>
  </r>
  <r>
    <d v="2025-04-15T15:36:02"/>
    <d v="2025-04-15T15:47:18"/>
    <s v="AFC"/>
    <n v="113"/>
    <d v="2025-03-22T00:00:00"/>
    <n v="1"/>
    <s v="GB-SCH"/>
    <s v="GH"/>
    <s v="-0,18758"/>
    <s v="-78,48381"/>
    <s v="1. Sí"/>
    <n v="15"/>
    <s v="1. Años"/>
    <n v="0"/>
    <n v="0"/>
    <n v="0"/>
    <n v="0"/>
    <x v="0"/>
    <n v="52"/>
    <x v="1"/>
    <s v="1. Sí"/>
    <m/>
    <s v="1. Indígena"/>
    <m/>
    <s v="4. Casada/o"/>
    <x v="1"/>
    <s v="1. Completa"/>
    <s v="2. de $471 a $919"/>
    <s v="3. INSEGURO"/>
    <s v="FALTA DE PRESENCIA DE LA POLICIA"/>
    <m/>
    <m/>
    <x v="0"/>
    <s v="Todos los horarios"/>
    <n v="0"/>
    <n v="0"/>
    <n v="0"/>
    <n v="0"/>
    <n v="1"/>
    <x v="2"/>
    <x v="1"/>
    <x v="0"/>
    <x v="0"/>
    <x v="0"/>
    <n v="1"/>
    <n v="0"/>
    <n v="0"/>
    <n v="0"/>
    <n v="0"/>
    <n v="0"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2"/>
    <x v="0"/>
    <x v="0"/>
    <x v="1"/>
    <x v="2"/>
    <x v="1"/>
    <x v="2"/>
    <x v="1"/>
    <x v="1"/>
    <x v="1"/>
    <x v="2"/>
    <x v="1"/>
    <x v="1"/>
    <x v="0"/>
    <x v="2"/>
    <x v="0"/>
    <x v="0"/>
    <x v="0"/>
    <x v="0"/>
    <x v="0"/>
    <x v="0"/>
    <x v="0"/>
    <x v="0"/>
    <x v="0"/>
    <x v="0"/>
    <x v="0"/>
    <x v="3"/>
    <x v="0"/>
    <x v="0"/>
    <x v="1"/>
    <x v="2"/>
    <x v="0"/>
    <m/>
    <x v="0"/>
    <x v="0"/>
    <x v="0"/>
    <x v="0"/>
    <m/>
    <x v="0"/>
    <x v="0"/>
    <x v="0"/>
    <x v="0"/>
    <x v="0"/>
    <x v="0"/>
    <x v="0"/>
    <x v="0"/>
    <x v="0"/>
    <x v="1"/>
    <x v="2"/>
    <x v="0"/>
    <x v="0"/>
    <x v="0"/>
    <x v="0"/>
    <x v="1"/>
    <x v="1"/>
    <x v="1"/>
    <x v="0"/>
    <x v="0"/>
    <x v="0"/>
    <x v="0"/>
    <x v="1"/>
    <x v="1"/>
    <x v="0"/>
    <x v="0"/>
    <x v="0"/>
    <x v="0"/>
    <x v="0"/>
    <x v="0"/>
    <m/>
    <s v="ESPERANZA DE MEJORA DEL PARQUE"/>
    <s v="MEJORAR COMO PERSONA"/>
    <m/>
    <x v="0"/>
    <x v="0"/>
    <x v="0"/>
    <n v="0"/>
    <n v="0"/>
    <n v="0"/>
    <n v="0"/>
    <n v="1"/>
    <n v="0"/>
    <n v="0"/>
    <n v="0"/>
    <n v="0"/>
    <m/>
    <s v="MEJORA DE ESPACIO EN SU TOTALIDAD"/>
    <n v="83828350"/>
    <s v="83c3c5cc-9c4c-45b8-b0cf-d21da766807d"/>
    <d v="2025-04-15T20:47:19"/>
    <m/>
    <m/>
    <s v="submitted_via_web"/>
    <m/>
    <s v="vVTBbbcBrmiSLVRNsT59sL"/>
    <m/>
    <n v="158"/>
  </r>
  <r>
    <d v="2025-04-15T15:47:18"/>
    <d v="2025-04-15T16:17:31"/>
    <s v="AFC"/>
    <n v="103"/>
    <d v="2025-03-22T00:00:00"/>
    <n v="1"/>
    <s v="MQ"/>
    <s v="GH"/>
    <s v="-0,18693"/>
    <s v="-78,48425"/>
    <s v="1. Sí"/>
    <n v="8"/>
    <s v="2. Meses"/>
    <n v="0"/>
    <n v="0"/>
    <n v="0"/>
    <n v="0"/>
    <x v="0"/>
    <n v="52"/>
    <x v="1"/>
    <s v="1. Sí"/>
    <m/>
    <s v="6. Mestiza(o)"/>
    <m/>
    <s v="5. Soltera/o"/>
    <x v="0"/>
    <s v="1. Completa"/>
    <s v="99. NS/NC"/>
    <s v="2. SEGURO"/>
    <s v="SEGURO POR EL TIEMPO QUE TRABAJA"/>
    <s v="COMPAÑERISMO CON LA ASOCIACION"/>
    <m/>
    <x v="0"/>
    <s v="Noche  (18:00 a 23:59)"/>
    <n v="0"/>
    <n v="0"/>
    <n v="0"/>
    <n v="1"/>
    <n v="0"/>
    <x v="1"/>
    <x v="1"/>
    <x v="0"/>
    <x v="0"/>
    <x v="3"/>
    <n v="0"/>
    <n v="0"/>
    <n v="0"/>
    <n v="0"/>
    <n v="0"/>
    <n v="1"/>
    <s v="POR MEDIO DE LA ASOCIACION CONTRATO GUARDIAS"/>
    <x v="0"/>
    <x v="0"/>
    <m/>
    <m/>
    <m/>
    <m/>
    <m/>
    <m/>
    <m/>
    <m/>
    <m/>
    <m/>
    <m/>
    <m/>
    <m/>
    <m/>
    <m/>
    <m/>
    <m/>
    <m/>
    <m/>
    <m/>
    <m/>
    <x v="0"/>
    <m/>
    <x v="1"/>
    <x v="2"/>
    <x v="0"/>
    <x v="0"/>
    <x v="0"/>
    <x v="0"/>
    <x v="0"/>
    <x v="3"/>
    <x v="2"/>
    <x v="1"/>
    <x v="1"/>
    <x v="2"/>
    <x v="1"/>
    <x v="1"/>
    <x v="0"/>
    <x v="2"/>
    <x v="0"/>
    <x v="0"/>
    <x v="1"/>
    <x v="1"/>
    <x v="1"/>
    <x v="2"/>
    <x v="0"/>
    <x v="0"/>
    <x v="0"/>
    <x v="0"/>
    <x v="0"/>
    <x v="3"/>
    <x v="0"/>
    <x v="0"/>
    <x v="0"/>
    <x v="0"/>
    <x v="0"/>
    <m/>
    <x v="0"/>
    <x v="0"/>
    <x v="2"/>
    <x v="1"/>
    <m/>
    <x v="0"/>
    <x v="0"/>
    <x v="0"/>
    <x v="0"/>
    <x v="0"/>
    <x v="0"/>
    <x v="0"/>
    <x v="0"/>
    <x v="0"/>
    <x v="1"/>
    <x v="1"/>
    <x v="2"/>
    <x v="0"/>
    <x v="0"/>
    <x v="0"/>
    <x v="1"/>
    <x v="1"/>
    <x v="1"/>
    <x v="0"/>
    <x v="0"/>
    <x v="0"/>
    <x v="0"/>
    <x v="0"/>
    <x v="2"/>
    <x v="1"/>
    <x v="1"/>
    <x v="2"/>
    <x v="0"/>
    <x v="0"/>
    <x v="0"/>
    <m/>
    <s v="SIENTO TRANQUILO Y PREOCUPACION NECESARIA"/>
    <m/>
    <m/>
    <x v="0"/>
    <x v="0"/>
    <x v="1"/>
    <n v="0"/>
    <n v="0"/>
    <n v="0"/>
    <n v="0"/>
    <n v="0"/>
    <n v="0"/>
    <n v="0"/>
    <n v="0"/>
    <n v="1"/>
    <s v="INFLABLE"/>
    <m/>
    <n v="83828960"/>
    <s v="245f858a-6a93-44f6-8da6-59073108607f"/>
    <d v="2025-04-15T21:17:31"/>
    <m/>
    <m/>
    <s v="submitted_via_web"/>
    <m/>
    <s v="vVTBbbcBrmiSLVRNsT59sL"/>
    <m/>
    <n v="159"/>
  </r>
  <r>
    <d v="2025-04-16T09:00:35"/>
    <d v="2025-04-16T09:05:01"/>
    <s v="AFC"/>
    <n v="102"/>
    <d v="2025-03-22T00:00:00"/>
    <n v="1"/>
    <s v="FB"/>
    <s v="GH"/>
    <s v="-0,18730"/>
    <s v="-78,48437"/>
    <s v="1. Sí"/>
    <n v="20"/>
    <s v="1. Años"/>
    <n v="0"/>
    <n v="0"/>
    <n v="0"/>
    <n v="0"/>
    <x v="1"/>
    <n v="27"/>
    <x v="0"/>
    <s v="1. Sí"/>
    <m/>
    <s v="6. Mestiza(o)"/>
    <m/>
    <s v="4. Casada/o"/>
    <x v="2"/>
    <s v="1. Completa"/>
    <s v="99. NS/NC"/>
    <s v="3. INSEGURO"/>
    <s v="ROBOS"/>
    <m/>
    <m/>
    <x v="1"/>
    <s v="Tarde (12:00 a 17:59)"/>
    <n v="0"/>
    <n v="0"/>
    <n v="1"/>
    <n v="0"/>
    <n v="0"/>
    <x v="2"/>
    <x v="1"/>
    <x v="1"/>
    <x v="0"/>
    <x v="3"/>
    <n v="0"/>
    <n v="0"/>
    <n v="0"/>
    <n v="0"/>
    <n v="0"/>
    <n v="1"/>
    <s v="AMARRAN LAS COSAS"/>
    <x v="1"/>
    <x v="1"/>
    <n v="0"/>
    <n v="1"/>
    <n v="0"/>
    <n v="0"/>
    <n v="0"/>
    <n v="0"/>
    <n v="0"/>
    <n v="0"/>
    <n v="0"/>
    <n v="0"/>
    <n v="0"/>
    <m/>
    <m/>
    <m/>
    <s v="2. No"/>
    <m/>
    <m/>
    <m/>
    <m/>
    <m/>
    <m/>
    <x v="1"/>
    <m/>
    <x v="1"/>
    <x v="1"/>
    <x v="0"/>
    <x v="0"/>
    <x v="0"/>
    <x v="3"/>
    <x v="0"/>
    <x v="0"/>
    <x v="0"/>
    <x v="0"/>
    <x v="1"/>
    <x v="1"/>
    <x v="1"/>
    <x v="3"/>
    <x v="1"/>
    <x v="1"/>
    <x v="0"/>
    <x v="0"/>
    <x v="1"/>
    <x v="1"/>
    <x v="1"/>
    <x v="3"/>
    <x v="0"/>
    <x v="0"/>
    <x v="1"/>
    <x v="2"/>
    <x v="0"/>
    <x v="0"/>
    <x v="0"/>
    <x v="0"/>
    <x v="1"/>
    <x v="1"/>
    <x v="0"/>
    <m/>
    <x v="0"/>
    <x v="0"/>
    <x v="0"/>
    <x v="0"/>
    <m/>
    <x v="1"/>
    <x v="1"/>
    <x v="0"/>
    <x v="0"/>
    <x v="0"/>
    <x v="0"/>
    <x v="0"/>
    <x v="0"/>
    <x v="0"/>
    <x v="1"/>
    <x v="2"/>
    <x v="0"/>
    <x v="1"/>
    <x v="1"/>
    <x v="0"/>
    <x v="1"/>
    <x v="1"/>
    <x v="1"/>
    <x v="0"/>
    <x v="0"/>
    <x v="1"/>
    <x v="0"/>
    <x v="1"/>
    <x v="1"/>
    <x v="1"/>
    <x v="2"/>
    <x v="0"/>
    <x v="0"/>
    <x v="0"/>
    <x v="0"/>
    <m/>
    <s v="TRANQUILIDAD"/>
    <m/>
    <m/>
    <x v="0"/>
    <x v="0"/>
    <x v="4"/>
    <n v="0"/>
    <n v="0"/>
    <n v="1"/>
    <n v="0"/>
    <n v="0"/>
    <n v="0"/>
    <n v="0"/>
    <n v="0"/>
    <n v="0"/>
    <m/>
    <m/>
    <n v="83916978"/>
    <s v="e8d86c4b-5dc2-454c-b05f-90d1e01025ae"/>
    <d v="2025-04-16T14:05:02"/>
    <m/>
    <m/>
    <s v="submitted_via_web"/>
    <m/>
    <s v="vVTBbbcBrmiSLVRNsT59sL"/>
    <m/>
    <n v="160"/>
  </r>
  <r>
    <d v="2025-04-16T09:05:01"/>
    <d v="2025-04-16T09:12:46"/>
    <s v="AFC"/>
    <n v="101"/>
    <d v="2025-03-22T00:00:00"/>
    <n v="1"/>
    <s v="GB-GH"/>
    <s v="GH"/>
    <s v="-0,18723"/>
    <s v="-78,48443"/>
    <s v="1. Sí"/>
    <n v="26"/>
    <s v="1. Años"/>
    <n v="0"/>
    <n v="0"/>
    <n v="0"/>
    <n v="0"/>
    <x v="1"/>
    <n v="83"/>
    <x v="2"/>
    <s v="1. Sí"/>
    <m/>
    <s v="6. Mestiza(o)"/>
    <m/>
    <s v="5. Soltera/o"/>
    <x v="0"/>
    <s v="1. Completa"/>
    <s v="1. Menos de $470"/>
    <s v="3. INSEGURO"/>
    <s v="LE ROBAN DOS VECES EL PUESTO"/>
    <m/>
    <m/>
    <x v="0"/>
    <s v="Mañana  (06:00 a 11:59) Tarde (12:00 a 17:59)"/>
    <n v="0"/>
    <n v="1"/>
    <n v="1"/>
    <n v="0"/>
    <n v="0"/>
    <x v="1"/>
    <x v="1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3"/>
    <x v="0"/>
    <x v="0"/>
    <x v="0"/>
    <x v="0"/>
    <x v="1"/>
    <x v="2"/>
    <x v="1"/>
    <x v="1"/>
    <x v="0"/>
    <x v="0"/>
    <x v="0"/>
    <x v="0"/>
    <x v="1"/>
    <x v="1"/>
    <x v="0"/>
    <x v="0"/>
    <x v="0"/>
    <x v="0"/>
    <x v="0"/>
    <x v="0"/>
    <x v="0"/>
    <x v="0"/>
    <x v="1"/>
    <x v="3"/>
    <x v="1"/>
    <x v="2"/>
    <x v="0"/>
    <x v="0"/>
    <x v="0"/>
    <x v="0"/>
    <x v="0"/>
    <m/>
    <x v="0"/>
    <x v="0"/>
    <x v="0"/>
    <x v="0"/>
    <m/>
    <x v="1"/>
    <x v="1"/>
    <x v="0"/>
    <x v="1"/>
    <x v="2"/>
    <x v="0"/>
    <x v="0"/>
    <x v="0"/>
    <x v="0"/>
    <x v="0"/>
    <x v="0"/>
    <x v="0"/>
    <x v="0"/>
    <x v="0"/>
    <x v="0"/>
    <x v="1"/>
    <x v="1"/>
    <x v="1"/>
    <x v="0"/>
    <x v="0"/>
    <x v="0"/>
    <x v="1"/>
    <x v="2"/>
    <x v="1"/>
    <x v="0"/>
    <x v="0"/>
    <x v="0"/>
    <x v="0"/>
    <x v="0"/>
    <x v="0"/>
    <m/>
    <s v="SE SIENTE MAL POR LAS VENTAS AMBULANTES"/>
    <s v="DAÑAN AL PARQUE"/>
    <m/>
    <x v="0"/>
    <x v="0"/>
    <x v="13"/>
    <n v="0"/>
    <n v="0"/>
    <n v="0"/>
    <n v="0"/>
    <n v="0"/>
    <n v="0"/>
    <n v="1"/>
    <n v="0"/>
    <n v="1"/>
    <s v="JUGUETES"/>
    <m/>
    <n v="83917335"/>
    <s v="e02ea369-6946-4190-905f-f737fe9c595f"/>
    <d v="2025-04-16T14:12:47"/>
    <m/>
    <m/>
    <s v="submitted_via_web"/>
    <m/>
    <s v="vVTBbbcBrmiSLVRNsT59sL"/>
    <m/>
    <n v="161"/>
  </r>
  <r>
    <d v="2025-04-16T09:12:46"/>
    <d v="2025-04-16T09:16:31"/>
    <s v="AFC"/>
    <n v="100"/>
    <d v="2025-03-22T00:00:00"/>
    <n v="1"/>
    <s v="GB-CP"/>
    <s v="GH"/>
    <s v="-0,18716"/>
    <s v="-78,48447"/>
    <s v="1. Sí"/>
    <n v="32"/>
    <s v="1. Años"/>
    <n v="0"/>
    <n v="0"/>
    <n v="0"/>
    <n v="0"/>
    <x v="0"/>
    <n v="52"/>
    <x v="1"/>
    <s v="1. Sí"/>
    <m/>
    <s v="6. Mestiza(o)"/>
    <m/>
    <s v="4. Casada/o"/>
    <x v="1"/>
    <s v="1. Completa"/>
    <s v="2. de $471 a $919"/>
    <s v="3. INSEGURO"/>
    <s v="GENTE EXTRANJERA"/>
    <m/>
    <m/>
    <x v="0"/>
    <s v="Mañana  (06:00 a 11:59) Tarde (12:00 a 17:59) Noche  (18:00 a 23:59)"/>
    <n v="0"/>
    <n v="1"/>
    <n v="1"/>
    <n v="1"/>
    <n v="0"/>
    <x v="2"/>
    <x v="1"/>
    <x v="0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1"/>
    <x v="0"/>
    <x v="0"/>
    <x v="1"/>
    <x v="2"/>
    <x v="1"/>
    <x v="2"/>
    <x v="0"/>
    <x v="0"/>
    <x v="0"/>
    <x v="0"/>
    <x v="1"/>
    <x v="2"/>
    <x v="1"/>
    <x v="1"/>
    <x v="0"/>
    <x v="0"/>
    <x v="1"/>
    <x v="1"/>
    <x v="0"/>
    <x v="0"/>
    <x v="0"/>
    <x v="0"/>
    <x v="0"/>
    <x v="0"/>
    <x v="0"/>
    <x v="0"/>
    <x v="0"/>
    <x v="0"/>
    <x v="0"/>
    <x v="0"/>
    <x v="0"/>
    <m/>
    <x v="0"/>
    <x v="0"/>
    <x v="2"/>
    <x v="0"/>
    <m/>
    <x v="0"/>
    <x v="0"/>
    <x v="0"/>
    <x v="0"/>
    <x v="0"/>
    <x v="0"/>
    <x v="0"/>
    <x v="0"/>
    <x v="0"/>
    <x v="1"/>
    <x v="2"/>
    <x v="0"/>
    <x v="1"/>
    <x v="2"/>
    <x v="2"/>
    <x v="1"/>
    <x v="1"/>
    <x v="1"/>
    <x v="0"/>
    <x v="0"/>
    <x v="1"/>
    <x v="0"/>
    <x v="1"/>
    <x v="1"/>
    <x v="1"/>
    <x v="2"/>
    <x v="0"/>
    <x v="0"/>
    <x v="0"/>
    <x v="0"/>
    <m/>
    <s v="BIEN Y SEGURO"/>
    <m/>
    <m/>
    <x v="0"/>
    <x v="0"/>
    <x v="9"/>
    <n v="0"/>
    <n v="0"/>
    <n v="0"/>
    <n v="0"/>
    <n v="1"/>
    <n v="0"/>
    <n v="0"/>
    <n v="0"/>
    <n v="1"/>
    <s v="BEBIDAS"/>
    <m/>
    <n v="83917485"/>
    <s v="412903ea-1460-4ff2-82a0-ec412ca9a42a"/>
    <d v="2025-04-16T14:16:32"/>
    <m/>
    <m/>
    <s v="submitted_via_web"/>
    <m/>
    <s v="vVTBbbcBrmiSLVRNsT59sL"/>
    <m/>
    <n v="162"/>
  </r>
  <r>
    <d v="2025-04-16T09:16:31"/>
    <d v="2025-04-16T09:24:52"/>
    <s v="AFC"/>
    <n v="99"/>
    <d v="2025-03-22T00:00:00"/>
    <n v="1"/>
    <s v="MQ"/>
    <s v="GH"/>
    <s v="-0,18714"/>
    <s v="-78,48448"/>
    <s v="1. Sí"/>
    <n v="35"/>
    <s v="1. Años"/>
    <n v="0"/>
    <n v="0"/>
    <n v="0"/>
    <n v="0"/>
    <x v="1"/>
    <n v="52"/>
    <x v="1"/>
    <s v="1. Sí"/>
    <m/>
    <s v="6. Mestiza(o)"/>
    <m/>
    <s v="4. Casada/o"/>
    <x v="0"/>
    <s v="1. Completa"/>
    <s v="99. NS/NC"/>
    <s v="2. SEGURO"/>
    <s v="SEGURIDAD PATRULLAJE POLICIA"/>
    <s v="SEGURIDAD GUARDA BOSQUES"/>
    <s v="SEGURIDAD GUARDIAS"/>
    <x v="0"/>
    <s v="Tarde (12:00 a 17:59) Noche  (18:00 a 23:59)"/>
    <n v="0"/>
    <n v="0"/>
    <n v="1"/>
    <n v="1"/>
    <n v="0"/>
    <x v="2"/>
    <x v="1"/>
    <x v="1"/>
    <x v="0"/>
    <x v="3"/>
    <n v="0"/>
    <n v="0"/>
    <n v="0"/>
    <n v="0"/>
    <n v="0"/>
    <n v="1"/>
    <s v="ASOCIACION GUARDIAS DE SEGURIDAD"/>
    <x v="0"/>
    <x v="0"/>
    <m/>
    <m/>
    <m/>
    <m/>
    <m/>
    <m/>
    <m/>
    <m/>
    <m/>
    <m/>
    <m/>
    <m/>
    <m/>
    <m/>
    <m/>
    <m/>
    <m/>
    <m/>
    <m/>
    <m/>
    <m/>
    <x v="0"/>
    <m/>
    <x v="0"/>
    <x v="0"/>
    <x v="0"/>
    <x v="0"/>
    <x v="0"/>
    <x v="3"/>
    <x v="1"/>
    <x v="2"/>
    <x v="2"/>
    <x v="1"/>
    <x v="1"/>
    <x v="2"/>
    <x v="1"/>
    <x v="2"/>
    <x v="1"/>
    <x v="1"/>
    <x v="0"/>
    <x v="0"/>
    <x v="1"/>
    <x v="3"/>
    <x v="0"/>
    <x v="0"/>
    <x v="0"/>
    <x v="0"/>
    <x v="0"/>
    <x v="0"/>
    <x v="0"/>
    <x v="3"/>
    <x v="0"/>
    <x v="0"/>
    <x v="0"/>
    <x v="0"/>
    <x v="0"/>
    <m/>
    <x v="0"/>
    <x v="0"/>
    <x v="2"/>
    <x v="0"/>
    <m/>
    <x v="1"/>
    <x v="2"/>
    <x v="1"/>
    <x v="0"/>
    <x v="0"/>
    <x v="0"/>
    <x v="1"/>
    <x v="1"/>
    <x v="0"/>
    <x v="1"/>
    <x v="1"/>
    <x v="1"/>
    <x v="1"/>
    <x v="2"/>
    <x v="2"/>
    <x v="1"/>
    <x v="1"/>
    <x v="1"/>
    <x v="0"/>
    <x v="0"/>
    <x v="0"/>
    <x v="0"/>
    <x v="0"/>
    <x v="2"/>
    <x v="0"/>
    <x v="0"/>
    <x v="0"/>
    <x v="0"/>
    <x v="0"/>
    <x v="0"/>
    <m/>
    <s v="BIEN NO HA ESTADO EL PARQUE"/>
    <s v="TRANQUILA"/>
    <m/>
    <x v="0"/>
    <x v="0"/>
    <x v="0"/>
    <n v="0"/>
    <n v="0"/>
    <n v="0"/>
    <n v="0"/>
    <n v="1"/>
    <n v="0"/>
    <n v="0"/>
    <n v="0"/>
    <n v="0"/>
    <m/>
    <m/>
    <n v="83917733"/>
    <s v="ede3f17f-42b7-4f53-b5e9-fa8f62e24596"/>
    <d v="2025-04-16T14:24:53"/>
    <m/>
    <m/>
    <s v="submitted_via_web"/>
    <m/>
    <s v="vVTBbbcBrmiSLVRNsT59sL"/>
    <m/>
    <n v="163"/>
  </r>
  <r>
    <d v="2025-04-16T09:24:52"/>
    <d v="2025-04-16T09:35:26"/>
    <s v="AFC"/>
    <n v="97"/>
    <d v="2025-03-22T00:00:00"/>
    <n v="1"/>
    <s v="GB-CP"/>
    <s v="CH"/>
    <s v="-0,18708"/>
    <s v="-78,48454"/>
    <s v="1. Sí"/>
    <n v="40"/>
    <s v="1. Años"/>
    <n v="0"/>
    <n v="0"/>
    <n v="0"/>
    <n v="0"/>
    <x v="1"/>
    <n v="52"/>
    <x v="1"/>
    <s v="1. Sí"/>
    <m/>
    <s v="6. Mestiza(o)"/>
    <m/>
    <s v="4. Casada/o"/>
    <x v="1"/>
    <s v="1. Completa"/>
    <s v="1. Menos de $470"/>
    <s v="3. INSEGURO"/>
    <s v="VENTA DE DROGA"/>
    <s v="INFORMALIDAD"/>
    <s v="INDIGENCIA"/>
    <x v="1"/>
    <s v="Mañana  (06:00 a 11:59) Tarde (12:00 a 17:59)"/>
    <n v="0"/>
    <n v="1"/>
    <n v="1"/>
    <n v="0"/>
    <n v="0"/>
    <x v="2"/>
    <x v="1"/>
    <x v="1"/>
    <x v="1"/>
    <x v="1"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x v="0"/>
    <m/>
    <x v="1"/>
    <x v="1"/>
    <x v="0"/>
    <x v="0"/>
    <x v="1"/>
    <x v="2"/>
    <x v="0"/>
    <x v="3"/>
    <x v="0"/>
    <x v="3"/>
    <x v="1"/>
    <x v="2"/>
    <x v="1"/>
    <x v="2"/>
    <x v="1"/>
    <x v="1"/>
    <x v="0"/>
    <x v="0"/>
    <x v="1"/>
    <x v="1"/>
    <x v="1"/>
    <x v="3"/>
    <x v="0"/>
    <x v="0"/>
    <x v="0"/>
    <x v="0"/>
    <x v="0"/>
    <x v="3"/>
    <x v="0"/>
    <x v="0"/>
    <x v="1"/>
    <x v="2"/>
    <x v="0"/>
    <m/>
    <x v="0"/>
    <x v="0"/>
    <x v="2"/>
    <x v="0"/>
    <m/>
    <x v="1"/>
    <x v="1"/>
    <x v="0"/>
    <x v="1"/>
    <x v="2"/>
    <x v="0"/>
    <x v="0"/>
    <x v="0"/>
    <x v="0"/>
    <x v="1"/>
    <x v="1"/>
    <x v="3"/>
    <x v="1"/>
    <x v="2"/>
    <x v="1"/>
    <x v="1"/>
    <x v="1"/>
    <x v="1"/>
    <x v="0"/>
    <x v="2"/>
    <x v="2"/>
    <x v="0"/>
    <x v="1"/>
    <x v="1"/>
    <x v="0"/>
    <x v="0"/>
    <x v="0"/>
    <x v="0"/>
    <x v="0"/>
    <x v="0"/>
    <m/>
    <s v="FELICIDAD ES EL SEGUNDO HOGAR"/>
    <s v="INSEGURO POR LA DELINCUENCIA"/>
    <m/>
    <x v="0"/>
    <x v="0"/>
    <x v="9"/>
    <n v="0"/>
    <n v="0"/>
    <n v="0"/>
    <n v="0"/>
    <n v="1"/>
    <n v="0"/>
    <n v="0"/>
    <n v="0"/>
    <n v="1"/>
    <s v="BEBIDAS"/>
    <m/>
    <n v="83918052"/>
    <s v="3010a2b1-0866-4eb0-be10-1285291bb30f"/>
    <d v="2025-04-16T14:35:27"/>
    <m/>
    <m/>
    <s v="submitted_via_web"/>
    <m/>
    <s v="vVTBbbcBrmiSLVRNsT59sL"/>
    <m/>
    <n v="164"/>
  </r>
  <r>
    <d v="2025-04-16T09:35:26"/>
    <d v="2025-04-16T10:00:39"/>
    <s v="AFC"/>
    <n v="96"/>
    <d v="2025-03-22T00:00:00"/>
    <n v="1"/>
    <s v="MQ"/>
    <s v="GH"/>
    <s v="-0,18648"/>
    <s v="-78,48495"/>
    <s v="1. Sí"/>
    <n v="40"/>
    <s v="1. Años"/>
    <n v="0"/>
    <n v="0"/>
    <n v="0"/>
    <n v="0"/>
    <x v="1"/>
    <n v="52"/>
    <x v="1"/>
    <s v="1. Sí"/>
    <m/>
    <s v="6. Mestiza(o)"/>
    <m/>
    <s v="4. Casada/o"/>
    <x v="0"/>
    <s v="1. Completa"/>
    <s v="99. NS/NC"/>
    <s v="3. INSEGURO"/>
    <s v="EN LA TARDE PASA GENTE RARA"/>
    <s v="POCO CONTROL POLICIAL"/>
    <s v="MAS CONTROL A PARTIR DE LAS 16 HORAS"/>
    <x v="1"/>
    <s v="Mañana  (06:00 a 11:59) Tarde (12:00 a 17:59)"/>
    <n v="0"/>
    <n v="1"/>
    <n v="1"/>
    <n v="0"/>
    <n v="0"/>
    <x v="1"/>
    <x v="1"/>
    <x v="1"/>
    <x v="1"/>
    <x v="1"/>
    <m/>
    <m/>
    <m/>
    <m/>
    <m/>
    <m/>
    <m/>
    <x v="1"/>
    <x v="2"/>
    <n v="1"/>
    <n v="0"/>
    <n v="0"/>
    <n v="0"/>
    <n v="0"/>
    <n v="0"/>
    <n v="0"/>
    <n v="0"/>
    <n v="0"/>
    <n v="0"/>
    <n v="0"/>
    <m/>
    <m/>
    <s v="2. No"/>
    <m/>
    <m/>
    <m/>
    <m/>
    <m/>
    <m/>
    <m/>
    <x v="1"/>
    <m/>
    <x v="0"/>
    <x v="0"/>
    <x v="1"/>
    <x v="2"/>
    <x v="2"/>
    <x v="2"/>
    <x v="2"/>
    <x v="2"/>
    <x v="0"/>
    <x v="3"/>
    <x v="1"/>
    <x v="2"/>
    <x v="1"/>
    <x v="1"/>
    <x v="1"/>
    <x v="1"/>
    <x v="0"/>
    <x v="0"/>
    <x v="0"/>
    <x v="0"/>
    <x v="0"/>
    <x v="0"/>
    <x v="1"/>
    <x v="1"/>
    <x v="0"/>
    <x v="0"/>
    <x v="0"/>
    <x v="3"/>
    <x v="0"/>
    <x v="0"/>
    <x v="0"/>
    <x v="0"/>
    <x v="0"/>
    <m/>
    <x v="0"/>
    <x v="0"/>
    <x v="0"/>
    <x v="1"/>
    <m/>
    <x v="1"/>
    <x v="1"/>
    <x v="0"/>
    <x v="0"/>
    <x v="0"/>
    <x v="0"/>
    <x v="0"/>
    <x v="0"/>
    <x v="0"/>
    <x v="1"/>
    <x v="1"/>
    <x v="2"/>
    <x v="1"/>
    <x v="2"/>
    <x v="1"/>
    <x v="1"/>
    <x v="1"/>
    <x v="1"/>
    <x v="0"/>
    <x v="0"/>
    <x v="1"/>
    <x v="0"/>
    <x v="0"/>
    <x v="3"/>
    <x v="0"/>
    <x v="0"/>
    <x v="0"/>
    <x v="0"/>
    <x v="0"/>
    <x v="0"/>
    <m/>
    <s v="SENTIMOS FALTA PRESENCIA AUTORIDADES"/>
    <s v="FALTA DE CONTROL SEGURIDAD"/>
    <m/>
    <x v="0"/>
    <x v="0"/>
    <x v="1"/>
    <n v="0"/>
    <n v="0"/>
    <n v="0"/>
    <n v="0"/>
    <n v="0"/>
    <n v="0"/>
    <n v="0"/>
    <n v="0"/>
    <n v="1"/>
    <s v="OBLEAS"/>
    <m/>
    <n v="83918961"/>
    <s v="6682fffc-0c4a-40dc-9deb-cf89c186ac02"/>
    <d v="2025-04-16T15:00:40"/>
    <m/>
    <m/>
    <s v="submitted_via_web"/>
    <m/>
    <s v="vVTBbbcBrmiSLVRNsT59sL"/>
    <m/>
    <n v="165"/>
  </r>
  <r>
    <d v="2025-04-16T10:00:39"/>
    <d v="2025-04-16T10:05:03"/>
    <s v="AFC"/>
    <n v="95"/>
    <d v="2025-03-22T00:00:00"/>
    <n v="1"/>
    <s v="GB-CCH"/>
    <s v="GH"/>
    <s v="-0,18703"/>
    <s v="-78,48454"/>
    <s v="1. Sí"/>
    <n v="20"/>
    <s v="1. Años"/>
    <n v="0"/>
    <n v="0"/>
    <n v="0"/>
    <n v="0"/>
    <x v="1"/>
    <n v="40"/>
    <x v="0"/>
    <s v="1. Sí"/>
    <m/>
    <s v="6. Mestiza(o)"/>
    <m/>
    <s v="4. Casada/o"/>
    <x v="3"/>
    <s v="1. Completa"/>
    <s v="1. Menos de $470"/>
    <s v="3. INSEGURO"/>
    <s v="NO HAY POLICIAS"/>
    <s v="NI METROPOLITANOS"/>
    <m/>
    <x v="1"/>
    <s v="Mañana  (06:00 a 11:59) Tarde (12:00 a 17:59)"/>
    <n v="0"/>
    <n v="1"/>
    <n v="1"/>
    <n v="0"/>
    <n v="0"/>
    <x v="1"/>
    <x v="0"/>
    <x v="1"/>
    <x v="0"/>
    <x v="3"/>
    <n v="0"/>
    <n v="0"/>
    <n v="0"/>
    <n v="0"/>
    <n v="0"/>
    <n v="1"/>
    <s v="GUARDIAS"/>
    <x v="1"/>
    <x v="1"/>
    <n v="0"/>
    <n v="1"/>
    <n v="0"/>
    <n v="0"/>
    <n v="0"/>
    <n v="0"/>
    <n v="0"/>
    <n v="0"/>
    <n v="0"/>
    <n v="0"/>
    <n v="0"/>
    <m/>
    <m/>
    <m/>
    <s v="2. No"/>
    <m/>
    <m/>
    <m/>
    <m/>
    <m/>
    <m/>
    <x v="1"/>
    <m/>
    <x v="1"/>
    <x v="1"/>
    <x v="1"/>
    <x v="2"/>
    <x v="0"/>
    <x v="3"/>
    <x v="1"/>
    <x v="2"/>
    <x v="1"/>
    <x v="1"/>
    <x v="1"/>
    <x v="2"/>
    <x v="1"/>
    <x v="2"/>
    <x v="1"/>
    <x v="1"/>
    <x v="0"/>
    <x v="0"/>
    <x v="1"/>
    <x v="3"/>
    <x v="0"/>
    <x v="0"/>
    <x v="0"/>
    <x v="0"/>
    <x v="0"/>
    <x v="0"/>
    <x v="1"/>
    <x v="2"/>
    <x v="0"/>
    <x v="0"/>
    <x v="1"/>
    <x v="2"/>
    <x v="2"/>
    <s v="POCA FRECUENCIA DE ACTIVIDADES"/>
    <x v="1"/>
    <x v="0"/>
    <x v="0"/>
    <x v="0"/>
    <m/>
    <x v="0"/>
    <x v="0"/>
    <x v="0"/>
    <x v="0"/>
    <x v="0"/>
    <x v="0"/>
    <x v="0"/>
    <x v="0"/>
    <x v="0"/>
    <x v="0"/>
    <x v="0"/>
    <x v="0"/>
    <x v="1"/>
    <x v="2"/>
    <x v="2"/>
    <x v="0"/>
    <x v="2"/>
    <x v="1"/>
    <x v="0"/>
    <x v="0"/>
    <x v="0"/>
    <x v="1"/>
    <x v="2"/>
    <x v="1"/>
    <x v="1"/>
    <x v="1"/>
    <x v="1"/>
    <x v="0"/>
    <x v="0"/>
    <x v="0"/>
    <m/>
    <s v="UNA SEGUNDA CASA"/>
    <s v="UN POCO DESCONFIA COMO ESTA EL PARQUE"/>
    <m/>
    <x v="0"/>
    <x v="0"/>
    <x v="0"/>
    <n v="0"/>
    <n v="0"/>
    <n v="0"/>
    <n v="0"/>
    <n v="1"/>
    <n v="0"/>
    <n v="0"/>
    <n v="0"/>
    <n v="0"/>
    <m/>
    <m/>
    <n v="83919145"/>
    <s v="029c2138-ec77-4b32-b73b-cb929e46c150"/>
    <d v="2025-04-16T15:05:04"/>
    <m/>
    <m/>
    <s v="submitted_via_web"/>
    <m/>
    <s v="vVTBbbcBrmiSLVRNsT59sL"/>
    <m/>
    <n v="166"/>
  </r>
  <r>
    <d v="2025-04-16T10:05:03"/>
    <d v="2025-04-16T10:08:27"/>
    <s v="AFC"/>
    <n v="94"/>
    <d v="2025-03-22T00:00:00"/>
    <n v="1"/>
    <s v="GB-CP"/>
    <s v="GH"/>
    <s v="-0,18706"/>
    <s v="-78,48453"/>
    <s v="1. Sí"/>
    <n v="38"/>
    <s v="1. Años"/>
    <n v="0"/>
    <n v="0"/>
    <n v="0"/>
    <n v="0"/>
    <x v="1"/>
    <n v="52"/>
    <x v="1"/>
    <s v="1. Sí"/>
    <m/>
    <s v="1. Indígena"/>
    <m/>
    <s v="4. Casada/o"/>
    <x v="1"/>
    <s v="2. Incompleta"/>
    <s v="1. Menos de $470"/>
    <s v="3. INSEGURO"/>
    <s v="ROBOS FRECUENTES"/>
    <m/>
    <m/>
    <x v="1"/>
    <s v="Mañana  (06:00 a 11:59) Tarde (12:00 a 17:59) Noche  (18:00 a 23:59)"/>
    <n v="0"/>
    <n v="1"/>
    <n v="1"/>
    <n v="1"/>
    <n v="0"/>
    <x v="1"/>
    <x v="0"/>
    <x v="1"/>
    <x v="1"/>
    <x v="1"/>
    <m/>
    <m/>
    <m/>
    <m/>
    <m/>
    <m/>
    <m/>
    <x v="1"/>
    <x v="2"/>
    <n v="1"/>
    <n v="0"/>
    <n v="0"/>
    <n v="0"/>
    <n v="0"/>
    <n v="0"/>
    <n v="0"/>
    <n v="0"/>
    <n v="0"/>
    <n v="0"/>
    <n v="0"/>
    <m/>
    <m/>
    <s v="2. No"/>
    <m/>
    <m/>
    <m/>
    <m/>
    <m/>
    <m/>
    <m/>
    <x v="1"/>
    <m/>
    <x v="1"/>
    <x v="1"/>
    <x v="0"/>
    <x v="0"/>
    <x v="0"/>
    <x v="1"/>
    <x v="0"/>
    <x v="1"/>
    <x v="0"/>
    <x v="3"/>
    <x v="1"/>
    <x v="3"/>
    <x v="1"/>
    <x v="3"/>
    <x v="1"/>
    <x v="1"/>
    <x v="0"/>
    <x v="0"/>
    <x v="1"/>
    <x v="2"/>
    <x v="1"/>
    <x v="1"/>
    <x v="1"/>
    <x v="2"/>
    <x v="1"/>
    <x v="2"/>
    <x v="0"/>
    <x v="0"/>
    <x v="0"/>
    <x v="0"/>
    <x v="1"/>
    <x v="1"/>
    <x v="0"/>
    <m/>
    <x v="0"/>
    <x v="1"/>
    <x v="1"/>
    <x v="2"/>
    <m/>
    <x v="1"/>
    <x v="1"/>
    <x v="0"/>
    <x v="1"/>
    <x v="2"/>
    <x v="0"/>
    <x v="1"/>
    <x v="1"/>
    <x v="0"/>
    <x v="1"/>
    <x v="2"/>
    <x v="0"/>
    <x v="1"/>
    <x v="2"/>
    <x v="1"/>
    <x v="1"/>
    <x v="1"/>
    <x v="1"/>
    <x v="0"/>
    <x v="0"/>
    <x v="1"/>
    <x v="0"/>
    <x v="1"/>
    <x v="1"/>
    <x v="1"/>
    <x v="2"/>
    <x v="0"/>
    <x v="0"/>
    <x v="0"/>
    <x v="0"/>
    <m/>
    <s v="VARIABLE SEGUN LA SITUACION"/>
    <m/>
    <m/>
    <x v="0"/>
    <x v="0"/>
    <x v="9"/>
    <n v="0"/>
    <n v="0"/>
    <n v="0"/>
    <n v="0"/>
    <n v="1"/>
    <n v="0"/>
    <n v="0"/>
    <n v="0"/>
    <n v="1"/>
    <s v="GASEOSAS"/>
    <m/>
    <n v="83919202"/>
    <s v="db1efe79-39c1-486f-b7a4-cd2ac4d70ee6"/>
    <d v="2025-04-16T15:08:28"/>
    <m/>
    <m/>
    <s v="submitted_via_web"/>
    <m/>
    <s v="vVTBbbcBrmiSLVRNsT59sL"/>
    <m/>
    <n v="1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39000000}" name="TablaDinámica27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79:H83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0"/>
        <item x="3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8.1 ¿Con qué frecuencia?" fld="91" subtotal="count" showDataAs="percentOfCol" baseField="8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49000000}" name="TablaDinámica10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4:B37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1"/>
  </rowFields>
  <rowItems count="3">
    <i>
      <x/>
    </i>
    <i>
      <x v="1"/>
    </i>
    <i t="grand">
      <x/>
    </i>
  </rowItems>
  <colItems count="1">
    <i/>
  </colItems>
  <dataFields count="1">
    <dataField name="Cuenta de VI.1 En los últimos 6 meses, es decir, de septiembre 2024 a la fecha. Ud. ha sido víctima de algún tipo de delito en el parque?" fld="51" subtotal="count" showDataAs="percentOfCol" baseField="5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20000000}" name="TablaDinámica1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39:H43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axis="axisRow" dataField="1" showAll="0">
      <items count="5">
        <item x="2"/>
        <item x="1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.1 ¿Con qué frecuencia?" fld="77" subtotal="count" showDataAs="percentOfCol" baseField="75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6000000}" name="TablaDinámica7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93:B196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9"/>
  </rowFields>
  <rowItems count="3">
    <i>
      <x/>
    </i>
    <i>
      <x v="1"/>
    </i>
    <i t="grand">
      <x/>
    </i>
  </rowItems>
  <colItems count="1">
    <i/>
  </colItems>
  <dataFields count="1">
    <dataField name="Cuenta de SSM.10 Fuerzas Armadas del Ecuador (FFAA)" fld="139" subtotal="count" showDataAs="percentOfCol" baseField="13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30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91:B94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4"/>
  </rowFields>
  <rowItems count="3">
    <i>
      <x/>
    </i>
    <i>
      <x v="1"/>
    </i>
    <i t="grand">
      <x/>
    </i>
  </rowItems>
  <colItems count="1">
    <i/>
  </colItems>
  <dataFields count="1">
    <dataField name="Cuenta de CC.10 Consumo de drogas?" fld="94" subtotal="count" showDataAs="percentOfCol" baseField="9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7000000}" name="TablaDinámica3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97:B101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1 Venta de drogas?" fld="96" subtotal="count" showDataAs="percentOfCol" baseField="9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3D000000}" name="TablaDinámica6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D183:E186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4"/>
  </rowFields>
  <rowItems count="3">
    <i>
      <x/>
    </i>
    <i>
      <x v="1"/>
    </i>
    <i t="grand">
      <x/>
    </i>
  </rowItems>
  <colItems count="1">
    <i/>
  </colItems>
  <dataFields count="1">
    <dataField name="Cuenta de SSM.7.1 ¿Utilizó algún servicio o guía?" fld="134" subtotal="count" showDataAs="percentOfCol" baseField="13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35000000}" name="TablaDinámica5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56:B159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8"/>
  </rowFields>
  <rowItems count="3">
    <i>
      <x/>
    </i>
    <i>
      <x v="1"/>
    </i>
    <i t="grand">
      <x/>
    </i>
  </rowItems>
  <colItems count="1">
    <i/>
  </colItems>
  <dataFields count="1">
    <dataField name="Cuenta de SSM.2 Agencia Metropolitana de Control de Comercio (AMCC)" fld="118" subtotal="count" showDataAs="percentOfCol" baseField="11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5000000}" name="TablaDinámica37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110:H114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3.2 ¿Con qué frecuencia?" fld="101" subtotal="count" showDataAs="percentOfCol" baseField="9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E000000}" name="TablaDinámica5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61:B164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1"/>
  </rowFields>
  <rowItems count="3">
    <i>
      <x/>
    </i>
    <i>
      <x v="1"/>
    </i>
    <i t="grand">
      <x/>
    </i>
  </rowItems>
  <colItems count="1">
    <i/>
  </colItems>
  <dataFields count="1">
    <dataField name="Cuenta de SSM.3 Patronato San José (UPMSJ)" fld="121" subtotal="count" showDataAs="percentOfCol" baseField="11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4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33:B137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7 ¿Alguna otra que no le haya mencionado?" fld="108" subtotal="count" showDataAs="percentOfCol" baseField="10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TablaDinámica78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D198:E201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3"/>
  </rowFields>
  <rowItems count="3">
    <i>
      <x/>
    </i>
    <i>
      <x v="1"/>
    </i>
    <i t="grand">
      <x/>
    </i>
  </rowItems>
  <colItems count="1">
    <i/>
  </colItems>
  <dataFields count="1">
    <dataField name="Cuenta de SSM.11.1 ¿Utilizó algún servicio o guía?" fld="143" subtotal="count" showDataAs="percentOfCol" baseField="14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48000000}" name="TablaDinámica8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210:B213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0"/>
  </rowFields>
  <rowItems count="3">
    <i>
      <x/>
    </i>
    <i>
      <x v="1"/>
    </i>
    <i t="grand">
      <x/>
    </i>
  </rowItems>
  <colItems count="1">
    <i/>
  </colItems>
  <dataFields count="1">
    <dataField name="Cuenta de CA. 2 Si se presentaran propuestas para mejorar las condiciones de trabajo de los comerciantes en el parque, ¿estaría interesado en conocerlas y evaluarlas, considerando que se respeten sus derechos y su trayectoria en este lugar? Enc. Leer y RU" fld="150" subtotal="count" showDataAs="percentOfCol" baseField="14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2D000000}" name="TablaDinámica3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04:B107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8"/>
  </rowFields>
  <rowItems count="3">
    <i>
      <x/>
    </i>
    <i>
      <x v="1"/>
    </i>
    <i t="grand">
      <x/>
    </i>
  </rowItems>
  <colItems count="1">
    <i/>
  </colItems>
  <dataFields count="1">
    <dataField name="Cuenta de CC.12 Daño a la propiedad pública y privada?" fld="98" subtotal="count" showDataAs="percentOfCol" baseField="9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2B000000}" name="TablaDinámica2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67:B70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6"/>
  </rowFields>
  <rowItems count="3">
    <i>
      <x/>
    </i>
    <i>
      <x v="1"/>
    </i>
    <i t="grand">
      <x/>
    </i>
  </rowItems>
  <colItems count="1">
    <i/>
  </colItems>
  <dataFields count="1">
    <dataField name="Cuenta de CC.6 Peleas o riñas ?" fld="86" subtotal="count" showDataAs="percentOfCol" baseField="8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31000000}" name="TablaDinámica16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F34:G38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defaultSubtotal="0">
      <items count="2">
        <item x="0"/>
        <item x="1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51"/>
    <field x="74"/>
  </rowFields>
  <rowItems count="4">
    <i>
      <x/>
    </i>
    <i r="1">
      <x/>
    </i>
    <i r="1">
      <x v="1"/>
    </i>
    <i t="grand">
      <x/>
    </i>
  </rowItems>
  <colItems count="1">
    <i/>
  </colItems>
  <dataFields count="1">
    <dataField name="Cuenta de ind_no_denuncia" fld="74" subtotal="count" showDataAs="percentOfCol" baseField="7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8000000}" name="TablaDinámica20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61:B65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5 Áreas sin iluminación ?" fld="84" subtotal="count" showDataAs="percentOfCol" baseField="8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2000000}" name="TablaDinámica6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172:H176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SSM.5.2 ¿Cómo califica el servicio?" fld="129" subtotal="count" showDataAs="percentOfCol" baseField="12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7000000}" name="TablaDinámica68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83:B186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3"/>
  </rowFields>
  <rowItems count="3">
    <i>
      <x/>
    </i>
    <i>
      <x v="1"/>
    </i>
    <i t="grand">
      <x/>
    </i>
  </rowItems>
  <colItems count="1">
    <i/>
  </colItems>
  <dataFields count="1">
    <dataField name="Cuenta de SSM.7 Empresa Metropolitana de Aseo (EMASEO)" fld="133" subtotal="count" showDataAs="percentOfCol" baseField="13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25000000}" name="TablaDinámica2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73:H77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2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7.1 ¿Con qué frecuencia?" fld="89" subtotal="count" showDataAs="percentOfCol" baseField="8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2F000000}" name="TablaDinámica4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133:H135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0"/>
  </rowFields>
  <rowItems count="2">
    <i>
      <x/>
    </i>
    <i t="grand">
      <x/>
    </i>
  </rowItems>
  <colItems count="1">
    <i/>
  </colItems>
  <dataFields count="1">
    <dataField name="Cuenta de CC.17.2 ¿Con qué frecuencia?" fld="110" subtotal="count" showDataAs="percentOfCol" baseField="10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9000000}" name="TablaDinámica8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216:B231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5">
        <item x="13"/>
        <item x="2"/>
        <item x="6"/>
        <item x="12"/>
        <item x="5"/>
        <item x="11"/>
        <item x="10"/>
        <item x="0"/>
        <item x="3"/>
        <item x="9"/>
        <item x="8"/>
        <item x="1"/>
        <item x="4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uenta de CARACTERIZACION DEL COMERCIO" fld="151" subtotal="count" showDataAs="percentOfCol" baseField="149" baseItem="1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B000000}" name="TablaDinámica48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140:H144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2"/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PCA.1.0 ¿Con qué frecuencia?" fld="112" subtotal="count" showDataAs="percentOfCol" baseField="11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6000000}" name="TablaDinámica4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40:B143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1"/>
  </rowFields>
  <rowItems count="3">
    <i>
      <x/>
    </i>
    <i>
      <x v="1"/>
    </i>
    <i t="grand">
      <x/>
    </i>
  </rowItems>
  <colItems count="1">
    <i/>
  </colItems>
  <dataFields count="1">
    <dataField name="Cuenta de PCA.1 En los últimos 6 meses, es decir, de septiembre 2024 a la fecha. ¿Usted ha presenciado ventas ambulantes en el parque ? Enc. RE y RU." fld="111" subtotal="count" showDataAs="percentOfCol" baseField="10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30000000}" name="TablaDinámica67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78:B181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0"/>
  </rowFields>
  <rowItems count="3">
    <i>
      <x/>
    </i>
    <i>
      <x v="1"/>
    </i>
    <i t="grand">
      <x/>
    </i>
  </rowItems>
  <colItems count="1">
    <i/>
  </colItems>
  <dataFields count="1">
    <dataField name="Cuenta de SSM.6 Agencia Metropolitana de Tránsito (AMT)" fld="130" subtotal="count" showDataAs="percentOfCol" baseField="12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28000000}" name="TablaDinámica7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188:H192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3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SSM.8.2 ¿Cómo califica el servicio?" fld="138" subtotal="count" showDataAs="percentOfCol" baseField="13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24000000}" name="TablaDinámica7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98:B201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2"/>
  </rowFields>
  <rowItems count="3">
    <i>
      <x/>
    </i>
    <i>
      <x v="1"/>
    </i>
    <i t="grand">
      <x/>
    </i>
  </rowItems>
  <colItems count="1">
    <i/>
  </colItems>
  <dataFields count="1">
    <dataField name="Cuenta de SSM.11 Secretaría General de Seguridad Ciudadana y Gestión de Riesgos" fld="142" subtotal="count" showDataAs="percentOfCol" baseField="14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4A000000}" name="TablaDinámica5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D151:E154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6"/>
  </rowFields>
  <rowItems count="3">
    <i>
      <x/>
    </i>
    <i>
      <x v="1"/>
    </i>
    <i t="grand">
      <x/>
    </i>
  </rowItems>
  <colItems count="1">
    <i/>
  </colItems>
  <dataFields count="1">
    <dataField name="Cuenta de SSM.1.1 ¿Utilizó algún servicio o guía?" fld="116" subtotal="count" showDataAs="percentOfCol" baseField="11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42000000}" name="TablaDinámica4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127:H131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1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6.2 ¿Con qué frecuencia?" fld="107" subtotal="count" showDataAs="percentOfCol" baseField="10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0000000}" name="TablaDinámica5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D156:E159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9"/>
  </rowFields>
  <rowItems count="3">
    <i>
      <x/>
    </i>
    <i>
      <x v="1"/>
    </i>
    <i t="grand">
      <x/>
    </i>
  </rowItems>
  <colItems count="1">
    <i/>
  </colItems>
  <dataFields count="1">
    <dataField name="Cuenta de SSM.2.1 ¿Utilizó algún servicio o guía?" fld="119" subtotal="count" showDataAs="percentOfCol" baseField="11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33000000}" name="TablaDinámica70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183:H186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5"/>
  </rowFields>
  <rowItems count="3">
    <i>
      <x/>
    </i>
    <i>
      <x v="1"/>
    </i>
    <i t="grand">
      <x/>
    </i>
  </rowItems>
  <colItems count="1">
    <i/>
  </colItems>
  <dataFields count="1">
    <dataField name="Cuenta de SSM.7.2 ¿Cómo califica el servicio?" fld="135" subtotal="count" showDataAs="percentOfCol" baseField="13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40000000}" name="TablaDinámica40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22:B125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4"/>
  </rowFields>
  <rowItems count="3">
    <i>
      <x/>
    </i>
    <i>
      <x v="1"/>
    </i>
    <i t="grand">
      <x/>
    </i>
  </rowItems>
  <colItems count="1">
    <i/>
  </colItems>
  <dataFields count="1">
    <dataField name="Cuenta de CC.15 Trabajo sexual (prostitución)?" fld="104" subtotal="count" showDataAs="percentOfCol" baseField="10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2C000000}" name="TablaDinámica3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10:B113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0"/>
  </rowFields>
  <rowItems count="3">
    <i>
      <x/>
    </i>
    <i>
      <x v="1"/>
    </i>
    <i t="grand">
      <x/>
    </i>
  </rowItems>
  <colItems count="1">
    <i/>
  </colItems>
  <dataFields count="1">
    <dataField name="Cuenta de CC.13 Fauna Urbana? (animales sin hogar)" fld="100" subtotal="count" showDataAs="percentOfCol" baseField="9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22000000}" name="TablaDinámica3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104:H108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2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2.1 ¿Con qué frecuencia?" fld="99" subtotal="count" showDataAs="percentOfCol" baseField="9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23000000}" name="TablaDinámica4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45:B148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3"/>
  </rowFields>
  <rowItems count="3">
    <i>
      <x/>
    </i>
    <i>
      <x v="1"/>
    </i>
    <i t="grand">
      <x/>
    </i>
  </rowItems>
  <colItems count="1">
    <i/>
  </colItems>
  <dataFields count="1">
    <dataField name="Cuenta de PCA.1.1 Le molestan las ventas ambulantes en el parque? Enc. RE y RU." fld="113" subtotal="count" showDataAs="percentOfCol" baseField="11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3A000000}" name="TablaDinámica77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198:H200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4"/>
  </rowFields>
  <rowItems count="2">
    <i>
      <x/>
    </i>
    <i t="grand">
      <x/>
    </i>
  </rowItems>
  <colItems count="1">
    <i/>
  </colItems>
  <dataFields count="1">
    <dataField name="Cuenta de SSM.11.2 ¿Cómo califica el servicio?" fld="144" subtotal="count" showDataAs="percentOfCol" baseField="14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38000000}" name="TablaDinámica5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156:H159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0"/>
  </rowFields>
  <rowItems count="3">
    <i>
      <x/>
    </i>
    <i>
      <x v="1"/>
    </i>
    <i t="grand">
      <x/>
    </i>
  </rowItems>
  <colItems count="1">
    <i/>
  </colItems>
  <dataFields count="1">
    <dataField name="Cuenta de SSM.2.2 ¿Cómo califica el servicio?" fld="120" subtotal="count" showDataAs="percentOfCol" baseField="11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41000000}" name="TablaDinámica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8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PSC.2 En los últimos 6 meses, es decir,  de septiembre 2024 a la fecha. EN TÉRMINOS DE SEGURIDAD, ¿qué tan segura/o se siente usted cuando está atendiendo en este puesto?: Enc. leer opciones y RU" fld="32" subtotal="count" showDataAs="percentOfCol" baseField="3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26000000}" name="TablaDinámica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0:B14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PSC.4 ¿En los últimos 6 meses, es decir,  de septiembre 2024 a la fecha, considera que la situación de inseguridad en el parque? Enc. leer opciones y RU" fld="39" subtotal="count" showDataAs="percentOfCol" baseField="3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4B000000}" name="TablaDinámica1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55:H59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4.1 ¿Con qué frecuencia?" fld="83" subtotal="count" showDataAs="percentOfCol" baseField="8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29000000}" name="TablaDinámica6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66:B169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4"/>
  </rowFields>
  <rowItems count="3">
    <i>
      <x/>
    </i>
    <i>
      <x v="1"/>
    </i>
    <i t="grand">
      <x/>
    </i>
  </rowItems>
  <colItems count="1">
    <i/>
  </colItems>
  <dataFields count="1">
    <dataField name="Cuenta de SSM.4 Cuerpo de Agentes de Control Metropolitano de Quito (CACMQ)" fld="124" subtotal="count" showDataAs="percentOfCol" baseField="122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4C000000}" name="TablaDinámica60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D166:E169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5"/>
  </rowFields>
  <rowItems count="3">
    <i>
      <x/>
    </i>
    <i>
      <x v="1"/>
    </i>
    <i t="grand">
      <x/>
    </i>
  </rowItems>
  <colItems count="1">
    <i/>
  </colItems>
  <dataFields count="1">
    <dataField name="Cuenta de SSM.4.1 ¿Utilizó algún servicio o guía?" fld="125" subtotal="count" showDataAs="percentOfCol" baseField="12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E000000}" name="TablaDinámica1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4:B47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8"/>
  </rowFields>
  <rowItems count="3">
    <i>
      <x/>
    </i>
    <i>
      <x v="1"/>
    </i>
    <i t="grand">
      <x/>
    </i>
  </rowItems>
  <colItems count="1">
    <i/>
  </colItems>
  <dataFields count="1">
    <dataField name="Cuenta de CC.2 Grafitis no artísticos que le molestaron?" fld="78" subtotal="count" showDataAs="percentOfCol" baseField="76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A000000}" name="TablaDinámica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28:B32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¿Ha implementado medidas de seguridad en su negocio ? Como bates, palos, gas pimienta.    Enc. Si la respuesta es SI preguntar ¿cuáles?" fld="42" subtotal="count" showDataAs="percentOfCol" baseField="4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46000000}" name="TablaDinámica7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D193:E196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0"/>
  </rowFields>
  <rowItems count="3">
    <i>
      <x/>
    </i>
    <i>
      <x v="1"/>
    </i>
    <i t="grand">
      <x/>
    </i>
  </rowItems>
  <colItems count="1">
    <i/>
  </colItems>
  <dataFields count="1">
    <dataField name="Cuenta de SSM.10.1 ¿Utilizó algún servicio o guía?" fld="140" subtotal="count" showDataAs="percentOfCol" baseField="13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3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97:H101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3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1.1 ¿Con qué frecuencia?" fld="97" subtotal="count" showDataAs="percentOfCol" baseField="9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D000000}" name="TablaDinámica2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79:B82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0"/>
  </rowFields>
  <rowItems count="3">
    <i>
      <x/>
    </i>
    <i>
      <x v="1"/>
    </i>
    <i t="grand">
      <x/>
    </i>
  </rowItems>
  <colItems count="1">
    <i/>
  </colItems>
  <dataFields count="1">
    <dataField name="Cuenta de CC.8 Consumo de alcohol?" fld="90" subtotal="count" showDataAs="percentOfCol" baseField="8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44000000}" name="TablaDinámica1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44:H47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axis="axisRow" dataField="1"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9"/>
  </rowFields>
  <rowItems count="3">
    <i>
      <x/>
    </i>
    <i>
      <x v="1"/>
    </i>
    <i t="grand">
      <x/>
    </i>
  </rowItems>
  <colItems count="1">
    <i/>
  </colItems>
  <dataFields count="1">
    <dataField name="Cuenta de CC.2.1 ¿Con qué frecuencia?" fld="79" subtotal="count" showDataAs="percentOfCol" baseField="7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9000000}" name="TablaDinámica50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51:B154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5"/>
  </rowFields>
  <rowItems count="3">
    <i>
      <x/>
    </i>
    <i>
      <x v="1"/>
    </i>
    <i t="grand">
      <x/>
    </i>
  </rowItems>
  <colItems count="1">
    <i/>
  </colItems>
  <dataFields count="1">
    <dataField name="Cuenta de SSM.1 Agencia Metropolitana de Control (AMC)" fld="115" subtotal="count" showDataAs="percentOfCol" baseField="11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34000000}" name="TablaDinámica5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151:H155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1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SSM.1.2 ¿Cómo califica el servicio?" fld="117" subtotal="count" showDataAs="percentOfCol" baseField="11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3E000000}" name="TablaDinámica1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9:B53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3 Personas que orinan en el parque?" fld="80" subtotal="count" showDataAs="percentOfCol" baseField="7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3F000000}" name="TablaDinámica7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D188:E191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7"/>
  </rowFields>
  <rowItems count="3">
    <i>
      <x/>
    </i>
    <i>
      <x v="1"/>
    </i>
    <i t="grand">
      <x/>
    </i>
  </rowItems>
  <colItems count="1">
    <i/>
  </colItems>
  <dataFields count="1">
    <dataField name="Cuenta de SSM.8.1 ¿Utilizó algún servicio o guía?" fld="137" subtotal="count" showDataAs="percentOfCol" baseField="13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43000000}" name="TablaDinámica8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22:B25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1"/>
  </rowFields>
  <rowItems count="3">
    <i>
      <x/>
    </i>
    <i>
      <x v="1"/>
    </i>
    <i t="grand">
      <x/>
    </i>
  </rowItems>
  <colItems count="1">
    <i/>
  </colItems>
  <dataFields count="1">
    <dataField name="Cuenta de ¿Ha evitado estar solo/a para atender al público? Enc. respuesta espontánea y RU" fld="41" subtotal="count" showDataAs="percentOfCol" baseField="4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2E000000}" name="TablaDinámica2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61:H65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0"/>
        <item x="3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5.1 ¿Con qué frecuencia?" fld="85" subtotal="count" showDataAs="percentOfCol" baseField="8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3000000}" name="TablaDinámica17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49:H53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3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3.1 ¿Con qué frecuencia?" fld="81" subtotal="count" showDataAs="percentOfCol" baseField="7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3C000000}" name="TablaDinámica18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55:B59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4 Desechos de animales ?" fld="82" subtotal="count" showDataAs="percentOfCol" baseField="80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3B000000}" name="TablaDinámica58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161:H164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3"/>
  </rowFields>
  <rowItems count="3">
    <i>
      <x/>
    </i>
    <i>
      <x v="1"/>
    </i>
    <i t="grand">
      <x/>
    </i>
  </rowItems>
  <colItems count="1">
    <i/>
  </colItems>
  <dataFields count="1">
    <dataField name="Cuenta de SSM.3.2 ¿Cómo califica el servicio?" fld="123" subtotal="count" showDataAs="percentOfCol" baseField="12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F000000}" name="TablaDinámica2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73:B76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8"/>
  </rowFields>
  <rowItems count="3">
    <i>
      <x/>
    </i>
    <i>
      <x v="1"/>
    </i>
    <i t="grand">
      <x/>
    </i>
  </rowItems>
  <colItems count="1">
    <i/>
  </colItems>
  <dataFields count="1">
    <dataField name="Cuenta de CC.7 Habitantes en situación de calle (mendicidad) ?" fld="88" subtotal="count" showDataAs="percentOfCol" baseField="86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32000000}" name="TablaDinámica57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D161:E164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2"/>
  </rowFields>
  <rowItems count="3">
    <i>
      <x/>
    </i>
    <i>
      <x v="1"/>
    </i>
    <i t="grand">
      <x/>
    </i>
  </rowItems>
  <colItems count="1">
    <i/>
  </colItems>
  <dataFields count="1">
    <dataField name="Cuenta de SSM.3.1 ¿Utilizó algún servicio o guía?" fld="122" subtotal="count" showDataAs="percentOfCol" baseField="12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4000000}" name="TablaDinámica6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178:H181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2"/>
  </rowFields>
  <rowItems count="3">
    <i>
      <x/>
    </i>
    <i>
      <x v="1"/>
    </i>
    <i t="grand">
      <x/>
    </i>
  </rowItems>
  <colItems count="1">
    <i/>
  </colItems>
  <dataFields count="1">
    <dataField name="Cuenta de SSM.6.2 ¿Cómo califica el servicio?" fld="132" subtotal="count" showDataAs="percentOfCol" baseField="13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F000000}" name="TablaDinámica7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193:H196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1"/>
  </rowFields>
  <rowItems count="3">
    <i>
      <x/>
    </i>
    <i>
      <x v="1"/>
    </i>
    <i t="grand">
      <x/>
    </i>
  </rowItems>
  <colItems count="1">
    <i/>
  </colItems>
  <dataFields count="1">
    <dataField name="Cuenta de SSM.10.2 ¿Cómo califica el servicio?" fld="141" subtotal="count" showDataAs="percentOfCol" baseField="13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27000000}" name="TablaDinámica6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D172:E175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8"/>
  </rowFields>
  <rowItems count="3">
    <i>
      <x/>
    </i>
    <i>
      <x v="1"/>
    </i>
    <i t="grand">
      <x/>
    </i>
  </rowItems>
  <colItems count="1">
    <i/>
  </colItems>
  <dataFields count="1">
    <dataField name="Cuenta de SSM.5.1 ¿Utilizó algún servicio o guía?" fld="128" subtotal="count" showDataAs="percentOfCol" baseField="12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21000000}" name="TablaDinámica5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166:H170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2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SSM.4.2 ¿Cómo califica el servicio?" fld="126" subtotal="count" showDataAs="percentOfCol" baseField="12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37000000}" name="TablaDinámica3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91:H95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0.1 ¿Con qué frecuencia?" fld="95" subtotal="count" showDataAs="percentOfCol" baseField="9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2A000000}" name="TablaDinámica2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85:H89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9.1 ¿Con qué frecuencia?" fld="93" subtotal="count" showDataAs="percentOfCol" baseField="9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47000000}" name="TablaDinámica3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116:H120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4.2 ¿Con qué frecuencia?" fld="103" subtotal="count" showDataAs="percentOfCol" baseField="10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5000000}" name="TablaDinámica38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16:B119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2"/>
  </rowFields>
  <rowItems count="3">
    <i>
      <x/>
    </i>
    <i>
      <x v="1"/>
    </i>
    <i t="grand">
      <x/>
    </i>
  </rowItems>
  <colItems count="1">
    <i/>
  </colItems>
  <dataFields count="1">
    <dataField name="Cuenta de CC.14 Basura y suciedad?" fld="102" subtotal="count" showDataAs="percentOfCol" baseField="10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TablaDinámica80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205:B208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9"/>
  </rowFields>
  <rowItems count="3">
    <i>
      <x/>
    </i>
    <i>
      <x v="1"/>
    </i>
    <i t="grand">
      <x/>
    </i>
  </rowItems>
  <colItems count="1">
    <i/>
  </colItems>
  <dataFields count="1">
    <dataField name="Cuenta de CA. 1 En relación con su espacio de trabajo actual, ¿le gustaría que se realicen mejoras (como mantenimiento o renovación de carpas, mobiliario, etc.) para optimizar su labor y la experiencia de sus clientes? Enc. Leer y RU" fld="149" subtotal="count" showDataAs="percentOfCol" baseField="14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8000000}" name="TablaDinámica7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88:B191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6"/>
  </rowFields>
  <rowItems count="3">
    <i>
      <x/>
    </i>
    <i>
      <x v="1"/>
    </i>
    <i t="grand">
      <x/>
    </i>
  </rowItems>
  <colItems count="1">
    <i/>
  </colItems>
  <dataFields count="1">
    <dataField name="Cuenta de SSM.8 Policía Nacional (PN)" fld="136" subtotal="count" showDataAs="percentOfCol" baseField="13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D000000}" name="TablaDinámica4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27:B130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6"/>
  </rowFields>
  <rowItems count="3">
    <i>
      <x/>
    </i>
    <i>
      <x v="1"/>
    </i>
    <i t="grand">
      <x/>
    </i>
  </rowItems>
  <colItems count="1">
    <i/>
  </colItems>
  <dataFields count="1">
    <dataField name="Cuenta de CC.16 Aglomeración de personas?" fld="106" subtotal="count" showDataAs="percentOfCol" baseField="10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C000000}" name="TablaDinámica7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6:B19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0"/>
  </rowFields>
  <rowItems count="3">
    <i>
      <x/>
    </i>
    <i>
      <x v="1"/>
    </i>
    <i t="grand">
      <x/>
    </i>
  </rowItems>
  <colItems count="1">
    <i/>
  </colItems>
  <dataFields count="1">
    <dataField name="Cuenta de ¿Ha cambiado su horario de venta al público?  Enc. respuesta espontánea y RU" fld="40" subtotal="count" showDataAs="percentOfCol" baseField="3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B000000}" name="TablaDinámica2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67:H71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1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6.1 ¿Con qué frecuencia?" fld="87" subtotal="count" showDataAs="percentOfCol" baseField="8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36000000}" name="TablaDinámica28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85:B88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2"/>
  </rowFields>
  <rowItems count="3">
    <i>
      <x/>
    </i>
    <i>
      <x v="1"/>
    </i>
    <i t="grand">
      <x/>
    </i>
  </rowItems>
  <colItems count="1">
    <i/>
  </colItems>
  <dataFields count="1">
    <dataField name="Cuenta de CC.9 Venta de alcohol?" fld="92" subtotal="count" showDataAs="percentOfCol" baseField="9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C000000}" name="TablaDinámica6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D178:E181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1"/>
  </rowFields>
  <rowItems count="3">
    <i>
      <x/>
    </i>
    <i>
      <x v="1"/>
    </i>
    <i t="grand">
      <x/>
    </i>
  </rowItems>
  <colItems count="1">
    <i/>
  </colItems>
  <dataFields count="1">
    <dataField name="Cuenta de SSM.6.1 ¿Utilizó algún servicio o guía?" fld="131" subtotal="count" showDataAs="percentOfCol" baseField="12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A000000}" name="TablaDinámica4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122:H124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5"/>
  </rowFields>
  <rowItems count="2">
    <i>
      <x/>
    </i>
    <i t="grand">
      <x/>
    </i>
  </rowItems>
  <colItems count="1">
    <i/>
  </colItems>
  <dataFields count="1">
    <dataField name="Cuenta de CC.15.2 ¿Con qué frecuencia?" fld="105" subtotal="count" showDataAs="percentOfCol" baseField="10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45000000}" name="TablaDinámica1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9:B42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6"/>
  </rowFields>
  <rowItems count="3">
    <i>
      <x/>
    </i>
    <i>
      <x v="1"/>
    </i>
    <i t="grand">
      <x/>
    </i>
  </rowItems>
  <colItems count="1">
    <i/>
  </colItems>
  <dataFields count="1">
    <dataField name="Cuenta de CC.1 Alguien puso música a un volumen excesivo o hizo mucho ruido y eso le molestó?" fld="76" subtotal="count" showDataAs="percentOfCol" baseField="7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11000000}" name="TablaDinámica6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72:B175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7"/>
  </rowFields>
  <rowItems count="3">
    <i>
      <x/>
    </i>
    <i>
      <x v="1"/>
    </i>
    <i t="grand">
      <x/>
    </i>
  </rowItems>
  <colItems count="1">
    <i/>
  </colItems>
  <dataFields count="1">
    <dataField name="Cuenta de SSM.5 Cuerpo de Bombero de Quito (CBQ)" fld="127" subtotal="count" showDataAs="percentOfCol" baseField="12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6B000000}" name="TablaDinámica10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205:J208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4"/>
  </rowFields>
  <rowItems count="3">
    <i>
      <x/>
    </i>
    <i>
      <x v="1"/>
    </i>
    <i t="grand">
      <x/>
    </i>
  </rowItems>
  <colItems count="1">
    <i/>
  </colItems>
  <dataFields count="1">
    <dataField name="Cuenta de CC.10 Consumo de drogas?" fld="94" subtotal="count" showDataAs="percentOfCol" baseField="9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70000000}" name="TablaDinámica130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255:J258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n="Sí" x="0"/>
        <item n="No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1"/>
  </rowFields>
  <rowItems count="3">
    <i>
      <x/>
    </i>
    <i>
      <x v="1"/>
    </i>
    <i t="grand">
      <x/>
    </i>
  </rowItems>
  <colItems count="1">
    <i/>
  </colItems>
  <dataFields count="1">
    <dataField name="Cuenta de PCA.1 En los últimos 6 meses, es decir, de septiembre 2024 a la fecha. ¿Usted ha presenciado ventas ambulantes en el parque ? Enc. RE y RU." fld="111" subtotal="count" showDataAs="percentOfCol" baseField="10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4E000000}" name="TablaDinámica11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L230:M234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4.2 ¿Con qué frecuencia?" fld="103" subtotal="count" showDataAs="percentOfCol" baseField="10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477CE-6092-492B-8177-7CBA274CE31D}" name="TablaDinámica16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I111:J119" firstHeaderRow="1" firstDataRow="1" firstDataCol="1" rowPageCount="1" colPageCount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0"/>
        <item h="1" x="1"/>
        <item h="1" x="2"/>
        <item t="default"/>
      </items>
    </pivotField>
    <pivotField axis="axisRow" dataField="1" showAll="0">
      <items count="9">
        <item x="0"/>
        <item x="5"/>
        <item x="2"/>
        <item x="6"/>
        <item x="7"/>
        <item x="4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42" hier="-1"/>
  </pageFields>
  <dataFields count="1">
    <dataField name="Cuenta de CH.1.1 ¿Cuáles?" fld="43" subtotal="count" showDataAs="percentOfCol" baseField="43" baseItem="4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BD8A5-1A9F-41A3-92D5-00F640ADB21E}" name="TablaDinámica7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O101:R105" firstHeaderRow="1" firstDataRow="2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Fields count="1">
    <field x="41"/>
  </colFields>
  <colItems count="3">
    <i>
      <x/>
    </i>
    <i>
      <x v="1"/>
    </i>
    <i t="grand">
      <x/>
    </i>
  </colItems>
  <dataFields count="1">
    <dataField name="Cuenta de DD. 1 Sexo Enc. Por observación" fld="17" subtotal="count" showDataAs="percentOfRow" baseField="1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78000000}" name="TablaDinámica8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41:J45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n="Empeoró" x="1"/>
        <item n="Esta igual" x="2"/>
        <item n="Mejoró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PSC.4 ¿En los últimos 6 meses, es decir,  de septiembre 2024 a la fecha, considera que la situación de inseguridad en el parque? Enc. leer opciones y RU" fld="39" subtotal="count" showDataAs="percentOfCol" baseField="3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8F000000}" name="TablaDinámica13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344:J347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2"/>
  </rowFields>
  <rowItems count="3">
    <i>
      <x/>
    </i>
    <i>
      <x v="1"/>
    </i>
    <i t="grand">
      <x/>
    </i>
  </rowItems>
  <colItems count="1">
    <i/>
  </colItems>
  <dataFields count="1">
    <dataField name="Cuenta de SSM.11 Secretaría General de Seguridad Ciudadana y Gestión de Riesgos" fld="142" subtotal="count" showDataAs="percentOfCol" baseField="14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82000000}" name="TablaDinámica14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Q315:R318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9"/>
  </rowFields>
  <rowItems count="3">
    <i>
      <x/>
    </i>
    <i>
      <x v="1"/>
    </i>
    <i t="grand">
      <x/>
    </i>
  </rowItems>
  <colItems count="1">
    <i/>
  </colItems>
  <dataFields count="1">
    <dataField name="Cuenta de SSM.2.1 ¿Utilizó algún servicio o guía?" fld="119" subtotal="count" showDataAs="percentOfCol" baseField="11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8A000000}" name="TablaDinámica9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236:J239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4"/>
  </rowFields>
  <rowItems count="3">
    <i>
      <x/>
    </i>
    <i>
      <x v="1"/>
    </i>
    <i t="grand">
      <x/>
    </i>
  </rowItems>
  <colItems count="1">
    <i/>
  </colItems>
  <dataFields count="1">
    <dataField name="Cuenta de CC.15 Trabajo sexual (prostitución)?" fld="104" subtotal="count" showDataAs="percentOfCol" baseField="10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54000000}" name="TablaDinámica11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L241:M245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1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6.2 ¿Con qué frecuencia?" fld="107" subtotal="count" showDataAs="percentOfCol" baseField="10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6A000000}" name="TablaDinámica127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L153:M157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axis="axisRow" dataField="1" showAll="0">
      <items count="5">
        <item x="2"/>
        <item x="1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.1 ¿Con qué frecuencia?" fld="77" subtotal="count" showDataAs="percentOfCol" baseField="75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73000000}" name="TablaDinámica10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199:J202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2"/>
  </rowFields>
  <rowItems count="3">
    <i>
      <x/>
    </i>
    <i>
      <x v="1"/>
    </i>
    <i t="grand">
      <x/>
    </i>
  </rowItems>
  <colItems count="1">
    <i/>
  </colItems>
  <dataFields count="1">
    <dataField name="Cuenta de CC.9 Venta de alcohol?" fld="92" subtotal="count" showDataAs="percentOfCol" baseField="9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7F000000}" name="TablaDinámica117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L211:M215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3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1.1 ¿Con qué frecuencia?" fld="97" subtotal="count" showDataAs="percentOfCol" baseField="9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96000000}" name="TablaDinámica11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L236:M238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5"/>
  </rowFields>
  <rowItems count="2">
    <i>
      <x/>
    </i>
    <i t="grand">
      <x/>
    </i>
  </rowItems>
  <colItems count="1">
    <i/>
  </colItems>
  <dataFields count="1">
    <dataField name="Cuenta de CC.15.2 ¿Con qué frecuencia?" fld="105" subtotal="count" showDataAs="percentOfCol" baseField="10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6E000000}" name="TablaDinámica108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163:J167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3 Personas que orinan en el parque?" fld="80" subtotal="count" showDataAs="percentOfCol" baseField="7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8C000000}" name="TablaDinámica158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P372:Q375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3"/>
  </rowFields>
  <rowItems count="3">
    <i>
      <x/>
    </i>
    <i>
      <x v="1"/>
    </i>
    <i t="grand">
      <x/>
    </i>
  </rowItems>
  <colItems count="1">
    <i/>
  </colItems>
  <dataFields count="1">
    <dataField name="Cuenta de SSM.3.2 ¿Cómo califica el servicio?" fld="123" subtotal="count" showDataAs="percentOfCol" baseField="12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692F3-F863-4950-9D6C-E863E4F52A3A}" name="TablaDinámica16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M140:P147" firstHeaderRow="1" firstDataRow="2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4">
        <item x="3"/>
        <item x="0"/>
        <item x="1"/>
        <item x="2"/>
      </items>
    </pivotField>
    <pivotField showAll="0"/>
    <pivotField showAll="0"/>
    <pivotField showAll="0"/>
    <pivotField showAll="0"/>
    <pivotField showAll="0"/>
    <pivotField axis="axisRow" dataField="1"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1"/>
  </colFields>
  <colItems count="3">
    <i>
      <x/>
    </i>
    <i>
      <x v="1"/>
    </i>
    <i t="grand">
      <x/>
    </i>
  </colItems>
  <dataFields count="1">
    <dataField name="Cuenta de DD.6 ¿Cuál es su nivel de estudios aprobados? Enc. respuesta espontánea y RU." fld="25" subtotal="count" showDataAs="percentOfRow" baseField="2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5F000000}" name="TablaDinámica128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260:J263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n="Sí" x="1"/>
        <item n="No"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3"/>
  </rowFields>
  <rowItems count="3">
    <i>
      <x/>
    </i>
    <i>
      <x v="1"/>
    </i>
    <i t="grand">
      <x/>
    </i>
  </rowItems>
  <colItems count="1">
    <i/>
  </colItems>
  <dataFields count="1">
    <dataField name="Cuenta de PCA.1.1 Le molestan las ventas ambulantes en el parque? Enc. RE y RU." fld="113" subtotal="count" showDataAs="percentOfCol" baseField="11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55000000}" name="TablaDinámica87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O53:S59" firstHeaderRow="1" firstDataRow="2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defaultSubtotal="0">
      <items count="4">
        <item x="3"/>
        <item x="0"/>
        <item x="1"/>
        <item x="2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Fields count="1">
    <field x="39"/>
  </colFields>
  <colItems count="4">
    <i>
      <x/>
    </i>
    <i>
      <x v="1"/>
    </i>
    <i>
      <x v="2"/>
    </i>
    <i t="grand">
      <x/>
    </i>
  </colItems>
  <dataFields count="1">
    <dataField name="Cuenta de rango_Edad" fld="19" subtotal="count" showDataAs="percentOfRow" baseField="19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9B000000}" name="TablaDinámica16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H399:I402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n="Sí" x="0"/>
        <item n="No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0"/>
  </rowFields>
  <rowItems count="3">
    <i>
      <x/>
    </i>
    <i>
      <x v="1"/>
    </i>
    <i t="grand">
      <x/>
    </i>
  </rowItems>
  <colItems count="1">
    <i/>
  </colItems>
  <dataFields count="1">
    <dataField name="Cuenta de CA. 2 Si se presentaran propuestas para mejorar las condiciones de trabajo de los comerciantes en el parque, ¿estaría interesado en conocerlas y evaluarlas, considerando que se respeten sus derechos y su trayectoria en este lugar? Enc. Leer y RU" fld="150" subtotal="count" showDataAs="percentOfCol" baseField="148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92000000}" name="TablaDinámica140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297:J300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5"/>
  </rowFields>
  <rowItems count="3">
    <i>
      <x/>
    </i>
    <i>
      <x v="1"/>
    </i>
    <i t="grand">
      <x/>
    </i>
  </rowItems>
  <colItems count="1">
    <i/>
  </colItems>
  <dataFields count="1">
    <dataField name="Cuenta de SSM.1 Agencia Metropolitana de Control (AMC)" fld="115" subtotal="count" showDataAs="percentOfCol" baseField="11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4D000000}" name="TablaDinámica11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L247:M249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0"/>
  </rowFields>
  <rowItems count="2">
    <i>
      <x/>
    </i>
    <i t="grand">
      <x/>
    </i>
  </rowItems>
  <colItems count="1">
    <i/>
  </colItems>
  <dataFields count="1">
    <dataField name="Cuenta de CC.17.2 ¿Con qué frecuencia?" fld="110" subtotal="count" showDataAs="percentOfCol" baseField="10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94000000}" name="TablaDinámica107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169:J173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4 Desechos de animales ?" fld="82" subtotal="count" showDataAs="percentOfCol" baseField="80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7E000000}" name="TablaDinámica88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104:J108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¿Ha implementado medidas de seguridad en su negocio ? Como bates, palos, gas pimienta.    Enc. Si la respuesta es SI preguntar ¿cuáles?" fld="42" subtotal="count" showDataAs="percentOfCol" baseField="4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85000000}" name="TablaDinámica14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Q352:R355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0"/>
  </rowFields>
  <rowItems count="3">
    <i>
      <x/>
    </i>
    <i>
      <x v="1"/>
    </i>
    <i t="grand">
      <x/>
    </i>
  </rowItems>
  <colItems count="1">
    <i/>
  </colItems>
  <dataFields count="1">
    <dataField name="Cuenta de SSM.10.1 ¿Utilizó algún servicio o guía?" fld="140" subtotal="count" showDataAs="percentOfCol" baseField="13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77000000}" name="TablaDinámica12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L169:M173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4.1 ¿Con qué frecuencia?" fld="83" subtotal="count" showDataAs="percentOfCol" baseField="8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63000000}" name="TablaDinámica14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Q357:R360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3"/>
  </rowFields>
  <rowItems count="3">
    <i>
      <x/>
    </i>
    <i>
      <x v="1"/>
    </i>
    <i t="grand">
      <x/>
    </i>
  </rowItems>
  <colItems count="1">
    <i/>
  </colItems>
  <dataFields count="1">
    <dataField name="Cuenta de SSM.11.1 ¿Utilizó algún servicio o guía?" fld="143" subtotal="count" showDataAs="percentOfCol" baseField="14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8B000000}" name="TablaDinámica138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307:J310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1"/>
  </rowFields>
  <rowItems count="3">
    <i>
      <x/>
    </i>
    <i>
      <x v="1"/>
    </i>
    <i t="grand">
      <x/>
    </i>
  </rowItems>
  <colItems count="1">
    <i/>
  </colItems>
  <dataFields count="1">
    <dataField name="Cuenta de SSM.3 Patronato San José (UPMSJ)" fld="121" subtotal="count" showDataAs="percentOfCol" baseField="11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64000000}" name="TablaDinámica110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153:J156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6"/>
  </rowFields>
  <rowItems count="3">
    <i>
      <x/>
    </i>
    <i>
      <x v="1"/>
    </i>
    <i t="grand">
      <x/>
    </i>
  </rowItems>
  <colItems count="1">
    <i/>
  </colItems>
  <dataFields count="1">
    <dataField name="Cuenta de CC.1 Alguien puso música a un volumen excesivo o hizo mucho ruido y eso le molestó?" fld="76" subtotal="count" showDataAs="percentOfCol" baseField="7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91000000}" name="TablaDinámica14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Q337:R340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1"/>
  </rowFields>
  <rowItems count="3">
    <i>
      <x/>
    </i>
    <i>
      <x v="1"/>
    </i>
    <i t="grand">
      <x/>
    </i>
  </rowItems>
  <colItems count="1">
    <i/>
  </colItems>
  <dataFields count="1">
    <dataField name="Cuenta de SSM.6.1 ¿Utilizó algún servicio o guía?" fld="131" subtotal="count" showDataAs="percentOfCol" baseField="12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51000000}" name="TablaDinámica14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Q342:R345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4"/>
  </rowFields>
  <rowItems count="3">
    <i>
      <x/>
    </i>
    <i>
      <x v="1"/>
    </i>
    <i t="grand">
      <x/>
    </i>
  </rowItems>
  <colItems count="1">
    <i/>
  </colItems>
  <dataFields count="1">
    <dataField name="Cuenta de SSM.7.1 ¿Utilizó algún servicio o guía?" fld="134" subtotal="count" showDataAs="percentOfCol" baseField="13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56000000}" name="TablaDinámica13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302:J305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8"/>
  </rowFields>
  <rowItems count="3">
    <i>
      <x/>
    </i>
    <i>
      <x v="1"/>
    </i>
    <i t="grand">
      <x/>
    </i>
  </rowItems>
  <colItems count="1">
    <i/>
  </colItems>
  <dataFields count="1">
    <dataField name="Cuenta de SSM.2 Agencia Metropolitana de Control de Comercio (AMCC)" fld="118" subtotal="count" showDataAs="percentOfCol" baseField="11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57000000}" name="TablaDinámica12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O255:P259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n="POCO FRECUENTE" x="3"/>
        <item n="FRECUENTE" x="2"/>
        <item n="MUY FRECUENTE"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PCA.1.0 ¿Con qué frecuencia?" fld="112" subtotal="count" showDataAs="percentOfCol" baseField="11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72000000}" name="TablaDinámica13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334:J337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6"/>
  </rowFields>
  <rowItems count="3">
    <i>
      <x/>
    </i>
    <i>
      <x v="1"/>
    </i>
    <i t="grand">
      <x/>
    </i>
  </rowItems>
  <colItems count="1">
    <i/>
  </colItems>
  <dataFields count="1">
    <dataField name="Cuenta de SSM.8 Policía Nacional (PN)" fld="136" subtotal="count" showDataAs="percentOfCol" baseField="13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6F000000}" name="TablaDinámica148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Q320:R323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2"/>
  </rowFields>
  <rowItems count="3">
    <i>
      <x/>
    </i>
    <i>
      <x v="1"/>
    </i>
    <i t="grand">
      <x/>
    </i>
  </rowItems>
  <colItems count="1">
    <i/>
  </colItems>
  <dataFields count="1">
    <dataField name="Cuenta de SSM.3.1 ¿Utilizó algún servicio o guía?" fld="122" subtotal="count" showDataAs="percentOfCol" baseField="12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65000000}" name="TablaDinámica15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P404:Q407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1"/>
  </rowFields>
  <rowItems count="3">
    <i>
      <x/>
    </i>
    <i>
      <x v="1"/>
    </i>
    <i t="grand">
      <x/>
    </i>
  </rowItems>
  <colItems count="1">
    <i/>
  </colItems>
  <dataFields count="1">
    <dataField name="Cuenta de SSM.10.2 ¿Cómo califica el servicio?" fld="141" subtotal="count" showDataAs="percentOfCol" baseField="13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76000000}" name="TablaDinámica13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329:J332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3"/>
  </rowFields>
  <rowItems count="3">
    <i>
      <x/>
    </i>
    <i>
      <x v="1"/>
    </i>
    <i t="grand">
      <x/>
    </i>
  </rowItems>
  <colItems count="1">
    <i/>
  </colItems>
  <dataFields count="1">
    <dataField name="Cuenta de SSM.7 Empresa Metropolitana de Aseo (EMASEO)" fld="133" subtotal="count" showDataAs="percentOfCol" baseField="13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81000000}" name="TablaDinámica9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218:J221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8"/>
  </rowFields>
  <rowItems count="3">
    <i>
      <x/>
    </i>
    <i>
      <x v="1"/>
    </i>
    <i t="grand">
      <x/>
    </i>
  </rowItems>
  <colItems count="1">
    <i/>
  </colItems>
  <dataFields count="1">
    <dataField name="Cuenta de CC.12 Daño a la propiedad pública y privada?" fld="98" subtotal="count" showDataAs="percentOfCol" baseField="9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9C000000}" name="TablaDinámica97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230:J233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2"/>
  </rowFields>
  <rowItems count="3">
    <i>
      <x/>
    </i>
    <i>
      <x v="1"/>
    </i>
    <i t="grand">
      <x/>
    </i>
  </rowItems>
  <colItems count="1">
    <i/>
  </colItems>
  <dataFields count="1">
    <dataField name="Cuenta de CC.14 Basura y suciedad?" fld="102" subtotal="count" showDataAs="percentOfCol" baseField="10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9A000000}" name="TablaDinámica120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L193:M197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0"/>
        <item x="3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8.1 ¿Con qué frecuencia?" fld="91" subtotal="count" showDataAs="percentOfCol" baseField="8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29EB75-EBA2-4262-A26D-353E21768E0D}" name="TablaDinámica16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Q122:R126" firstHeaderRow="1" firstDataRow="1" firstDataCol="1" rowPageCount="1" colPageCount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4">
        <item x="3"/>
        <item x="0"/>
        <item x="1"/>
        <item x="2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1"/>
        <item h="1" x="0"/>
        <item t="default"/>
      </items>
    </pivotField>
    <pivotField axis="axisRow" dataField="1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1" hier="-1"/>
  </pageFields>
  <dataFields count="1">
    <dataField name="Cuenta de ¿De qué delitos fue víctima? Enc. respuesta espontáne. RM" fld="52" subtotal="count" showDataAs="percentOfCol" baseField="5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80000000}" name="TablaDinámica9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H124:I127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1"/>
  </rowFields>
  <rowItems count="3">
    <i>
      <x/>
    </i>
    <i>
      <x v="1"/>
    </i>
    <i t="grand">
      <x/>
    </i>
  </rowItems>
  <colItems count="1">
    <i/>
  </colItems>
  <dataFields count="1">
    <dataField name="Cuenta de VI.1 En los últimos 6 meses, es decir, de septiembre 2024 a la fecha. Ud. ha sido víctima de algún tipo de delito en el parque?" fld="51" subtotal="count" showDataAs="percentOfCol" baseField="5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88000000}" name="TablaDinámica13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324:J327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0"/>
  </rowFields>
  <rowItems count="3">
    <i>
      <x/>
    </i>
    <i>
      <x v="1"/>
    </i>
    <i t="grand">
      <x/>
    </i>
  </rowItems>
  <colItems count="1">
    <i/>
  </colItems>
  <dataFields count="1">
    <dataField name="Cuenta de SSM.6 Agencia Metropolitana de Tránsito (AMT)" fld="130" subtotal="count" showDataAs="percentOfCol" baseField="12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60000000}" name="TablaDinámica8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N8:S14" firstHeaderRow="1" firstDataRow="2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defaultSubtotal="0">
      <items count="4">
        <item x="3"/>
        <item x="0"/>
        <item x="1"/>
        <item x="2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Fields count="1">
    <field x="32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rango_Edad" fld="19" subtotal="count" showDataAs="percentOfRow" baseField="1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69000000}" name="TablaDinámica11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L199:M203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9.1 ¿Con qué frecuencia?" fld="93" subtotal="count" showDataAs="percentOfCol" baseField="9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84000000}" name="TablaDinámica147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Q325:R328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5"/>
  </rowFields>
  <rowItems count="3">
    <i>
      <x/>
    </i>
    <i>
      <x v="1"/>
    </i>
    <i t="grand">
      <x/>
    </i>
  </rowItems>
  <colItems count="1">
    <i/>
  </colItems>
  <dataFields count="1">
    <dataField name="Cuenta de SSM.4.1 ¿Utilizó algún servicio o guía?" fld="125" subtotal="count" showDataAs="percentOfCol" baseField="12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98000000}" name="TablaDinámica10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158:J161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8"/>
  </rowFields>
  <rowItems count="3">
    <i>
      <x/>
    </i>
    <i>
      <x v="1"/>
    </i>
    <i t="grand">
      <x/>
    </i>
  </rowItems>
  <colItems count="1">
    <i/>
  </colItems>
  <dataFields count="1">
    <dataField name="Cuenta de CC.2 Grafitis no artísticos que le molestaron?" fld="78" subtotal="count" showDataAs="percentOfCol" baseField="76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66000000}" name="TablaDinámica118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L205:M209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0.1 ¿Con qué frecuencia?" fld="95" subtotal="count" showDataAs="percentOfCol" baseField="9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7C000000}" name="TablaDinámica137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312:J315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4"/>
  </rowFields>
  <rowItems count="3">
    <i>
      <x/>
    </i>
    <i>
      <x v="1"/>
    </i>
    <i t="grand">
      <x/>
    </i>
  </rowItems>
  <colItems count="1">
    <i/>
  </colItems>
  <dataFields count="1">
    <dataField name="Cuenta de SSM.4 Cuerpo de Agentes de Control Metropolitano de Quito (CACMQ)" fld="124" subtotal="count" showDataAs="percentOfCol" baseField="122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58000000}" name="TablaDinámica15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P367:Q370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0"/>
  </rowFields>
  <rowItems count="3">
    <i>
      <x/>
    </i>
    <i>
      <x v="1"/>
    </i>
    <i t="grand">
      <x/>
    </i>
  </rowItems>
  <colItems count="1">
    <i/>
  </colItems>
  <dataFields count="1">
    <dataField name="Cuenta de SSM.2.2 ¿Cómo califica el servicio?" fld="120" subtotal="count" showDataAs="percentOfCol" baseField="11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315E8-9AA0-4FF7-8D61-27025A449E4B}" name="TablaDinámica8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">
  <location ref="T110:X116" firstHeaderRow="1" firstDataRow="2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axis="axisRow" dataField="1" showAll="0" defaultSubtotal="0">
      <items count="4">
        <item x="3"/>
        <item x="0"/>
        <item x="1"/>
        <item x="2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Fields count="1">
    <field x="42"/>
  </colFields>
  <colItems count="4">
    <i>
      <x/>
    </i>
    <i>
      <x v="1"/>
    </i>
    <i>
      <x v="2"/>
    </i>
    <i t="grand">
      <x/>
    </i>
  </colItems>
  <dataFields count="1">
    <dataField name="Cuenta de rango_Edad" fld="19" subtotal="count" showDataAs="percentOfRow" baseField="1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6D000000}" name="TablaDinámica11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L224:M228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3.2 ¿Con qué frecuencia?" fld="101" subtotal="count" showDataAs="percentOfCol" baseField="9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F1137-454A-4900-BBC8-77500F8D545D}" name="TablaDinámica8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T101:W107" firstHeaderRow="1" firstDataRow="2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axis="axisRow" dataField="1" showAll="0" defaultSubtotal="0">
      <items count="4">
        <item x="3"/>
        <item x="0"/>
        <item x="1"/>
        <item x="2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Fields count="1">
    <field x="41"/>
  </colFields>
  <colItems count="3">
    <i>
      <x/>
    </i>
    <i>
      <x v="1"/>
    </i>
    <i t="grand">
      <x/>
    </i>
  </colItems>
  <dataFields count="1">
    <dataField name="Cuenta de rango_Edad" fld="19" subtotal="count" showDataAs="percentOfRow" baseField="1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97000000}" name="TablaDinámica157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P377:Q381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2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SSM.4.2 ¿Cómo califica el servicio?" fld="126" subtotal="count" showDataAs="percentOfCol" baseField="12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53000000}" name="TablaDinámica9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241:J244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6"/>
  </rowFields>
  <rowItems count="3">
    <i>
      <x/>
    </i>
    <i>
      <x v="1"/>
    </i>
    <i t="grand">
      <x/>
    </i>
  </rowItems>
  <colItems count="1">
    <i/>
  </colItems>
  <dataFields count="1">
    <dataField name="Cuenta de CC.16 Aglomeración de personas?" fld="106" subtotal="count" showDataAs="percentOfCol" baseField="10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ED8C82-054E-484C-9A8F-3819A73212D8}" name="TablaDinámica16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H434:I437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0"/>
  </rowFields>
  <rowItems count="3">
    <i>
      <x/>
    </i>
    <i>
      <x v="1"/>
    </i>
    <i t="grand">
      <x/>
    </i>
  </rowItems>
  <colItems count="1">
    <i/>
  </colItems>
  <dataFields count="1">
    <dataField name="Cuenta de CA. 2 Si se presentaran propuestas para mejorar las condiciones de trabajo de los comerciantes en el parque, ¿estaría interesado en conocerlas y evaluarlas, considerando que se respeten sus derechos y su trayectoria en este lugar? Enc. Leer y RU" fld="150" subtotal="count" showDataAs="percentOfCol" baseField="148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75000000}" name="TablaDinámica100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211:J215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1 Venta de drogas?" fld="96" subtotal="count" showDataAs="percentOfCol" baseField="9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8D000000}" name="TablaDinámica11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L218:M222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2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2.1 ¿Con qué frecuencia?" fld="99" subtotal="count" showDataAs="percentOfCol" baseField="9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87000000}" name="TablaDinámica15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P383:Q387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SSM.5.2 ¿Cómo califica el servicio?" fld="129" subtotal="count" showDataAs="percentOfCol" baseField="12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5A000000}" name="TablaDinámica15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P399:Q403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3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SSM.8.2 ¿Cómo califica el servicio?" fld="138" subtotal="count" showDataAs="percentOfCol" baseField="13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5B000000}" name="TablaDinámica16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H394:I397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n="Sí" x="0"/>
        <item n="No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9"/>
  </rowFields>
  <rowItems count="3">
    <i>
      <x/>
    </i>
    <i>
      <x v="1"/>
    </i>
    <i t="grand">
      <x/>
    </i>
  </rowItems>
  <colItems count="1">
    <i/>
  </colItems>
  <dataFields count="1">
    <dataField name="Cuenta de CA. 1 En relación con su espacio de trabajo actual, ¿le gustaría que se realicen mejoras (como mantenimiento o renovación de carpas, mobiliario, etc.) para optimizar su labor y la experiencia de sus clientes? Enc. Leer y RU" fld="149" subtotal="count" showDataAs="percentOfCol" baseField="14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7D000000}" name="TablaDinámica10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193:J196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0"/>
  </rowFields>
  <rowItems count="3">
    <i>
      <x/>
    </i>
    <i>
      <x v="1"/>
    </i>
    <i t="grand">
      <x/>
    </i>
  </rowItems>
  <colItems count="1">
    <i/>
  </colItems>
  <dataFields count="1">
    <dataField name="Cuenta de CC.8 Consumo de alcohol?" fld="90" subtotal="count" showDataAs="percentOfCol" baseField="8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68000000}" name="TablaDinámica150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Q310:R313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6"/>
  </rowFields>
  <rowItems count="3">
    <i>
      <x/>
    </i>
    <i>
      <x v="1"/>
    </i>
    <i t="grand">
      <x/>
    </i>
  </rowItems>
  <colItems count="1">
    <i/>
  </colItems>
  <dataFields count="1">
    <dataField name="Cuenta de SSM.1.1 ¿Utilizó algún servicio o guía?" fld="116" subtotal="count" showDataAs="percentOfCol" baseField="11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5E000000}" name="TablaDinámica9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247:J251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7 ¿Alguna otra que no le haya mencionado?" fld="108" subtotal="count" showDataAs="percentOfCol" baseField="10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7B000000}" name="TablaDinámica15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P409:Q411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4"/>
  </rowFields>
  <rowItems count="2">
    <i>
      <x/>
    </i>
    <i t="grand">
      <x/>
    </i>
  </rowItems>
  <colItems count="1">
    <i/>
  </colItems>
  <dataFields count="1">
    <dataField name="Cuenta de SSM.11.2 ¿Cómo califica el servicio?" fld="144" subtotal="count" showDataAs="percentOfCol" baseField="14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90000000}" name="TablaDinámica90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92:J95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0"/>
  </rowFields>
  <rowItems count="3">
    <i>
      <x/>
    </i>
    <i>
      <x v="1"/>
    </i>
    <i t="grand">
      <x/>
    </i>
  </rowItems>
  <colItems count="1">
    <i/>
  </colItems>
  <dataFields count="1">
    <dataField name="Cuenta de ¿Ha cambiado su horario de venta al público?  Enc. respuesta espontánea y RU" fld="40" subtotal="count" showDataAs="percentOfCol" baseField="3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62000000}" name="TablaDinámica10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187:J190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8"/>
  </rowFields>
  <rowItems count="3">
    <i>
      <x/>
    </i>
    <i>
      <x v="1"/>
    </i>
    <i t="grand">
      <x/>
    </i>
  </rowItems>
  <colItems count="1">
    <i/>
  </colItems>
  <dataFields count="1">
    <dataField name="Cuenta de CC.7 Habitantes en situación de calle (mendicidad) ?" fld="88" subtotal="count" showDataAs="percentOfCol" baseField="86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8E000000}" name="TablaDinámica13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318:J321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7"/>
  </rowFields>
  <rowItems count="3">
    <i>
      <x/>
    </i>
    <i>
      <x v="1"/>
    </i>
    <i t="grand">
      <x/>
    </i>
  </rowItems>
  <colItems count="1">
    <i/>
  </colItems>
  <dataFields count="1">
    <dataField name="Cuenta de SSM.5 Cuerpo de Bombero de Quito (CBQ)" fld="127" subtotal="count" showDataAs="percentOfCol" baseField="12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5D000000}" name="TablaDinámica14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Q331:R334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8"/>
  </rowFields>
  <rowItems count="3">
    <i>
      <x/>
    </i>
    <i>
      <x v="1"/>
    </i>
    <i t="grand">
      <x/>
    </i>
  </rowItems>
  <colItems count="1">
    <i/>
  </colItems>
  <dataFields count="1">
    <dataField name="Cuenta de SSM.5.1 ¿Utilizó algún servicio o guía?" fld="128" subtotal="count" showDataAs="percentOfCol" baseField="12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BA719-7E12-4D3B-A570-F721C4D0AF1D}" name="TablaDinámica8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O110:S114" firstHeaderRow="1" firstDataRow="2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Fields count="1">
    <field x="42"/>
  </colFields>
  <colItems count="4">
    <i>
      <x/>
    </i>
    <i>
      <x v="1"/>
    </i>
    <i>
      <x v="2"/>
    </i>
    <i t="grand">
      <x/>
    </i>
  </colItems>
  <dataFields count="1">
    <dataField name="Cuenta de DD. 1 Sexo Enc. Por observación" fld="17" subtotal="count" showDataAs="percentOfRow" baseField="1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50000000}" name="TablaDinámica160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P362:Q366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1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SSM.1.2 ¿Cómo califica el servicio?" fld="117" subtotal="count" showDataAs="percentOfCol" baseField="11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6C000000}" name="TablaDinámica8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N2:S6" firstHeaderRow="1" firstDataRow="2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Fields count="1">
    <field x="32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DD. 1 Sexo Enc. Por observación" fld="17" subtotal="count" showDataAs="percentOfRow" baseField="1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71000000}" name="TablaDinámica15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P389:Q392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2"/>
  </rowFields>
  <rowItems count="3">
    <i>
      <x/>
    </i>
    <i>
      <x v="1"/>
    </i>
    <i t="grand">
      <x/>
    </i>
  </rowItems>
  <colItems count="1">
    <i/>
  </colItems>
  <dataFields count="1">
    <dataField name="Cuenta de SSM.6.2 ¿Cómo califica el servicio?" fld="132" subtotal="count" showDataAs="percentOfCol" baseField="13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99000000}" name="TablaDinámica8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O47:S51" firstHeaderRow="1" firstDataRow="2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Fields count="1">
    <field x="39"/>
  </colFields>
  <colItems count="4">
    <i>
      <x/>
    </i>
    <i>
      <x v="1"/>
    </i>
    <i>
      <x v="2"/>
    </i>
    <i t="grand">
      <x/>
    </i>
  </colItems>
  <dataFields count="1">
    <dataField name="Cuenta de DD. 1 Sexo Enc. Por observación" fld="17" subtotal="count" showDataAs="percentOfRow" baseField="1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4642B1-8134-49C5-A843-91BEECB0C44D}" name="TablaDinámica7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O93:R97" firstHeaderRow="1" firstDataRow="2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Fields count="1">
    <field x="40"/>
  </colFields>
  <colItems count="3">
    <i>
      <x/>
    </i>
    <i>
      <x v="1"/>
    </i>
    <i t="grand">
      <x/>
    </i>
  </colItems>
  <dataFields count="1">
    <dataField name="Cuenta de DD. 1 Sexo Enc. Por observación" fld="17" subtotal="count" showDataAs="percentOfRow" baseField="1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79000000}" name="TablaDinámica10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175:J179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5 Áreas sin iluminación ?" fld="84" subtotal="count" showDataAs="percentOfCol" baseField="8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67000000}" name="TablaDinámica9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H132:K136" firstHeaderRow="1" firstDataRow="2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Fields count="1">
    <field x="51"/>
  </colFields>
  <colItems count="3">
    <i>
      <x/>
    </i>
    <i>
      <x v="1"/>
    </i>
    <i t="grand">
      <x/>
    </i>
  </colItems>
  <dataFields count="1">
    <dataField name="Cuenta de DD. 1 Sexo Enc. Por observación" fld="17" subtotal="count" showDataAs="percentOfRow" baseField="1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86000000}" name="TablaDinámica12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L175:M179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0"/>
        <item x="3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5.1 ¿Con qué frecuencia?" fld="85" subtotal="count" showDataAs="percentOfCol" baseField="8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52000000}" name="TablaDinámica10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181:J184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6"/>
  </rowFields>
  <rowItems count="3">
    <i>
      <x/>
    </i>
    <i>
      <x v="1"/>
    </i>
    <i t="grand">
      <x/>
    </i>
  </rowItems>
  <colItems count="1">
    <i/>
  </colItems>
  <dataFields count="1">
    <dataField name="Cuenta de CC.6 Peleas o riñas ?" fld="86" subtotal="count" showDataAs="percentOfCol" baseField="8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74000000}" name="TablaDinámica12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L158:M161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axis="axisRow" dataField="1"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9"/>
  </rowFields>
  <rowItems count="3">
    <i>
      <x/>
    </i>
    <i>
      <x v="1"/>
    </i>
    <i t="grand">
      <x/>
    </i>
  </rowItems>
  <colItems count="1">
    <i/>
  </colItems>
  <dataFields count="1">
    <dataField name="Cuenta de CC.2.1 ¿Con qué frecuencia?" fld="79" subtotal="count" showDataAs="percentOfCol" baseField="7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95000000}" name="TablaDinámica15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P394:Q397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5"/>
  </rowFields>
  <rowItems count="3">
    <i>
      <x/>
    </i>
    <i>
      <x v="1"/>
    </i>
    <i t="grand">
      <x/>
    </i>
  </rowItems>
  <colItems count="1">
    <i/>
  </colItems>
  <dataFields count="1">
    <dataField name="Cuenta de SSM.7.2 ¿Cómo califica el servicio?" fld="135" subtotal="count" showDataAs="percentOfCol" baseField="13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BD8A0-EFA1-49F5-B451-52C0FC285293}" name="TablaDinámica7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T93:W99" firstHeaderRow="1" firstDataRow="2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axis="axisRow" dataField="1" showAll="0" defaultSubtotal="0">
      <items count="4">
        <item x="3"/>
        <item x="0"/>
        <item x="1"/>
        <item x="2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Fields count="1">
    <field x="40"/>
  </colFields>
  <colItems count="3">
    <i>
      <x/>
    </i>
    <i>
      <x v="1"/>
    </i>
    <i t="grand">
      <x/>
    </i>
  </colItems>
  <dataFields count="1">
    <dataField name="Cuenta de rango_Edad" fld="19" subtotal="count" showDataAs="percentOfRow" baseField="1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4F000000}" name="TablaDinámica12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L163:M167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3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3.1 ¿Con qué frecuencia?" fld="81" subtotal="count" showDataAs="percentOfCol" baseField="7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93000000}" name="TablaDinámica9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M132:P138" firstHeaderRow="1" firstDataRow="2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defaultSubtotal="0">
      <items count="4">
        <item x="3"/>
        <item x="0"/>
        <item x="1"/>
        <item x="2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Fields count="1">
    <field x="51"/>
  </colFields>
  <colItems count="3">
    <i>
      <x/>
    </i>
    <i>
      <x v="1"/>
    </i>
    <i t="grand">
      <x/>
    </i>
  </colItems>
  <dataFields count="1">
    <dataField name="Cuenta de rango_Edad" fld="19" subtotal="count" showDataAs="percentOfRow" baseField="1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61000000}" name="TablaDinámica12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L187:M191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2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7.1 ¿Con qué frecuencia?" fld="89" subtotal="count" showDataAs="percentOfCol" baseField="8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59000000}" name="TablaDinámica98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224:J227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0"/>
  </rowFields>
  <rowItems count="3">
    <i>
      <x/>
    </i>
    <i>
      <x v="1"/>
    </i>
    <i t="grand">
      <x/>
    </i>
  </rowItems>
  <colItems count="1">
    <i/>
  </colItems>
  <dataFields count="1">
    <dataField name="Cuenta de CC.13 Fauna Urbana? (animales sin hogar)" fld="100" subtotal="count" showDataAs="percentOfCol" baseField="9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89000000}" name="TablaDinámica13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339:J342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9"/>
  </rowFields>
  <rowItems count="3">
    <i>
      <x/>
    </i>
    <i>
      <x v="1"/>
    </i>
    <i t="grand">
      <x/>
    </i>
  </rowItems>
  <colItems count="1">
    <i/>
  </colItems>
  <dataFields count="1">
    <dataField name="Cuenta de SSM.10 Fuerzas Armadas del Ecuador (FFAA)" fld="139" subtotal="count" showDataAs="percentOfCol" baseField="13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5C000000}" name="TablaDinámica12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L181:M185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1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6.1 ¿Con qué frecuencia?" fld="87" subtotal="count" showDataAs="percentOfCol" baseField="8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83000000}" name="TablaDinámica8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98:J101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1"/>
  </rowFields>
  <rowItems count="3">
    <i>
      <x/>
    </i>
    <i>
      <x v="1"/>
    </i>
    <i t="grand">
      <x/>
    </i>
  </rowItems>
  <colItems count="1">
    <i/>
  </colItems>
  <dataFields count="1">
    <dataField name="Cuenta de ¿Ha evitado estar solo/a para atender al público? Enc. respuesta espontánea y RU" fld="41" subtotal="count" showDataAs="percentOfCol" baseField="4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7A000000}" name="TablaDinámica14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Q347:R350" firstHeaderRow="1" firstDataRow="1" firstDataCol="1"/>
  <pivotFields count="173"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7"/>
  </rowFields>
  <rowItems count="3">
    <i>
      <x/>
    </i>
    <i>
      <x v="1"/>
    </i>
    <i t="grand">
      <x/>
    </i>
  </rowItems>
  <colItems count="1">
    <i/>
  </colItems>
  <dataFields count="1">
    <dataField name="Cuenta de SSM.8.1 ¿Utilizó algún servicio o guía?" fld="137" subtotal="count" showDataAs="percentOfCol" baseField="13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pivotTable" Target="../pivotTables/pivotTable26.xml"/><Relationship Id="rId21" Type="http://schemas.openxmlformats.org/officeDocument/2006/relationships/pivotTable" Target="../pivotTables/pivotTable21.xml"/><Relationship Id="rId42" Type="http://schemas.openxmlformats.org/officeDocument/2006/relationships/pivotTable" Target="../pivotTables/pivotTable42.xml"/><Relationship Id="rId47" Type="http://schemas.openxmlformats.org/officeDocument/2006/relationships/pivotTable" Target="../pivotTables/pivotTable47.xml"/><Relationship Id="rId63" Type="http://schemas.openxmlformats.org/officeDocument/2006/relationships/pivotTable" Target="../pivotTables/pivotTable63.xml"/><Relationship Id="rId68" Type="http://schemas.openxmlformats.org/officeDocument/2006/relationships/pivotTable" Target="../pivotTables/pivotTable68.xml"/><Relationship Id="rId16" Type="http://schemas.openxmlformats.org/officeDocument/2006/relationships/pivotTable" Target="../pivotTables/pivotTable1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32" Type="http://schemas.openxmlformats.org/officeDocument/2006/relationships/pivotTable" Target="../pivotTables/pivotTable32.xml"/><Relationship Id="rId37" Type="http://schemas.openxmlformats.org/officeDocument/2006/relationships/pivotTable" Target="../pivotTables/pivotTable37.xml"/><Relationship Id="rId40" Type="http://schemas.openxmlformats.org/officeDocument/2006/relationships/pivotTable" Target="../pivotTables/pivotTable40.xml"/><Relationship Id="rId45" Type="http://schemas.openxmlformats.org/officeDocument/2006/relationships/pivotTable" Target="../pivotTables/pivotTable45.xml"/><Relationship Id="rId53" Type="http://schemas.openxmlformats.org/officeDocument/2006/relationships/pivotTable" Target="../pivotTables/pivotTable53.xml"/><Relationship Id="rId58" Type="http://schemas.openxmlformats.org/officeDocument/2006/relationships/pivotTable" Target="../pivotTables/pivotTable58.xml"/><Relationship Id="rId66" Type="http://schemas.openxmlformats.org/officeDocument/2006/relationships/pivotTable" Target="../pivotTables/pivotTable66.xml"/><Relationship Id="rId74" Type="http://schemas.openxmlformats.org/officeDocument/2006/relationships/pivotTable" Target="../pivotTables/pivotTable74.xml"/><Relationship Id="rId5" Type="http://schemas.openxmlformats.org/officeDocument/2006/relationships/pivotTable" Target="../pivotTables/pivotTable5.xml"/><Relationship Id="rId61" Type="http://schemas.openxmlformats.org/officeDocument/2006/relationships/pivotTable" Target="../pivotTables/pivotTable61.xml"/><Relationship Id="rId19" Type="http://schemas.openxmlformats.org/officeDocument/2006/relationships/pivotTable" Target="../pivotTables/pivotTable1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Relationship Id="rId30" Type="http://schemas.openxmlformats.org/officeDocument/2006/relationships/pivotTable" Target="../pivotTables/pivotTable30.xml"/><Relationship Id="rId35" Type="http://schemas.openxmlformats.org/officeDocument/2006/relationships/pivotTable" Target="../pivotTables/pivotTable35.xml"/><Relationship Id="rId43" Type="http://schemas.openxmlformats.org/officeDocument/2006/relationships/pivotTable" Target="../pivotTables/pivotTable43.xml"/><Relationship Id="rId48" Type="http://schemas.openxmlformats.org/officeDocument/2006/relationships/pivotTable" Target="../pivotTables/pivotTable48.xml"/><Relationship Id="rId56" Type="http://schemas.openxmlformats.org/officeDocument/2006/relationships/pivotTable" Target="../pivotTables/pivotTable56.xml"/><Relationship Id="rId64" Type="http://schemas.openxmlformats.org/officeDocument/2006/relationships/pivotTable" Target="../pivotTables/pivotTable64.xml"/><Relationship Id="rId69" Type="http://schemas.openxmlformats.org/officeDocument/2006/relationships/pivotTable" Target="../pivotTables/pivotTable69.xml"/><Relationship Id="rId77" Type="http://schemas.openxmlformats.org/officeDocument/2006/relationships/pivotTable" Target="../pivotTables/pivotTable77.xml"/><Relationship Id="rId8" Type="http://schemas.openxmlformats.org/officeDocument/2006/relationships/pivotTable" Target="../pivotTables/pivotTable8.xml"/><Relationship Id="rId51" Type="http://schemas.openxmlformats.org/officeDocument/2006/relationships/pivotTable" Target="../pivotTables/pivotTable51.xml"/><Relationship Id="rId72" Type="http://schemas.openxmlformats.org/officeDocument/2006/relationships/pivotTable" Target="../pivotTables/pivotTable72.xml"/><Relationship Id="rId3" Type="http://schemas.openxmlformats.org/officeDocument/2006/relationships/pivotTable" Target="../pivotTables/pivotTable3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33" Type="http://schemas.openxmlformats.org/officeDocument/2006/relationships/pivotTable" Target="../pivotTables/pivotTable33.xml"/><Relationship Id="rId38" Type="http://schemas.openxmlformats.org/officeDocument/2006/relationships/pivotTable" Target="../pivotTables/pivotTable38.xml"/><Relationship Id="rId46" Type="http://schemas.openxmlformats.org/officeDocument/2006/relationships/pivotTable" Target="../pivotTables/pivotTable46.xml"/><Relationship Id="rId59" Type="http://schemas.openxmlformats.org/officeDocument/2006/relationships/pivotTable" Target="../pivotTables/pivotTable59.xml"/><Relationship Id="rId67" Type="http://schemas.openxmlformats.org/officeDocument/2006/relationships/pivotTable" Target="../pivotTables/pivotTable67.xml"/><Relationship Id="rId20" Type="http://schemas.openxmlformats.org/officeDocument/2006/relationships/pivotTable" Target="../pivotTables/pivotTable20.xml"/><Relationship Id="rId41" Type="http://schemas.openxmlformats.org/officeDocument/2006/relationships/pivotTable" Target="../pivotTables/pivotTable41.xml"/><Relationship Id="rId54" Type="http://schemas.openxmlformats.org/officeDocument/2006/relationships/pivotTable" Target="../pivotTables/pivotTable54.xml"/><Relationship Id="rId62" Type="http://schemas.openxmlformats.org/officeDocument/2006/relationships/pivotTable" Target="../pivotTables/pivotTable62.xml"/><Relationship Id="rId70" Type="http://schemas.openxmlformats.org/officeDocument/2006/relationships/pivotTable" Target="../pivotTables/pivotTable70.xml"/><Relationship Id="rId75" Type="http://schemas.openxmlformats.org/officeDocument/2006/relationships/pivotTable" Target="../pivotTables/pivotTable75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36" Type="http://schemas.openxmlformats.org/officeDocument/2006/relationships/pivotTable" Target="../pivotTables/pivotTable36.xml"/><Relationship Id="rId49" Type="http://schemas.openxmlformats.org/officeDocument/2006/relationships/pivotTable" Target="../pivotTables/pivotTable49.xml"/><Relationship Id="rId57" Type="http://schemas.openxmlformats.org/officeDocument/2006/relationships/pivotTable" Target="../pivotTables/pivotTable57.xml"/><Relationship Id="rId10" Type="http://schemas.openxmlformats.org/officeDocument/2006/relationships/pivotTable" Target="../pivotTables/pivotTable10.xml"/><Relationship Id="rId31" Type="http://schemas.openxmlformats.org/officeDocument/2006/relationships/pivotTable" Target="../pivotTables/pivotTable31.xml"/><Relationship Id="rId44" Type="http://schemas.openxmlformats.org/officeDocument/2006/relationships/pivotTable" Target="../pivotTables/pivotTable44.xml"/><Relationship Id="rId52" Type="http://schemas.openxmlformats.org/officeDocument/2006/relationships/pivotTable" Target="../pivotTables/pivotTable52.xml"/><Relationship Id="rId60" Type="http://schemas.openxmlformats.org/officeDocument/2006/relationships/pivotTable" Target="../pivotTables/pivotTable60.xml"/><Relationship Id="rId65" Type="http://schemas.openxmlformats.org/officeDocument/2006/relationships/pivotTable" Target="../pivotTables/pivotTable65.xml"/><Relationship Id="rId73" Type="http://schemas.openxmlformats.org/officeDocument/2006/relationships/pivotTable" Target="../pivotTables/pivotTable73.xml"/><Relationship Id="rId78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9" Type="http://schemas.openxmlformats.org/officeDocument/2006/relationships/pivotTable" Target="../pivotTables/pivotTable39.xml"/><Relationship Id="rId34" Type="http://schemas.openxmlformats.org/officeDocument/2006/relationships/pivotTable" Target="../pivotTables/pivotTable34.xml"/><Relationship Id="rId50" Type="http://schemas.openxmlformats.org/officeDocument/2006/relationships/pivotTable" Target="../pivotTables/pivotTable50.xml"/><Relationship Id="rId55" Type="http://schemas.openxmlformats.org/officeDocument/2006/relationships/pivotTable" Target="../pivotTables/pivotTable55.xml"/><Relationship Id="rId76" Type="http://schemas.openxmlformats.org/officeDocument/2006/relationships/pivotTable" Target="../pivotTables/pivotTable76.xml"/><Relationship Id="rId7" Type="http://schemas.openxmlformats.org/officeDocument/2006/relationships/pivotTable" Target="../pivotTables/pivotTable7.xml"/><Relationship Id="rId71" Type="http://schemas.openxmlformats.org/officeDocument/2006/relationships/pivotTable" Target="../pivotTables/pivotTable71.xml"/><Relationship Id="rId2" Type="http://schemas.openxmlformats.org/officeDocument/2006/relationships/pivotTable" Target="../pivotTables/pivotTable2.xml"/><Relationship Id="rId29" Type="http://schemas.openxmlformats.org/officeDocument/2006/relationships/pivotTable" Target="../pivotTables/pivotTable29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pivotTable" Target="../pivotTables/pivotTable103.xml"/><Relationship Id="rId21" Type="http://schemas.openxmlformats.org/officeDocument/2006/relationships/pivotTable" Target="../pivotTables/pivotTable98.xml"/><Relationship Id="rId42" Type="http://schemas.openxmlformats.org/officeDocument/2006/relationships/pivotTable" Target="../pivotTables/pivotTable119.xml"/><Relationship Id="rId47" Type="http://schemas.openxmlformats.org/officeDocument/2006/relationships/pivotTable" Target="../pivotTables/pivotTable124.xml"/><Relationship Id="rId63" Type="http://schemas.openxmlformats.org/officeDocument/2006/relationships/pivotTable" Target="../pivotTables/pivotTable140.xml"/><Relationship Id="rId68" Type="http://schemas.openxmlformats.org/officeDocument/2006/relationships/pivotTable" Target="../pivotTables/pivotTable145.xml"/><Relationship Id="rId84" Type="http://schemas.openxmlformats.org/officeDocument/2006/relationships/pivotTable" Target="../pivotTables/pivotTable161.xml"/><Relationship Id="rId89" Type="http://schemas.openxmlformats.org/officeDocument/2006/relationships/pivotTable" Target="../pivotTables/pivotTable166.xml"/><Relationship Id="rId16" Type="http://schemas.openxmlformats.org/officeDocument/2006/relationships/pivotTable" Target="../pivotTables/pivotTable93.xml"/><Relationship Id="rId11" Type="http://schemas.openxmlformats.org/officeDocument/2006/relationships/pivotTable" Target="../pivotTables/pivotTable88.xml"/><Relationship Id="rId32" Type="http://schemas.openxmlformats.org/officeDocument/2006/relationships/pivotTable" Target="../pivotTables/pivotTable109.xml"/><Relationship Id="rId37" Type="http://schemas.openxmlformats.org/officeDocument/2006/relationships/pivotTable" Target="../pivotTables/pivotTable114.xml"/><Relationship Id="rId53" Type="http://schemas.openxmlformats.org/officeDocument/2006/relationships/pivotTable" Target="../pivotTables/pivotTable130.xml"/><Relationship Id="rId58" Type="http://schemas.openxmlformats.org/officeDocument/2006/relationships/pivotTable" Target="../pivotTables/pivotTable135.xml"/><Relationship Id="rId74" Type="http://schemas.openxmlformats.org/officeDocument/2006/relationships/pivotTable" Target="../pivotTables/pivotTable151.xml"/><Relationship Id="rId79" Type="http://schemas.openxmlformats.org/officeDocument/2006/relationships/pivotTable" Target="../pivotTables/pivotTable156.xml"/><Relationship Id="rId5" Type="http://schemas.openxmlformats.org/officeDocument/2006/relationships/pivotTable" Target="../pivotTables/pivotTable82.xml"/><Relationship Id="rId90" Type="http://schemas.openxmlformats.org/officeDocument/2006/relationships/pivotTable" Target="../pivotTables/pivotTable167.xml"/><Relationship Id="rId14" Type="http://schemas.openxmlformats.org/officeDocument/2006/relationships/pivotTable" Target="../pivotTables/pivotTable91.xml"/><Relationship Id="rId22" Type="http://schemas.openxmlformats.org/officeDocument/2006/relationships/pivotTable" Target="../pivotTables/pivotTable99.xml"/><Relationship Id="rId27" Type="http://schemas.openxmlformats.org/officeDocument/2006/relationships/pivotTable" Target="../pivotTables/pivotTable104.xml"/><Relationship Id="rId30" Type="http://schemas.openxmlformats.org/officeDocument/2006/relationships/pivotTable" Target="../pivotTables/pivotTable107.xml"/><Relationship Id="rId35" Type="http://schemas.openxmlformats.org/officeDocument/2006/relationships/pivotTable" Target="../pivotTables/pivotTable112.xml"/><Relationship Id="rId43" Type="http://schemas.openxmlformats.org/officeDocument/2006/relationships/pivotTable" Target="../pivotTables/pivotTable120.xml"/><Relationship Id="rId48" Type="http://schemas.openxmlformats.org/officeDocument/2006/relationships/pivotTable" Target="../pivotTables/pivotTable125.xml"/><Relationship Id="rId56" Type="http://schemas.openxmlformats.org/officeDocument/2006/relationships/pivotTable" Target="../pivotTables/pivotTable133.xml"/><Relationship Id="rId64" Type="http://schemas.openxmlformats.org/officeDocument/2006/relationships/pivotTable" Target="../pivotTables/pivotTable141.xml"/><Relationship Id="rId69" Type="http://schemas.openxmlformats.org/officeDocument/2006/relationships/pivotTable" Target="../pivotTables/pivotTable146.xml"/><Relationship Id="rId77" Type="http://schemas.openxmlformats.org/officeDocument/2006/relationships/pivotTable" Target="../pivotTables/pivotTable154.xml"/><Relationship Id="rId8" Type="http://schemas.openxmlformats.org/officeDocument/2006/relationships/pivotTable" Target="../pivotTables/pivotTable85.xml"/><Relationship Id="rId51" Type="http://schemas.openxmlformats.org/officeDocument/2006/relationships/pivotTable" Target="../pivotTables/pivotTable128.xml"/><Relationship Id="rId72" Type="http://schemas.openxmlformats.org/officeDocument/2006/relationships/pivotTable" Target="../pivotTables/pivotTable149.xml"/><Relationship Id="rId80" Type="http://schemas.openxmlformats.org/officeDocument/2006/relationships/pivotTable" Target="../pivotTables/pivotTable157.xml"/><Relationship Id="rId85" Type="http://schemas.openxmlformats.org/officeDocument/2006/relationships/pivotTable" Target="../pivotTables/pivotTable162.xml"/><Relationship Id="rId3" Type="http://schemas.openxmlformats.org/officeDocument/2006/relationships/pivotTable" Target="../pivotTables/pivotTable80.xml"/><Relationship Id="rId12" Type="http://schemas.openxmlformats.org/officeDocument/2006/relationships/pivotTable" Target="../pivotTables/pivotTable89.xml"/><Relationship Id="rId17" Type="http://schemas.openxmlformats.org/officeDocument/2006/relationships/pivotTable" Target="../pivotTables/pivotTable94.xml"/><Relationship Id="rId25" Type="http://schemas.openxmlformats.org/officeDocument/2006/relationships/pivotTable" Target="../pivotTables/pivotTable102.xml"/><Relationship Id="rId33" Type="http://schemas.openxmlformats.org/officeDocument/2006/relationships/pivotTable" Target="../pivotTables/pivotTable110.xml"/><Relationship Id="rId38" Type="http://schemas.openxmlformats.org/officeDocument/2006/relationships/pivotTable" Target="../pivotTables/pivotTable115.xml"/><Relationship Id="rId46" Type="http://schemas.openxmlformats.org/officeDocument/2006/relationships/pivotTable" Target="../pivotTables/pivotTable123.xml"/><Relationship Id="rId59" Type="http://schemas.openxmlformats.org/officeDocument/2006/relationships/pivotTable" Target="../pivotTables/pivotTable136.xml"/><Relationship Id="rId67" Type="http://schemas.openxmlformats.org/officeDocument/2006/relationships/pivotTable" Target="../pivotTables/pivotTable144.xml"/><Relationship Id="rId20" Type="http://schemas.openxmlformats.org/officeDocument/2006/relationships/pivotTable" Target="../pivotTables/pivotTable97.xml"/><Relationship Id="rId41" Type="http://schemas.openxmlformats.org/officeDocument/2006/relationships/pivotTable" Target="../pivotTables/pivotTable118.xml"/><Relationship Id="rId54" Type="http://schemas.openxmlformats.org/officeDocument/2006/relationships/pivotTable" Target="../pivotTables/pivotTable131.xml"/><Relationship Id="rId62" Type="http://schemas.openxmlformats.org/officeDocument/2006/relationships/pivotTable" Target="../pivotTables/pivotTable139.xml"/><Relationship Id="rId70" Type="http://schemas.openxmlformats.org/officeDocument/2006/relationships/pivotTable" Target="../pivotTables/pivotTable147.xml"/><Relationship Id="rId75" Type="http://schemas.openxmlformats.org/officeDocument/2006/relationships/pivotTable" Target="../pivotTables/pivotTable152.xml"/><Relationship Id="rId83" Type="http://schemas.openxmlformats.org/officeDocument/2006/relationships/pivotTable" Target="../pivotTables/pivotTable160.xml"/><Relationship Id="rId88" Type="http://schemas.openxmlformats.org/officeDocument/2006/relationships/pivotTable" Target="../pivotTables/pivotTable165.xml"/><Relationship Id="rId91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78.xml"/><Relationship Id="rId6" Type="http://schemas.openxmlformats.org/officeDocument/2006/relationships/pivotTable" Target="../pivotTables/pivotTable83.xml"/><Relationship Id="rId15" Type="http://schemas.openxmlformats.org/officeDocument/2006/relationships/pivotTable" Target="../pivotTables/pivotTable92.xml"/><Relationship Id="rId23" Type="http://schemas.openxmlformats.org/officeDocument/2006/relationships/pivotTable" Target="../pivotTables/pivotTable100.xml"/><Relationship Id="rId28" Type="http://schemas.openxmlformats.org/officeDocument/2006/relationships/pivotTable" Target="../pivotTables/pivotTable105.xml"/><Relationship Id="rId36" Type="http://schemas.openxmlformats.org/officeDocument/2006/relationships/pivotTable" Target="../pivotTables/pivotTable113.xml"/><Relationship Id="rId49" Type="http://schemas.openxmlformats.org/officeDocument/2006/relationships/pivotTable" Target="../pivotTables/pivotTable126.xml"/><Relationship Id="rId57" Type="http://schemas.openxmlformats.org/officeDocument/2006/relationships/pivotTable" Target="../pivotTables/pivotTable134.xml"/><Relationship Id="rId10" Type="http://schemas.openxmlformats.org/officeDocument/2006/relationships/pivotTable" Target="../pivotTables/pivotTable87.xml"/><Relationship Id="rId31" Type="http://schemas.openxmlformats.org/officeDocument/2006/relationships/pivotTable" Target="../pivotTables/pivotTable108.xml"/><Relationship Id="rId44" Type="http://schemas.openxmlformats.org/officeDocument/2006/relationships/pivotTable" Target="../pivotTables/pivotTable121.xml"/><Relationship Id="rId52" Type="http://schemas.openxmlformats.org/officeDocument/2006/relationships/pivotTable" Target="../pivotTables/pivotTable129.xml"/><Relationship Id="rId60" Type="http://schemas.openxmlformats.org/officeDocument/2006/relationships/pivotTable" Target="../pivotTables/pivotTable137.xml"/><Relationship Id="rId65" Type="http://schemas.openxmlformats.org/officeDocument/2006/relationships/pivotTable" Target="../pivotTables/pivotTable142.xml"/><Relationship Id="rId73" Type="http://schemas.openxmlformats.org/officeDocument/2006/relationships/pivotTable" Target="../pivotTables/pivotTable150.xml"/><Relationship Id="rId78" Type="http://schemas.openxmlformats.org/officeDocument/2006/relationships/pivotTable" Target="../pivotTables/pivotTable155.xml"/><Relationship Id="rId81" Type="http://schemas.openxmlformats.org/officeDocument/2006/relationships/pivotTable" Target="../pivotTables/pivotTable158.xml"/><Relationship Id="rId86" Type="http://schemas.openxmlformats.org/officeDocument/2006/relationships/pivotTable" Target="../pivotTables/pivotTable163.xml"/><Relationship Id="rId4" Type="http://schemas.openxmlformats.org/officeDocument/2006/relationships/pivotTable" Target="../pivotTables/pivotTable81.xml"/><Relationship Id="rId9" Type="http://schemas.openxmlformats.org/officeDocument/2006/relationships/pivotTable" Target="../pivotTables/pivotTable86.xml"/><Relationship Id="rId13" Type="http://schemas.openxmlformats.org/officeDocument/2006/relationships/pivotTable" Target="../pivotTables/pivotTable90.xml"/><Relationship Id="rId18" Type="http://schemas.openxmlformats.org/officeDocument/2006/relationships/pivotTable" Target="../pivotTables/pivotTable95.xml"/><Relationship Id="rId39" Type="http://schemas.openxmlformats.org/officeDocument/2006/relationships/pivotTable" Target="../pivotTables/pivotTable116.xml"/><Relationship Id="rId34" Type="http://schemas.openxmlformats.org/officeDocument/2006/relationships/pivotTable" Target="../pivotTables/pivotTable111.xml"/><Relationship Id="rId50" Type="http://schemas.openxmlformats.org/officeDocument/2006/relationships/pivotTable" Target="../pivotTables/pivotTable127.xml"/><Relationship Id="rId55" Type="http://schemas.openxmlformats.org/officeDocument/2006/relationships/pivotTable" Target="../pivotTables/pivotTable132.xml"/><Relationship Id="rId76" Type="http://schemas.openxmlformats.org/officeDocument/2006/relationships/pivotTable" Target="../pivotTables/pivotTable153.xml"/><Relationship Id="rId7" Type="http://schemas.openxmlformats.org/officeDocument/2006/relationships/pivotTable" Target="../pivotTables/pivotTable84.xml"/><Relationship Id="rId71" Type="http://schemas.openxmlformats.org/officeDocument/2006/relationships/pivotTable" Target="../pivotTables/pivotTable148.xml"/><Relationship Id="rId92" Type="http://schemas.openxmlformats.org/officeDocument/2006/relationships/drawing" Target="../drawings/drawing1.xml"/><Relationship Id="rId2" Type="http://schemas.openxmlformats.org/officeDocument/2006/relationships/pivotTable" Target="../pivotTables/pivotTable79.xml"/><Relationship Id="rId29" Type="http://schemas.openxmlformats.org/officeDocument/2006/relationships/pivotTable" Target="../pivotTables/pivotTable106.xml"/><Relationship Id="rId24" Type="http://schemas.openxmlformats.org/officeDocument/2006/relationships/pivotTable" Target="../pivotTables/pivotTable101.xml"/><Relationship Id="rId40" Type="http://schemas.openxmlformats.org/officeDocument/2006/relationships/pivotTable" Target="../pivotTables/pivotTable117.xml"/><Relationship Id="rId45" Type="http://schemas.openxmlformats.org/officeDocument/2006/relationships/pivotTable" Target="../pivotTables/pivotTable122.xml"/><Relationship Id="rId66" Type="http://schemas.openxmlformats.org/officeDocument/2006/relationships/pivotTable" Target="../pivotTables/pivotTable143.xml"/><Relationship Id="rId87" Type="http://schemas.openxmlformats.org/officeDocument/2006/relationships/pivotTable" Target="../pivotTables/pivotTable164.xml"/><Relationship Id="rId61" Type="http://schemas.openxmlformats.org/officeDocument/2006/relationships/pivotTable" Target="../pivotTables/pivotTable138.xml"/><Relationship Id="rId82" Type="http://schemas.openxmlformats.org/officeDocument/2006/relationships/pivotTable" Target="../pivotTables/pivotTable159.xml"/><Relationship Id="rId19" Type="http://schemas.openxmlformats.org/officeDocument/2006/relationships/pivotTable" Target="../pivotTables/pivotTable9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Q167"/>
  <sheetViews>
    <sheetView tabSelected="1" workbookViewId="0">
      <pane ySplit="1" topLeftCell="A2" activePane="bottomLeft" state="frozen"/>
      <selection activeCell="D1" sqref="D1"/>
      <selection pane="bottomLeft" activeCell="B2" sqref="B2"/>
    </sheetView>
  </sheetViews>
  <sheetFormatPr baseColWidth="10" defaultColWidth="9.140625" defaultRowHeight="15" x14ac:dyDescent="0.25"/>
  <cols>
    <col min="40" max="40" width="13.5703125" customWidth="1"/>
  </cols>
  <sheetData>
    <row r="1" spans="1:1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1396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s="7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s="7" t="s">
        <v>72</v>
      </c>
      <c r="BW1" s="7" t="s">
        <v>1439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</row>
    <row r="2" spans="1:173" x14ac:dyDescent="0.25">
      <c r="A2" s="1">
        <v>45758.387844108787</v>
      </c>
      <c r="B2" s="1">
        <v>45758.404091122677</v>
      </c>
      <c r="C2" t="s">
        <v>195</v>
      </c>
      <c r="D2">
        <v>166</v>
      </c>
      <c r="E2" s="1">
        <v>45739</v>
      </c>
      <c r="F2">
        <v>3</v>
      </c>
      <c r="G2" t="s">
        <v>196</v>
      </c>
      <c r="H2" t="s">
        <v>197</v>
      </c>
      <c r="I2" t="s">
        <v>198</v>
      </c>
      <c r="J2" t="s">
        <v>199</v>
      </c>
      <c r="K2" t="s">
        <v>173</v>
      </c>
      <c r="L2">
        <v>10</v>
      </c>
      <c r="M2" t="s">
        <v>174</v>
      </c>
      <c r="N2">
        <v>0</v>
      </c>
      <c r="O2">
        <v>0</v>
      </c>
      <c r="P2">
        <v>0</v>
      </c>
      <c r="Q2">
        <v>0</v>
      </c>
      <c r="R2" t="s">
        <v>175</v>
      </c>
      <c r="S2">
        <v>28</v>
      </c>
      <c r="T2" t="str">
        <f>IF(S2&lt;=25,"18 a 25",IF(S2&lt;=40,"26 a 40",IF(S2&lt;=55,"41 a 55","56 a más")))</f>
        <v>26 a 40</v>
      </c>
      <c r="U2" t="s">
        <v>173</v>
      </c>
      <c r="W2" t="s">
        <v>176</v>
      </c>
      <c r="Y2" t="s">
        <v>200</v>
      </c>
      <c r="Z2" t="s">
        <v>178</v>
      </c>
      <c r="AA2" t="s">
        <v>179</v>
      </c>
      <c r="AB2" t="s">
        <v>201</v>
      </c>
      <c r="AC2" t="s">
        <v>202</v>
      </c>
      <c r="AD2" t="s">
        <v>203</v>
      </c>
      <c r="AG2" t="s">
        <v>202</v>
      </c>
      <c r="AH2" t="s">
        <v>204</v>
      </c>
      <c r="AI2">
        <v>0</v>
      </c>
      <c r="AJ2">
        <v>1</v>
      </c>
      <c r="AK2">
        <v>0</v>
      </c>
      <c r="AL2">
        <v>0</v>
      </c>
      <c r="AM2">
        <v>0</v>
      </c>
      <c r="AN2" t="s">
        <v>205</v>
      </c>
      <c r="AO2" t="s">
        <v>173</v>
      </c>
      <c r="AP2" t="s">
        <v>192</v>
      </c>
      <c r="AQ2" t="s">
        <v>173</v>
      </c>
      <c r="AR2" t="s">
        <v>206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Z2" t="s">
        <v>192</v>
      </c>
      <c r="BW2">
        <f>IF(OR(BN2="2. No",BO2="2. No",BP2="2. No",BQ2="2. No",BR2="2. No",BS2="2. No",BT2="2. No",BU2="2. No",BV2="2. No"),1,0)</f>
        <v>0</v>
      </c>
      <c r="BY2" t="s">
        <v>192</v>
      </c>
      <c r="CA2" t="s">
        <v>192</v>
      </c>
      <c r="CC2" t="s">
        <v>173</v>
      </c>
      <c r="CD2" t="s">
        <v>185</v>
      </c>
      <c r="CE2" t="s">
        <v>173</v>
      </c>
      <c r="CF2" t="s">
        <v>186</v>
      </c>
      <c r="CG2" t="s">
        <v>173</v>
      </c>
      <c r="CH2" t="s">
        <v>186</v>
      </c>
      <c r="CI2" t="s">
        <v>192</v>
      </c>
      <c r="CK2" t="s">
        <v>192</v>
      </c>
      <c r="CM2" t="s">
        <v>173</v>
      </c>
      <c r="CN2" t="s">
        <v>186</v>
      </c>
      <c r="CO2" t="s">
        <v>192</v>
      </c>
      <c r="CQ2" t="s">
        <v>192</v>
      </c>
      <c r="CS2" t="s">
        <v>192</v>
      </c>
      <c r="CU2" t="s">
        <v>192</v>
      </c>
      <c r="CW2" t="s">
        <v>192</v>
      </c>
      <c r="CY2" t="s">
        <v>173</v>
      </c>
      <c r="CZ2" t="s">
        <v>186</v>
      </c>
      <c r="DA2" t="s">
        <v>192</v>
      </c>
      <c r="DC2" t="s">
        <v>192</v>
      </c>
      <c r="DE2" t="s">
        <v>192</v>
      </c>
      <c r="DH2" t="s">
        <v>173</v>
      </c>
      <c r="DI2" t="s">
        <v>187</v>
      </c>
      <c r="DJ2" t="s">
        <v>192</v>
      </c>
      <c r="DL2" t="s">
        <v>192</v>
      </c>
      <c r="DO2" t="s">
        <v>192</v>
      </c>
      <c r="DR2" t="s">
        <v>192</v>
      </c>
      <c r="DU2" t="s">
        <v>192</v>
      </c>
      <c r="DX2" t="s">
        <v>192</v>
      </c>
      <c r="EA2" t="s">
        <v>173</v>
      </c>
      <c r="EB2" t="s">
        <v>173</v>
      </c>
      <c r="EC2" t="s">
        <v>188</v>
      </c>
      <c r="ED2" t="s">
        <v>173</v>
      </c>
      <c r="EE2" t="s">
        <v>173</v>
      </c>
      <c r="EF2" t="s">
        <v>188</v>
      </c>
      <c r="EG2" t="s">
        <v>173</v>
      </c>
      <c r="EH2" t="s">
        <v>173</v>
      </c>
      <c r="EI2" t="s">
        <v>188</v>
      </c>
      <c r="EJ2" t="s">
        <v>192</v>
      </c>
      <c r="EM2" t="s">
        <v>192</v>
      </c>
      <c r="EQ2" t="s">
        <v>207</v>
      </c>
      <c r="ET2" t="s">
        <v>173</v>
      </c>
      <c r="EU2" t="s">
        <v>173</v>
      </c>
      <c r="EV2" t="s">
        <v>208</v>
      </c>
      <c r="EW2">
        <v>0</v>
      </c>
      <c r="EX2">
        <v>0</v>
      </c>
      <c r="EY2">
        <v>0</v>
      </c>
      <c r="EZ2">
        <v>0</v>
      </c>
      <c r="FA2">
        <v>1</v>
      </c>
      <c r="FB2">
        <v>0</v>
      </c>
      <c r="FC2">
        <v>0</v>
      </c>
      <c r="FD2">
        <v>0</v>
      </c>
      <c r="FE2">
        <v>0</v>
      </c>
      <c r="FG2" t="s">
        <v>209</v>
      </c>
      <c r="FH2">
        <v>83515095</v>
      </c>
      <c r="FI2" t="s">
        <v>210</v>
      </c>
      <c r="FJ2" s="1">
        <v>45758.61241898148</v>
      </c>
      <c r="FM2" t="s">
        <v>193</v>
      </c>
      <c r="FO2" t="s">
        <v>194</v>
      </c>
      <c r="FQ2">
        <v>2</v>
      </c>
    </row>
    <row r="3" spans="1:173" x14ac:dyDescent="0.25">
      <c r="A3" s="1">
        <v>45758.404091666664</v>
      </c>
      <c r="B3" s="1">
        <v>45758.410180578707</v>
      </c>
      <c r="C3" t="s">
        <v>195</v>
      </c>
      <c r="D3">
        <v>165</v>
      </c>
      <c r="E3" s="1">
        <v>45739</v>
      </c>
      <c r="F3">
        <v>3</v>
      </c>
      <c r="G3" t="s">
        <v>211</v>
      </c>
      <c r="H3" t="s">
        <v>197</v>
      </c>
      <c r="I3" t="s">
        <v>212</v>
      </c>
      <c r="J3" t="s">
        <v>213</v>
      </c>
      <c r="K3" t="s">
        <v>173</v>
      </c>
      <c r="L3">
        <v>12</v>
      </c>
      <c r="M3" t="s">
        <v>174</v>
      </c>
      <c r="N3">
        <v>0</v>
      </c>
      <c r="O3">
        <v>0</v>
      </c>
      <c r="P3">
        <v>0</v>
      </c>
      <c r="Q3">
        <v>0</v>
      </c>
      <c r="R3" t="s">
        <v>175</v>
      </c>
      <c r="S3">
        <v>52</v>
      </c>
      <c r="T3" t="str">
        <f t="shared" ref="T3:T66" si="0">IF(S3&lt;=25,"18 a 25",IF(S3&lt;=40,"26 a 40",IF(S3&lt;=55,"41 a 55","56 a más")))</f>
        <v>41 a 55</v>
      </c>
      <c r="U3" t="s">
        <v>173</v>
      </c>
      <c r="W3" t="s">
        <v>176</v>
      </c>
      <c r="Y3" t="s">
        <v>214</v>
      </c>
      <c r="Z3" t="s">
        <v>178</v>
      </c>
      <c r="AA3" t="s">
        <v>179</v>
      </c>
      <c r="AB3" t="s">
        <v>215</v>
      </c>
      <c r="AC3" t="s">
        <v>216</v>
      </c>
      <c r="AD3" t="s">
        <v>217</v>
      </c>
      <c r="AE3" t="s">
        <v>218</v>
      </c>
      <c r="AF3" t="s">
        <v>219</v>
      </c>
      <c r="AG3" t="s">
        <v>216</v>
      </c>
      <c r="AH3" t="s">
        <v>204</v>
      </c>
      <c r="AI3">
        <v>0</v>
      </c>
      <c r="AJ3">
        <v>1</v>
      </c>
      <c r="AK3">
        <v>0</v>
      </c>
      <c r="AL3">
        <v>0</v>
      </c>
      <c r="AM3">
        <v>0</v>
      </c>
      <c r="AN3" t="s">
        <v>205</v>
      </c>
      <c r="AO3" t="s">
        <v>173</v>
      </c>
      <c r="AP3" t="s">
        <v>173</v>
      </c>
      <c r="AQ3" t="s">
        <v>192</v>
      </c>
      <c r="AZ3" t="s">
        <v>192</v>
      </c>
      <c r="BW3">
        <f t="shared" ref="BW3:BW66" si="1">IF(OR(BN3="2. No",BO3="2. No",BP3="2. No",BQ3="2. No",BR3="2. No",BS3="2. No",BT3="2. No",BU3="2. No",BV3="2. No"),1,0)</f>
        <v>0</v>
      </c>
      <c r="BY3" t="s">
        <v>192</v>
      </c>
      <c r="CA3" t="s">
        <v>192</v>
      </c>
      <c r="CC3" t="s">
        <v>173</v>
      </c>
      <c r="CD3" t="s">
        <v>187</v>
      </c>
      <c r="CE3" t="s">
        <v>173</v>
      </c>
      <c r="CF3" t="s">
        <v>187</v>
      </c>
      <c r="CG3" t="s">
        <v>192</v>
      </c>
      <c r="CI3" t="s">
        <v>192</v>
      </c>
      <c r="CK3" t="s">
        <v>192</v>
      </c>
      <c r="CM3" t="s">
        <v>192</v>
      </c>
      <c r="CO3" t="s">
        <v>192</v>
      </c>
      <c r="CQ3" t="s">
        <v>192</v>
      </c>
      <c r="CS3" t="s">
        <v>192</v>
      </c>
      <c r="CU3" t="s">
        <v>173</v>
      </c>
      <c r="CV3" t="s">
        <v>185</v>
      </c>
      <c r="CW3" t="s">
        <v>173</v>
      </c>
      <c r="CX3" t="s">
        <v>187</v>
      </c>
      <c r="CY3" t="s">
        <v>173</v>
      </c>
      <c r="CZ3" t="s">
        <v>187</v>
      </c>
      <c r="DA3" t="s">
        <v>192</v>
      </c>
      <c r="DC3" t="s">
        <v>192</v>
      </c>
      <c r="DE3" t="s">
        <v>192</v>
      </c>
      <c r="DH3" t="s">
        <v>173</v>
      </c>
      <c r="DI3" t="s">
        <v>187</v>
      </c>
      <c r="DJ3" t="s">
        <v>173</v>
      </c>
      <c r="DL3" t="s">
        <v>192</v>
      </c>
      <c r="DO3" t="s">
        <v>192</v>
      </c>
      <c r="DR3" t="s">
        <v>192</v>
      </c>
      <c r="DU3" t="s">
        <v>192</v>
      </c>
      <c r="DX3" t="s">
        <v>192</v>
      </c>
      <c r="EA3" t="s">
        <v>192</v>
      </c>
      <c r="ED3" t="s">
        <v>173</v>
      </c>
      <c r="EE3" t="s">
        <v>173</v>
      </c>
      <c r="EF3" t="s">
        <v>191</v>
      </c>
      <c r="EG3" t="s">
        <v>173</v>
      </c>
      <c r="EH3" t="s">
        <v>192</v>
      </c>
      <c r="EJ3" t="s">
        <v>192</v>
      </c>
      <c r="EM3" t="s">
        <v>192</v>
      </c>
      <c r="EQ3" t="s">
        <v>220</v>
      </c>
      <c r="ER3" t="s">
        <v>221</v>
      </c>
      <c r="ES3" t="s">
        <v>222</v>
      </c>
      <c r="ET3" t="s">
        <v>173</v>
      </c>
      <c r="EU3" t="s">
        <v>173</v>
      </c>
      <c r="EV3" t="s">
        <v>223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1</v>
      </c>
      <c r="FF3" t="s">
        <v>224</v>
      </c>
      <c r="FH3">
        <v>83515427</v>
      </c>
      <c r="FI3" t="s">
        <v>225</v>
      </c>
      <c r="FJ3" s="1">
        <v>45758.618518518517</v>
      </c>
      <c r="FM3" t="s">
        <v>193</v>
      </c>
      <c r="FO3" t="s">
        <v>194</v>
      </c>
      <c r="FQ3">
        <v>3</v>
      </c>
    </row>
    <row r="4" spans="1:173" x14ac:dyDescent="0.25">
      <c r="A4" s="1">
        <v>45758.392174259257</v>
      </c>
      <c r="B4" s="1">
        <v>45758.415961273153</v>
      </c>
      <c r="C4" t="s">
        <v>226</v>
      </c>
      <c r="D4">
        <v>86</v>
      </c>
      <c r="E4" s="1">
        <v>45738</v>
      </c>
      <c r="F4">
        <v>3</v>
      </c>
      <c r="G4" t="s">
        <v>227</v>
      </c>
      <c r="H4" t="s">
        <v>228</v>
      </c>
      <c r="I4" t="s">
        <v>229</v>
      </c>
      <c r="J4" t="s">
        <v>230</v>
      </c>
      <c r="K4" t="s">
        <v>173</v>
      </c>
      <c r="L4">
        <v>3</v>
      </c>
      <c r="M4" t="s">
        <v>174</v>
      </c>
      <c r="N4">
        <v>0</v>
      </c>
      <c r="O4">
        <v>0</v>
      </c>
      <c r="P4">
        <v>0</v>
      </c>
      <c r="Q4">
        <v>0</v>
      </c>
      <c r="R4" t="s">
        <v>175</v>
      </c>
      <c r="S4">
        <v>30</v>
      </c>
      <c r="T4" t="str">
        <f t="shared" si="0"/>
        <v>26 a 40</v>
      </c>
      <c r="U4" t="s">
        <v>173</v>
      </c>
      <c r="W4" t="s">
        <v>176</v>
      </c>
      <c r="Y4" t="s">
        <v>214</v>
      </c>
      <c r="Z4" t="s">
        <v>178</v>
      </c>
      <c r="AA4" t="s">
        <v>179</v>
      </c>
      <c r="AB4" t="s">
        <v>201</v>
      </c>
      <c r="AC4" t="s">
        <v>202</v>
      </c>
      <c r="AD4" t="s">
        <v>231</v>
      </c>
      <c r="AG4" t="s">
        <v>202</v>
      </c>
      <c r="AH4" t="s">
        <v>232</v>
      </c>
      <c r="AI4">
        <v>0</v>
      </c>
      <c r="AJ4">
        <v>0</v>
      </c>
      <c r="AK4">
        <v>1</v>
      </c>
      <c r="AL4">
        <v>0</v>
      </c>
      <c r="AM4">
        <v>0</v>
      </c>
      <c r="AN4" t="s">
        <v>205</v>
      </c>
      <c r="AO4" t="s">
        <v>192</v>
      </c>
      <c r="AP4" t="s">
        <v>192</v>
      </c>
      <c r="AQ4" t="s">
        <v>192</v>
      </c>
      <c r="AZ4" t="s">
        <v>192</v>
      </c>
      <c r="BW4">
        <f t="shared" si="1"/>
        <v>0</v>
      </c>
      <c r="BY4" t="s">
        <v>192</v>
      </c>
      <c r="CA4" t="s">
        <v>192</v>
      </c>
      <c r="CC4" t="s">
        <v>192</v>
      </c>
      <c r="CE4" t="s">
        <v>192</v>
      </c>
      <c r="CG4" t="s">
        <v>192</v>
      </c>
      <c r="CI4" t="s">
        <v>192</v>
      </c>
      <c r="CK4" t="s">
        <v>192</v>
      </c>
      <c r="CM4" t="s">
        <v>192</v>
      </c>
      <c r="CO4" t="s">
        <v>192</v>
      </c>
      <c r="CQ4" t="s">
        <v>173</v>
      </c>
      <c r="CR4" t="s">
        <v>186</v>
      </c>
      <c r="CS4" t="s">
        <v>192</v>
      </c>
      <c r="CU4" t="s">
        <v>192</v>
      </c>
      <c r="CW4" t="s">
        <v>192</v>
      </c>
      <c r="CY4" t="s">
        <v>192</v>
      </c>
      <c r="DA4" t="s">
        <v>192</v>
      </c>
      <c r="DC4" t="s">
        <v>192</v>
      </c>
      <c r="DE4" t="s">
        <v>192</v>
      </c>
      <c r="DH4" t="s">
        <v>192</v>
      </c>
      <c r="DL4" t="s">
        <v>192</v>
      </c>
      <c r="DO4" t="s">
        <v>192</v>
      </c>
      <c r="DR4" t="s">
        <v>192</v>
      </c>
      <c r="DU4" t="s">
        <v>192</v>
      </c>
      <c r="DX4" t="s">
        <v>192</v>
      </c>
      <c r="EA4" t="s">
        <v>173</v>
      </c>
      <c r="EB4" t="s">
        <v>173</v>
      </c>
      <c r="EC4" t="s">
        <v>191</v>
      </c>
      <c r="ED4" t="s">
        <v>173</v>
      </c>
      <c r="EE4" t="s">
        <v>173</v>
      </c>
      <c r="EF4" t="s">
        <v>188</v>
      </c>
      <c r="EG4" t="s">
        <v>173</v>
      </c>
      <c r="EH4" t="s">
        <v>173</v>
      </c>
      <c r="EI4" t="s">
        <v>188</v>
      </c>
      <c r="EJ4" t="s">
        <v>173</v>
      </c>
      <c r="EK4" t="s">
        <v>173</v>
      </c>
      <c r="EL4" t="s">
        <v>188</v>
      </c>
      <c r="EM4" t="s">
        <v>192</v>
      </c>
      <c r="EQ4" t="s">
        <v>233</v>
      </c>
      <c r="ET4" t="s">
        <v>173</v>
      </c>
      <c r="EU4" t="s">
        <v>173</v>
      </c>
      <c r="EV4" t="s">
        <v>208</v>
      </c>
      <c r="EW4">
        <v>0</v>
      </c>
      <c r="EX4">
        <v>0</v>
      </c>
      <c r="EY4">
        <v>0</v>
      </c>
      <c r="EZ4">
        <v>0</v>
      </c>
      <c r="FA4">
        <v>1</v>
      </c>
      <c r="FB4">
        <v>0</v>
      </c>
      <c r="FC4">
        <v>0</v>
      </c>
      <c r="FD4">
        <v>0</v>
      </c>
      <c r="FE4">
        <v>0</v>
      </c>
      <c r="FH4">
        <v>83515822</v>
      </c>
      <c r="FI4" t="s">
        <v>234</v>
      </c>
      <c r="FJ4" s="1">
        <v>45758.624305555553</v>
      </c>
      <c r="FM4" t="s">
        <v>193</v>
      </c>
      <c r="FO4" t="s">
        <v>194</v>
      </c>
      <c r="FQ4">
        <v>4</v>
      </c>
    </row>
    <row r="5" spans="1:173" x14ac:dyDescent="0.25">
      <c r="A5" s="1">
        <v>45758.410181018517</v>
      </c>
      <c r="B5" s="1">
        <v>45758.416750185177</v>
      </c>
      <c r="C5" t="s">
        <v>195</v>
      </c>
      <c r="D5">
        <v>164</v>
      </c>
      <c r="E5" s="1">
        <v>45739</v>
      </c>
      <c r="F5">
        <v>3</v>
      </c>
      <c r="G5" t="s">
        <v>235</v>
      </c>
      <c r="H5" t="s">
        <v>197</v>
      </c>
      <c r="I5" t="s">
        <v>236</v>
      </c>
      <c r="J5" t="s">
        <v>237</v>
      </c>
      <c r="K5" t="s">
        <v>173</v>
      </c>
      <c r="L5">
        <v>25</v>
      </c>
      <c r="M5" t="s">
        <v>174</v>
      </c>
      <c r="N5">
        <v>0</v>
      </c>
      <c r="O5">
        <v>0</v>
      </c>
      <c r="P5">
        <v>0</v>
      </c>
      <c r="Q5">
        <v>0</v>
      </c>
      <c r="R5" t="s">
        <v>175</v>
      </c>
      <c r="S5">
        <v>63</v>
      </c>
      <c r="T5" t="str">
        <f t="shared" si="0"/>
        <v>56 a más</v>
      </c>
      <c r="U5" t="s">
        <v>173</v>
      </c>
      <c r="W5" t="s">
        <v>238</v>
      </c>
      <c r="Y5" t="s">
        <v>214</v>
      </c>
      <c r="Z5" t="s">
        <v>239</v>
      </c>
      <c r="AA5" t="s">
        <v>240</v>
      </c>
      <c r="AB5" t="s">
        <v>215</v>
      </c>
      <c r="AC5" t="s">
        <v>202</v>
      </c>
      <c r="AD5" t="s">
        <v>241</v>
      </c>
      <c r="AE5" t="s">
        <v>242</v>
      </c>
      <c r="AF5" t="s">
        <v>243</v>
      </c>
      <c r="AG5" t="s">
        <v>202</v>
      </c>
      <c r="AH5" t="s">
        <v>244</v>
      </c>
      <c r="AI5">
        <v>0</v>
      </c>
      <c r="AJ5">
        <v>1</v>
      </c>
      <c r="AK5">
        <v>1</v>
      </c>
      <c r="AL5">
        <v>0</v>
      </c>
      <c r="AM5">
        <v>0</v>
      </c>
      <c r="AN5" t="s">
        <v>205</v>
      </c>
      <c r="AO5" t="s">
        <v>192</v>
      </c>
      <c r="AP5" t="s">
        <v>173</v>
      </c>
      <c r="AQ5" t="s">
        <v>192</v>
      </c>
      <c r="AZ5" t="s">
        <v>192</v>
      </c>
      <c r="BW5">
        <f t="shared" si="1"/>
        <v>0</v>
      </c>
      <c r="BY5" t="s">
        <v>192</v>
      </c>
      <c r="CA5" t="s">
        <v>192</v>
      </c>
      <c r="CC5" t="s">
        <v>192</v>
      </c>
      <c r="CE5" t="s">
        <v>192</v>
      </c>
      <c r="CG5" t="s">
        <v>192</v>
      </c>
      <c r="CI5" t="s">
        <v>192</v>
      </c>
      <c r="CK5" t="s">
        <v>192</v>
      </c>
      <c r="CM5" t="s">
        <v>192</v>
      </c>
      <c r="CO5" t="s">
        <v>192</v>
      </c>
      <c r="CQ5" t="s">
        <v>192</v>
      </c>
      <c r="CS5" t="s">
        <v>192</v>
      </c>
      <c r="CU5" t="s">
        <v>192</v>
      </c>
      <c r="CW5" t="s">
        <v>192</v>
      </c>
      <c r="CY5" t="s">
        <v>173</v>
      </c>
      <c r="CZ5" t="s">
        <v>186</v>
      </c>
      <c r="DA5" t="s">
        <v>192</v>
      </c>
      <c r="DC5" t="s">
        <v>192</v>
      </c>
      <c r="DE5" t="s">
        <v>192</v>
      </c>
      <c r="DH5" t="s">
        <v>173</v>
      </c>
      <c r="DI5" t="s">
        <v>187</v>
      </c>
      <c r="DJ5" t="s">
        <v>173</v>
      </c>
      <c r="DL5" t="s">
        <v>173</v>
      </c>
      <c r="DM5" t="s">
        <v>192</v>
      </c>
      <c r="DO5" t="s">
        <v>192</v>
      </c>
      <c r="DR5" t="s">
        <v>192</v>
      </c>
      <c r="DU5" t="s">
        <v>173</v>
      </c>
      <c r="DV5" t="s">
        <v>173</v>
      </c>
      <c r="DW5" t="s">
        <v>188</v>
      </c>
      <c r="DX5" t="s">
        <v>192</v>
      </c>
      <c r="EA5" t="s">
        <v>192</v>
      </c>
      <c r="ED5" t="s">
        <v>192</v>
      </c>
      <c r="EG5" t="s">
        <v>173</v>
      </c>
      <c r="EH5" t="s">
        <v>173</v>
      </c>
      <c r="EI5" t="s">
        <v>188</v>
      </c>
      <c r="EJ5" t="s">
        <v>192</v>
      </c>
      <c r="EM5" t="s">
        <v>192</v>
      </c>
      <c r="EQ5" t="s">
        <v>245</v>
      </c>
      <c r="ER5" t="s">
        <v>246</v>
      </c>
      <c r="ET5" t="s">
        <v>173</v>
      </c>
      <c r="EU5" t="s">
        <v>173</v>
      </c>
      <c r="EV5" t="s">
        <v>247</v>
      </c>
      <c r="EW5">
        <v>0</v>
      </c>
      <c r="EX5">
        <v>1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H5">
        <v>83515924</v>
      </c>
      <c r="FI5" t="s">
        <v>248</v>
      </c>
      <c r="FJ5" s="1">
        <v>45758.625081018523</v>
      </c>
      <c r="FM5" t="s">
        <v>193</v>
      </c>
      <c r="FO5" t="s">
        <v>194</v>
      </c>
      <c r="FQ5">
        <v>5</v>
      </c>
    </row>
    <row r="6" spans="1:173" x14ac:dyDescent="0.25">
      <c r="A6" s="1">
        <v>45758.415961712963</v>
      </c>
      <c r="B6" s="1">
        <v>45758.419813761568</v>
      </c>
      <c r="C6" t="s">
        <v>226</v>
      </c>
      <c r="D6">
        <v>85</v>
      </c>
      <c r="E6" s="1">
        <v>45738</v>
      </c>
      <c r="F6">
        <v>3</v>
      </c>
      <c r="G6" t="s">
        <v>235</v>
      </c>
      <c r="H6" t="s">
        <v>228</v>
      </c>
      <c r="I6" t="s">
        <v>249</v>
      </c>
      <c r="J6" t="s">
        <v>250</v>
      </c>
      <c r="K6" t="s">
        <v>173</v>
      </c>
      <c r="L6">
        <v>10</v>
      </c>
      <c r="M6" t="s">
        <v>174</v>
      </c>
      <c r="N6">
        <v>0</v>
      </c>
      <c r="O6">
        <v>0</v>
      </c>
      <c r="P6">
        <v>0</v>
      </c>
      <c r="Q6">
        <v>0</v>
      </c>
      <c r="R6" t="s">
        <v>251</v>
      </c>
      <c r="S6">
        <v>39</v>
      </c>
      <c r="T6" t="str">
        <f t="shared" si="0"/>
        <v>26 a 40</v>
      </c>
      <c r="U6" t="s">
        <v>173</v>
      </c>
      <c r="W6" t="s">
        <v>176</v>
      </c>
      <c r="Y6" t="s">
        <v>200</v>
      </c>
      <c r="Z6" t="s">
        <v>239</v>
      </c>
      <c r="AA6" t="s">
        <v>179</v>
      </c>
      <c r="AB6" t="s">
        <v>215</v>
      </c>
      <c r="AC6" t="s">
        <v>216</v>
      </c>
      <c r="AD6" t="s">
        <v>252</v>
      </c>
      <c r="AE6" t="s">
        <v>253</v>
      </c>
      <c r="AG6" t="s">
        <v>202</v>
      </c>
      <c r="AH6" t="s">
        <v>244</v>
      </c>
      <c r="AI6">
        <v>0</v>
      </c>
      <c r="AJ6">
        <v>1</v>
      </c>
      <c r="AK6">
        <v>1</v>
      </c>
      <c r="AL6">
        <v>0</v>
      </c>
      <c r="AM6">
        <v>0</v>
      </c>
      <c r="AN6" t="s">
        <v>183</v>
      </c>
      <c r="AO6" t="s">
        <v>173</v>
      </c>
      <c r="AP6" t="s">
        <v>173</v>
      </c>
      <c r="AQ6" t="s">
        <v>173</v>
      </c>
      <c r="AR6" t="s">
        <v>184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Z6" t="s">
        <v>173</v>
      </c>
      <c r="BA6" t="s">
        <v>254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L6">
        <v>0</v>
      </c>
      <c r="BP6" t="s">
        <v>192</v>
      </c>
      <c r="BW6">
        <f t="shared" si="1"/>
        <v>1</v>
      </c>
      <c r="BY6" t="s">
        <v>173</v>
      </c>
      <c r="BZ6" t="s">
        <v>186</v>
      </c>
      <c r="CA6" t="s">
        <v>192</v>
      </c>
      <c r="CC6" t="s">
        <v>173</v>
      </c>
      <c r="CD6" t="s">
        <v>187</v>
      </c>
      <c r="CE6" t="s">
        <v>173</v>
      </c>
      <c r="CF6" t="s">
        <v>187</v>
      </c>
      <c r="CG6" t="s">
        <v>173</v>
      </c>
      <c r="CH6" t="s">
        <v>186</v>
      </c>
      <c r="CI6" t="s">
        <v>173</v>
      </c>
      <c r="CJ6" t="s">
        <v>186</v>
      </c>
      <c r="CK6" t="s">
        <v>173</v>
      </c>
      <c r="CL6" t="s">
        <v>185</v>
      </c>
      <c r="CM6" t="s">
        <v>173</v>
      </c>
      <c r="CN6" t="s">
        <v>186</v>
      </c>
      <c r="CO6" t="s">
        <v>173</v>
      </c>
      <c r="CP6" t="s">
        <v>186</v>
      </c>
      <c r="CQ6" t="s">
        <v>192</v>
      </c>
      <c r="CS6" t="s">
        <v>192</v>
      </c>
      <c r="CU6" t="s">
        <v>173</v>
      </c>
      <c r="CV6" t="s">
        <v>186</v>
      </c>
      <c r="CW6" t="s">
        <v>173</v>
      </c>
      <c r="CX6" t="s">
        <v>186</v>
      </c>
      <c r="CY6" t="s">
        <v>173</v>
      </c>
      <c r="CZ6" t="s">
        <v>186</v>
      </c>
      <c r="DA6" t="s">
        <v>192</v>
      </c>
      <c r="DC6" t="s">
        <v>173</v>
      </c>
      <c r="DD6" t="s">
        <v>186</v>
      </c>
      <c r="DE6" t="s">
        <v>192</v>
      </c>
      <c r="DH6" t="s">
        <v>173</v>
      </c>
      <c r="DI6" t="s">
        <v>187</v>
      </c>
      <c r="DJ6" t="s">
        <v>192</v>
      </c>
      <c r="DL6" t="s">
        <v>173</v>
      </c>
      <c r="DM6" t="s">
        <v>192</v>
      </c>
      <c r="DO6" t="s">
        <v>192</v>
      </c>
      <c r="DR6" t="s">
        <v>192</v>
      </c>
      <c r="DU6" t="s">
        <v>192</v>
      </c>
      <c r="DX6" t="s">
        <v>173</v>
      </c>
      <c r="DY6" t="s">
        <v>192</v>
      </c>
      <c r="EA6" t="s">
        <v>173</v>
      </c>
      <c r="EB6" t="s">
        <v>173</v>
      </c>
      <c r="EC6" t="s">
        <v>191</v>
      </c>
      <c r="ED6" t="s">
        <v>173</v>
      </c>
      <c r="EE6" t="s">
        <v>173</v>
      </c>
      <c r="EF6" t="s">
        <v>188</v>
      </c>
      <c r="EG6" t="s">
        <v>192</v>
      </c>
      <c r="EJ6" t="s">
        <v>192</v>
      </c>
      <c r="EM6" t="s">
        <v>192</v>
      </c>
      <c r="EQ6" t="s">
        <v>255</v>
      </c>
      <c r="ER6" t="s">
        <v>256</v>
      </c>
      <c r="ES6" t="s">
        <v>257</v>
      </c>
      <c r="ET6" t="s">
        <v>173</v>
      </c>
      <c r="EU6" t="s">
        <v>173</v>
      </c>
      <c r="EV6" t="s">
        <v>258</v>
      </c>
      <c r="EW6">
        <v>0</v>
      </c>
      <c r="EX6">
        <v>0</v>
      </c>
      <c r="EY6">
        <v>0</v>
      </c>
      <c r="EZ6">
        <v>0</v>
      </c>
      <c r="FA6">
        <v>1</v>
      </c>
      <c r="FB6">
        <v>1</v>
      </c>
      <c r="FC6">
        <v>0</v>
      </c>
      <c r="FD6">
        <v>0</v>
      </c>
      <c r="FE6">
        <v>0</v>
      </c>
      <c r="FG6" t="s">
        <v>259</v>
      </c>
      <c r="FH6">
        <v>83516134</v>
      </c>
      <c r="FI6" t="s">
        <v>260</v>
      </c>
      <c r="FJ6" s="1">
        <v>45758.628159722219</v>
      </c>
      <c r="FM6" t="s">
        <v>193</v>
      </c>
      <c r="FO6" t="s">
        <v>194</v>
      </c>
      <c r="FQ6">
        <v>6</v>
      </c>
    </row>
    <row r="7" spans="1:173" x14ac:dyDescent="0.25">
      <c r="A7" s="1">
        <v>45758.419814247682</v>
      </c>
      <c r="B7" s="1">
        <v>45758.422911921298</v>
      </c>
      <c r="C7" t="s">
        <v>226</v>
      </c>
      <c r="D7">
        <v>84</v>
      </c>
      <c r="E7" s="1">
        <v>45738</v>
      </c>
      <c r="F7">
        <v>3</v>
      </c>
      <c r="G7" t="s">
        <v>227</v>
      </c>
      <c r="H7" t="s">
        <v>228</v>
      </c>
      <c r="I7" t="s">
        <v>261</v>
      </c>
      <c r="J7" t="s">
        <v>262</v>
      </c>
      <c r="K7" t="s">
        <v>173</v>
      </c>
      <c r="L7">
        <v>40</v>
      </c>
      <c r="M7" t="s">
        <v>174</v>
      </c>
      <c r="N7">
        <v>0</v>
      </c>
      <c r="O7">
        <v>0</v>
      </c>
      <c r="P7">
        <v>0</v>
      </c>
      <c r="Q7">
        <v>0</v>
      </c>
      <c r="R7" t="s">
        <v>175</v>
      </c>
      <c r="S7">
        <v>80</v>
      </c>
      <c r="T7" t="str">
        <f t="shared" si="0"/>
        <v>56 a más</v>
      </c>
      <c r="U7" t="s">
        <v>173</v>
      </c>
      <c r="W7" t="s">
        <v>176</v>
      </c>
      <c r="Y7" t="s">
        <v>263</v>
      </c>
      <c r="Z7" t="s">
        <v>239</v>
      </c>
      <c r="AA7" t="s">
        <v>240</v>
      </c>
      <c r="AB7" t="s">
        <v>215</v>
      </c>
      <c r="AC7" t="s">
        <v>202</v>
      </c>
      <c r="AD7" t="s">
        <v>264</v>
      </c>
      <c r="AE7" t="s">
        <v>265</v>
      </c>
      <c r="AG7" t="s">
        <v>202</v>
      </c>
      <c r="AH7" t="s">
        <v>266</v>
      </c>
      <c r="AI7">
        <v>0</v>
      </c>
      <c r="AJ7">
        <v>0</v>
      </c>
      <c r="AK7">
        <v>0</v>
      </c>
      <c r="AL7">
        <v>1</v>
      </c>
      <c r="AM7">
        <v>0</v>
      </c>
      <c r="AN7" t="s">
        <v>205</v>
      </c>
      <c r="AO7" t="s">
        <v>192</v>
      </c>
      <c r="AP7" t="s">
        <v>192</v>
      </c>
      <c r="AQ7" t="s">
        <v>192</v>
      </c>
      <c r="AZ7" t="s">
        <v>192</v>
      </c>
      <c r="BW7">
        <f t="shared" si="1"/>
        <v>0</v>
      </c>
      <c r="BY7" t="s">
        <v>192</v>
      </c>
      <c r="CA7" t="s">
        <v>192</v>
      </c>
      <c r="CC7" t="s">
        <v>192</v>
      </c>
      <c r="CE7" t="s">
        <v>192</v>
      </c>
      <c r="CG7" t="s">
        <v>192</v>
      </c>
      <c r="CI7" t="s">
        <v>173</v>
      </c>
      <c r="CJ7" t="s">
        <v>186</v>
      </c>
      <c r="CK7" t="s">
        <v>192</v>
      </c>
      <c r="CM7" t="s">
        <v>192</v>
      </c>
      <c r="CO7" t="s">
        <v>192</v>
      </c>
      <c r="CQ7" t="s">
        <v>192</v>
      </c>
      <c r="CS7" t="s">
        <v>192</v>
      </c>
      <c r="CU7" t="s">
        <v>192</v>
      </c>
      <c r="CW7" t="s">
        <v>192</v>
      </c>
      <c r="CY7" t="s">
        <v>192</v>
      </c>
      <c r="DA7" t="s">
        <v>192</v>
      </c>
      <c r="DC7" t="s">
        <v>192</v>
      </c>
      <c r="DE7" t="s">
        <v>192</v>
      </c>
      <c r="DH7" t="s">
        <v>173</v>
      </c>
      <c r="DI7" t="s">
        <v>186</v>
      </c>
      <c r="DJ7" t="s">
        <v>192</v>
      </c>
      <c r="DL7" t="s">
        <v>173</v>
      </c>
      <c r="DM7" t="s">
        <v>173</v>
      </c>
      <c r="DN7" t="s">
        <v>191</v>
      </c>
      <c r="DO7" t="s">
        <v>173</v>
      </c>
      <c r="DP7" t="s">
        <v>173</v>
      </c>
      <c r="DQ7" t="s">
        <v>191</v>
      </c>
      <c r="DR7" t="s">
        <v>192</v>
      </c>
      <c r="DU7" t="s">
        <v>173</v>
      </c>
      <c r="DV7" t="s">
        <v>173</v>
      </c>
      <c r="DW7" t="s">
        <v>191</v>
      </c>
      <c r="DX7" t="s">
        <v>192</v>
      </c>
      <c r="EA7" t="s">
        <v>173</v>
      </c>
      <c r="EB7" t="s">
        <v>173</v>
      </c>
      <c r="EC7" t="s">
        <v>191</v>
      </c>
      <c r="ED7" t="s">
        <v>173</v>
      </c>
      <c r="EE7" t="s">
        <v>173</v>
      </c>
      <c r="EF7" t="s">
        <v>188</v>
      </c>
      <c r="EG7" t="s">
        <v>173</v>
      </c>
      <c r="EH7" t="s">
        <v>173</v>
      </c>
      <c r="EI7" t="s">
        <v>188</v>
      </c>
      <c r="EJ7" t="s">
        <v>192</v>
      </c>
      <c r="EM7" t="s">
        <v>192</v>
      </c>
      <c r="EQ7" t="s">
        <v>267</v>
      </c>
      <c r="ET7" t="s">
        <v>173</v>
      </c>
      <c r="EU7" t="s">
        <v>173</v>
      </c>
      <c r="EV7" t="s">
        <v>208</v>
      </c>
      <c r="EW7">
        <v>0</v>
      </c>
      <c r="EX7">
        <v>0</v>
      </c>
      <c r="EY7">
        <v>0</v>
      </c>
      <c r="EZ7">
        <v>0</v>
      </c>
      <c r="FA7">
        <v>1</v>
      </c>
      <c r="FB7">
        <v>0</v>
      </c>
      <c r="FC7">
        <v>0</v>
      </c>
      <c r="FD7">
        <v>0</v>
      </c>
      <c r="FE7">
        <v>0</v>
      </c>
      <c r="FG7" t="s">
        <v>268</v>
      </c>
      <c r="FH7">
        <v>83516428</v>
      </c>
      <c r="FI7" t="s">
        <v>269</v>
      </c>
      <c r="FJ7" s="1">
        <v>45758.631249999999</v>
      </c>
      <c r="FM7" t="s">
        <v>193</v>
      </c>
      <c r="FO7" t="s">
        <v>194</v>
      </c>
      <c r="FQ7">
        <v>7</v>
      </c>
    </row>
    <row r="8" spans="1:173" x14ac:dyDescent="0.25">
      <c r="A8" s="1">
        <v>45758.422912349539</v>
      </c>
      <c r="B8" s="1">
        <v>45758.42637479167</v>
      </c>
      <c r="C8" t="s">
        <v>226</v>
      </c>
      <c r="D8">
        <v>83</v>
      </c>
      <c r="E8" s="1">
        <v>45738</v>
      </c>
      <c r="F8">
        <v>3</v>
      </c>
      <c r="G8" t="s">
        <v>235</v>
      </c>
      <c r="H8" t="s">
        <v>228</v>
      </c>
      <c r="I8" t="s">
        <v>270</v>
      </c>
      <c r="J8" t="s">
        <v>271</v>
      </c>
      <c r="K8" t="s">
        <v>173</v>
      </c>
      <c r="L8">
        <v>10</v>
      </c>
      <c r="M8" t="s">
        <v>174</v>
      </c>
      <c r="N8">
        <v>0</v>
      </c>
      <c r="O8">
        <v>0</v>
      </c>
      <c r="P8">
        <v>0</v>
      </c>
      <c r="Q8">
        <v>0</v>
      </c>
      <c r="R8" t="s">
        <v>251</v>
      </c>
      <c r="S8">
        <v>38</v>
      </c>
      <c r="T8" t="str">
        <f t="shared" si="0"/>
        <v>26 a 40</v>
      </c>
      <c r="U8" t="s">
        <v>173</v>
      </c>
      <c r="W8" t="s">
        <v>238</v>
      </c>
      <c r="Y8" t="s">
        <v>214</v>
      </c>
      <c r="Z8" t="s">
        <v>239</v>
      </c>
      <c r="AA8" t="s">
        <v>240</v>
      </c>
      <c r="AB8" t="s">
        <v>215</v>
      </c>
      <c r="AC8" t="s">
        <v>216</v>
      </c>
      <c r="AD8" t="s">
        <v>272</v>
      </c>
      <c r="AE8" t="s">
        <v>273</v>
      </c>
      <c r="AG8" t="s">
        <v>216</v>
      </c>
      <c r="AH8" t="s">
        <v>244</v>
      </c>
      <c r="AI8">
        <v>0</v>
      </c>
      <c r="AJ8">
        <v>1</v>
      </c>
      <c r="AK8">
        <v>1</v>
      </c>
      <c r="AL8">
        <v>0</v>
      </c>
      <c r="AM8">
        <v>0</v>
      </c>
      <c r="AN8" t="s">
        <v>183</v>
      </c>
      <c r="AO8" t="s">
        <v>173</v>
      </c>
      <c r="AP8" t="s">
        <v>173</v>
      </c>
      <c r="AQ8" t="s">
        <v>192</v>
      </c>
      <c r="AZ8" t="s">
        <v>192</v>
      </c>
      <c r="BW8">
        <f t="shared" si="1"/>
        <v>0</v>
      </c>
      <c r="BY8" t="s">
        <v>173</v>
      </c>
      <c r="BZ8" t="s">
        <v>185</v>
      </c>
      <c r="CA8" t="s">
        <v>192</v>
      </c>
      <c r="CC8" t="s">
        <v>173</v>
      </c>
      <c r="CD8" t="s">
        <v>186</v>
      </c>
      <c r="CE8" t="s">
        <v>173</v>
      </c>
      <c r="CF8" t="s">
        <v>186</v>
      </c>
      <c r="CG8" t="s">
        <v>192</v>
      </c>
      <c r="CI8" t="s">
        <v>173</v>
      </c>
      <c r="CJ8" t="s">
        <v>185</v>
      </c>
      <c r="CK8" t="s">
        <v>192</v>
      </c>
      <c r="CM8" t="s">
        <v>173</v>
      </c>
      <c r="CN8" t="s">
        <v>185</v>
      </c>
      <c r="CO8" t="s">
        <v>192</v>
      </c>
      <c r="CQ8" t="s">
        <v>192</v>
      </c>
      <c r="CS8" t="s">
        <v>192</v>
      </c>
      <c r="CU8" t="s">
        <v>192</v>
      </c>
      <c r="CW8" t="s">
        <v>173</v>
      </c>
      <c r="CX8" t="s">
        <v>185</v>
      </c>
      <c r="CY8" t="s">
        <v>192</v>
      </c>
      <c r="DA8" t="s">
        <v>192</v>
      </c>
      <c r="DC8" t="s">
        <v>173</v>
      </c>
      <c r="DD8" t="s">
        <v>185</v>
      </c>
      <c r="DE8" t="s">
        <v>192</v>
      </c>
      <c r="DH8" t="s">
        <v>173</v>
      </c>
      <c r="DI8" t="s">
        <v>187</v>
      </c>
      <c r="DJ8" t="s">
        <v>192</v>
      </c>
      <c r="DL8" t="s">
        <v>192</v>
      </c>
      <c r="DO8" t="s">
        <v>192</v>
      </c>
      <c r="DR8" t="s">
        <v>192</v>
      </c>
      <c r="DU8" t="s">
        <v>192</v>
      </c>
      <c r="DX8" t="s">
        <v>192</v>
      </c>
      <c r="EA8" t="s">
        <v>173</v>
      </c>
      <c r="EB8" t="s">
        <v>192</v>
      </c>
      <c r="ED8" t="s">
        <v>173</v>
      </c>
      <c r="EE8" t="s">
        <v>173</v>
      </c>
      <c r="EF8" t="s">
        <v>191</v>
      </c>
      <c r="EG8" t="s">
        <v>173</v>
      </c>
      <c r="EH8" t="s">
        <v>192</v>
      </c>
      <c r="EJ8" t="s">
        <v>173</v>
      </c>
      <c r="EK8" t="s">
        <v>192</v>
      </c>
      <c r="EM8" t="s">
        <v>192</v>
      </c>
      <c r="EQ8" t="s">
        <v>274</v>
      </c>
      <c r="ER8" t="s">
        <v>275</v>
      </c>
      <c r="ES8" t="s">
        <v>276</v>
      </c>
      <c r="ET8" t="s">
        <v>173</v>
      </c>
      <c r="EU8" t="s">
        <v>173</v>
      </c>
      <c r="EV8" t="s">
        <v>277</v>
      </c>
      <c r="EW8">
        <v>0</v>
      </c>
      <c r="EX8">
        <v>0</v>
      </c>
      <c r="EY8">
        <v>1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G8" t="s">
        <v>278</v>
      </c>
      <c r="FH8">
        <v>83516799</v>
      </c>
      <c r="FI8" t="s">
        <v>279</v>
      </c>
      <c r="FJ8" s="1">
        <v>45758.634710648148</v>
      </c>
      <c r="FM8" t="s">
        <v>193</v>
      </c>
      <c r="FO8" t="s">
        <v>194</v>
      </c>
      <c r="FQ8">
        <v>8</v>
      </c>
    </row>
    <row r="9" spans="1:173" x14ac:dyDescent="0.25">
      <c r="A9" s="1">
        <v>45758.416750659722</v>
      </c>
      <c r="B9" s="1">
        <v>45758.427494722222</v>
      </c>
      <c r="C9" t="s">
        <v>195</v>
      </c>
      <c r="D9">
        <v>163</v>
      </c>
      <c r="E9" s="1">
        <v>45739</v>
      </c>
      <c r="F9">
        <v>3</v>
      </c>
      <c r="G9" t="s">
        <v>280</v>
      </c>
      <c r="H9" t="s">
        <v>197</v>
      </c>
      <c r="I9" t="s">
        <v>281</v>
      </c>
      <c r="J9" t="s">
        <v>282</v>
      </c>
      <c r="K9" t="s">
        <v>173</v>
      </c>
      <c r="L9">
        <v>20</v>
      </c>
      <c r="M9" t="s">
        <v>283</v>
      </c>
      <c r="N9">
        <v>0</v>
      </c>
      <c r="O9">
        <v>0</v>
      </c>
      <c r="P9">
        <v>0</v>
      </c>
      <c r="Q9">
        <v>0</v>
      </c>
      <c r="R9" t="s">
        <v>175</v>
      </c>
      <c r="S9">
        <v>65</v>
      </c>
      <c r="T9" t="str">
        <f t="shared" si="0"/>
        <v>56 a más</v>
      </c>
      <c r="U9" t="s">
        <v>173</v>
      </c>
      <c r="W9" t="s">
        <v>176</v>
      </c>
      <c r="Y9" t="s">
        <v>214</v>
      </c>
      <c r="Z9" t="s">
        <v>239</v>
      </c>
      <c r="AA9" t="s">
        <v>179</v>
      </c>
      <c r="AB9" t="s">
        <v>201</v>
      </c>
      <c r="AC9" t="s">
        <v>202</v>
      </c>
      <c r="AD9" t="s">
        <v>284</v>
      </c>
      <c r="AE9" t="s">
        <v>285</v>
      </c>
      <c r="AF9" t="s">
        <v>286</v>
      </c>
      <c r="AG9" t="s">
        <v>202</v>
      </c>
      <c r="AH9" t="s">
        <v>287</v>
      </c>
      <c r="AI9">
        <v>0</v>
      </c>
      <c r="AJ9">
        <v>0</v>
      </c>
      <c r="AK9">
        <v>0</v>
      </c>
      <c r="AL9">
        <v>0</v>
      </c>
      <c r="AM9">
        <v>1</v>
      </c>
      <c r="AN9" t="s">
        <v>205</v>
      </c>
      <c r="AO9" t="s">
        <v>192</v>
      </c>
      <c r="AP9" t="s">
        <v>192</v>
      </c>
      <c r="AQ9" t="s">
        <v>192</v>
      </c>
      <c r="AZ9" t="s">
        <v>192</v>
      </c>
      <c r="BW9">
        <f t="shared" si="1"/>
        <v>0</v>
      </c>
      <c r="BY9" t="s">
        <v>192</v>
      </c>
      <c r="CA9" t="s">
        <v>192</v>
      </c>
      <c r="CC9" t="s">
        <v>192</v>
      </c>
      <c r="CE9" t="s">
        <v>173</v>
      </c>
      <c r="CF9" t="s">
        <v>185</v>
      </c>
      <c r="CG9" t="s">
        <v>192</v>
      </c>
      <c r="CI9" t="s">
        <v>192</v>
      </c>
      <c r="CK9" t="s">
        <v>192</v>
      </c>
      <c r="CM9" t="s">
        <v>192</v>
      </c>
      <c r="CO9" t="s">
        <v>192</v>
      </c>
      <c r="CQ9" t="s">
        <v>192</v>
      </c>
      <c r="CS9" t="s">
        <v>192</v>
      </c>
      <c r="CU9" t="s">
        <v>192</v>
      </c>
      <c r="CW9" t="s">
        <v>173</v>
      </c>
      <c r="CX9" t="s">
        <v>185</v>
      </c>
      <c r="CY9" t="s">
        <v>173</v>
      </c>
      <c r="CZ9" t="s">
        <v>185</v>
      </c>
      <c r="DA9" t="s">
        <v>192</v>
      </c>
      <c r="DC9" t="s">
        <v>192</v>
      </c>
      <c r="DE9" t="s">
        <v>192</v>
      </c>
      <c r="DH9" t="s">
        <v>173</v>
      </c>
      <c r="DI9" t="s">
        <v>187</v>
      </c>
      <c r="DJ9" t="s">
        <v>192</v>
      </c>
      <c r="DL9" t="s">
        <v>192</v>
      </c>
      <c r="DO9" t="s">
        <v>192</v>
      </c>
      <c r="DR9" t="s">
        <v>192</v>
      </c>
      <c r="DU9" t="s">
        <v>173</v>
      </c>
      <c r="DV9" t="s">
        <v>173</v>
      </c>
      <c r="DW9" t="s">
        <v>191</v>
      </c>
      <c r="DX9" t="s">
        <v>192</v>
      </c>
      <c r="EA9" t="s">
        <v>192</v>
      </c>
      <c r="ED9" t="s">
        <v>173</v>
      </c>
      <c r="EE9" t="s">
        <v>173</v>
      </c>
      <c r="EF9" t="s">
        <v>188</v>
      </c>
      <c r="EG9" t="s">
        <v>173</v>
      </c>
      <c r="EH9" t="s">
        <v>192</v>
      </c>
      <c r="EJ9" t="s">
        <v>173</v>
      </c>
      <c r="EK9" t="s">
        <v>192</v>
      </c>
      <c r="EM9" t="s">
        <v>192</v>
      </c>
      <c r="EQ9" t="s">
        <v>288</v>
      </c>
      <c r="ER9" t="s">
        <v>289</v>
      </c>
      <c r="ET9" t="s">
        <v>173</v>
      </c>
      <c r="EU9" t="s">
        <v>173</v>
      </c>
      <c r="EV9" t="s">
        <v>223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1</v>
      </c>
      <c r="FF9" t="s">
        <v>290</v>
      </c>
      <c r="FH9">
        <v>83516915</v>
      </c>
      <c r="FI9" t="s">
        <v>291</v>
      </c>
      <c r="FJ9" s="1">
        <v>45758.635833333326</v>
      </c>
      <c r="FM9" t="s">
        <v>193</v>
      </c>
      <c r="FO9" t="s">
        <v>194</v>
      </c>
      <c r="FQ9">
        <v>9</v>
      </c>
    </row>
    <row r="10" spans="1:173" x14ac:dyDescent="0.25">
      <c r="A10" s="1">
        <v>45758.426375208343</v>
      </c>
      <c r="B10" s="1">
        <v>45758.429552743059</v>
      </c>
      <c r="C10" t="s">
        <v>226</v>
      </c>
      <c r="D10">
        <v>82</v>
      </c>
      <c r="E10" s="1">
        <v>45738</v>
      </c>
      <c r="F10">
        <v>3</v>
      </c>
      <c r="G10" t="s">
        <v>292</v>
      </c>
      <c r="H10" t="s">
        <v>228</v>
      </c>
      <c r="I10" t="s">
        <v>293</v>
      </c>
      <c r="J10" t="s">
        <v>294</v>
      </c>
      <c r="K10" t="s">
        <v>173</v>
      </c>
      <c r="L10">
        <v>30</v>
      </c>
      <c r="M10" t="s">
        <v>174</v>
      </c>
      <c r="N10">
        <v>0</v>
      </c>
      <c r="O10">
        <v>0</v>
      </c>
      <c r="P10">
        <v>0</v>
      </c>
      <c r="Q10">
        <v>0</v>
      </c>
      <c r="R10" t="s">
        <v>251</v>
      </c>
      <c r="S10">
        <v>71</v>
      </c>
      <c r="T10" t="str">
        <f t="shared" si="0"/>
        <v>56 a más</v>
      </c>
      <c r="U10" t="s">
        <v>173</v>
      </c>
      <c r="W10" t="s">
        <v>176</v>
      </c>
      <c r="Y10" t="s">
        <v>200</v>
      </c>
      <c r="Z10" t="s">
        <v>239</v>
      </c>
      <c r="AA10" t="s">
        <v>240</v>
      </c>
      <c r="AB10" t="s">
        <v>201</v>
      </c>
      <c r="AC10" t="s">
        <v>202</v>
      </c>
      <c r="AD10" t="s">
        <v>295</v>
      </c>
      <c r="AE10" t="s">
        <v>296</v>
      </c>
      <c r="AG10" t="s">
        <v>202</v>
      </c>
      <c r="AH10" t="s">
        <v>287</v>
      </c>
      <c r="AI10">
        <v>0</v>
      </c>
      <c r="AJ10">
        <v>0</v>
      </c>
      <c r="AK10">
        <v>0</v>
      </c>
      <c r="AL10">
        <v>0</v>
      </c>
      <c r="AM10">
        <v>1</v>
      </c>
      <c r="AN10" t="s">
        <v>297</v>
      </c>
      <c r="AO10" t="s">
        <v>192</v>
      </c>
      <c r="AP10" t="s">
        <v>192</v>
      </c>
      <c r="AQ10" t="s">
        <v>173</v>
      </c>
      <c r="AR10" t="s">
        <v>298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 t="s">
        <v>299</v>
      </c>
      <c r="AZ10" t="s">
        <v>192</v>
      </c>
      <c r="BW10">
        <f t="shared" si="1"/>
        <v>0</v>
      </c>
      <c r="BY10" t="s">
        <v>192</v>
      </c>
      <c r="CA10" t="s">
        <v>192</v>
      </c>
      <c r="CC10" t="s">
        <v>192</v>
      </c>
      <c r="CE10" t="s">
        <v>192</v>
      </c>
      <c r="CG10" t="s">
        <v>192</v>
      </c>
      <c r="CI10" t="s">
        <v>192</v>
      </c>
      <c r="CK10" t="s">
        <v>173</v>
      </c>
      <c r="CL10" t="s">
        <v>185</v>
      </c>
      <c r="CM10" t="s">
        <v>192</v>
      </c>
      <c r="CO10" t="s">
        <v>192</v>
      </c>
      <c r="CQ10" t="s">
        <v>192</v>
      </c>
      <c r="CS10" t="s">
        <v>192</v>
      </c>
      <c r="CU10" t="s">
        <v>192</v>
      </c>
      <c r="CW10" t="s">
        <v>192</v>
      </c>
      <c r="CY10" t="s">
        <v>192</v>
      </c>
      <c r="DA10" t="s">
        <v>192</v>
      </c>
      <c r="DC10" t="s">
        <v>192</v>
      </c>
      <c r="DE10" t="s">
        <v>192</v>
      </c>
      <c r="DH10" t="s">
        <v>173</v>
      </c>
      <c r="DI10" t="s">
        <v>187</v>
      </c>
      <c r="DJ10" t="s">
        <v>173</v>
      </c>
      <c r="DL10" t="s">
        <v>173</v>
      </c>
      <c r="DM10" t="s">
        <v>192</v>
      </c>
      <c r="DO10" t="s">
        <v>192</v>
      </c>
      <c r="DR10" t="s">
        <v>192</v>
      </c>
      <c r="DU10" t="s">
        <v>173</v>
      </c>
      <c r="DV10" t="s">
        <v>192</v>
      </c>
      <c r="DX10" t="s">
        <v>192</v>
      </c>
      <c r="EA10" t="s">
        <v>192</v>
      </c>
      <c r="ED10" t="s">
        <v>173</v>
      </c>
      <c r="EE10" t="s">
        <v>192</v>
      </c>
      <c r="EG10" t="s">
        <v>173</v>
      </c>
      <c r="EH10" t="s">
        <v>192</v>
      </c>
      <c r="EJ10" t="s">
        <v>192</v>
      </c>
      <c r="EM10" t="s">
        <v>192</v>
      </c>
      <c r="EQ10" t="s">
        <v>300</v>
      </c>
      <c r="ER10" t="s">
        <v>301</v>
      </c>
      <c r="ET10" t="s">
        <v>173</v>
      </c>
      <c r="EU10" t="s">
        <v>173</v>
      </c>
      <c r="EV10" t="s">
        <v>208</v>
      </c>
      <c r="EW10">
        <v>0</v>
      </c>
      <c r="EX10">
        <v>0</v>
      </c>
      <c r="EY10">
        <v>0</v>
      </c>
      <c r="EZ10">
        <v>0</v>
      </c>
      <c r="FA10">
        <v>1</v>
      </c>
      <c r="FB10">
        <v>0</v>
      </c>
      <c r="FC10">
        <v>0</v>
      </c>
      <c r="FD10">
        <v>0</v>
      </c>
      <c r="FE10">
        <v>0</v>
      </c>
      <c r="FH10">
        <v>83517058</v>
      </c>
      <c r="FI10" t="s">
        <v>302</v>
      </c>
      <c r="FJ10" s="1">
        <v>45758.63789351852</v>
      </c>
      <c r="FM10" t="s">
        <v>193</v>
      </c>
      <c r="FO10" t="s">
        <v>194</v>
      </c>
      <c r="FQ10">
        <v>10</v>
      </c>
    </row>
    <row r="11" spans="1:173" x14ac:dyDescent="0.25">
      <c r="A11" s="1">
        <v>45758.427495127318</v>
      </c>
      <c r="B11" s="1">
        <v>45758.434253043983</v>
      </c>
      <c r="C11" t="s">
        <v>195</v>
      </c>
      <c r="D11">
        <v>162</v>
      </c>
      <c r="E11" s="1">
        <v>45739</v>
      </c>
      <c r="F11">
        <v>3</v>
      </c>
      <c r="G11" t="s">
        <v>211</v>
      </c>
      <c r="H11" t="s">
        <v>197</v>
      </c>
      <c r="I11" t="s">
        <v>303</v>
      </c>
      <c r="J11" t="s">
        <v>304</v>
      </c>
      <c r="K11" t="s">
        <v>173</v>
      </c>
      <c r="L11">
        <v>8</v>
      </c>
      <c r="M11" t="s">
        <v>174</v>
      </c>
      <c r="N11">
        <v>0</v>
      </c>
      <c r="O11">
        <v>0</v>
      </c>
      <c r="P11">
        <v>0</v>
      </c>
      <c r="Q11">
        <v>0</v>
      </c>
      <c r="R11" t="s">
        <v>175</v>
      </c>
      <c r="S11">
        <v>38</v>
      </c>
      <c r="T11" t="str">
        <f t="shared" si="0"/>
        <v>26 a 40</v>
      </c>
      <c r="U11" t="s">
        <v>173</v>
      </c>
      <c r="W11" t="s">
        <v>238</v>
      </c>
      <c r="Y11" t="s">
        <v>214</v>
      </c>
      <c r="Z11" t="s">
        <v>178</v>
      </c>
      <c r="AA11" t="s">
        <v>179</v>
      </c>
      <c r="AB11" t="s">
        <v>201</v>
      </c>
      <c r="AC11" t="s">
        <v>216</v>
      </c>
      <c r="AD11" t="s">
        <v>305</v>
      </c>
      <c r="AE11" t="s">
        <v>306</v>
      </c>
      <c r="AF11" t="s">
        <v>307</v>
      </c>
      <c r="AG11" t="s">
        <v>202</v>
      </c>
      <c r="AH11" t="s">
        <v>287</v>
      </c>
      <c r="AI11">
        <v>0</v>
      </c>
      <c r="AJ11">
        <v>0</v>
      </c>
      <c r="AK11">
        <v>0</v>
      </c>
      <c r="AL11">
        <v>0</v>
      </c>
      <c r="AM11">
        <v>1</v>
      </c>
      <c r="AN11" t="s">
        <v>205</v>
      </c>
      <c r="AO11" t="s">
        <v>173</v>
      </c>
      <c r="AP11" t="s">
        <v>173</v>
      </c>
      <c r="AQ11" t="s">
        <v>173</v>
      </c>
      <c r="AR11" t="s">
        <v>308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Z11" t="s">
        <v>192</v>
      </c>
      <c r="BW11">
        <f t="shared" si="1"/>
        <v>0</v>
      </c>
      <c r="BY11" t="s">
        <v>192</v>
      </c>
      <c r="CA11" t="s">
        <v>192</v>
      </c>
      <c r="CC11" t="s">
        <v>173</v>
      </c>
      <c r="CD11" t="s">
        <v>186</v>
      </c>
      <c r="CE11" t="s">
        <v>173</v>
      </c>
      <c r="CF11" t="s">
        <v>186</v>
      </c>
      <c r="CG11" t="s">
        <v>173</v>
      </c>
      <c r="CH11" t="s">
        <v>185</v>
      </c>
      <c r="CI11" t="s">
        <v>173</v>
      </c>
      <c r="CJ11" t="s">
        <v>185</v>
      </c>
      <c r="CK11" t="s">
        <v>173</v>
      </c>
      <c r="CL11" t="s">
        <v>186</v>
      </c>
      <c r="CM11" t="s">
        <v>173</v>
      </c>
      <c r="CN11" t="s">
        <v>187</v>
      </c>
      <c r="CO11" t="s">
        <v>173</v>
      </c>
      <c r="CP11" t="s">
        <v>187</v>
      </c>
      <c r="CQ11" t="s">
        <v>173</v>
      </c>
      <c r="CR11" t="s">
        <v>187</v>
      </c>
      <c r="CS11" t="s">
        <v>173</v>
      </c>
      <c r="CT11" t="s">
        <v>187</v>
      </c>
      <c r="CU11" t="s">
        <v>192</v>
      </c>
      <c r="CW11" t="s">
        <v>173</v>
      </c>
      <c r="CX11" t="s">
        <v>186</v>
      </c>
      <c r="CY11" t="s">
        <v>173</v>
      </c>
      <c r="CZ11" t="s">
        <v>186</v>
      </c>
      <c r="DA11" t="s">
        <v>192</v>
      </c>
      <c r="DC11" t="s">
        <v>173</v>
      </c>
      <c r="DD11" t="s">
        <v>185</v>
      </c>
      <c r="DE11" t="s">
        <v>192</v>
      </c>
      <c r="DH11" t="s">
        <v>173</v>
      </c>
      <c r="DI11" t="s">
        <v>187</v>
      </c>
      <c r="DJ11" t="s">
        <v>173</v>
      </c>
      <c r="DL11" t="s">
        <v>173</v>
      </c>
      <c r="DM11" t="s">
        <v>173</v>
      </c>
      <c r="DN11" t="s">
        <v>191</v>
      </c>
      <c r="DO11" t="s">
        <v>173</v>
      </c>
      <c r="DP11" t="s">
        <v>173</v>
      </c>
      <c r="DQ11" t="s">
        <v>191</v>
      </c>
      <c r="DR11" t="s">
        <v>192</v>
      </c>
      <c r="DU11" t="s">
        <v>192</v>
      </c>
      <c r="DX11" t="s">
        <v>192</v>
      </c>
      <c r="EA11" t="s">
        <v>173</v>
      </c>
      <c r="EB11" t="s">
        <v>192</v>
      </c>
      <c r="ED11" t="s">
        <v>173</v>
      </c>
      <c r="EE11" t="s">
        <v>173</v>
      </c>
      <c r="EF11" t="s">
        <v>188</v>
      </c>
      <c r="EG11" t="s">
        <v>173</v>
      </c>
      <c r="EH11" t="s">
        <v>173</v>
      </c>
      <c r="EI11" t="s">
        <v>188</v>
      </c>
      <c r="EJ11" t="s">
        <v>173</v>
      </c>
      <c r="EK11" t="s">
        <v>173</v>
      </c>
      <c r="EL11" t="s">
        <v>191</v>
      </c>
      <c r="EM11" t="s">
        <v>192</v>
      </c>
      <c r="EQ11" t="s">
        <v>309</v>
      </c>
      <c r="ER11" t="s">
        <v>220</v>
      </c>
      <c r="ES11" t="s">
        <v>310</v>
      </c>
      <c r="ET11" t="s">
        <v>173</v>
      </c>
      <c r="EU11" t="s">
        <v>173</v>
      </c>
      <c r="EV11" t="s">
        <v>311</v>
      </c>
      <c r="EW11">
        <v>0</v>
      </c>
      <c r="EX11">
        <v>1</v>
      </c>
      <c r="EY11">
        <v>0</v>
      </c>
      <c r="EZ11">
        <v>0</v>
      </c>
      <c r="FA11">
        <v>1</v>
      </c>
      <c r="FB11">
        <v>0</v>
      </c>
      <c r="FC11">
        <v>0</v>
      </c>
      <c r="FD11">
        <v>0</v>
      </c>
      <c r="FE11">
        <v>1</v>
      </c>
      <c r="FF11" t="s">
        <v>312</v>
      </c>
      <c r="FH11">
        <v>83517599</v>
      </c>
      <c r="FI11" t="s">
        <v>313</v>
      </c>
      <c r="FJ11" s="1">
        <v>45758.642592592587</v>
      </c>
      <c r="FM11" t="s">
        <v>193</v>
      </c>
      <c r="FO11" t="s">
        <v>194</v>
      </c>
      <c r="FQ11">
        <v>11</v>
      </c>
    </row>
    <row r="12" spans="1:173" x14ac:dyDescent="0.25">
      <c r="A12" s="1">
        <v>45758.429553287038</v>
      </c>
      <c r="B12" s="1">
        <v>45758.437285902779</v>
      </c>
      <c r="C12" t="s">
        <v>226</v>
      </c>
      <c r="D12">
        <v>80</v>
      </c>
      <c r="E12" s="1">
        <v>45738</v>
      </c>
      <c r="F12">
        <v>3</v>
      </c>
      <c r="G12" t="s">
        <v>314</v>
      </c>
      <c r="H12" t="s">
        <v>228</v>
      </c>
      <c r="I12" t="s">
        <v>315</v>
      </c>
      <c r="J12" t="s">
        <v>316</v>
      </c>
      <c r="K12" t="s">
        <v>173</v>
      </c>
      <c r="L12">
        <v>15</v>
      </c>
      <c r="M12" t="s">
        <v>174</v>
      </c>
      <c r="N12">
        <v>0</v>
      </c>
      <c r="O12">
        <v>0</v>
      </c>
      <c r="P12">
        <v>0</v>
      </c>
      <c r="Q12">
        <v>0</v>
      </c>
      <c r="R12" t="s">
        <v>175</v>
      </c>
      <c r="S12">
        <v>66</v>
      </c>
      <c r="T12" t="str">
        <f t="shared" si="0"/>
        <v>56 a más</v>
      </c>
      <c r="U12" t="s">
        <v>173</v>
      </c>
      <c r="W12" t="s">
        <v>317</v>
      </c>
      <c r="Y12" t="s">
        <v>318</v>
      </c>
      <c r="Z12" t="s">
        <v>239</v>
      </c>
      <c r="AA12" t="s">
        <v>179</v>
      </c>
      <c r="AB12" t="s">
        <v>215</v>
      </c>
      <c r="AC12" t="s">
        <v>181</v>
      </c>
      <c r="AD12" t="s">
        <v>319</v>
      </c>
      <c r="AE12" t="s">
        <v>320</v>
      </c>
      <c r="AF12" t="s">
        <v>321</v>
      </c>
      <c r="AG12" t="s">
        <v>181</v>
      </c>
      <c r="AH12" t="s">
        <v>287</v>
      </c>
      <c r="AI12">
        <v>0</v>
      </c>
      <c r="AJ12">
        <v>0</v>
      </c>
      <c r="AK12">
        <v>0</v>
      </c>
      <c r="AL12">
        <v>0</v>
      </c>
      <c r="AM12">
        <v>1</v>
      </c>
      <c r="AN12" t="s">
        <v>297</v>
      </c>
      <c r="AO12" t="s">
        <v>192</v>
      </c>
      <c r="AP12" t="s">
        <v>173</v>
      </c>
      <c r="AQ12" t="s">
        <v>192</v>
      </c>
      <c r="AZ12" t="s">
        <v>192</v>
      </c>
      <c r="BW12">
        <f t="shared" si="1"/>
        <v>0</v>
      </c>
      <c r="BY12" t="s">
        <v>192</v>
      </c>
      <c r="CA12" t="s">
        <v>192</v>
      </c>
      <c r="CC12" t="s">
        <v>192</v>
      </c>
      <c r="CE12" t="s">
        <v>192</v>
      </c>
      <c r="CG12" t="s">
        <v>173</v>
      </c>
      <c r="CH12" t="s">
        <v>185</v>
      </c>
      <c r="CI12" t="s">
        <v>192</v>
      </c>
      <c r="CK12" t="s">
        <v>192</v>
      </c>
      <c r="CM12" t="s">
        <v>192</v>
      </c>
      <c r="CO12" t="s">
        <v>192</v>
      </c>
      <c r="CQ12" t="s">
        <v>192</v>
      </c>
      <c r="CS12" t="s">
        <v>192</v>
      </c>
      <c r="CU12" t="s">
        <v>192</v>
      </c>
      <c r="CW12" t="s">
        <v>192</v>
      </c>
      <c r="CY12" t="s">
        <v>192</v>
      </c>
      <c r="DA12" t="s">
        <v>192</v>
      </c>
      <c r="DC12" t="s">
        <v>173</v>
      </c>
      <c r="DD12" t="s">
        <v>186</v>
      </c>
      <c r="DE12" t="s">
        <v>192</v>
      </c>
      <c r="DH12" t="s">
        <v>173</v>
      </c>
      <c r="DI12" t="s">
        <v>187</v>
      </c>
      <c r="DJ12" t="s">
        <v>192</v>
      </c>
      <c r="DL12" t="s">
        <v>173</v>
      </c>
      <c r="DM12" t="s">
        <v>192</v>
      </c>
      <c r="DO12" t="s">
        <v>173</v>
      </c>
      <c r="DP12" t="s">
        <v>173</v>
      </c>
      <c r="DQ12" t="s">
        <v>191</v>
      </c>
      <c r="DR12" t="s">
        <v>173</v>
      </c>
      <c r="DS12" t="s">
        <v>192</v>
      </c>
      <c r="DU12" t="s">
        <v>192</v>
      </c>
      <c r="DX12" t="s">
        <v>192</v>
      </c>
      <c r="EA12" t="s">
        <v>192</v>
      </c>
      <c r="ED12" t="s">
        <v>173</v>
      </c>
      <c r="EE12" t="s">
        <v>173</v>
      </c>
      <c r="EF12" t="s">
        <v>188</v>
      </c>
      <c r="EG12" t="s">
        <v>173</v>
      </c>
      <c r="EH12" t="s">
        <v>173</v>
      </c>
      <c r="EI12" t="s">
        <v>188</v>
      </c>
      <c r="EJ12" t="s">
        <v>173</v>
      </c>
      <c r="EK12" t="s">
        <v>173</v>
      </c>
      <c r="EL12" t="s">
        <v>191</v>
      </c>
      <c r="EM12" t="s">
        <v>192</v>
      </c>
      <c r="EQ12" t="s">
        <v>322</v>
      </c>
      <c r="ER12" t="s">
        <v>323</v>
      </c>
      <c r="ET12" t="s">
        <v>173</v>
      </c>
      <c r="EU12" t="s">
        <v>173</v>
      </c>
      <c r="EV12" t="s">
        <v>208</v>
      </c>
      <c r="EW12">
        <v>0</v>
      </c>
      <c r="EX12">
        <v>0</v>
      </c>
      <c r="EY12">
        <v>0</v>
      </c>
      <c r="EZ12">
        <v>0</v>
      </c>
      <c r="FA12">
        <v>1</v>
      </c>
      <c r="FB12">
        <v>0</v>
      </c>
      <c r="FC12">
        <v>0</v>
      </c>
      <c r="FD12">
        <v>0</v>
      </c>
      <c r="FE12">
        <v>0</v>
      </c>
      <c r="FH12">
        <v>83518140</v>
      </c>
      <c r="FI12" t="s">
        <v>324</v>
      </c>
      <c r="FJ12" s="1">
        <v>45758.645636574067</v>
      </c>
      <c r="FM12" t="s">
        <v>193</v>
      </c>
      <c r="FO12" t="s">
        <v>194</v>
      </c>
      <c r="FQ12">
        <v>12</v>
      </c>
    </row>
    <row r="13" spans="1:173" x14ac:dyDescent="0.25">
      <c r="A13" s="1">
        <v>45758.437286354158</v>
      </c>
      <c r="B13" s="1">
        <v>45758.441058298609</v>
      </c>
      <c r="C13" t="s">
        <v>226</v>
      </c>
      <c r="D13">
        <v>76</v>
      </c>
      <c r="E13" s="1">
        <v>45738</v>
      </c>
      <c r="F13">
        <v>3</v>
      </c>
      <c r="G13" t="s">
        <v>280</v>
      </c>
      <c r="H13" t="s">
        <v>228</v>
      </c>
      <c r="I13" t="s">
        <v>325</v>
      </c>
      <c r="J13" t="s">
        <v>326</v>
      </c>
      <c r="K13" t="s">
        <v>173</v>
      </c>
      <c r="L13">
        <v>25</v>
      </c>
      <c r="M13" t="s">
        <v>283</v>
      </c>
      <c r="N13">
        <v>0</v>
      </c>
      <c r="O13">
        <v>0</v>
      </c>
      <c r="P13">
        <v>0</v>
      </c>
      <c r="Q13">
        <v>0</v>
      </c>
      <c r="R13" t="s">
        <v>175</v>
      </c>
      <c r="S13">
        <v>24</v>
      </c>
      <c r="T13" t="str">
        <f t="shared" si="0"/>
        <v>18 a 25</v>
      </c>
      <c r="U13" t="s">
        <v>173</v>
      </c>
      <c r="W13" t="s">
        <v>176</v>
      </c>
      <c r="Y13" t="s">
        <v>200</v>
      </c>
      <c r="Z13" t="s">
        <v>178</v>
      </c>
      <c r="AA13" t="s">
        <v>179</v>
      </c>
      <c r="AB13" t="s">
        <v>215</v>
      </c>
      <c r="AC13" t="s">
        <v>202</v>
      </c>
      <c r="AD13" t="s">
        <v>327</v>
      </c>
      <c r="AE13" t="s">
        <v>328</v>
      </c>
      <c r="AG13" t="s">
        <v>202</v>
      </c>
      <c r="AH13" t="s">
        <v>287</v>
      </c>
      <c r="AI13">
        <v>0</v>
      </c>
      <c r="AJ13">
        <v>0</v>
      </c>
      <c r="AK13">
        <v>0</v>
      </c>
      <c r="AL13">
        <v>0</v>
      </c>
      <c r="AM13">
        <v>1</v>
      </c>
      <c r="AN13" t="s">
        <v>297</v>
      </c>
      <c r="AO13" t="s">
        <v>192</v>
      </c>
      <c r="AP13" t="s">
        <v>192</v>
      </c>
      <c r="AQ13" t="s">
        <v>173</v>
      </c>
      <c r="AR13" t="s">
        <v>298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 t="s">
        <v>329</v>
      </c>
      <c r="AZ13" t="s">
        <v>192</v>
      </c>
      <c r="BW13">
        <f t="shared" si="1"/>
        <v>0</v>
      </c>
      <c r="BY13" t="s">
        <v>192</v>
      </c>
      <c r="CA13" t="s">
        <v>173</v>
      </c>
      <c r="CB13" t="s">
        <v>185</v>
      </c>
      <c r="CC13" t="s">
        <v>192</v>
      </c>
      <c r="CE13" t="s">
        <v>192</v>
      </c>
      <c r="CG13" t="s">
        <v>192</v>
      </c>
      <c r="CI13" t="s">
        <v>173</v>
      </c>
      <c r="CJ13" t="s">
        <v>185</v>
      </c>
      <c r="CK13" t="s">
        <v>173</v>
      </c>
      <c r="CL13" t="s">
        <v>185</v>
      </c>
      <c r="CM13" t="s">
        <v>192</v>
      </c>
      <c r="CO13" t="s">
        <v>192</v>
      </c>
      <c r="CQ13" t="s">
        <v>173</v>
      </c>
      <c r="CR13" t="s">
        <v>186</v>
      </c>
      <c r="CS13" t="s">
        <v>192</v>
      </c>
      <c r="CU13" t="s">
        <v>192</v>
      </c>
      <c r="CW13" t="s">
        <v>192</v>
      </c>
      <c r="CY13" t="s">
        <v>192</v>
      </c>
      <c r="DA13" t="s">
        <v>192</v>
      </c>
      <c r="DC13" t="s">
        <v>192</v>
      </c>
      <c r="DE13" t="s">
        <v>192</v>
      </c>
      <c r="DH13" t="s">
        <v>173</v>
      </c>
      <c r="DI13" t="s">
        <v>187</v>
      </c>
      <c r="DJ13" t="s">
        <v>173</v>
      </c>
      <c r="DL13" t="s">
        <v>173</v>
      </c>
      <c r="DM13" t="s">
        <v>192</v>
      </c>
      <c r="DO13" t="s">
        <v>192</v>
      </c>
      <c r="DR13" t="s">
        <v>192</v>
      </c>
      <c r="DU13" t="s">
        <v>173</v>
      </c>
      <c r="DV13" t="s">
        <v>173</v>
      </c>
      <c r="DW13" t="s">
        <v>191</v>
      </c>
      <c r="DX13" t="s">
        <v>173</v>
      </c>
      <c r="DY13" t="s">
        <v>192</v>
      </c>
      <c r="EA13" t="s">
        <v>192</v>
      </c>
      <c r="ED13" t="s">
        <v>173</v>
      </c>
      <c r="EE13" t="s">
        <v>192</v>
      </c>
      <c r="EG13" t="s">
        <v>173</v>
      </c>
      <c r="EH13" t="s">
        <v>192</v>
      </c>
      <c r="EJ13" t="s">
        <v>173</v>
      </c>
      <c r="EK13" t="s">
        <v>192</v>
      </c>
      <c r="EM13" t="s">
        <v>192</v>
      </c>
      <c r="EQ13" t="s">
        <v>330</v>
      </c>
      <c r="ER13" t="s">
        <v>331</v>
      </c>
      <c r="ET13" t="s">
        <v>173</v>
      </c>
      <c r="EU13" t="s">
        <v>173</v>
      </c>
      <c r="EV13" t="s">
        <v>223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1</v>
      </c>
      <c r="FF13" t="s">
        <v>332</v>
      </c>
      <c r="FH13">
        <v>83518461</v>
      </c>
      <c r="FI13" t="s">
        <v>333</v>
      </c>
      <c r="FJ13" s="1">
        <v>45758.649409722217</v>
      </c>
      <c r="FM13" t="s">
        <v>193</v>
      </c>
      <c r="FO13" t="s">
        <v>194</v>
      </c>
      <c r="FQ13">
        <v>13</v>
      </c>
    </row>
    <row r="14" spans="1:173" x14ac:dyDescent="0.25">
      <c r="A14" s="1">
        <v>45758.392002210647</v>
      </c>
      <c r="B14" s="1">
        <v>45758.443912048613</v>
      </c>
      <c r="C14" t="s">
        <v>334</v>
      </c>
      <c r="D14">
        <v>126</v>
      </c>
      <c r="E14" s="1">
        <v>45739</v>
      </c>
      <c r="F14">
        <v>2</v>
      </c>
      <c r="G14" t="s">
        <v>335</v>
      </c>
      <c r="H14" t="s">
        <v>336</v>
      </c>
      <c r="I14" t="s">
        <v>337</v>
      </c>
      <c r="J14" t="s">
        <v>338</v>
      </c>
      <c r="K14" t="s">
        <v>173</v>
      </c>
      <c r="L14">
        <v>25</v>
      </c>
      <c r="M14" t="s">
        <v>174</v>
      </c>
      <c r="N14">
        <v>0</v>
      </c>
      <c r="O14">
        <v>0</v>
      </c>
      <c r="P14">
        <v>0</v>
      </c>
      <c r="Q14">
        <v>0</v>
      </c>
      <c r="R14" t="s">
        <v>251</v>
      </c>
      <c r="S14">
        <v>58</v>
      </c>
      <c r="T14" t="str">
        <f t="shared" si="0"/>
        <v>56 a más</v>
      </c>
      <c r="U14" t="s">
        <v>173</v>
      </c>
      <c r="W14" t="s">
        <v>176</v>
      </c>
      <c r="Y14" t="s">
        <v>214</v>
      </c>
      <c r="Z14" t="s">
        <v>239</v>
      </c>
      <c r="AA14" t="s">
        <v>240</v>
      </c>
      <c r="AB14" t="s">
        <v>215</v>
      </c>
      <c r="AC14" t="s">
        <v>339</v>
      </c>
      <c r="AD14" t="s">
        <v>340</v>
      </c>
      <c r="AE14" t="s">
        <v>341</v>
      </c>
      <c r="AG14" t="s">
        <v>202</v>
      </c>
      <c r="AH14" t="s">
        <v>244</v>
      </c>
      <c r="AI14">
        <v>0</v>
      </c>
      <c r="AJ14">
        <v>1</v>
      </c>
      <c r="AK14">
        <v>1</v>
      </c>
      <c r="AL14">
        <v>0</v>
      </c>
      <c r="AM14">
        <v>0</v>
      </c>
      <c r="AN14" t="s">
        <v>297</v>
      </c>
      <c r="AO14" t="s">
        <v>192</v>
      </c>
      <c r="AP14" t="s">
        <v>173</v>
      </c>
      <c r="AQ14" t="s">
        <v>192</v>
      </c>
      <c r="AZ14" t="s">
        <v>192</v>
      </c>
      <c r="BW14">
        <f t="shared" si="1"/>
        <v>0</v>
      </c>
      <c r="BY14" t="s">
        <v>192</v>
      </c>
      <c r="CA14" t="s">
        <v>192</v>
      </c>
      <c r="CC14" t="s">
        <v>192</v>
      </c>
      <c r="CE14" t="s">
        <v>173</v>
      </c>
      <c r="CF14" t="s">
        <v>185</v>
      </c>
      <c r="CG14" t="s">
        <v>192</v>
      </c>
      <c r="CI14" t="s">
        <v>192</v>
      </c>
      <c r="CK14" t="s">
        <v>192</v>
      </c>
      <c r="CM14" t="s">
        <v>192</v>
      </c>
      <c r="CO14" t="s">
        <v>192</v>
      </c>
      <c r="CQ14" t="s">
        <v>192</v>
      </c>
      <c r="CS14" t="s">
        <v>192</v>
      </c>
      <c r="CU14" t="s">
        <v>192</v>
      </c>
      <c r="CW14" t="s">
        <v>192</v>
      </c>
      <c r="CY14" t="s">
        <v>192</v>
      </c>
      <c r="DA14" t="s">
        <v>192</v>
      </c>
      <c r="DC14" t="s">
        <v>192</v>
      </c>
      <c r="DE14" t="s">
        <v>192</v>
      </c>
      <c r="DH14" t="s">
        <v>173</v>
      </c>
      <c r="DI14" t="s">
        <v>186</v>
      </c>
      <c r="DJ14" t="s">
        <v>192</v>
      </c>
      <c r="DL14" t="s">
        <v>192</v>
      </c>
      <c r="DO14" t="s">
        <v>192</v>
      </c>
      <c r="DR14" t="s">
        <v>192</v>
      </c>
      <c r="DU14" t="s">
        <v>173</v>
      </c>
      <c r="DV14" t="s">
        <v>192</v>
      </c>
      <c r="DX14" t="s">
        <v>192</v>
      </c>
      <c r="EA14" t="s">
        <v>192</v>
      </c>
      <c r="ED14" t="s">
        <v>173</v>
      </c>
      <c r="EE14" t="s">
        <v>173</v>
      </c>
      <c r="EF14" t="s">
        <v>188</v>
      </c>
      <c r="EG14" t="s">
        <v>173</v>
      </c>
      <c r="EH14" t="s">
        <v>192</v>
      </c>
      <c r="EJ14" t="s">
        <v>192</v>
      </c>
      <c r="EM14" t="s">
        <v>192</v>
      </c>
      <c r="EQ14" t="s">
        <v>342</v>
      </c>
      <c r="ER14" t="s">
        <v>323</v>
      </c>
      <c r="ET14" t="s">
        <v>173</v>
      </c>
      <c r="EU14" t="s">
        <v>173</v>
      </c>
      <c r="EV14" t="s">
        <v>223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1</v>
      </c>
      <c r="FF14" t="s">
        <v>343</v>
      </c>
      <c r="FH14">
        <v>83518710</v>
      </c>
      <c r="FI14" t="s">
        <v>344</v>
      </c>
      <c r="FJ14" s="1">
        <v>45758.652256944442</v>
      </c>
      <c r="FM14" t="s">
        <v>193</v>
      </c>
      <c r="FO14" t="s">
        <v>194</v>
      </c>
      <c r="FQ14">
        <v>14</v>
      </c>
    </row>
    <row r="15" spans="1:173" x14ac:dyDescent="0.25">
      <c r="A15" s="1">
        <v>45758.44105883102</v>
      </c>
      <c r="B15" s="1">
        <v>45758.44424542824</v>
      </c>
      <c r="C15" t="s">
        <v>226</v>
      </c>
      <c r="D15">
        <v>75</v>
      </c>
      <c r="E15" s="1">
        <v>45738</v>
      </c>
      <c r="F15">
        <v>3</v>
      </c>
      <c r="G15" t="s">
        <v>172</v>
      </c>
      <c r="H15" t="s">
        <v>228</v>
      </c>
      <c r="I15" t="s">
        <v>345</v>
      </c>
      <c r="J15" t="s">
        <v>346</v>
      </c>
      <c r="K15" t="s">
        <v>173</v>
      </c>
      <c r="L15">
        <v>40</v>
      </c>
      <c r="M15" t="s">
        <v>174</v>
      </c>
      <c r="N15">
        <v>0</v>
      </c>
      <c r="O15">
        <v>0</v>
      </c>
      <c r="P15">
        <v>0</v>
      </c>
      <c r="Q15">
        <v>0</v>
      </c>
      <c r="R15" t="s">
        <v>175</v>
      </c>
      <c r="S15">
        <v>58</v>
      </c>
      <c r="T15" t="str">
        <f t="shared" si="0"/>
        <v>56 a más</v>
      </c>
      <c r="U15" t="s">
        <v>173</v>
      </c>
      <c r="W15" t="s">
        <v>238</v>
      </c>
      <c r="Y15" t="s">
        <v>214</v>
      </c>
      <c r="Z15" t="s">
        <v>239</v>
      </c>
      <c r="AA15" t="s">
        <v>240</v>
      </c>
      <c r="AB15" t="s">
        <v>215</v>
      </c>
      <c r="AC15" t="s">
        <v>216</v>
      </c>
      <c r="AD15" t="s">
        <v>347</v>
      </c>
      <c r="AG15" t="s">
        <v>202</v>
      </c>
      <c r="AH15" t="s">
        <v>232</v>
      </c>
      <c r="AI15">
        <v>0</v>
      </c>
      <c r="AJ15">
        <v>0</v>
      </c>
      <c r="AK15">
        <v>1</v>
      </c>
      <c r="AL15">
        <v>0</v>
      </c>
      <c r="AM15">
        <v>0</v>
      </c>
      <c r="AN15" t="s">
        <v>183</v>
      </c>
      <c r="AO15" t="s">
        <v>192</v>
      </c>
      <c r="AP15" t="s">
        <v>173</v>
      </c>
      <c r="AQ15" t="s">
        <v>192</v>
      </c>
      <c r="AZ15" t="s">
        <v>192</v>
      </c>
      <c r="BW15">
        <f t="shared" si="1"/>
        <v>0</v>
      </c>
      <c r="BY15" t="s">
        <v>192</v>
      </c>
      <c r="CA15" t="s">
        <v>192</v>
      </c>
      <c r="CC15" t="s">
        <v>192</v>
      </c>
      <c r="CE15" t="s">
        <v>173</v>
      </c>
      <c r="CF15" t="s">
        <v>185</v>
      </c>
      <c r="CG15" t="s">
        <v>173</v>
      </c>
      <c r="CH15" t="s">
        <v>185</v>
      </c>
      <c r="CI15" t="s">
        <v>192</v>
      </c>
      <c r="CK15" t="s">
        <v>173</v>
      </c>
      <c r="CL15" t="s">
        <v>185</v>
      </c>
      <c r="CM15" t="s">
        <v>192</v>
      </c>
      <c r="CO15" t="s">
        <v>192</v>
      </c>
      <c r="CQ15" t="s">
        <v>192</v>
      </c>
      <c r="CS15" t="s">
        <v>192</v>
      </c>
      <c r="CU15" t="s">
        <v>192</v>
      </c>
      <c r="CW15" t="s">
        <v>192</v>
      </c>
      <c r="CY15" t="s">
        <v>192</v>
      </c>
      <c r="DA15" t="s">
        <v>192</v>
      </c>
      <c r="DC15" t="s">
        <v>173</v>
      </c>
      <c r="DD15" t="s">
        <v>186</v>
      </c>
      <c r="DE15" t="s">
        <v>192</v>
      </c>
      <c r="DH15" t="s">
        <v>173</v>
      </c>
      <c r="DI15" t="s">
        <v>185</v>
      </c>
      <c r="DJ15" t="s">
        <v>192</v>
      </c>
      <c r="DL15" t="s">
        <v>192</v>
      </c>
      <c r="DO15" t="s">
        <v>192</v>
      </c>
      <c r="DR15" t="s">
        <v>192</v>
      </c>
      <c r="DU15" t="s">
        <v>192</v>
      </c>
      <c r="DX15" t="s">
        <v>173</v>
      </c>
      <c r="DY15" t="s">
        <v>192</v>
      </c>
      <c r="EA15" t="s">
        <v>192</v>
      </c>
      <c r="ED15" t="s">
        <v>173</v>
      </c>
      <c r="EE15" t="s">
        <v>192</v>
      </c>
      <c r="EG15" t="s">
        <v>173</v>
      </c>
      <c r="EH15" t="s">
        <v>192</v>
      </c>
      <c r="EJ15" t="s">
        <v>173</v>
      </c>
      <c r="EK15" t="s">
        <v>192</v>
      </c>
      <c r="EM15" t="s">
        <v>192</v>
      </c>
      <c r="EQ15" t="s">
        <v>348</v>
      </c>
      <c r="ER15" t="s">
        <v>349</v>
      </c>
      <c r="ET15" t="s">
        <v>173</v>
      </c>
      <c r="EU15" t="s">
        <v>173</v>
      </c>
      <c r="EV15" t="s">
        <v>223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1</v>
      </c>
      <c r="FF15" t="s">
        <v>350</v>
      </c>
      <c r="FH15">
        <v>83518731</v>
      </c>
      <c r="FI15" t="s">
        <v>351</v>
      </c>
      <c r="FJ15" s="1">
        <v>45758.652581018519</v>
      </c>
      <c r="FM15" t="s">
        <v>193</v>
      </c>
      <c r="FO15" t="s">
        <v>194</v>
      </c>
      <c r="FQ15">
        <v>15</v>
      </c>
    </row>
    <row r="16" spans="1:173" x14ac:dyDescent="0.25">
      <c r="A16" s="1">
        <v>45758.440830474538</v>
      </c>
      <c r="B16" s="1">
        <v>45758.44475357639</v>
      </c>
      <c r="C16" t="s">
        <v>195</v>
      </c>
      <c r="D16">
        <v>161</v>
      </c>
      <c r="E16" s="1">
        <v>45739</v>
      </c>
      <c r="F16">
        <v>3</v>
      </c>
      <c r="G16" t="s">
        <v>352</v>
      </c>
      <c r="H16" t="s">
        <v>197</v>
      </c>
      <c r="I16" t="s">
        <v>353</v>
      </c>
      <c r="J16" t="s">
        <v>354</v>
      </c>
      <c r="K16" t="s">
        <v>173</v>
      </c>
      <c r="L16">
        <v>30</v>
      </c>
      <c r="M16" t="s">
        <v>174</v>
      </c>
      <c r="N16">
        <v>0</v>
      </c>
      <c r="O16">
        <v>0</v>
      </c>
      <c r="P16">
        <v>0</v>
      </c>
      <c r="Q16">
        <v>0</v>
      </c>
      <c r="R16" t="s">
        <v>251</v>
      </c>
      <c r="S16">
        <v>50</v>
      </c>
      <c r="T16" t="str">
        <f t="shared" si="0"/>
        <v>41 a 55</v>
      </c>
      <c r="U16" t="s">
        <v>173</v>
      </c>
      <c r="W16" t="s">
        <v>176</v>
      </c>
      <c r="Y16" t="s">
        <v>200</v>
      </c>
      <c r="Z16" t="s">
        <v>355</v>
      </c>
      <c r="AA16" t="s">
        <v>179</v>
      </c>
      <c r="AB16" t="s">
        <v>215</v>
      </c>
      <c r="AC16" t="s">
        <v>202</v>
      </c>
      <c r="AD16" t="s">
        <v>356</v>
      </c>
      <c r="AE16" t="s">
        <v>357</v>
      </c>
      <c r="AF16" t="s">
        <v>358</v>
      </c>
      <c r="AG16" t="s">
        <v>339</v>
      </c>
      <c r="AH16" t="s">
        <v>287</v>
      </c>
      <c r="AI16">
        <v>0</v>
      </c>
      <c r="AJ16">
        <v>0</v>
      </c>
      <c r="AK16">
        <v>0</v>
      </c>
      <c r="AL16">
        <v>0</v>
      </c>
      <c r="AM16">
        <v>1</v>
      </c>
      <c r="AN16" t="s">
        <v>297</v>
      </c>
      <c r="AO16" t="s">
        <v>192</v>
      </c>
      <c r="AP16" t="s">
        <v>173</v>
      </c>
      <c r="AQ16" t="s">
        <v>192</v>
      </c>
      <c r="AZ16" t="s">
        <v>192</v>
      </c>
      <c r="BW16">
        <f t="shared" si="1"/>
        <v>0</v>
      </c>
      <c r="BY16" t="s">
        <v>173</v>
      </c>
      <c r="BZ16" t="s">
        <v>186</v>
      </c>
      <c r="CA16" t="s">
        <v>192</v>
      </c>
      <c r="CC16" t="s">
        <v>192</v>
      </c>
      <c r="CE16" t="s">
        <v>192</v>
      </c>
      <c r="CG16" t="s">
        <v>192</v>
      </c>
      <c r="CI16" t="s">
        <v>192</v>
      </c>
      <c r="CK16" t="s">
        <v>173</v>
      </c>
      <c r="CL16" t="s">
        <v>186</v>
      </c>
      <c r="CM16" t="s">
        <v>192</v>
      </c>
      <c r="CO16" t="s">
        <v>192</v>
      </c>
      <c r="CQ16" t="s">
        <v>192</v>
      </c>
      <c r="CS16" t="s">
        <v>192</v>
      </c>
      <c r="CU16" t="s">
        <v>192</v>
      </c>
      <c r="CW16" t="s">
        <v>192</v>
      </c>
      <c r="CY16" t="s">
        <v>173</v>
      </c>
      <c r="CZ16" t="s">
        <v>187</v>
      </c>
      <c r="DA16" t="s">
        <v>192</v>
      </c>
      <c r="DC16" t="s">
        <v>173</v>
      </c>
      <c r="DD16" t="s">
        <v>186</v>
      </c>
      <c r="DE16" t="s">
        <v>189</v>
      </c>
      <c r="DH16" t="s">
        <v>173</v>
      </c>
      <c r="DI16" t="s">
        <v>187</v>
      </c>
      <c r="DJ16" t="s">
        <v>173</v>
      </c>
      <c r="DL16" t="s">
        <v>173</v>
      </c>
      <c r="DM16" t="s">
        <v>173</v>
      </c>
      <c r="DN16" t="s">
        <v>188</v>
      </c>
      <c r="DO16" t="s">
        <v>173</v>
      </c>
      <c r="DP16" t="s">
        <v>192</v>
      </c>
      <c r="DR16" t="s">
        <v>192</v>
      </c>
      <c r="DU16" t="s">
        <v>173</v>
      </c>
      <c r="DV16" t="s">
        <v>173</v>
      </c>
      <c r="DW16" t="s">
        <v>191</v>
      </c>
      <c r="DX16" t="s">
        <v>192</v>
      </c>
      <c r="EA16" t="s">
        <v>192</v>
      </c>
      <c r="ED16" t="s">
        <v>173</v>
      </c>
      <c r="EE16" t="s">
        <v>173</v>
      </c>
      <c r="EF16" t="s">
        <v>191</v>
      </c>
      <c r="EG16" t="s">
        <v>173</v>
      </c>
      <c r="EH16" t="s">
        <v>192</v>
      </c>
      <c r="EJ16" t="s">
        <v>173</v>
      </c>
      <c r="EK16" t="s">
        <v>192</v>
      </c>
      <c r="EM16" t="s">
        <v>173</v>
      </c>
      <c r="EN16" t="s">
        <v>192</v>
      </c>
      <c r="EQ16" t="s">
        <v>359</v>
      </c>
      <c r="ER16" t="s">
        <v>360</v>
      </c>
      <c r="ES16" t="s">
        <v>348</v>
      </c>
      <c r="ET16" t="s">
        <v>192</v>
      </c>
      <c r="EU16" t="s">
        <v>173</v>
      </c>
      <c r="EV16" t="s">
        <v>223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1</v>
      </c>
      <c r="FF16" t="s">
        <v>361</v>
      </c>
      <c r="FH16">
        <v>83518741</v>
      </c>
      <c r="FI16" t="s">
        <v>362</v>
      </c>
      <c r="FJ16" s="1">
        <v>45758.653101851851</v>
      </c>
      <c r="FM16" t="s">
        <v>193</v>
      </c>
      <c r="FO16" t="s">
        <v>194</v>
      </c>
      <c r="FQ16">
        <v>16</v>
      </c>
    </row>
    <row r="17" spans="1:173" x14ac:dyDescent="0.25">
      <c r="A17" s="1">
        <v>45758.444246076389</v>
      </c>
      <c r="B17" s="1">
        <v>45758.447852604157</v>
      </c>
      <c r="C17" t="s">
        <v>226</v>
      </c>
      <c r="D17">
        <v>74</v>
      </c>
      <c r="E17" s="1">
        <v>45738</v>
      </c>
      <c r="F17">
        <v>3</v>
      </c>
      <c r="G17" t="s">
        <v>352</v>
      </c>
      <c r="H17" t="s">
        <v>228</v>
      </c>
      <c r="I17" t="s">
        <v>363</v>
      </c>
      <c r="J17" t="s">
        <v>230</v>
      </c>
      <c r="K17" t="s">
        <v>173</v>
      </c>
      <c r="L17">
        <v>10</v>
      </c>
      <c r="M17" t="s">
        <v>174</v>
      </c>
      <c r="N17">
        <v>0</v>
      </c>
      <c r="O17">
        <v>0</v>
      </c>
      <c r="P17">
        <v>0</v>
      </c>
      <c r="Q17">
        <v>0</v>
      </c>
      <c r="R17" t="s">
        <v>251</v>
      </c>
      <c r="S17">
        <v>36</v>
      </c>
      <c r="T17" t="str">
        <f t="shared" si="0"/>
        <v>26 a 40</v>
      </c>
      <c r="U17" t="s">
        <v>173</v>
      </c>
      <c r="W17" t="s">
        <v>176</v>
      </c>
      <c r="Y17" t="s">
        <v>318</v>
      </c>
      <c r="Z17" t="s">
        <v>364</v>
      </c>
      <c r="AA17" t="s">
        <v>179</v>
      </c>
      <c r="AB17" t="s">
        <v>215</v>
      </c>
      <c r="AC17" t="s">
        <v>216</v>
      </c>
      <c r="AD17" t="s">
        <v>365</v>
      </c>
      <c r="AE17" t="s">
        <v>366</v>
      </c>
      <c r="AF17" t="s">
        <v>367</v>
      </c>
      <c r="AG17" t="s">
        <v>216</v>
      </c>
      <c r="AH17" t="s">
        <v>287</v>
      </c>
      <c r="AI17">
        <v>0</v>
      </c>
      <c r="AJ17">
        <v>0</v>
      </c>
      <c r="AK17">
        <v>0</v>
      </c>
      <c r="AL17">
        <v>0</v>
      </c>
      <c r="AM17">
        <v>1</v>
      </c>
      <c r="AN17" t="s">
        <v>183</v>
      </c>
      <c r="AO17" t="s">
        <v>192</v>
      </c>
      <c r="AP17" t="s">
        <v>192</v>
      </c>
      <c r="AQ17" t="s">
        <v>173</v>
      </c>
      <c r="AR17" t="s">
        <v>308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Z17" t="s">
        <v>192</v>
      </c>
      <c r="BW17">
        <f t="shared" si="1"/>
        <v>0</v>
      </c>
      <c r="BY17" t="s">
        <v>173</v>
      </c>
      <c r="BZ17" t="s">
        <v>186</v>
      </c>
      <c r="CA17" t="s">
        <v>192</v>
      </c>
      <c r="CC17" t="s">
        <v>173</v>
      </c>
      <c r="CD17" t="s">
        <v>187</v>
      </c>
      <c r="CE17" t="s">
        <v>173</v>
      </c>
      <c r="CF17" t="s">
        <v>185</v>
      </c>
      <c r="CG17" t="s">
        <v>173</v>
      </c>
      <c r="CH17" t="s">
        <v>186</v>
      </c>
      <c r="CI17" t="s">
        <v>173</v>
      </c>
      <c r="CJ17" t="s">
        <v>185</v>
      </c>
      <c r="CK17" t="s">
        <v>173</v>
      </c>
      <c r="CL17" t="s">
        <v>186</v>
      </c>
      <c r="CM17" t="s">
        <v>173</v>
      </c>
      <c r="CN17" t="s">
        <v>185</v>
      </c>
      <c r="CO17" t="s">
        <v>192</v>
      </c>
      <c r="CQ17" t="s">
        <v>173</v>
      </c>
      <c r="CR17" t="s">
        <v>187</v>
      </c>
      <c r="CS17" t="s">
        <v>192</v>
      </c>
      <c r="CU17" t="s">
        <v>173</v>
      </c>
      <c r="CV17" t="s">
        <v>186</v>
      </c>
      <c r="CW17" t="s">
        <v>173</v>
      </c>
      <c r="CX17" t="s">
        <v>185</v>
      </c>
      <c r="CY17" t="s">
        <v>173</v>
      </c>
      <c r="CZ17" t="s">
        <v>187</v>
      </c>
      <c r="DA17" t="s">
        <v>192</v>
      </c>
      <c r="DC17" t="s">
        <v>173</v>
      </c>
      <c r="DD17" t="s">
        <v>185</v>
      </c>
      <c r="DE17" t="s">
        <v>192</v>
      </c>
      <c r="DH17" t="s">
        <v>173</v>
      </c>
      <c r="DI17" t="s">
        <v>187</v>
      </c>
      <c r="DJ17" t="s">
        <v>192</v>
      </c>
      <c r="DL17" t="s">
        <v>173</v>
      </c>
      <c r="DM17" t="s">
        <v>192</v>
      </c>
      <c r="DO17" t="s">
        <v>173</v>
      </c>
      <c r="DP17" t="s">
        <v>173</v>
      </c>
      <c r="DQ17" t="s">
        <v>191</v>
      </c>
      <c r="DR17" t="s">
        <v>192</v>
      </c>
      <c r="DU17" t="s">
        <v>173</v>
      </c>
      <c r="DV17" t="s">
        <v>173</v>
      </c>
      <c r="DW17" t="s">
        <v>191</v>
      </c>
      <c r="DX17" t="s">
        <v>192</v>
      </c>
      <c r="EA17" t="s">
        <v>173</v>
      </c>
      <c r="EB17" t="s">
        <v>192</v>
      </c>
      <c r="ED17" t="s">
        <v>173</v>
      </c>
      <c r="EE17" t="s">
        <v>173</v>
      </c>
      <c r="EF17" t="s">
        <v>188</v>
      </c>
      <c r="EG17" t="s">
        <v>192</v>
      </c>
      <c r="EJ17" t="s">
        <v>173</v>
      </c>
      <c r="EK17" t="s">
        <v>192</v>
      </c>
      <c r="EM17" t="s">
        <v>192</v>
      </c>
      <c r="EQ17" t="s">
        <v>245</v>
      </c>
      <c r="ER17" t="s">
        <v>368</v>
      </c>
      <c r="ES17" t="s">
        <v>369</v>
      </c>
      <c r="ET17" t="s">
        <v>173</v>
      </c>
      <c r="EU17" t="s">
        <v>173</v>
      </c>
      <c r="EV17" t="s">
        <v>258</v>
      </c>
      <c r="EW17">
        <v>0</v>
      </c>
      <c r="EX17">
        <v>0</v>
      </c>
      <c r="EY17">
        <v>0</v>
      </c>
      <c r="EZ17">
        <v>0</v>
      </c>
      <c r="FA17">
        <v>1</v>
      </c>
      <c r="FB17">
        <v>1</v>
      </c>
      <c r="FC17">
        <v>0</v>
      </c>
      <c r="FD17">
        <v>0</v>
      </c>
      <c r="FE17">
        <v>0</v>
      </c>
      <c r="FH17">
        <v>83521842</v>
      </c>
      <c r="FI17" t="s">
        <v>370</v>
      </c>
      <c r="FJ17" s="1">
        <v>45758.656180555547</v>
      </c>
      <c r="FM17" t="s">
        <v>193</v>
      </c>
      <c r="FO17" t="s">
        <v>194</v>
      </c>
      <c r="FQ17">
        <v>17</v>
      </c>
    </row>
    <row r="18" spans="1:173" x14ac:dyDescent="0.25">
      <c r="A18" s="1">
        <v>45758.444754004631</v>
      </c>
      <c r="B18" s="1">
        <v>45758.449076898149</v>
      </c>
      <c r="C18" t="s">
        <v>195</v>
      </c>
      <c r="D18">
        <v>160</v>
      </c>
      <c r="E18" s="1">
        <v>45739</v>
      </c>
      <c r="F18">
        <v>3</v>
      </c>
      <c r="G18" t="s">
        <v>280</v>
      </c>
      <c r="H18" t="s">
        <v>197</v>
      </c>
      <c r="I18" t="s">
        <v>371</v>
      </c>
      <c r="J18" t="s">
        <v>372</v>
      </c>
      <c r="K18" t="s">
        <v>173</v>
      </c>
      <c r="L18">
        <v>12</v>
      </c>
      <c r="M18" t="s">
        <v>174</v>
      </c>
      <c r="N18">
        <v>0</v>
      </c>
      <c r="O18">
        <v>0</v>
      </c>
      <c r="P18">
        <v>0</v>
      </c>
      <c r="Q18">
        <v>0</v>
      </c>
      <c r="R18" t="s">
        <v>251</v>
      </c>
      <c r="S18">
        <v>60</v>
      </c>
      <c r="T18" t="str">
        <f t="shared" si="0"/>
        <v>56 a más</v>
      </c>
      <c r="U18" t="s">
        <v>173</v>
      </c>
      <c r="W18" t="s">
        <v>176</v>
      </c>
      <c r="Y18" t="s">
        <v>200</v>
      </c>
      <c r="Z18" t="s">
        <v>178</v>
      </c>
      <c r="AA18" t="s">
        <v>240</v>
      </c>
      <c r="AB18" t="s">
        <v>201</v>
      </c>
      <c r="AC18" t="s">
        <v>202</v>
      </c>
      <c r="AD18" t="s">
        <v>373</v>
      </c>
      <c r="AE18" t="s">
        <v>328</v>
      </c>
      <c r="AG18" t="s">
        <v>202</v>
      </c>
      <c r="AH18" t="s">
        <v>287</v>
      </c>
      <c r="AI18">
        <v>0</v>
      </c>
      <c r="AJ18">
        <v>0</v>
      </c>
      <c r="AK18">
        <v>0</v>
      </c>
      <c r="AL18">
        <v>0</v>
      </c>
      <c r="AM18">
        <v>1</v>
      </c>
      <c r="AN18" t="s">
        <v>297</v>
      </c>
      <c r="AO18" t="s">
        <v>192</v>
      </c>
      <c r="AP18" t="s">
        <v>192</v>
      </c>
      <c r="AQ18" t="s">
        <v>173</v>
      </c>
      <c r="AR18" t="s">
        <v>298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 t="s">
        <v>374</v>
      </c>
      <c r="AZ18" t="s">
        <v>192</v>
      </c>
      <c r="BW18">
        <f t="shared" si="1"/>
        <v>0</v>
      </c>
      <c r="BY18" t="s">
        <v>192</v>
      </c>
      <c r="CA18" t="s">
        <v>192</v>
      </c>
      <c r="CC18" t="s">
        <v>173</v>
      </c>
      <c r="CD18" t="s">
        <v>186</v>
      </c>
      <c r="CE18" t="s">
        <v>173</v>
      </c>
      <c r="CF18" t="s">
        <v>186</v>
      </c>
      <c r="CG18" t="s">
        <v>192</v>
      </c>
      <c r="CI18" t="s">
        <v>173</v>
      </c>
      <c r="CJ18" t="s">
        <v>186</v>
      </c>
      <c r="CK18" t="s">
        <v>173</v>
      </c>
      <c r="CL18" t="s">
        <v>186</v>
      </c>
      <c r="CM18" t="s">
        <v>173</v>
      </c>
      <c r="CN18" t="s">
        <v>186</v>
      </c>
      <c r="CO18" t="s">
        <v>192</v>
      </c>
      <c r="CQ18" t="s">
        <v>173</v>
      </c>
      <c r="CR18" t="s">
        <v>186</v>
      </c>
      <c r="CS18" t="s">
        <v>192</v>
      </c>
      <c r="CU18" t="s">
        <v>192</v>
      </c>
      <c r="CW18" t="s">
        <v>173</v>
      </c>
      <c r="CX18" t="s">
        <v>186</v>
      </c>
      <c r="CY18" t="s">
        <v>192</v>
      </c>
      <c r="DA18" t="s">
        <v>192</v>
      </c>
      <c r="DC18" t="s">
        <v>192</v>
      </c>
      <c r="DE18" t="s">
        <v>192</v>
      </c>
      <c r="DH18" t="s">
        <v>173</v>
      </c>
      <c r="DI18" t="s">
        <v>187</v>
      </c>
      <c r="DJ18" t="s">
        <v>173</v>
      </c>
      <c r="DL18" t="s">
        <v>192</v>
      </c>
      <c r="DO18" t="s">
        <v>192</v>
      </c>
      <c r="DR18" t="s">
        <v>192</v>
      </c>
      <c r="DU18" t="s">
        <v>173</v>
      </c>
      <c r="DV18" t="s">
        <v>192</v>
      </c>
      <c r="DX18" t="s">
        <v>173</v>
      </c>
      <c r="DY18" t="s">
        <v>192</v>
      </c>
      <c r="EA18" t="s">
        <v>192</v>
      </c>
      <c r="ED18" t="s">
        <v>173</v>
      </c>
      <c r="EE18" t="s">
        <v>192</v>
      </c>
      <c r="EG18" t="s">
        <v>173</v>
      </c>
      <c r="EH18" t="s">
        <v>173</v>
      </c>
      <c r="EI18" t="s">
        <v>191</v>
      </c>
      <c r="EJ18" t="s">
        <v>192</v>
      </c>
      <c r="EM18" t="s">
        <v>192</v>
      </c>
      <c r="EQ18" t="s">
        <v>375</v>
      </c>
      <c r="ER18" t="s">
        <v>376</v>
      </c>
      <c r="ES18" t="s">
        <v>377</v>
      </c>
      <c r="ET18" t="s">
        <v>173</v>
      </c>
      <c r="EU18" t="s">
        <v>173</v>
      </c>
      <c r="EV18" t="s">
        <v>208</v>
      </c>
      <c r="EW18">
        <v>0</v>
      </c>
      <c r="EX18">
        <v>0</v>
      </c>
      <c r="EY18">
        <v>0</v>
      </c>
      <c r="EZ18">
        <v>0</v>
      </c>
      <c r="FA18">
        <v>1</v>
      </c>
      <c r="FB18">
        <v>0</v>
      </c>
      <c r="FC18">
        <v>0</v>
      </c>
      <c r="FD18">
        <v>0</v>
      </c>
      <c r="FE18">
        <v>0</v>
      </c>
      <c r="FH18">
        <v>83522053</v>
      </c>
      <c r="FI18" t="s">
        <v>378</v>
      </c>
      <c r="FJ18" s="1">
        <v>45758.657418981478</v>
      </c>
      <c r="FM18" t="s">
        <v>193</v>
      </c>
      <c r="FO18" t="s">
        <v>194</v>
      </c>
      <c r="FQ18">
        <v>18</v>
      </c>
    </row>
    <row r="19" spans="1:173" x14ac:dyDescent="0.25">
      <c r="A19" s="1">
        <v>45758.443912627306</v>
      </c>
      <c r="B19" s="1">
        <v>45758.452502881948</v>
      </c>
      <c r="C19" t="s">
        <v>334</v>
      </c>
      <c r="D19">
        <v>123</v>
      </c>
      <c r="E19" s="1">
        <v>45739</v>
      </c>
      <c r="F19">
        <v>2</v>
      </c>
      <c r="G19" t="s">
        <v>379</v>
      </c>
      <c r="H19" t="s">
        <v>336</v>
      </c>
      <c r="I19" t="s">
        <v>380</v>
      </c>
      <c r="J19" t="s">
        <v>381</v>
      </c>
      <c r="K19" t="s">
        <v>173</v>
      </c>
      <c r="L19">
        <v>20</v>
      </c>
      <c r="M19" t="s">
        <v>174</v>
      </c>
      <c r="N19">
        <v>0</v>
      </c>
      <c r="O19">
        <v>0</v>
      </c>
      <c r="P19">
        <v>0</v>
      </c>
      <c r="Q19">
        <v>0</v>
      </c>
      <c r="R19" t="s">
        <v>251</v>
      </c>
      <c r="S19">
        <v>60</v>
      </c>
      <c r="T19" t="str">
        <f t="shared" si="0"/>
        <v>56 a más</v>
      </c>
      <c r="U19" t="s">
        <v>173</v>
      </c>
      <c r="W19" t="s">
        <v>176</v>
      </c>
      <c r="Y19" t="s">
        <v>177</v>
      </c>
      <c r="Z19" t="s">
        <v>178</v>
      </c>
      <c r="AA19" t="s">
        <v>179</v>
      </c>
      <c r="AB19" t="s">
        <v>215</v>
      </c>
      <c r="AC19" t="s">
        <v>202</v>
      </c>
      <c r="AD19" t="s">
        <v>382</v>
      </c>
      <c r="AE19" t="s">
        <v>383</v>
      </c>
      <c r="AG19" t="s">
        <v>202</v>
      </c>
      <c r="AH19" t="s">
        <v>244</v>
      </c>
      <c r="AI19">
        <v>0</v>
      </c>
      <c r="AJ19">
        <v>1</v>
      </c>
      <c r="AK19">
        <v>1</v>
      </c>
      <c r="AL19">
        <v>0</v>
      </c>
      <c r="AM19">
        <v>0</v>
      </c>
      <c r="AN19" t="s">
        <v>205</v>
      </c>
      <c r="AO19" t="s">
        <v>192</v>
      </c>
      <c r="AP19" t="s">
        <v>192</v>
      </c>
      <c r="AQ19" t="s">
        <v>192</v>
      </c>
      <c r="AZ19" t="s">
        <v>192</v>
      </c>
      <c r="BW19">
        <f t="shared" si="1"/>
        <v>0</v>
      </c>
      <c r="BY19" t="s">
        <v>173</v>
      </c>
      <c r="BZ19" t="s">
        <v>187</v>
      </c>
      <c r="CA19" t="s">
        <v>192</v>
      </c>
      <c r="CC19" t="s">
        <v>173</v>
      </c>
      <c r="CD19" t="s">
        <v>187</v>
      </c>
      <c r="CE19" t="s">
        <v>173</v>
      </c>
      <c r="CF19" t="s">
        <v>187</v>
      </c>
      <c r="CG19" t="s">
        <v>192</v>
      </c>
      <c r="CI19" t="s">
        <v>192</v>
      </c>
      <c r="CK19" t="s">
        <v>192</v>
      </c>
      <c r="CM19" t="s">
        <v>173</v>
      </c>
      <c r="CN19" t="s">
        <v>186</v>
      </c>
      <c r="CO19" t="s">
        <v>192</v>
      </c>
      <c r="CQ19" t="s">
        <v>173</v>
      </c>
      <c r="CR19" t="s">
        <v>186</v>
      </c>
      <c r="CS19" t="s">
        <v>192</v>
      </c>
      <c r="CU19" t="s">
        <v>192</v>
      </c>
      <c r="CW19" t="s">
        <v>192</v>
      </c>
      <c r="CY19" t="s">
        <v>173</v>
      </c>
      <c r="CZ19" t="s">
        <v>186</v>
      </c>
      <c r="DA19" t="s">
        <v>192</v>
      </c>
      <c r="DC19" t="s">
        <v>192</v>
      </c>
      <c r="DE19" t="s">
        <v>192</v>
      </c>
      <c r="DH19" t="s">
        <v>173</v>
      </c>
      <c r="DI19" t="s">
        <v>187</v>
      </c>
      <c r="DJ19" t="s">
        <v>173</v>
      </c>
      <c r="DL19" t="s">
        <v>173</v>
      </c>
      <c r="DM19" t="s">
        <v>192</v>
      </c>
      <c r="DO19" t="s">
        <v>192</v>
      </c>
      <c r="DR19" t="s">
        <v>192</v>
      </c>
      <c r="DU19" t="s">
        <v>192</v>
      </c>
      <c r="DX19" t="s">
        <v>192</v>
      </c>
      <c r="EA19" t="s">
        <v>192</v>
      </c>
      <c r="ED19" t="s">
        <v>173</v>
      </c>
      <c r="EE19" t="s">
        <v>192</v>
      </c>
      <c r="EG19" t="s">
        <v>173</v>
      </c>
      <c r="EH19" t="s">
        <v>192</v>
      </c>
      <c r="EJ19" t="s">
        <v>192</v>
      </c>
      <c r="EM19" t="s">
        <v>192</v>
      </c>
      <c r="EQ19" t="s">
        <v>349</v>
      </c>
      <c r="ER19" t="s">
        <v>221</v>
      </c>
      <c r="ET19" t="s">
        <v>173</v>
      </c>
      <c r="EU19" t="s">
        <v>173</v>
      </c>
      <c r="EV19" t="s">
        <v>208</v>
      </c>
      <c r="EW19">
        <v>0</v>
      </c>
      <c r="EX19">
        <v>0</v>
      </c>
      <c r="EY19">
        <v>0</v>
      </c>
      <c r="EZ19">
        <v>0</v>
      </c>
      <c r="FA19">
        <v>1</v>
      </c>
      <c r="FB19">
        <v>0</v>
      </c>
      <c r="FC19">
        <v>0</v>
      </c>
      <c r="FD19">
        <v>0</v>
      </c>
      <c r="FE19">
        <v>0</v>
      </c>
      <c r="FH19">
        <v>83522768</v>
      </c>
      <c r="FI19" t="s">
        <v>384</v>
      </c>
      <c r="FJ19" s="1">
        <v>45758.660844907397</v>
      </c>
      <c r="FM19" t="s">
        <v>193</v>
      </c>
      <c r="FO19" t="s">
        <v>194</v>
      </c>
      <c r="FQ19">
        <v>19</v>
      </c>
    </row>
    <row r="20" spans="1:173" x14ac:dyDescent="0.25">
      <c r="A20" s="1">
        <v>45758.452503449073</v>
      </c>
      <c r="B20" s="1">
        <v>45758.455049756943</v>
      </c>
      <c r="C20" t="s">
        <v>334</v>
      </c>
      <c r="D20">
        <v>122</v>
      </c>
      <c r="E20" s="1">
        <v>45739</v>
      </c>
      <c r="F20">
        <v>2</v>
      </c>
      <c r="G20" t="s">
        <v>385</v>
      </c>
      <c r="H20" t="s">
        <v>336</v>
      </c>
      <c r="I20" t="s">
        <v>386</v>
      </c>
      <c r="J20" t="s">
        <v>338</v>
      </c>
      <c r="K20" t="s">
        <v>173</v>
      </c>
      <c r="L20">
        <v>13</v>
      </c>
      <c r="M20" t="s">
        <v>174</v>
      </c>
      <c r="N20">
        <v>0</v>
      </c>
      <c r="O20">
        <v>0</v>
      </c>
      <c r="P20">
        <v>0</v>
      </c>
      <c r="Q20">
        <v>0</v>
      </c>
      <c r="R20" t="s">
        <v>251</v>
      </c>
      <c r="S20">
        <v>54</v>
      </c>
      <c r="T20" t="str">
        <f t="shared" si="0"/>
        <v>41 a 55</v>
      </c>
      <c r="U20" t="s">
        <v>173</v>
      </c>
      <c r="W20" t="s">
        <v>176</v>
      </c>
      <c r="Y20" t="s">
        <v>214</v>
      </c>
      <c r="Z20" t="s">
        <v>178</v>
      </c>
      <c r="AA20" t="s">
        <v>240</v>
      </c>
      <c r="AB20" t="s">
        <v>201</v>
      </c>
      <c r="AC20" t="s">
        <v>202</v>
      </c>
      <c r="AD20" t="s">
        <v>387</v>
      </c>
      <c r="AE20" t="s">
        <v>383</v>
      </c>
      <c r="AG20" t="s">
        <v>202</v>
      </c>
      <c r="AH20" t="s">
        <v>244</v>
      </c>
      <c r="AI20">
        <v>0</v>
      </c>
      <c r="AJ20">
        <v>1</v>
      </c>
      <c r="AK20">
        <v>1</v>
      </c>
      <c r="AL20">
        <v>0</v>
      </c>
      <c r="AM20">
        <v>0</v>
      </c>
      <c r="AN20" t="s">
        <v>183</v>
      </c>
      <c r="AO20" t="s">
        <v>173</v>
      </c>
      <c r="AP20" t="s">
        <v>192</v>
      </c>
      <c r="AQ20" t="s">
        <v>192</v>
      </c>
      <c r="AZ20" t="s">
        <v>192</v>
      </c>
      <c r="BW20">
        <f t="shared" si="1"/>
        <v>0</v>
      </c>
      <c r="BY20" t="s">
        <v>192</v>
      </c>
      <c r="CA20" t="s">
        <v>192</v>
      </c>
      <c r="CC20" t="s">
        <v>173</v>
      </c>
      <c r="CD20" t="s">
        <v>187</v>
      </c>
      <c r="CE20" t="s">
        <v>192</v>
      </c>
      <c r="CG20" t="s">
        <v>192</v>
      </c>
      <c r="CI20" t="s">
        <v>192</v>
      </c>
      <c r="CK20" t="s">
        <v>173</v>
      </c>
      <c r="CL20" t="s">
        <v>185</v>
      </c>
      <c r="CM20" t="s">
        <v>192</v>
      </c>
      <c r="CO20" t="s">
        <v>192</v>
      </c>
      <c r="CQ20" t="s">
        <v>192</v>
      </c>
      <c r="CS20" t="s">
        <v>192</v>
      </c>
      <c r="CU20" t="s">
        <v>192</v>
      </c>
      <c r="CW20" t="s">
        <v>173</v>
      </c>
      <c r="CX20" t="s">
        <v>186</v>
      </c>
      <c r="CY20" t="s">
        <v>173</v>
      </c>
      <c r="CZ20" t="s">
        <v>185</v>
      </c>
      <c r="DA20" t="s">
        <v>192</v>
      </c>
      <c r="DC20" t="s">
        <v>192</v>
      </c>
      <c r="DE20" t="s">
        <v>192</v>
      </c>
      <c r="DH20" t="s">
        <v>173</v>
      </c>
      <c r="DI20" t="s">
        <v>186</v>
      </c>
      <c r="DJ20" t="s">
        <v>192</v>
      </c>
      <c r="DL20" t="s">
        <v>173</v>
      </c>
      <c r="DM20" t="s">
        <v>192</v>
      </c>
      <c r="DO20" t="s">
        <v>173</v>
      </c>
      <c r="DP20" t="s">
        <v>192</v>
      </c>
      <c r="DR20" t="s">
        <v>192</v>
      </c>
      <c r="DU20" t="s">
        <v>173</v>
      </c>
      <c r="DV20" t="s">
        <v>192</v>
      </c>
      <c r="DX20" t="s">
        <v>192</v>
      </c>
      <c r="EA20" t="s">
        <v>192</v>
      </c>
      <c r="ED20" t="s">
        <v>173</v>
      </c>
      <c r="EE20" t="s">
        <v>173</v>
      </c>
      <c r="EF20" t="s">
        <v>191</v>
      </c>
      <c r="EG20" t="s">
        <v>173</v>
      </c>
      <c r="EH20" t="s">
        <v>173</v>
      </c>
      <c r="EI20" t="s">
        <v>191</v>
      </c>
      <c r="EJ20" t="s">
        <v>192</v>
      </c>
      <c r="EM20" t="s">
        <v>173</v>
      </c>
      <c r="EN20" t="s">
        <v>192</v>
      </c>
      <c r="EQ20" t="s">
        <v>349</v>
      </c>
      <c r="ER20" t="s">
        <v>388</v>
      </c>
      <c r="ES20" t="s">
        <v>389</v>
      </c>
      <c r="ET20" t="s">
        <v>173</v>
      </c>
      <c r="EU20" t="s">
        <v>173</v>
      </c>
      <c r="EV20" t="s">
        <v>223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1</v>
      </c>
      <c r="FF20" t="s">
        <v>390</v>
      </c>
      <c r="FG20" t="s">
        <v>391</v>
      </c>
      <c r="FH20">
        <v>83523103</v>
      </c>
      <c r="FI20" t="s">
        <v>392</v>
      </c>
      <c r="FJ20" s="1">
        <v>45758.663391203707</v>
      </c>
      <c r="FM20" t="s">
        <v>193</v>
      </c>
      <c r="FO20" t="s">
        <v>194</v>
      </c>
      <c r="FQ20">
        <v>20</v>
      </c>
    </row>
    <row r="21" spans="1:173" x14ac:dyDescent="0.25">
      <c r="A21" s="1">
        <v>45758.449077349527</v>
      </c>
      <c r="B21" s="1">
        <v>45758.457306458331</v>
      </c>
      <c r="C21" t="s">
        <v>195</v>
      </c>
      <c r="D21">
        <v>159</v>
      </c>
      <c r="E21" s="1">
        <v>45739</v>
      </c>
      <c r="F21">
        <v>3</v>
      </c>
      <c r="G21" t="s">
        <v>280</v>
      </c>
      <c r="H21" t="s">
        <v>197</v>
      </c>
      <c r="I21" t="s">
        <v>393</v>
      </c>
      <c r="J21" t="s">
        <v>394</v>
      </c>
      <c r="K21" t="s">
        <v>173</v>
      </c>
      <c r="L21">
        <v>28</v>
      </c>
      <c r="M21" t="s">
        <v>174</v>
      </c>
      <c r="N21">
        <v>0</v>
      </c>
      <c r="O21">
        <v>0</v>
      </c>
      <c r="P21">
        <v>0</v>
      </c>
      <c r="Q21">
        <v>0</v>
      </c>
      <c r="R21" t="s">
        <v>175</v>
      </c>
      <c r="S21">
        <v>68</v>
      </c>
      <c r="T21" t="str">
        <f t="shared" si="0"/>
        <v>56 a más</v>
      </c>
      <c r="U21" t="s">
        <v>173</v>
      </c>
      <c r="W21" t="s">
        <v>176</v>
      </c>
      <c r="Y21" t="s">
        <v>214</v>
      </c>
      <c r="Z21" t="s">
        <v>178</v>
      </c>
      <c r="AA21" t="s">
        <v>179</v>
      </c>
      <c r="AB21" t="s">
        <v>215</v>
      </c>
      <c r="AC21" t="s">
        <v>216</v>
      </c>
      <c r="AD21" t="s">
        <v>395</v>
      </c>
      <c r="AE21" t="s">
        <v>396</v>
      </c>
      <c r="AG21" t="s">
        <v>216</v>
      </c>
      <c r="AH21" t="s">
        <v>266</v>
      </c>
      <c r="AI21">
        <v>0</v>
      </c>
      <c r="AJ21">
        <v>0</v>
      </c>
      <c r="AK21">
        <v>0</v>
      </c>
      <c r="AL21">
        <v>1</v>
      </c>
      <c r="AM21">
        <v>0</v>
      </c>
      <c r="AN21" t="s">
        <v>183</v>
      </c>
      <c r="AO21" t="s">
        <v>192</v>
      </c>
      <c r="AP21" t="s">
        <v>192</v>
      </c>
      <c r="AQ21" t="s">
        <v>192</v>
      </c>
      <c r="AZ21" t="s">
        <v>192</v>
      </c>
      <c r="BW21">
        <f t="shared" si="1"/>
        <v>0</v>
      </c>
      <c r="BY21" t="s">
        <v>173</v>
      </c>
      <c r="BZ21" t="s">
        <v>186</v>
      </c>
      <c r="CA21" t="s">
        <v>192</v>
      </c>
      <c r="CC21" t="s">
        <v>173</v>
      </c>
      <c r="CD21" t="s">
        <v>185</v>
      </c>
      <c r="CE21" t="s">
        <v>192</v>
      </c>
      <c r="CG21" t="s">
        <v>192</v>
      </c>
      <c r="CI21" t="s">
        <v>192</v>
      </c>
      <c r="CK21" t="s">
        <v>192</v>
      </c>
      <c r="CM21" t="s">
        <v>192</v>
      </c>
      <c r="CO21" t="s">
        <v>192</v>
      </c>
      <c r="CQ21" t="s">
        <v>192</v>
      </c>
      <c r="CS21" t="s">
        <v>192</v>
      </c>
      <c r="CU21" t="s">
        <v>192</v>
      </c>
      <c r="CW21" t="s">
        <v>192</v>
      </c>
      <c r="CY21" t="s">
        <v>192</v>
      </c>
      <c r="DA21" t="s">
        <v>192</v>
      </c>
      <c r="DC21" t="s">
        <v>192</v>
      </c>
      <c r="DE21" t="s">
        <v>192</v>
      </c>
      <c r="DH21" t="s">
        <v>173</v>
      </c>
      <c r="DI21" t="s">
        <v>186</v>
      </c>
      <c r="DJ21" t="s">
        <v>192</v>
      </c>
      <c r="DL21" t="s">
        <v>173</v>
      </c>
      <c r="DM21" t="s">
        <v>192</v>
      </c>
      <c r="DO21" t="s">
        <v>173</v>
      </c>
      <c r="DP21" t="s">
        <v>192</v>
      </c>
      <c r="DR21" t="s">
        <v>192</v>
      </c>
      <c r="DU21" t="s">
        <v>173</v>
      </c>
      <c r="DV21" t="s">
        <v>192</v>
      </c>
      <c r="DX21" t="s">
        <v>173</v>
      </c>
      <c r="DY21" t="s">
        <v>192</v>
      </c>
      <c r="EA21" t="s">
        <v>173</v>
      </c>
      <c r="EB21" t="s">
        <v>192</v>
      </c>
      <c r="ED21" t="s">
        <v>173</v>
      </c>
      <c r="EE21" t="s">
        <v>192</v>
      </c>
      <c r="EG21" t="s">
        <v>173</v>
      </c>
      <c r="EH21" t="s">
        <v>192</v>
      </c>
      <c r="EJ21" t="s">
        <v>173</v>
      </c>
      <c r="EK21" t="s">
        <v>192</v>
      </c>
      <c r="EM21" t="s">
        <v>192</v>
      </c>
      <c r="EQ21" t="s">
        <v>397</v>
      </c>
      <c r="ER21" t="s">
        <v>398</v>
      </c>
      <c r="ET21" t="s">
        <v>173</v>
      </c>
      <c r="EU21" t="s">
        <v>173</v>
      </c>
      <c r="EV21" t="s">
        <v>223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1</v>
      </c>
      <c r="FF21" t="s">
        <v>399</v>
      </c>
      <c r="FH21">
        <v>83523507</v>
      </c>
      <c r="FI21" t="s">
        <v>400</v>
      </c>
      <c r="FJ21" s="1">
        <v>45758.665648148148</v>
      </c>
      <c r="FM21" t="s">
        <v>193</v>
      </c>
      <c r="FO21" t="s">
        <v>194</v>
      </c>
      <c r="FQ21">
        <v>21</v>
      </c>
    </row>
    <row r="22" spans="1:173" x14ac:dyDescent="0.25">
      <c r="A22" s="1">
        <v>45758.455050312499</v>
      </c>
      <c r="B22" s="1">
        <v>45758.458290486109</v>
      </c>
      <c r="C22" t="s">
        <v>334</v>
      </c>
      <c r="D22">
        <v>120</v>
      </c>
      <c r="E22" s="1">
        <v>45739</v>
      </c>
      <c r="F22">
        <v>2</v>
      </c>
      <c r="G22" t="s">
        <v>385</v>
      </c>
      <c r="H22" t="s">
        <v>336</v>
      </c>
      <c r="I22" t="s">
        <v>401</v>
      </c>
      <c r="J22" t="s">
        <v>402</v>
      </c>
      <c r="K22" t="s">
        <v>173</v>
      </c>
      <c r="L22">
        <v>8</v>
      </c>
      <c r="M22" t="s">
        <v>174</v>
      </c>
      <c r="N22">
        <v>0</v>
      </c>
      <c r="O22">
        <v>0</v>
      </c>
      <c r="P22">
        <v>0</v>
      </c>
      <c r="Q22">
        <v>0</v>
      </c>
      <c r="R22" t="s">
        <v>251</v>
      </c>
      <c r="S22">
        <v>36</v>
      </c>
      <c r="T22" t="str">
        <f t="shared" si="0"/>
        <v>26 a 40</v>
      </c>
      <c r="U22" t="s">
        <v>173</v>
      </c>
      <c r="W22" t="s">
        <v>176</v>
      </c>
      <c r="Y22" t="s">
        <v>200</v>
      </c>
      <c r="Z22" t="s">
        <v>178</v>
      </c>
      <c r="AA22" t="s">
        <v>179</v>
      </c>
      <c r="AB22" t="s">
        <v>201</v>
      </c>
      <c r="AC22" t="s">
        <v>216</v>
      </c>
      <c r="AD22" t="s">
        <v>403</v>
      </c>
      <c r="AE22" t="s">
        <v>404</v>
      </c>
      <c r="AG22" t="s">
        <v>202</v>
      </c>
      <c r="AH22" t="s">
        <v>244</v>
      </c>
      <c r="AI22">
        <v>0</v>
      </c>
      <c r="AJ22">
        <v>1</v>
      </c>
      <c r="AK22">
        <v>1</v>
      </c>
      <c r="AL22">
        <v>0</v>
      </c>
      <c r="AM22">
        <v>0</v>
      </c>
      <c r="AN22" t="s">
        <v>297</v>
      </c>
      <c r="AO22" t="s">
        <v>192</v>
      </c>
      <c r="AP22" t="s">
        <v>192</v>
      </c>
      <c r="AQ22" t="s">
        <v>192</v>
      </c>
      <c r="AZ22" t="s">
        <v>192</v>
      </c>
      <c r="BW22">
        <f t="shared" si="1"/>
        <v>0</v>
      </c>
      <c r="BY22" t="s">
        <v>192</v>
      </c>
      <c r="CA22" t="s">
        <v>173</v>
      </c>
      <c r="CB22" t="s">
        <v>185</v>
      </c>
      <c r="CC22" t="s">
        <v>173</v>
      </c>
      <c r="CD22" t="s">
        <v>187</v>
      </c>
      <c r="CE22" t="s">
        <v>173</v>
      </c>
      <c r="CF22" t="s">
        <v>187</v>
      </c>
      <c r="CG22" t="s">
        <v>173</v>
      </c>
      <c r="CH22" t="s">
        <v>187</v>
      </c>
      <c r="CI22" t="s">
        <v>192</v>
      </c>
      <c r="CK22" t="s">
        <v>173</v>
      </c>
      <c r="CL22" t="s">
        <v>187</v>
      </c>
      <c r="CM22" t="s">
        <v>173</v>
      </c>
      <c r="CN22" t="s">
        <v>186</v>
      </c>
      <c r="CO22" t="s">
        <v>192</v>
      </c>
      <c r="CQ22" t="s">
        <v>173</v>
      </c>
      <c r="CR22" t="s">
        <v>187</v>
      </c>
      <c r="CS22" t="s">
        <v>192</v>
      </c>
      <c r="CU22" t="s">
        <v>173</v>
      </c>
      <c r="CV22" t="s">
        <v>185</v>
      </c>
      <c r="CW22" t="s">
        <v>173</v>
      </c>
      <c r="CX22" t="s">
        <v>185</v>
      </c>
      <c r="CY22" t="s">
        <v>173</v>
      </c>
      <c r="CZ22" t="s">
        <v>187</v>
      </c>
      <c r="DA22" t="s">
        <v>192</v>
      </c>
      <c r="DC22" t="s">
        <v>192</v>
      </c>
      <c r="DE22" t="s">
        <v>192</v>
      </c>
      <c r="DH22" t="s">
        <v>173</v>
      </c>
      <c r="DI22" t="s">
        <v>187</v>
      </c>
      <c r="DJ22" t="s">
        <v>192</v>
      </c>
      <c r="DL22" t="s">
        <v>173</v>
      </c>
      <c r="DM22" t="s">
        <v>192</v>
      </c>
      <c r="DO22" t="s">
        <v>173</v>
      </c>
      <c r="DP22" t="s">
        <v>173</v>
      </c>
      <c r="DQ22" t="s">
        <v>191</v>
      </c>
      <c r="DR22" t="s">
        <v>192</v>
      </c>
      <c r="DU22" t="s">
        <v>192</v>
      </c>
      <c r="DX22" t="s">
        <v>192</v>
      </c>
      <c r="EA22" t="s">
        <v>192</v>
      </c>
      <c r="ED22" t="s">
        <v>173</v>
      </c>
      <c r="EE22" t="s">
        <v>173</v>
      </c>
      <c r="EF22" t="s">
        <v>188</v>
      </c>
      <c r="EG22" t="s">
        <v>173</v>
      </c>
      <c r="EH22" t="s">
        <v>192</v>
      </c>
      <c r="EJ22" t="s">
        <v>192</v>
      </c>
      <c r="EM22" t="s">
        <v>192</v>
      </c>
      <c r="EQ22" t="s">
        <v>322</v>
      </c>
      <c r="ER22" t="s">
        <v>405</v>
      </c>
      <c r="ES22" t="s">
        <v>368</v>
      </c>
      <c r="ET22" t="s">
        <v>173</v>
      </c>
      <c r="EU22" t="s">
        <v>173</v>
      </c>
      <c r="EV22" t="s">
        <v>223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1</v>
      </c>
      <c r="FF22" t="s">
        <v>406</v>
      </c>
      <c r="FG22" t="s">
        <v>407</v>
      </c>
      <c r="FH22">
        <v>83523579</v>
      </c>
      <c r="FI22" t="s">
        <v>408</v>
      </c>
      <c r="FJ22" s="1">
        <v>45758.666631944441</v>
      </c>
      <c r="FM22" t="s">
        <v>193</v>
      </c>
      <c r="FO22" t="s">
        <v>194</v>
      </c>
      <c r="FQ22">
        <v>22</v>
      </c>
    </row>
    <row r="23" spans="1:173" x14ac:dyDescent="0.25">
      <c r="A23" s="1">
        <v>45758.45829091435</v>
      </c>
      <c r="B23" s="1">
        <v>45758.460519791668</v>
      </c>
      <c r="C23" t="s">
        <v>334</v>
      </c>
      <c r="D23">
        <v>119</v>
      </c>
      <c r="E23" s="1">
        <v>45739</v>
      </c>
      <c r="F23">
        <v>2</v>
      </c>
      <c r="G23" t="s">
        <v>379</v>
      </c>
      <c r="H23" t="s">
        <v>336</v>
      </c>
      <c r="I23" t="s">
        <v>409</v>
      </c>
      <c r="J23" t="s">
        <v>410</v>
      </c>
      <c r="K23" t="s">
        <v>173</v>
      </c>
      <c r="L23">
        <v>35</v>
      </c>
      <c r="M23" t="s">
        <v>174</v>
      </c>
      <c r="N23">
        <v>0</v>
      </c>
      <c r="O23">
        <v>0</v>
      </c>
      <c r="P23">
        <v>0</v>
      </c>
      <c r="Q23">
        <v>0</v>
      </c>
      <c r="R23" t="s">
        <v>251</v>
      </c>
      <c r="S23">
        <v>67</v>
      </c>
      <c r="T23" t="str">
        <f t="shared" si="0"/>
        <v>56 a más</v>
      </c>
      <c r="U23" t="s">
        <v>173</v>
      </c>
      <c r="W23" t="s">
        <v>176</v>
      </c>
      <c r="Y23" t="s">
        <v>214</v>
      </c>
      <c r="Z23" t="s">
        <v>178</v>
      </c>
      <c r="AA23" t="s">
        <v>179</v>
      </c>
      <c r="AB23" t="s">
        <v>215</v>
      </c>
      <c r="AC23" t="s">
        <v>202</v>
      </c>
      <c r="AD23" t="s">
        <v>383</v>
      </c>
      <c r="AE23" t="s">
        <v>411</v>
      </c>
      <c r="AG23" t="s">
        <v>202</v>
      </c>
      <c r="AH23" t="s">
        <v>244</v>
      </c>
      <c r="AI23">
        <v>0</v>
      </c>
      <c r="AJ23">
        <v>1</v>
      </c>
      <c r="AK23">
        <v>1</v>
      </c>
      <c r="AL23">
        <v>0</v>
      </c>
      <c r="AM23">
        <v>0</v>
      </c>
      <c r="AN23" t="s">
        <v>297</v>
      </c>
      <c r="AO23" t="s">
        <v>173</v>
      </c>
      <c r="AP23" t="s">
        <v>192</v>
      </c>
      <c r="AQ23" t="s">
        <v>192</v>
      </c>
      <c r="AZ23" t="s">
        <v>192</v>
      </c>
      <c r="BW23">
        <f t="shared" si="1"/>
        <v>0</v>
      </c>
      <c r="BY23" t="s">
        <v>192</v>
      </c>
      <c r="CA23" t="s">
        <v>192</v>
      </c>
      <c r="CC23" t="s">
        <v>192</v>
      </c>
      <c r="CE23" t="s">
        <v>173</v>
      </c>
      <c r="CF23" t="s">
        <v>186</v>
      </c>
      <c r="CG23" t="s">
        <v>192</v>
      </c>
      <c r="CI23" t="s">
        <v>192</v>
      </c>
      <c r="CK23" t="s">
        <v>192</v>
      </c>
      <c r="CM23" t="s">
        <v>192</v>
      </c>
      <c r="CO23" t="s">
        <v>192</v>
      </c>
      <c r="CQ23" t="s">
        <v>192</v>
      </c>
      <c r="CS23" t="s">
        <v>192</v>
      </c>
      <c r="CU23" t="s">
        <v>192</v>
      </c>
      <c r="CW23" t="s">
        <v>192</v>
      </c>
      <c r="CY23" t="s">
        <v>192</v>
      </c>
      <c r="DA23" t="s">
        <v>192</v>
      </c>
      <c r="DC23" t="s">
        <v>192</v>
      </c>
      <c r="DE23" t="s">
        <v>192</v>
      </c>
      <c r="DH23" t="s">
        <v>173</v>
      </c>
      <c r="DI23" t="s">
        <v>187</v>
      </c>
      <c r="DJ23" t="s">
        <v>192</v>
      </c>
      <c r="DL23" t="s">
        <v>173</v>
      </c>
      <c r="DM23" t="s">
        <v>192</v>
      </c>
      <c r="DO23" t="s">
        <v>192</v>
      </c>
      <c r="DR23" t="s">
        <v>192</v>
      </c>
      <c r="DU23" t="s">
        <v>173</v>
      </c>
      <c r="DV23" t="s">
        <v>192</v>
      </c>
      <c r="DX23" t="s">
        <v>192</v>
      </c>
      <c r="EA23" t="s">
        <v>173</v>
      </c>
      <c r="EB23" t="s">
        <v>192</v>
      </c>
      <c r="ED23" t="s">
        <v>192</v>
      </c>
      <c r="EG23" t="s">
        <v>173</v>
      </c>
      <c r="EH23" t="s">
        <v>192</v>
      </c>
      <c r="EJ23" t="s">
        <v>192</v>
      </c>
      <c r="EM23" t="s">
        <v>192</v>
      </c>
      <c r="EQ23" t="s">
        <v>412</v>
      </c>
      <c r="ER23" t="s">
        <v>413</v>
      </c>
      <c r="ET23" t="s">
        <v>173</v>
      </c>
      <c r="EU23" t="s">
        <v>173</v>
      </c>
      <c r="EV23" t="s">
        <v>208</v>
      </c>
      <c r="EW23">
        <v>0</v>
      </c>
      <c r="EX23">
        <v>0</v>
      </c>
      <c r="EY23">
        <v>0</v>
      </c>
      <c r="EZ23">
        <v>0</v>
      </c>
      <c r="FA23">
        <v>1</v>
      </c>
      <c r="FB23">
        <v>0</v>
      </c>
      <c r="FC23">
        <v>0</v>
      </c>
      <c r="FD23">
        <v>0</v>
      </c>
      <c r="FE23">
        <v>0</v>
      </c>
      <c r="FH23">
        <v>83523683</v>
      </c>
      <c r="FI23" t="s">
        <v>414</v>
      </c>
      <c r="FJ23" s="1">
        <v>45758.668854166674</v>
      </c>
      <c r="FM23" t="s">
        <v>193</v>
      </c>
      <c r="FO23" t="s">
        <v>194</v>
      </c>
      <c r="FQ23">
        <v>23</v>
      </c>
    </row>
    <row r="24" spans="1:173" x14ac:dyDescent="0.25">
      <c r="A24" s="1">
        <v>45758.460520208333</v>
      </c>
      <c r="B24" s="1">
        <v>45758.467082395837</v>
      </c>
      <c r="C24" t="s">
        <v>334</v>
      </c>
      <c r="D24">
        <v>118</v>
      </c>
      <c r="E24" s="1">
        <v>45739</v>
      </c>
      <c r="F24">
        <v>2</v>
      </c>
      <c r="G24" t="s">
        <v>335</v>
      </c>
      <c r="H24" t="s">
        <v>336</v>
      </c>
      <c r="I24" t="s">
        <v>415</v>
      </c>
      <c r="J24" t="s">
        <v>416</v>
      </c>
      <c r="K24" t="s">
        <v>173</v>
      </c>
      <c r="L24">
        <v>45</v>
      </c>
      <c r="M24" t="s">
        <v>174</v>
      </c>
      <c r="N24">
        <v>0</v>
      </c>
      <c r="O24">
        <v>0</v>
      </c>
      <c r="P24">
        <v>0</v>
      </c>
      <c r="Q24">
        <v>0</v>
      </c>
      <c r="R24" t="s">
        <v>251</v>
      </c>
      <c r="S24">
        <v>65</v>
      </c>
      <c r="T24" t="str">
        <f t="shared" si="0"/>
        <v>56 a más</v>
      </c>
      <c r="U24" t="s">
        <v>173</v>
      </c>
      <c r="W24" t="s">
        <v>176</v>
      </c>
      <c r="Y24" t="s">
        <v>318</v>
      </c>
      <c r="Z24" t="s">
        <v>178</v>
      </c>
      <c r="AA24" t="s">
        <v>179</v>
      </c>
      <c r="AB24" t="s">
        <v>215</v>
      </c>
      <c r="AC24" t="s">
        <v>202</v>
      </c>
      <c r="AD24" t="s">
        <v>417</v>
      </c>
      <c r="AG24" t="s">
        <v>202</v>
      </c>
      <c r="AH24" t="s">
        <v>244</v>
      </c>
      <c r="AI24">
        <v>0</v>
      </c>
      <c r="AJ24">
        <v>1</v>
      </c>
      <c r="AK24">
        <v>1</v>
      </c>
      <c r="AL24">
        <v>0</v>
      </c>
      <c r="AM24">
        <v>0</v>
      </c>
      <c r="AN24" t="s">
        <v>297</v>
      </c>
      <c r="AO24" t="s">
        <v>192</v>
      </c>
      <c r="AP24" t="s">
        <v>173</v>
      </c>
      <c r="AQ24" t="s">
        <v>192</v>
      </c>
      <c r="AZ24" t="s">
        <v>173</v>
      </c>
      <c r="BA24" t="s">
        <v>418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L24">
        <v>0</v>
      </c>
      <c r="BO24" t="s">
        <v>192</v>
      </c>
      <c r="BW24">
        <f t="shared" si="1"/>
        <v>1</v>
      </c>
      <c r="BY24" t="s">
        <v>192</v>
      </c>
      <c r="CA24" t="s">
        <v>192</v>
      </c>
      <c r="CC24" t="s">
        <v>173</v>
      </c>
      <c r="CD24" t="s">
        <v>185</v>
      </c>
      <c r="CE24" t="s">
        <v>173</v>
      </c>
      <c r="CF24" t="s">
        <v>185</v>
      </c>
      <c r="CG24" t="s">
        <v>192</v>
      </c>
      <c r="CI24" t="s">
        <v>192</v>
      </c>
      <c r="CK24" t="s">
        <v>173</v>
      </c>
      <c r="CL24" t="s">
        <v>185</v>
      </c>
      <c r="CM24" t="s">
        <v>192</v>
      </c>
      <c r="CO24" t="s">
        <v>192</v>
      </c>
      <c r="CQ24" t="s">
        <v>192</v>
      </c>
      <c r="CS24" t="s">
        <v>192</v>
      </c>
      <c r="CU24" t="s">
        <v>192</v>
      </c>
      <c r="CW24" t="s">
        <v>173</v>
      </c>
      <c r="CX24" t="s">
        <v>186</v>
      </c>
      <c r="CY24" t="s">
        <v>173</v>
      </c>
      <c r="CZ24" t="s">
        <v>185</v>
      </c>
      <c r="DA24" t="s">
        <v>192</v>
      </c>
      <c r="DC24" t="s">
        <v>192</v>
      </c>
      <c r="DE24" t="s">
        <v>192</v>
      </c>
      <c r="DH24" t="s">
        <v>173</v>
      </c>
      <c r="DI24" t="s">
        <v>186</v>
      </c>
      <c r="DJ24" t="s">
        <v>192</v>
      </c>
      <c r="DL24" t="s">
        <v>173</v>
      </c>
      <c r="DM24" t="s">
        <v>192</v>
      </c>
      <c r="DO24" t="s">
        <v>192</v>
      </c>
      <c r="DR24" t="s">
        <v>192</v>
      </c>
      <c r="DU24" t="s">
        <v>192</v>
      </c>
      <c r="DX24" t="s">
        <v>192</v>
      </c>
      <c r="EA24" t="s">
        <v>173</v>
      </c>
      <c r="EB24" t="s">
        <v>192</v>
      </c>
      <c r="ED24" t="s">
        <v>173</v>
      </c>
      <c r="EE24" t="s">
        <v>173</v>
      </c>
      <c r="EF24" t="s">
        <v>188</v>
      </c>
      <c r="EG24" t="s">
        <v>173</v>
      </c>
      <c r="EH24" t="s">
        <v>192</v>
      </c>
      <c r="EJ24" t="s">
        <v>192</v>
      </c>
      <c r="EM24" t="s">
        <v>192</v>
      </c>
      <c r="EQ24" t="s">
        <v>322</v>
      </c>
      <c r="ER24" t="s">
        <v>360</v>
      </c>
      <c r="ES24" t="s">
        <v>419</v>
      </c>
      <c r="ET24" t="s">
        <v>192</v>
      </c>
      <c r="EU24" t="s">
        <v>173</v>
      </c>
      <c r="EV24" t="s">
        <v>247</v>
      </c>
      <c r="EW24">
        <v>0</v>
      </c>
      <c r="EX24">
        <v>1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H24">
        <v>83523970</v>
      </c>
      <c r="FI24" t="s">
        <v>420</v>
      </c>
      <c r="FJ24" s="1">
        <v>45758.675428240742</v>
      </c>
      <c r="FM24" t="s">
        <v>193</v>
      </c>
      <c r="FO24" t="s">
        <v>194</v>
      </c>
      <c r="FQ24">
        <v>24</v>
      </c>
    </row>
    <row r="25" spans="1:173" x14ac:dyDescent="0.25">
      <c r="A25" s="1">
        <v>45758.46307946759</v>
      </c>
      <c r="B25" s="1">
        <v>45758.467266423613</v>
      </c>
      <c r="C25" t="s">
        <v>195</v>
      </c>
      <c r="D25">
        <v>158</v>
      </c>
      <c r="E25" s="1">
        <v>45739</v>
      </c>
      <c r="F25">
        <v>3</v>
      </c>
      <c r="G25" t="s">
        <v>235</v>
      </c>
      <c r="H25" t="s">
        <v>197</v>
      </c>
      <c r="I25" t="s">
        <v>421</v>
      </c>
      <c r="J25" t="s">
        <v>422</v>
      </c>
      <c r="K25" t="s">
        <v>173</v>
      </c>
      <c r="L25">
        <v>6</v>
      </c>
      <c r="M25" t="s">
        <v>174</v>
      </c>
      <c r="N25">
        <v>0</v>
      </c>
      <c r="O25">
        <v>0</v>
      </c>
      <c r="P25">
        <v>0</v>
      </c>
      <c r="Q25">
        <v>0</v>
      </c>
      <c r="R25" t="s">
        <v>251</v>
      </c>
      <c r="S25">
        <v>56</v>
      </c>
      <c r="T25" t="str">
        <f t="shared" si="0"/>
        <v>56 a más</v>
      </c>
      <c r="U25" t="s">
        <v>173</v>
      </c>
      <c r="W25" t="s">
        <v>176</v>
      </c>
      <c r="Y25" t="s">
        <v>177</v>
      </c>
      <c r="Z25" t="s">
        <v>178</v>
      </c>
      <c r="AA25" t="s">
        <v>179</v>
      </c>
      <c r="AB25" t="s">
        <v>215</v>
      </c>
      <c r="AC25" t="s">
        <v>216</v>
      </c>
      <c r="AD25" t="s">
        <v>423</v>
      </c>
      <c r="AE25" t="s">
        <v>305</v>
      </c>
      <c r="AG25" t="s">
        <v>216</v>
      </c>
      <c r="AH25" t="s">
        <v>244</v>
      </c>
      <c r="AI25">
        <v>0</v>
      </c>
      <c r="AJ25">
        <v>1</v>
      </c>
      <c r="AK25">
        <v>1</v>
      </c>
      <c r="AL25">
        <v>0</v>
      </c>
      <c r="AM25">
        <v>0</v>
      </c>
      <c r="AN25" t="s">
        <v>183</v>
      </c>
      <c r="AO25" t="s">
        <v>173</v>
      </c>
      <c r="AP25" t="s">
        <v>173</v>
      </c>
      <c r="AQ25" t="s">
        <v>192</v>
      </c>
      <c r="AZ25" t="s">
        <v>173</v>
      </c>
      <c r="BA25" t="s">
        <v>424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L25">
        <v>0</v>
      </c>
      <c r="BS25" t="s">
        <v>192</v>
      </c>
      <c r="BW25">
        <f t="shared" si="1"/>
        <v>1</v>
      </c>
      <c r="BY25" t="s">
        <v>192</v>
      </c>
      <c r="CA25" t="s">
        <v>192</v>
      </c>
      <c r="CC25" t="s">
        <v>173</v>
      </c>
      <c r="CD25" t="s">
        <v>186</v>
      </c>
      <c r="CE25" t="s">
        <v>173</v>
      </c>
      <c r="CF25" t="s">
        <v>187</v>
      </c>
      <c r="CG25" t="s">
        <v>192</v>
      </c>
      <c r="CI25" t="s">
        <v>173</v>
      </c>
      <c r="CJ25" t="s">
        <v>185</v>
      </c>
      <c r="CK25" t="s">
        <v>173</v>
      </c>
      <c r="CL25" t="s">
        <v>187</v>
      </c>
      <c r="CM25" t="s">
        <v>192</v>
      </c>
      <c r="CO25" t="s">
        <v>192</v>
      </c>
      <c r="CQ25" t="s">
        <v>192</v>
      </c>
      <c r="CS25" t="s">
        <v>192</v>
      </c>
      <c r="CU25" t="s">
        <v>192</v>
      </c>
      <c r="CW25" t="s">
        <v>173</v>
      </c>
      <c r="CX25" t="s">
        <v>185</v>
      </c>
      <c r="CY25" t="s">
        <v>192</v>
      </c>
      <c r="DA25" t="s">
        <v>192</v>
      </c>
      <c r="DC25" t="s">
        <v>173</v>
      </c>
      <c r="DD25" t="s">
        <v>185</v>
      </c>
      <c r="DE25" t="s">
        <v>192</v>
      </c>
      <c r="DH25" t="s">
        <v>173</v>
      </c>
      <c r="DI25" t="s">
        <v>187</v>
      </c>
      <c r="DJ25" t="s">
        <v>192</v>
      </c>
      <c r="DL25" t="s">
        <v>173</v>
      </c>
      <c r="DM25" t="s">
        <v>192</v>
      </c>
      <c r="DO25" t="s">
        <v>192</v>
      </c>
      <c r="DR25" t="s">
        <v>192</v>
      </c>
      <c r="DU25" t="s">
        <v>173</v>
      </c>
      <c r="DV25" t="s">
        <v>173</v>
      </c>
      <c r="DW25" t="s">
        <v>191</v>
      </c>
      <c r="DX25" t="s">
        <v>192</v>
      </c>
      <c r="EA25" t="s">
        <v>173</v>
      </c>
      <c r="EB25" t="s">
        <v>192</v>
      </c>
      <c r="ED25" t="s">
        <v>173</v>
      </c>
      <c r="EE25" t="s">
        <v>173</v>
      </c>
      <c r="EF25" t="s">
        <v>188</v>
      </c>
      <c r="EG25" t="s">
        <v>173</v>
      </c>
      <c r="EH25" t="s">
        <v>192</v>
      </c>
      <c r="EJ25" t="s">
        <v>173</v>
      </c>
      <c r="EK25" t="s">
        <v>192</v>
      </c>
      <c r="EM25" t="s">
        <v>192</v>
      </c>
      <c r="EQ25" t="s">
        <v>348</v>
      </c>
      <c r="ER25" t="s">
        <v>425</v>
      </c>
      <c r="ES25" t="s">
        <v>426</v>
      </c>
      <c r="ET25" t="s">
        <v>173</v>
      </c>
      <c r="EU25" t="s">
        <v>173</v>
      </c>
      <c r="EV25" t="s">
        <v>223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1</v>
      </c>
      <c r="FF25" t="s">
        <v>427</v>
      </c>
      <c r="FH25">
        <v>83523973</v>
      </c>
      <c r="FI25" t="s">
        <v>428</v>
      </c>
      <c r="FJ25" s="1">
        <v>45758.67560185185</v>
      </c>
      <c r="FM25" t="s">
        <v>193</v>
      </c>
      <c r="FO25" t="s">
        <v>194</v>
      </c>
      <c r="FQ25">
        <v>25</v>
      </c>
    </row>
    <row r="26" spans="1:173" x14ac:dyDescent="0.25">
      <c r="A26" s="1">
        <v>45758.467082824071</v>
      </c>
      <c r="B26" s="1">
        <v>45758.470352615739</v>
      </c>
      <c r="C26" t="s">
        <v>334</v>
      </c>
      <c r="D26">
        <v>117</v>
      </c>
      <c r="E26" s="1">
        <v>45738</v>
      </c>
      <c r="F26">
        <v>1</v>
      </c>
      <c r="G26" t="s">
        <v>429</v>
      </c>
      <c r="H26" t="s">
        <v>171</v>
      </c>
      <c r="I26" t="s">
        <v>430</v>
      </c>
      <c r="J26" t="s">
        <v>431</v>
      </c>
      <c r="K26" t="s">
        <v>173</v>
      </c>
      <c r="L26">
        <v>3</v>
      </c>
      <c r="M26" t="s">
        <v>174</v>
      </c>
      <c r="N26">
        <v>0</v>
      </c>
      <c r="O26">
        <v>0</v>
      </c>
      <c r="P26">
        <v>0</v>
      </c>
      <c r="Q26">
        <v>0</v>
      </c>
      <c r="R26" t="s">
        <v>175</v>
      </c>
      <c r="S26">
        <v>71</v>
      </c>
      <c r="T26" t="str">
        <f t="shared" si="0"/>
        <v>56 a más</v>
      </c>
      <c r="U26" t="s">
        <v>173</v>
      </c>
      <c r="W26" t="s">
        <v>176</v>
      </c>
      <c r="Y26" t="s">
        <v>214</v>
      </c>
      <c r="Z26" t="s">
        <v>239</v>
      </c>
      <c r="AA26" t="s">
        <v>240</v>
      </c>
      <c r="AB26" t="s">
        <v>189</v>
      </c>
      <c r="AC26" t="s">
        <v>216</v>
      </c>
      <c r="AD26" t="s">
        <v>432</v>
      </c>
      <c r="AE26" t="s">
        <v>433</v>
      </c>
      <c r="AF26" t="s">
        <v>434</v>
      </c>
      <c r="AG26" t="s">
        <v>216</v>
      </c>
      <c r="AH26" t="s">
        <v>266</v>
      </c>
      <c r="AI26">
        <v>0</v>
      </c>
      <c r="AJ26">
        <v>0</v>
      </c>
      <c r="AK26">
        <v>0</v>
      </c>
      <c r="AL26">
        <v>1</v>
      </c>
      <c r="AM26">
        <v>0</v>
      </c>
      <c r="AN26" t="s">
        <v>183</v>
      </c>
      <c r="AO26" t="s">
        <v>192</v>
      </c>
      <c r="AP26" t="s">
        <v>173</v>
      </c>
      <c r="AQ26" t="s">
        <v>173</v>
      </c>
      <c r="AR26" t="s">
        <v>298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 t="s">
        <v>435</v>
      </c>
      <c r="AZ26" t="s">
        <v>192</v>
      </c>
      <c r="BW26">
        <f t="shared" si="1"/>
        <v>0</v>
      </c>
      <c r="BY26" t="s">
        <v>192</v>
      </c>
      <c r="CA26" t="s">
        <v>192</v>
      </c>
      <c r="CC26" t="s">
        <v>173</v>
      </c>
      <c r="CD26" t="s">
        <v>185</v>
      </c>
      <c r="CE26" t="s">
        <v>192</v>
      </c>
      <c r="CG26" t="s">
        <v>192</v>
      </c>
      <c r="CI26" t="s">
        <v>173</v>
      </c>
      <c r="CJ26" t="s">
        <v>185</v>
      </c>
      <c r="CK26" t="s">
        <v>173</v>
      </c>
      <c r="CL26" t="s">
        <v>186</v>
      </c>
      <c r="CM26" t="s">
        <v>192</v>
      </c>
      <c r="CO26" t="s">
        <v>192</v>
      </c>
      <c r="CQ26" t="s">
        <v>173</v>
      </c>
      <c r="CR26" t="s">
        <v>185</v>
      </c>
      <c r="CS26" t="s">
        <v>173</v>
      </c>
      <c r="CT26" t="s">
        <v>185</v>
      </c>
      <c r="CU26" t="s">
        <v>192</v>
      </c>
      <c r="CW26" t="s">
        <v>192</v>
      </c>
      <c r="CY26" t="s">
        <v>173</v>
      </c>
      <c r="CZ26" t="s">
        <v>185</v>
      </c>
      <c r="DA26" t="s">
        <v>192</v>
      </c>
      <c r="DC26" t="s">
        <v>192</v>
      </c>
      <c r="DE26" t="s">
        <v>192</v>
      </c>
      <c r="DH26" t="s">
        <v>173</v>
      </c>
      <c r="DI26" t="s">
        <v>187</v>
      </c>
      <c r="DJ26" t="s">
        <v>173</v>
      </c>
      <c r="DL26" t="s">
        <v>192</v>
      </c>
      <c r="DO26" t="s">
        <v>192</v>
      </c>
      <c r="DR26" t="s">
        <v>192</v>
      </c>
      <c r="DU26" t="s">
        <v>173</v>
      </c>
      <c r="DV26" t="s">
        <v>173</v>
      </c>
      <c r="DW26" t="s">
        <v>191</v>
      </c>
      <c r="DX26" t="s">
        <v>192</v>
      </c>
      <c r="EA26" t="s">
        <v>173</v>
      </c>
      <c r="EB26" t="s">
        <v>192</v>
      </c>
      <c r="ED26" t="s">
        <v>173</v>
      </c>
      <c r="EE26" t="s">
        <v>173</v>
      </c>
      <c r="EF26" t="s">
        <v>191</v>
      </c>
      <c r="EG26" t="s">
        <v>173</v>
      </c>
      <c r="EH26" t="s">
        <v>173</v>
      </c>
      <c r="EI26" t="s">
        <v>191</v>
      </c>
      <c r="EJ26" t="s">
        <v>192</v>
      </c>
      <c r="EM26" t="s">
        <v>192</v>
      </c>
      <c r="EQ26" t="s">
        <v>405</v>
      </c>
      <c r="ER26" t="s">
        <v>436</v>
      </c>
      <c r="ET26" t="s">
        <v>173</v>
      </c>
      <c r="EU26" t="s">
        <v>173</v>
      </c>
      <c r="EV26" t="s">
        <v>208</v>
      </c>
      <c r="EW26">
        <v>0</v>
      </c>
      <c r="EX26">
        <v>0</v>
      </c>
      <c r="EY26">
        <v>0</v>
      </c>
      <c r="EZ26">
        <v>0</v>
      </c>
      <c r="FA26">
        <v>1</v>
      </c>
      <c r="FB26">
        <v>0</v>
      </c>
      <c r="FC26">
        <v>0</v>
      </c>
      <c r="FD26">
        <v>0</v>
      </c>
      <c r="FE26">
        <v>0</v>
      </c>
      <c r="FH26">
        <v>83524071</v>
      </c>
      <c r="FI26" t="s">
        <v>437</v>
      </c>
      <c r="FJ26" s="1">
        <v>45758.678680555553</v>
      </c>
      <c r="FM26" t="s">
        <v>193</v>
      </c>
      <c r="FO26" t="s">
        <v>194</v>
      </c>
      <c r="FQ26">
        <v>26</v>
      </c>
    </row>
    <row r="27" spans="1:173" x14ac:dyDescent="0.25">
      <c r="A27" s="1">
        <v>45758.470353032397</v>
      </c>
      <c r="B27" s="1">
        <v>45758.473295682867</v>
      </c>
      <c r="C27" t="s">
        <v>334</v>
      </c>
      <c r="D27">
        <v>115</v>
      </c>
      <c r="E27" s="1">
        <v>45738</v>
      </c>
      <c r="F27">
        <v>1</v>
      </c>
      <c r="G27" t="s">
        <v>438</v>
      </c>
      <c r="H27" t="s">
        <v>171</v>
      </c>
      <c r="I27" t="s">
        <v>439</v>
      </c>
      <c r="J27" t="s">
        <v>440</v>
      </c>
      <c r="K27" t="s">
        <v>173</v>
      </c>
      <c r="L27">
        <v>10</v>
      </c>
      <c r="M27" t="s">
        <v>174</v>
      </c>
      <c r="N27">
        <v>0</v>
      </c>
      <c r="O27">
        <v>0</v>
      </c>
      <c r="P27">
        <v>0</v>
      </c>
      <c r="Q27">
        <v>0</v>
      </c>
      <c r="R27" t="s">
        <v>175</v>
      </c>
      <c r="S27">
        <v>61</v>
      </c>
      <c r="T27" t="str">
        <f t="shared" si="0"/>
        <v>56 a más</v>
      </c>
      <c r="U27" t="s">
        <v>173</v>
      </c>
      <c r="W27" t="s">
        <v>441</v>
      </c>
      <c r="Y27" t="s">
        <v>263</v>
      </c>
      <c r="Z27" t="s">
        <v>239</v>
      </c>
      <c r="AA27" t="s">
        <v>179</v>
      </c>
      <c r="AB27" t="s">
        <v>189</v>
      </c>
      <c r="AC27" t="s">
        <v>339</v>
      </c>
      <c r="AD27" t="s">
        <v>252</v>
      </c>
      <c r="AG27" t="s">
        <v>216</v>
      </c>
      <c r="AH27" t="s">
        <v>266</v>
      </c>
      <c r="AI27">
        <v>0</v>
      </c>
      <c r="AJ27">
        <v>0</v>
      </c>
      <c r="AK27">
        <v>0</v>
      </c>
      <c r="AL27">
        <v>1</v>
      </c>
      <c r="AM27">
        <v>0</v>
      </c>
      <c r="AN27" t="s">
        <v>297</v>
      </c>
      <c r="AO27" t="s">
        <v>192</v>
      </c>
      <c r="AP27" t="s">
        <v>192</v>
      </c>
      <c r="AQ27" t="s">
        <v>173</v>
      </c>
      <c r="AR27" t="s">
        <v>298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 t="s">
        <v>442</v>
      </c>
      <c r="AZ27" t="s">
        <v>192</v>
      </c>
      <c r="BW27">
        <f t="shared" si="1"/>
        <v>0</v>
      </c>
      <c r="BY27" t="s">
        <v>173</v>
      </c>
      <c r="BZ27" t="s">
        <v>185</v>
      </c>
      <c r="CA27" t="s">
        <v>192</v>
      </c>
      <c r="CC27" t="s">
        <v>173</v>
      </c>
      <c r="CD27" t="s">
        <v>186</v>
      </c>
      <c r="CE27" t="s">
        <v>173</v>
      </c>
      <c r="CF27" t="s">
        <v>185</v>
      </c>
      <c r="CG27" t="s">
        <v>192</v>
      </c>
      <c r="CI27" t="s">
        <v>192</v>
      </c>
      <c r="CK27" t="s">
        <v>173</v>
      </c>
      <c r="CL27" t="s">
        <v>187</v>
      </c>
      <c r="CM27" t="s">
        <v>173</v>
      </c>
      <c r="CN27" t="s">
        <v>185</v>
      </c>
      <c r="CO27" t="s">
        <v>192</v>
      </c>
      <c r="CQ27" t="s">
        <v>192</v>
      </c>
      <c r="CS27" t="s">
        <v>192</v>
      </c>
      <c r="CU27" t="s">
        <v>192</v>
      </c>
      <c r="CW27" t="s">
        <v>173</v>
      </c>
      <c r="CX27" t="s">
        <v>186</v>
      </c>
      <c r="CY27" t="s">
        <v>173</v>
      </c>
      <c r="CZ27" t="s">
        <v>186</v>
      </c>
      <c r="DA27" t="s">
        <v>192</v>
      </c>
      <c r="DC27" t="s">
        <v>173</v>
      </c>
      <c r="DD27" t="s">
        <v>186</v>
      </c>
      <c r="DE27" t="s">
        <v>192</v>
      </c>
      <c r="DH27" t="s">
        <v>173</v>
      </c>
      <c r="DI27" t="s">
        <v>187</v>
      </c>
      <c r="DJ27" t="s">
        <v>192</v>
      </c>
      <c r="DL27" t="s">
        <v>173</v>
      </c>
      <c r="DM27" t="s">
        <v>192</v>
      </c>
      <c r="DO27" t="s">
        <v>192</v>
      </c>
      <c r="DR27" t="s">
        <v>192</v>
      </c>
      <c r="DU27" t="s">
        <v>173</v>
      </c>
      <c r="DV27" t="s">
        <v>192</v>
      </c>
      <c r="DX27" t="s">
        <v>173</v>
      </c>
      <c r="DY27" t="s">
        <v>173</v>
      </c>
      <c r="DZ27" t="s">
        <v>191</v>
      </c>
      <c r="EA27" t="s">
        <v>173</v>
      </c>
      <c r="EB27" t="s">
        <v>192</v>
      </c>
      <c r="ED27" t="s">
        <v>173</v>
      </c>
      <c r="EE27" t="s">
        <v>173</v>
      </c>
      <c r="EF27" t="s">
        <v>191</v>
      </c>
      <c r="EG27" t="s">
        <v>173</v>
      </c>
      <c r="EH27" t="s">
        <v>192</v>
      </c>
      <c r="EJ27" t="s">
        <v>173</v>
      </c>
      <c r="EK27" t="s">
        <v>192</v>
      </c>
      <c r="EM27" t="s">
        <v>192</v>
      </c>
      <c r="EQ27" t="s">
        <v>349</v>
      </c>
      <c r="ET27" t="s">
        <v>173</v>
      </c>
      <c r="EU27" t="s">
        <v>173</v>
      </c>
      <c r="EV27" t="s">
        <v>223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1</v>
      </c>
      <c r="FF27" t="s">
        <v>443</v>
      </c>
      <c r="FH27">
        <v>83524162</v>
      </c>
      <c r="FI27" t="s">
        <v>444</v>
      </c>
      <c r="FJ27" s="1">
        <v>45758.681631944448</v>
      </c>
      <c r="FM27" t="s">
        <v>193</v>
      </c>
      <c r="FO27" t="s">
        <v>194</v>
      </c>
      <c r="FQ27">
        <v>27</v>
      </c>
    </row>
    <row r="28" spans="1:173" x14ac:dyDescent="0.25">
      <c r="A28" s="1">
        <v>45758.467266956017</v>
      </c>
      <c r="B28" s="1">
        <v>45758.473454930558</v>
      </c>
      <c r="C28" t="s">
        <v>195</v>
      </c>
      <c r="D28">
        <v>157</v>
      </c>
      <c r="E28" s="1">
        <v>45739</v>
      </c>
      <c r="F28">
        <v>3</v>
      </c>
      <c r="G28" t="s">
        <v>235</v>
      </c>
      <c r="H28" t="s">
        <v>197</v>
      </c>
      <c r="I28" t="s">
        <v>445</v>
      </c>
      <c r="J28" t="s">
        <v>446</v>
      </c>
      <c r="K28" t="s">
        <v>173</v>
      </c>
      <c r="L28">
        <v>12</v>
      </c>
      <c r="M28" t="s">
        <v>174</v>
      </c>
      <c r="N28">
        <v>0</v>
      </c>
      <c r="O28">
        <v>0</v>
      </c>
      <c r="P28">
        <v>0</v>
      </c>
      <c r="Q28">
        <v>0</v>
      </c>
      <c r="R28" t="s">
        <v>251</v>
      </c>
      <c r="S28">
        <v>45</v>
      </c>
      <c r="T28" t="str">
        <f t="shared" si="0"/>
        <v>41 a 55</v>
      </c>
      <c r="U28" t="s">
        <v>173</v>
      </c>
      <c r="W28" t="s">
        <v>176</v>
      </c>
      <c r="Y28" t="s">
        <v>214</v>
      </c>
      <c r="Z28" t="s">
        <v>178</v>
      </c>
      <c r="AA28" t="s">
        <v>179</v>
      </c>
      <c r="AB28" t="s">
        <v>215</v>
      </c>
      <c r="AC28" t="s">
        <v>202</v>
      </c>
      <c r="AD28" t="s">
        <v>447</v>
      </c>
      <c r="AE28" t="s">
        <v>448</v>
      </c>
      <c r="AG28" t="s">
        <v>202</v>
      </c>
      <c r="AH28" t="s">
        <v>449</v>
      </c>
      <c r="AI28">
        <v>0</v>
      </c>
      <c r="AJ28">
        <v>1</v>
      </c>
      <c r="AK28">
        <v>1</v>
      </c>
      <c r="AL28">
        <v>1</v>
      </c>
      <c r="AM28">
        <v>0</v>
      </c>
      <c r="AN28" t="s">
        <v>297</v>
      </c>
      <c r="AO28" t="s">
        <v>192</v>
      </c>
      <c r="AP28" t="s">
        <v>192</v>
      </c>
      <c r="AQ28" t="s">
        <v>192</v>
      </c>
      <c r="AZ28" t="s">
        <v>192</v>
      </c>
      <c r="BW28">
        <f t="shared" si="1"/>
        <v>0</v>
      </c>
      <c r="BY28" t="s">
        <v>173</v>
      </c>
      <c r="BZ28" t="s">
        <v>185</v>
      </c>
      <c r="CA28" t="s">
        <v>192</v>
      </c>
      <c r="CC28" t="s">
        <v>173</v>
      </c>
      <c r="CD28" t="s">
        <v>186</v>
      </c>
      <c r="CE28" t="s">
        <v>173</v>
      </c>
      <c r="CF28" t="s">
        <v>187</v>
      </c>
      <c r="CG28" t="s">
        <v>192</v>
      </c>
      <c r="CI28" t="s">
        <v>173</v>
      </c>
      <c r="CJ28" t="s">
        <v>185</v>
      </c>
      <c r="CK28" t="s">
        <v>192</v>
      </c>
      <c r="CM28" t="s">
        <v>192</v>
      </c>
      <c r="CO28" t="s">
        <v>192</v>
      </c>
      <c r="CQ28" t="s">
        <v>192</v>
      </c>
      <c r="CS28" t="s">
        <v>192</v>
      </c>
      <c r="CU28" t="s">
        <v>192</v>
      </c>
      <c r="CW28" t="s">
        <v>173</v>
      </c>
      <c r="CX28" t="s">
        <v>186</v>
      </c>
      <c r="CY28" t="s">
        <v>192</v>
      </c>
      <c r="DA28" t="s">
        <v>192</v>
      </c>
      <c r="DC28" t="s">
        <v>173</v>
      </c>
      <c r="DD28" t="s">
        <v>185</v>
      </c>
      <c r="DE28" t="s">
        <v>192</v>
      </c>
      <c r="DH28" t="s">
        <v>173</v>
      </c>
      <c r="DI28" t="s">
        <v>187</v>
      </c>
      <c r="DJ28" t="s">
        <v>192</v>
      </c>
      <c r="DL28" t="s">
        <v>173</v>
      </c>
      <c r="DM28" t="s">
        <v>192</v>
      </c>
      <c r="DO28" t="s">
        <v>173</v>
      </c>
      <c r="DP28" t="s">
        <v>173</v>
      </c>
      <c r="DQ28" t="s">
        <v>191</v>
      </c>
      <c r="DR28" t="s">
        <v>192</v>
      </c>
      <c r="DU28" t="s">
        <v>173</v>
      </c>
      <c r="DV28" t="s">
        <v>173</v>
      </c>
      <c r="DW28" t="s">
        <v>191</v>
      </c>
      <c r="DX28" t="s">
        <v>192</v>
      </c>
      <c r="EA28" t="s">
        <v>173</v>
      </c>
      <c r="EB28" t="s">
        <v>192</v>
      </c>
      <c r="ED28" t="s">
        <v>173</v>
      </c>
      <c r="EE28" t="s">
        <v>173</v>
      </c>
      <c r="EF28" t="s">
        <v>188</v>
      </c>
      <c r="EG28" t="s">
        <v>173</v>
      </c>
      <c r="EH28" t="s">
        <v>173</v>
      </c>
      <c r="EI28" t="s">
        <v>188</v>
      </c>
      <c r="EJ28" t="s">
        <v>173</v>
      </c>
      <c r="EK28" t="s">
        <v>173</v>
      </c>
      <c r="EL28" t="s">
        <v>188</v>
      </c>
      <c r="EM28" t="s">
        <v>192</v>
      </c>
      <c r="EQ28" t="s">
        <v>450</v>
      </c>
      <c r="ER28" t="s">
        <v>451</v>
      </c>
      <c r="ET28" t="s">
        <v>173</v>
      </c>
      <c r="EU28" t="s">
        <v>173</v>
      </c>
      <c r="EV28" t="s">
        <v>452</v>
      </c>
      <c r="EW28">
        <v>0</v>
      </c>
      <c r="EX28">
        <v>1</v>
      </c>
      <c r="EY28">
        <v>0</v>
      </c>
      <c r="EZ28">
        <v>0</v>
      </c>
      <c r="FA28">
        <v>1</v>
      </c>
      <c r="FB28">
        <v>0</v>
      </c>
      <c r="FC28">
        <v>0</v>
      </c>
      <c r="FD28">
        <v>0</v>
      </c>
      <c r="FE28">
        <v>0</v>
      </c>
      <c r="FH28">
        <v>83524169</v>
      </c>
      <c r="FI28" t="s">
        <v>453</v>
      </c>
      <c r="FJ28" s="1">
        <v>45758.681793981479</v>
      </c>
      <c r="FM28" t="s">
        <v>193</v>
      </c>
      <c r="FO28" t="s">
        <v>194</v>
      </c>
      <c r="FQ28">
        <v>28</v>
      </c>
    </row>
    <row r="29" spans="1:173" x14ac:dyDescent="0.25">
      <c r="A29" s="1">
        <v>45758.473455416657</v>
      </c>
      <c r="B29" s="1">
        <v>45758.480285300917</v>
      </c>
      <c r="C29" t="s">
        <v>195</v>
      </c>
      <c r="D29">
        <v>156</v>
      </c>
      <c r="E29" s="1">
        <v>45739</v>
      </c>
      <c r="F29">
        <v>3</v>
      </c>
      <c r="G29" t="s">
        <v>235</v>
      </c>
      <c r="H29" t="s">
        <v>197</v>
      </c>
      <c r="I29" t="s">
        <v>454</v>
      </c>
      <c r="J29" t="s">
        <v>455</v>
      </c>
      <c r="K29" t="s">
        <v>173</v>
      </c>
      <c r="L29">
        <v>10</v>
      </c>
      <c r="M29" t="s">
        <v>174</v>
      </c>
      <c r="N29">
        <v>0</v>
      </c>
      <c r="O29">
        <v>0</v>
      </c>
      <c r="P29">
        <v>0</v>
      </c>
      <c r="Q29">
        <v>0</v>
      </c>
      <c r="R29" t="s">
        <v>175</v>
      </c>
      <c r="S29">
        <v>31</v>
      </c>
      <c r="T29" t="str">
        <f t="shared" si="0"/>
        <v>26 a 40</v>
      </c>
      <c r="U29" t="s">
        <v>173</v>
      </c>
      <c r="W29" t="s">
        <v>238</v>
      </c>
      <c r="Y29" t="s">
        <v>214</v>
      </c>
      <c r="Z29" t="s">
        <v>178</v>
      </c>
      <c r="AA29" t="s">
        <v>179</v>
      </c>
      <c r="AB29" t="s">
        <v>201</v>
      </c>
      <c r="AC29" t="s">
        <v>202</v>
      </c>
      <c r="AD29" t="s">
        <v>456</v>
      </c>
      <c r="AE29" t="s">
        <v>457</v>
      </c>
      <c r="AF29" t="s">
        <v>458</v>
      </c>
      <c r="AG29" t="s">
        <v>202</v>
      </c>
      <c r="AH29" t="s">
        <v>244</v>
      </c>
      <c r="AI29">
        <v>0</v>
      </c>
      <c r="AJ29">
        <v>1</v>
      </c>
      <c r="AK29">
        <v>1</v>
      </c>
      <c r="AL29">
        <v>0</v>
      </c>
      <c r="AM29">
        <v>0</v>
      </c>
      <c r="AN29" t="s">
        <v>297</v>
      </c>
      <c r="AO29" t="s">
        <v>192</v>
      </c>
      <c r="AP29" t="s">
        <v>173</v>
      </c>
      <c r="AQ29" t="s">
        <v>192</v>
      </c>
      <c r="AZ29" t="s">
        <v>192</v>
      </c>
      <c r="BW29">
        <f t="shared" si="1"/>
        <v>0</v>
      </c>
      <c r="BY29" t="s">
        <v>192</v>
      </c>
      <c r="CA29" t="s">
        <v>192</v>
      </c>
      <c r="CC29" t="s">
        <v>173</v>
      </c>
      <c r="CD29" t="s">
        <v>186</v>
      </c>
      <c r="CE29" t="s">
        <v>173</v>
      </c>
      <c r="CF29" t="s">
        <v>186</v>
      </c>
      <c r="CG29" t="s">
        <v>192</v>
      </c>
      <c r="CI29" t="s">
        <v>173</v>
      </c>
      <c r="CJ29" t="s">
        <v>185</v>
      </c>
      <c r="CK29" t="s">
        <v>173</v>
      </c>
      <c r="CL29" t="s">
        <v>185</v>
      </c>
      <c r="CM29" t="s">
        <v>173</v>
      </c>
      <c r="CN29" t="s">
        <v>185</v>
      </c>
      <c r="CO29" t="s">
        <v>173</v>
      </c>
      <c r="CP29" t="s">
        <v>185</v>
      </c>
      <c r="CQ29" t="s">
        <v>173</v>
      </c>
      <c r="CR29" t="s">
        <v>186</v>
      </c>
      <c r="CS29" t="s">
        <v>173</v>
      </c>
      <c r="CT29" t="s">
        <v>185</v>
      </c>
      <c r="CU29" t="s">
        <v>192</v>
      </c>
      <c r="CW29" t="s">
        <v>173</v>
      </c>
      <c r="CX29" t="s">
        <v>185</v>
      </c>
      <c r="CY29" t="s">
        <v>173</v>
      </c>
      <c r="CZ29" t="s">
        <v>185</v>
      </c>
      <c r="DA29" t="s">
        <v>192</v>
      </c>
      <c r="DC29" t="s">
        <v>192</v>
      </c>
      <c r="DE29" t="s">
        <v>192</v>
      </c>
      <c r="DH29" t="s">
        <v>173</v>
      </c>
      <c r="DI29" t="s">
        <v>187</v>
      </c>
      <c r="DJ29" t="s">
        <v>192</v>
      </c>
      <c r="DL29" t="s">
        <v>173</v>
      </c>
      <c r="DM29" t="s">
        <v>173</v>
      </c>
      <c r="DN29" t="s">
        <v>191</v>
      </c>
      <c r="DO29" t="s">
        <v>192</v>
      </c>
      <c r="DR29" t="s">
        <v>173</v>
      </c>
      <c r="DS29" t="s">
        <v>192</v>
      </c>
      <c r="DU29" t="s">
        <v>173</v>
      </c>
      <c r="DV29" t="s">
        <v>192</v>
      </c>
      <c r="DX29" t="s">
        <v>173</v>
      </c>
      <c r="DY29" t="s">
        <v>192</v>
      </c>
      <c r="EA29" t="s">
        <v>173</v>
      </c>
      <c r="EB29" t="s">
        <v>192</v>
      </c>
      <c r="ED29" t="s">
        <v>173</v>
      </c>
      <c r="EE29" t="s">
        <v>173</v>
      </c>
      <c r="EF29" t="s">
        <v>188</v>
      </c>
      <c r="EG29" t="s">
        <v>173</v>
      </c>
      <c r="EH29" t="s">
        <v>173</v>
      </c>
      <c r="EI29" t="s">
        <v>188</v>
      </c>
      <c r="EJ29" t="s">
        <v>173</v>
      </c>
      <c r="EK29" t="s">
        <v>192</v>
      </c>
      <c r="EM29" t="s">
        <v>192</v>
      </c>
      <c r="EQ29" t="s">
        <v>459</v>
      </c>
      <c r="ER29" t="s">
        <v>460</v>
      </c>
      <c r="ET29" t="s">
        <v>173</v>
      </c>
      <c r="EU29" t="s">
        <v>173</v>
      </c>
      <c r="EV29" t="s">
        <v>452</v>
      </c>
      <c r="EW29">
        <v>0</v>
      </c>
      <c r="EX29">
        <v>1</v>
      </c>
      <c r="EY29">
        <v>0</v>
      </c>
      <c r="EZ29">
        <v>0</v>
      </c>
      <c r="FA29">
        <v>1</v>
      </c>
      <c r="FB29">
        <v>0</v>
      </c>
      <c r="FC29">
        <v>0</v>
      </c>
      <c r="FD29">
        <v>0</v>
      </c>
      <c r="FE29">
        <v>0</v>
      </c>
      <c r="FH29">
        <v>83524518</v>
      </c>
      <c r="FI29" t="s">
        <v>461</v>
      </c>
      <c r="FJ29" s="1">
        <v>45758.688611111109</v>
      </c>
      <c r="FM29" t="s">
        <v>193</v>
      </c>
      <c r="FO29" t="s">
        <v>194</v>
      </c>
      <c r="FQ29">
        <v>29</v>
      </c>
    </row>
    <row r="30" spans="1:173" x14ac:dyDescent="0.25">
      <c r="A30" s="1">
        <v>45758.473296458331</v>
      </c>
      <c r="B30" s="1">
        <v>45758.481281076391</v>
      </c>
      <c r="C30" t="s">
        <v>334</v>
      </c>
      <c r="D30">
        <v>112</v>
      </c>
      <c r="E30" s="1">
        <v>45738</v>
      </c>
      <c r="F30">
        <v>1</v>
      </c>
      <c r="G30" t="s">
        <v>462</v>
      </c>
      <c r="H30" t="s">
        <v>171</v>
      </c>
      <c r="I30" t="s">
        <v>463</v>
      </c>
      <c r="J30" t="s">
        <v>464</v>
      </c>
      <c r="K30" t="s">
        <v>173</v>
      </c>
      <c r="L30">
        <v>30</v>
      </c>
      <c r="M30" t="s">
        <v>174</v>
      </c>
      <c r="N30">
        <v>0</v>
      </c>
      <c r="O30">
        <v>0</v>
      </c>
      <c r="P30">
        <v>0</v>
      </c>
      <c r="Q30">
        <v>1</v>
      </c>
      <c r="R30" t="s">
        <v>251</v>
      </c>
      <c r="S30">
        <v>69</v>
      </c>
      <c r="T30" t="str">
        <f t="shared" si="0"/>
        <v>56 a más</v>
      </c>
      <c r="U30" t="s">
        <v>173</v>
      </c>
      <c r="W30" t="s">
        <v>238</v>
      </c>
      <c r="Y30" t="s">
        <v>263</v>
      </c>
      <c r="Z30" t="s">
        <v>465</v>
      </c>
      <c r="AB30" t="s">
        <v>201</v>
      </c>
      <c r="AC30" t="s">
        <v>202</v>
      </c>
      <c r="AD30" t="s">
        <v>466</v>
      </c>
      <c r="AG30" t="s">
        <v>202</v>
      </c>
      <c r="AH30" t="s">
        <v>287</v>
      </c>
      <c r="AI30">
        <v>0</v>
      </c>
      <c r="AJ30">
        <v>0</v>
      </c>
      <c r="AK30">
        <v>0</v>
      </c>
      <c r="AL30">
        <v>0</v>
      </c>
      <c r="AM30">
        <v>1</v>
      </c>
      <c r="AN30" t="s">
        <v>183</v>
      </c>
      <c r="AO30" t="s">
        <v>192</v>
      </c>
      <c r="AP30" t="s">
        <v>192</v>
      </c>
      <c r="AQ30" t="s">
        <v>192</v>
      </c>
      <c r="AZ30" t="s">
        <v>192</v>
      </c>
      <c r="BW30">
        <f t="shared" si="1"/>
        <v>0</v>
      </c>
      <c r="BY30" t="s">
        <v>173</v>
      </c>
      <c r="BZ30" t="s">
        <v>186</v>
      </c>
      <c r="CA30" t="s">
        <v>192</v>
      </c>
      <c r="CC30" t="s">
        <v>192</v>
      </c>
      <c r="CE30" t="s">
        <v>173</v>
      </c>
      <c r="CF30" t="s">
        <v>185</v>
      </c>
      <c r="CG30" t="s">
        <v>173</v>
      </c>
      <c r="CH30" t="s">
        <v>185</v>
      </c>
      <c r="CI30" t="s">
        <v>173</v>
      </c>
      <c r="CJ30" t="s">
        <v>185</v>
      </c>
      <c r="CK30" t="s">
        <v>173</v>
      </c>
      <c r="CL30" t="s">
        <v>185</v>
      </c>
      <c r="CM30" t="s">
        <v>192</v>
      </c>
      <c r="CO30" t="s">
        <v>192</v>
      </c>
      <c r="CQ30" t="s">
        <v>192</v>
      </c>
      <c r="CS30" t="s">
        <v>192</v>
      </c>
      <c r="CU30" t="s">
        <v>192</v>
      </c>
      <c r="CW30" t="s">
        <v>192</v>
      </c>
      <c r="CY30" t="s">
        <v>192</v>
      </c>
      <c r="DA30" t="s">
        <v>192</v>
      </c>
      <c r="DC30" t="s">
        <v>192</v>
      </c>
      <c r="DE30" t="s">
        <v>192</v>
      </c>
      <c r="DH30" t="s">
        <v>173</v>
      </c>
      <c r="DI30" t="s">
        <v>187</v>
      </c>
      <c r="DJ30" t="s">
        <v>192</v>
      </c>
      <c r="DL30" t="s">
        <v>173</v>
      </c>
      <c r="DM30" t="s">
        <v>173</v>
      </c>
      <c r="DN30" t="s">
        <v>191</v>
      </c>
      <c r="DO30" t="s">
        <v>173</v>
      </c>
      <c r="DP30" t="s">
        <v>173</v>
      </c>
      <c r="DQ30" t="s">
        <v>191</v>
      </c>
      <c r="DR30" t="s">
        <v>192</v>
      </c>
      <c r="DU30" t="s">
        <v>173</v>
      </c>
      <c r="DV30" t="s">
        <v>192</v>
      </c>
      <c r="DX30" t="s">
        <v>192</v>
      </c>
      <c r="EA30" t="s">
        <v>173</v>
      </c>
      <c r="EB30" t="s">
        <v>173</v>
      </c>
      <c r="EC30" t="s">
        <v>191</v>
      </c>
      <c r="ED30" t="s">
        <v>173</v>
      </c>
      <c r="EE30" t="s">
        <v>173</v>
      </c>
      <c r="EF30" t="s">
        <v>188</v>
      </c>
      <c r="EG30" t="s">
        <v>173</v>
      </c>
      <c r="EH30" t="s">
        <v>173</v>
      </c>
      <c r="EI30" t="s">
        <v>191</v>
      </c>
      <c r="EJ30" t="s">
        <v>192</v>
      </c>
      <c r="EM30" t="s">
        <v>192</v>
      </c>
      <c r="EQ30" t="s">
        <v>349</v>
      </c>
      <c r="ET30" t="s">
        <v>173</v>
      </c>
      <c r="EU30" t="s">
        <v>173</v>
      </c>
      <c r="EV30" t="s">
        <v>208</v>
      </c>
      <c r="EW30">
        <v>0</v>
      </c>
      <c r="EX30">
        <v>0</v>
      </c>
      <c r="EY30">
        <v>0</v>
      </c>
      <c r="EZ30">
        <v>0</v>
      </c>
      <c r="FA30">
        <v>1</v>
      </c>
      <c r="FB30">
        <v>0</v>
      </c>
      <c r="FC30">
        <v>0</v>
      </c>
      <c r="FD30">
        <v>0</v>
      </c>
      <c r="FE30">
        <v>0</v>
      </c>
      <c r="FG30" t="s">
        <v>467</v>
      </c>
      <c r="FH30">
        <v>83524536</v>
      </c>
      <c r="FI30" t="s">
        <v>468</v>
      </c>
      <c r="FJ30" s="1">
        <v>45758.689618055563</v>
      </c>
      <c r="FM30" t="s">
        <v>193</v>
      </c>
      <c r="FO30" t="s">
        <v>469</v>
      </c>
      <c r="FQ30">
        <v>30</v>
      </c>
    </row>
    <row r="31" spans="1:173" x14ac:dyDescent="0.25">
      <c r="A31" s="1">
        <v>45758.481281585649</v>
      </c>
      <c r="B31" s="1">
        <v>45758.487334953701</v>
      </c>
      <c r="C31" t="s">
        <v>334</v>
      </c>
      <c r="D31">
        <v>111</v>
      </c>
      <c r="E31" s="1">
        <v>45738</v>
      </c>
      <c r="F31">
        <v>1</v>
      </c>
      <c r="G31" t="s">
        <v>470</v>
      </c>
      <c r="H31" t="s">
        <v>171</v>
      </c>
      <c r="I31" t="s">
        <v>471</v>
      </c>
      <c r="J31" t="s">
        <v>472</v>
      </c>
      <c r="K31" t="s">
        <v>173</v>
      </c>
      <c r="L31">
        <v>35</v>
      </c>
      <c r="M31" t="s">
        <v>174</v>
      </c>
      <c r="N31">
        <v>1</v>
      </c>
      <c r="O31">
        <v>0</v>
      </c>
      <c r="P31">
        <v>0</v>
      </c>
      <c r="Q31">
        <v>0</v>
      </c>
      <c r="R31" t="s">
        <v>251</v>
      </c>
      <c r="S31">
        <v>35</v>
      </c>
      <c r="T31" t="str">
        <f t="shared" si="0"/>
        <v>26 a 40</v>
      </c>
      <c r="U31" t="s">
        <v>173</v>
      </c>
      <c r="W31" t="s">
        <v>176</v>
      </c>
      <c r="Y31" t="s">
        <v>214</v>
      </c>
      <c r="Z31" t="s">
        <v>178</v>
      </c>
      <c r="AA31" t="s">
        <v>179</v>
      </c>
      <c r="AB31" t="s">
        <v>215</v>
      </c>
      <c r="AC31" t="s">
        <v>202</v>
      </c>
      <c r="AD31" t="s">
        <v>473</v>
      </c>
      <c r="AG31" t="s">
        <v>202</v>
      </c>
      <c r="AH31" t="s">
        <v>287</v>
      </c>
      <c r="AI31">
        <v>0</v>
      </c>
      <c r="AJ31">
        <v>0</v>
      </c>
      <c r="AK31">
        <v>0</v>
      </c>
      <c r="AL31">
        <v>0</v>
      </c>
      <c r="AM31">
        <v>1</v>
      </c>
      <c r="AN31" t="s">
        <v>205</v>
      </c>
      <c r="AO31" t="s">
        <v>192</v>
      </c>
      <c r="AP31" t="s">
        <v>173</v>
      </c>
      <c r="AQ31" t="s">
        <v>192</v>
      </c>
      <c r="AZ31" t="s">
        <v>192</v>
      </c>
      <c r="BW31">
        <f t="shared" si="1"/>
        <v>0</v>
      </c>
      <c r="BY31" t="s">
        <v>192</v>
      </c>
      <c r="CA31" t="s">
        <v>192</v>
      </c>
      <c r="CC31" t="s">
        <v>192</v>
      </c>
      <c r="CE31" t="s">
        <v>192</v>
      </c>
      <c r="CG31" t="s">
        <v>192</v>
      </c>
      <c r="CI31" t="s">
        <v>192</v>
      </c>
      <c r="CK31" t="s">
        <v>192</v>
      </c>
      <c r="CM31" t="s">
        <v>192</v>
      </c>
      <c r="CO31" t="s">
        <v>192</v>
      </c>
      <c r="CQ31" t="s">
        <v>192</v>
      </c>
      <c r="CS31" t="s">
        <v>192</v>
      </c>
      <c r="CU31" t="s">
        <v>192</v>
      </c>
      <c r="CW31" t="s">
        <v>192</v>
      </c>
      <c r="CY31" t="s">
        <v>192</v>
      </c>
      <c r="DA31" t="s">
        <v>192</v>
      </c>
      <c r="DC31" t="s">
        <v>192</v>
      </c>
      <c r="DE31" t="s">
        <v>192</v>
      </c>
      <c r="DH31" t="s">
        <v>192</v>
      </c>
      <c r="DL31" t="s">
        <v>192</v>
      </c>
      <c r="DO31" t="s">
        <v>192</v>
      </c>
      <c r="DR31" t="s">
        <v>192</v>
      </c>
      <c r="DU31" t="s">
        <v>192</v>
      </c>
      <c r="DX31" t="s">
        <v>192</v>
      </c>
      <c r="EA31" t="s">
        <v>192</v>
      </c>
      <c r="ED31" t="s">
        <v>173</v>
      </c>
      <c r="EE31" t="s">
        <v>173</v>
      </c>
      <c r="EF31" t="s">
        <v>188</v>
      </c>
      <c r="EG31" t="s">
        <v>173</v>
      </c>
      <c r="EH31" t="s">
        <v>173</v>
      </c>
      <c r="EI31" t="s">
        <v>191</v>
      </c>
      <c r="EJ31" t="s">
        <v>192</v>
      </c>
      <c r="EM31" t="s">
        <v>192</v>
      </c>
      <c r="EQ31" t="s">
        <v>474</v>
      </c>
      <c r="ET31" t="s">
        <v>173</v>
      </c>
      <c r="EU31" t="s">
        <v>173</v>
      </c>
      <c r="EV31" t="s">
        <v>223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1</v>
      </c>
      <c r="FF31" t="s">
        <v>475</v>
      </c>
      <c r="FH31">
        <v>83524746</v>
      </c>
      <c r="FI31" t="s">
        <v>476</v>
      </c>
      <c r="FJ31" s="1">
        <v>45758.69568287037</v>
      </c>
      <c r="FM31" t="s">
        <v>193</v>
      </c>
      <c r="FO31" t="s">
        <v>469</v>
      </c>
      <c r="FQ31">
        <v>31</v>
      </c>
    </row>
    <row r="32" spans="1:173" x14ac:dyDescent="0.25">
      <c r="A32" s="1">
        <v>45758.487335405087</v>
      </c>
      <c r="B32" s="1">
        <v>45758.491143900457</v>
      </c>
      <c r="C32" t="s">
        <v>334</v>
      </c>
      <c r="D32">
        <v>110</v>
      </c>
      <c r="E32" s="1">
        <v>45738</v>
      </c>
      <c r="F32">
        <v>1</v>
      </c>
      <c r="G32" t="s">
        <v>429</v>
      </c>
      <c r="H32" t="s">
        <v>171</v>
      </c>
      <c r="I32" t="s">
        <v>477</v>
      </c>
      <c r="J32" t="s">
        <v>478</v>
      </c>
      <c r="K32" t="s">
        <v>173</v>
      </c>
      <c r="L32">
        <v>25</v>
      </c>
      <c r="M32" t="s">
        <v>174</v>
      </c>
      <c r="N32">
        <v>0</v>
      </c>
      <c r="O32">
        <v>0</v>
      </c>
      <c r="P32">
        <v>0</v>
      </c>
      <c r="Q32">
        <v>0</v>
      </c>
      <c r="R32" t="s">
        <v>251</v>
      </c>
      <c r="S32">
        <v>66</v>
      </c>
      <c r="T32" t="str">
        <f t="shared" si="0"/>
        <v>56 a más</v>
      </c>
      <c r="U32" t="s">
        <v>173</v>
      </c>
      <c r="W32" t="s">
        <v>176</v>
      </c>
      <c r="Y32" t="s">
        <v>214</v>
      </c>
      <c r="Z32" t="s">
        <v>239</v>
      </c>
      <c r="AA32" t="s">
        <v>179</v>
      </c>
      <c r="AB32" t="s">
        <v>189</v>
      </c>
      <c r="AC32" t="s">
        <v>202</v>
      </c>
      <c r="AD32" t="s">
        <v>479</v>
      </c>
      <c r="AE32" t="s">
        <v>480</v>
      </c>
      <c r="AG32" t="s">
        <v>202</v>
      </c>
      <c r="AH32" t="s">
        <v>266</v>
      </c>
      <c r="AI32">
        <v>0</v>
      </c>
      <c r="AJ32">
        <v>0</v>
      </c>
      <c r="AK32">
        <v>0</v>
      </c>
      <c r="AL32">
        <v>1</v>
      </c>
      <c r="AM32">
        <v>0</v>
      </c>
      <c r="AN32" t="s">
        <v>183</v>
      </c>
      <c r="AO32" t="s">
        <v>192</v>
      </c>
      <c r="AP32" t="s">
        <v>173</v>
      </c>
      <c r="AQ32" t="s">
        <v>173</v>
      </c>
      <c r="AR32" t="s">
        <v>298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 t="s">
        <v>481</v>
      </c>
      <c r="AZ32" t="s">
        <v>192</v>
      </c>
      <c r="BW32">
        <f t="shared" si="1"/>
        <v>0</v>
      </c>
      <c r="BY32" t="s">
        <v>192</v>
      </c>
      <c r="CA32" t="s">
        <v>192</v>
      </c>
      <c r="CC32" t="s">
        <v>173</v>
      </c>
      <c r="CD32" t="s">
        <v>185</v>
      </c>
      <c r="CE32" t="s">
        <v>192</v>
      </c>
      <c r="CG32" t="s">
        <v>192</v>
      </c>
      <c r="CI32" t="s">
        <v>173</v>
      </c>
      <c r="CJ32" t="s">
        <v>185</v>
      </c>
      <c r="CK32" t="s">
        <v>173</v>
      </c>
      <c r="CL32" t="s">
        <v>185</v>
      </c>
      <c r="CM32" t="s">
        <v>192</v>
      </c>
      <c r="CO32" t="s">
        <v>192</v>
      </c>
      <c r="CQ32" t="s">
        <v>173</v>
      </c>
      <c r="CR32" t="s">
        <v>186</v>
      </c>
      <c r="CS32" t="s">
        <v>192</v>
      </c>
      <c r="CU32" t="s">
        <v>192</v>
      </c>
      <c r="CW32" t="s">
        <v>192</v>
      </c>
      <c r="CY32" t="s">
        <v>192</v>
      </c>
      <c r="DA32" t="s">
        <v>192</v>
      </c>
      <c r="DC32" t="s">
        <v>192</v>
      </c>
      <c r="DE32" t="s">
        <v>192</v>
      </c>
      <c r="DH32" t="s">
        <v>173</v>
      </c>
      <c r="DI32" t="s">
        <v>186</v>
      </c>
      <c r="DJ32" t="s">
        <v>192</v>
      </c>
      <c r="DL32" t="s">
        <v>192</v>
      </c>
      <c r="DO32" t="s">
        <v>192</v>
      </c>
      <c r="DR32" t="s">
        <v>192</v>
      </c>
      <c r="DU32" t="s">
        <v>173</v>
      </c>
      <c r="DV32" t="s">
        <v>173</v>
      </c>
      <c r="DW32" t="s">
        <v>191</v>
      </c>
      <c r="DX32" t="s">
        <v>192</v>
      </c>
      <c r="EA32" t="s">
        <v>192</v>
      </c>
      <c r="ED32" t="s">
        <v>173</v>
      </c>
      <c r="EE32" t="s">
        <v>173</v>
      </c>
      <c r="EF32" t="s">
        <v>191</v>
      </c>
      <c r="EG32" t="s">
        <v>173</v>
      </c>
      <c r="EH32" t="s">
        <v>173</v>
      </c>
      <c r="EI32" t="s">
        <v>191</v>
      </c>
      <c r="EJ32" t="s">
        <v>192</v>
      </c>
      <c r="EM32" t="s">
        <v>192</v>
      </c>
      <c r="EQ32" t="s">
        <v>482</v>
      </c>
      <c r="ER32" t="s">
        <v>483</v>
      </c>
      <c r="ET32" t="s">
        <v>173</v>
      </c>
      <c r="EU32" t="s">
        <v>173</v>
      </c>
      <c r="EV32" t="s">
        <v>208</v>
      </c>
      <c r="EW32">
        <v>0</v>
      </c>
      <c r="EX32">
        <v>0</v>
      </c>
      <c r="EY32">
        <v>0</v>
      </c>
      <c r="EZ32">
        <v>0</v>
      </c>
      <c r="FA32">
        <v>1</v>
      </c>
      <c r="FB32">
        <v>0</v>
      </c>
      <c r="FC32">
        <v>0</v>
      </c>
      <c r="FD32">
        <v>0</v>
      </c>
      <c r="FE32">
        <v>0</v>
      </c>
      <c r="FH32">
        <v>83525031</v>
      </c>
      <c r="FI32" t="s">
        <v>484</v>
      </c>
      <c r="FJ32" s="1">
        <v>45758.699490740742</v>
      </c>
      <c r="FM32" t="s">
        <v>193</v>
      </c>
      <c r="FO32" t="s">
        <v>469</v>
      </c>
      <c r="FQ32">
        <v>32</v>
      </c>
    </row>
    <row r="33" spans="1:173" x14ac:dyDescent="0.25">
      <c r="A33" s="1">
        <v>45758.491144340267</v>
      </c>
      <c r="B33" s="1">
        <v>45758.493306782409</v>
      </c>
      <c r="C33" t="s">
        <v>334</v>
      </c>
      <c r="D33">
        <v>109</v>
      </c>
      <c r="E33" s="1">
        <v>45738</v>
      </c>
      <c r="F33">
        <v>1</v>
      </c>
      <c r="G33" t="s">
        <v>438</v>
      </c>
      <c r="H33" t="s">
        <v>171</v>
      </c>
      <c r="I33" t="s">
        <v>477</v>
      </c>
      <c r="J33" t="s">
        <v>485</v>
      </c>
      <c r="K33" t="s">
        <v>173</v>
      </c>
      <c r="L33">
        <v>30</v>
      </c>
      <c r="M33" t="s">
        <v>174</v>
      </c>
      <c r="N33">
        <v>0</v>
      </c>
      <c r="O33">
        <v>0</v>
      </c>
      <c r="P33">
        <v>0</v>
      </c>
      <c r="Q33">
        <v>0</v>
      </c>
      <c r="R33" t="s">
        <v>175</v>
      </c>
      <c r="S33">
        <v>58</v>
      </c>
      <c r="T33" t="str">
        <f t="shared" si="0"/>
        <v>56 a más</v>
      </c>
      <c r="U33" t="s">
        <v>173</v>
      </c>
      <c r="W33" t="s">
        <v>176</v>
      </c>
      <c r="Y33" t="s">
        <v>214</v>
      </c>
      <c r="Z33" t="s">
        <v>239</v>
      </c>
      <c r="AA33" t="s">
        <v>179</v>
      </c>
      <c r="AB33" t="s">
        <v>189</v>
      </c>
      <c r="AC33" t="s">
        <v>202</v>
      </c>
      <c r="AD33" t="s">
        <v>486</v>
      </c>
      <c r="AG33" t="s">
        <v>181</v>
      </c>
      <c r="AH33" t="s">
        <v>232</v>
      </c>
      <c r="AI33">
        <v>0</v>
      </c>
      <c r="AJ33">
        <v>0</v>
      </c>
      <c r="AK33">
        <v>1</v>
      </c>
      <c r="AL33">
        <v>0</v>
      </c>
      <c r="AM33">
        <v>0</v>
      </c>
      <c r="AN33" t="s">
        <v>297</v>
      </c>
      <c r="AO33" t="s">
        <v>192</v>
      </c>
      <c r="AP33" t="s">
        <v>192</v>
      </c>
      <c r="AQ33" t="s">
        <v>192</v>
      </c>
      <c r="AZ33" t="s">
        <v>192</v>
      </c>
      <c r="BW33">
        <f t="shared" si="1"/>
        <v>0</v>
      </c>
      <c r="BY33" t="s">
        <v>173</v>
      </c>
      <c r="BZ33" t="s">
        <v>185</v>
      </c>
      <c r="CA33" t="s">
        <v>173</v>
      </c>
      <c r="CB33" t="s">
        <v>185</v>
      </c>
      <c r="CC33" t="s">
        <v>192</v>
      </c>
      <c r="CE33" t="s">
        <v>192</v>
      </c>
      <c r="CG33" t="s">
        <v>192</v>
      </c>
      <c r="CI33" t="s">
        <v>192</v>
      </c>
      <c r="CK33" t="s">
        <v>173</v>
      </c>
      <c r="CL33" t="s">
        <v>186</v>
      </c>
      <c r="CM33" t="s">
        <v>192</v>
      </c>
      <c r="CO33" t="s">
        <v>192</v>
      </c>
      <c r="CQ33" t="s">
        <v>173</v>
      </c>
      <c r="CR33" t="s">
        <v>187</v>
      </c>
      <c r="CS33" t="s">
        <v>173</v>
      </c>
      <c r="CT33" t="s">
        <v>187</v>
      </c>
      <c r="CU33" t="s">
        <v>192</v>
      </c>
      <c r="CW33" t="s">
        <v>192</v>
      </c>
      <c r="CY33" t="s">
        <v>192</v>
      </c>
      <c r="DA33" t="s">
        <v>192</v>
      </c>
      <c r="DC33" t="s">
        <v>173</v>
      </c>
      <c r="DD33" t="s">
        <v>185</v>
      </c>
      <c r="DE33" t="s">
        <v>192</v>
      </c>
      <c r="DH33" t="s">
        <v>173</v>
      </c>
      <c r="DI33" t="s">
        <v>187</v>
      </c>
      <c r="DJ33" t="s">
        <v>192</v>
      </c>
      <c r="DL33" t="s">
        <v>173</v>
      </c>
      <c r="DM33" t="s">
        <v>192</v>
      </c>
      <c r="DO33" t="s">
        <v>192</v>
      </c>
      <c r="DR33" t="s">
        <v>192</v>
      </c>
      <c r="DU33" t="s">
        <v>192</v>
      </c>
      <c r="DX33" t="s">
        <v>192</v>
      </c>
      <c r="EA33" t="s">
        <v>192</v>
      </c>
      <c r="ED33" t="s">
        <v>173</v>
      </c>
      <c r="EE33" t="s">
        <v>173</v>
      </c>
      <c r="EF33" t="s">
        <v>191</v>
      </c>
      <c r="EG33" t="s">
        <v>192</v>
      </c>
      <c r="EJ33" t="s">
        <v>173</v>
      </c>
      <c r="EK33" t="s">
        <v>192</v>
      </c>
      <c r="EM33" t="s">
        <v>192</v>
      </c>
      <c r="EQ33" t="s">
        <v>349</v>
      </c>
      <c r="ET33" t="s">
        <v>173</v>
      </c>
      <c r="EU33" t="s">
        <v>173</v>
      </c>
      <c r="EV33" t="s">
        <v>208</v>
      </c>
      <c r="EW33">
        <v>0</v>
      </c>
      <c r="EX33">
        <v>0</v>
      </c>
      <c r="EY33">
        <v>0</v>
      </c>
      <c r="EZ33">
        <v>0</v>
      </c>
      <c r="FA33">
        <v>1</v>
      </c>
      <c r="FB33">
        <v>0</v>
      </c>
      <c r="FC33">
        <v>0</v>
      </c>
      <c r="FD33">
        <v>0</v>
      </c>
      <c r="FE33">
        <v>0</v>
      </c>
      <c r="FH33">
        <v>83525177</v>
      </c>
      <c r="FI33" t="s">
        <v>487</v>
      </c>
      <c r="FJ33" s="1">
        <v>45758.701643518521</v>
      </c>
      <c r="FM33" t="s">
        <v>193</v>
      </c>
      <c r="FO33" t="s">
        <v>469</v>
      </c>
      <c r="FQ33">
        <v>33</v>
      </c>
    </row>
    <row r="34" spans="1:173" x14ac:dyDescent="0.25">
      <c r="A34" s="1">
        <v>45758.493307349527</v>
      </c>
      <c r="B34" s="1">
        <v>45758.496264490743</v>
      </c>
      <c r="C34" t="s">
        <v>334</v>
      </c>
      <c r="D34">
        <v>108</v>
      </c>
      <c r="E34" s="1">
        <v>45738</v>
      </c>
      <c r="F34">
        <v>1</v>
      </c>
      <c r="G34" t="s">
        <v>462</v>
      </c>
      <c r="H34" t="s">
        <v>171</v>
      </c>
      <c r="I34" t="s">
        <v>463</v>
      </c>
      <c r="J34" t="s">
        <v>464</v>
      </c>
      <c r="K34" t="s">
        <v>173</v>
      </c>
      <c r="L34">
        <v>56</v>
      </c>
      <c r="M34" t="s">
        <v>174</v>
      </c>
      <c r="N34">
        <v>0</v>
      </c>
      <c r="O34">
        <v>0</v>
      </c>
      <c r="P34">
        <v>0</v>
      </c>
      <c r="Q34">
        <v>0</v>
      </c>
      <c r="R34" t="s">
        <v>251</v>
      </c>
      <c r="S34">
        <v>71</v>
      </c>
      <c r="T34" t="str">
        <f t="shared" si="0"/>
        <v>56 a más</v>
      </c>
      <c r="U34" t="s">
        <v>173</v>
      </c>
      <c r="W34" t="s">
        <v>176</v>
      </c>
      <c r="Y34" t="s">
        <v>263</v>
      </c>
      <c r="Z34" t="s">
        <v>465</v>
      </c>
      <c r="AB34" t="s">
        <v>201</v>
      </c>
      <c r="AC34" t="s">
        <v>339</v>
      </c>
      <c r="AD34" t="s">
        <v>488</v>
      </c>
      <c r="AG34" t="s">
        <v>181</v>
      </c>
      <c r="AH34" t="s">
        <v>287</v>
      </c>
      <c r="AI34">
        <v>0</v>
      </c>
      <c r="AJ34">
        <v>0</v>
      </c>
      <c r="AK34">
        <v>0</v>
      </c>
      <c r="AL34">
        <v>0</v>
      </c>
      <c r="AM34">
        <v>1</v>
      </c>
      <c r="AN34" t="s">
        <v>183</v>
      </c>
      <c r="AO34" t="s">
        <v>192</v>
      </c>
      <c r="AP34" t="s">
        <v>173</v>
      </c>
      <c r="AQ34" t="s">
        <v>192</v>
      </c>
      <c r="AZ34" t="s">
        <v>173</v>
      </c>
      <c r="BA34" t="s">
        <v>424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  <c r="BL34">
        <v>0</v>
      </c>
      <c r="BS34" t="s">
        <v>173</v>
      </c>
      <c r="BW34">
        <f t="shared" si="1"/>
        <v>0</v>
      </c>
      <c r="BY34" t="s">
        <v>192</v>
      </c>
      <c r="CA34" t="s">
        <v>192</v>
      </c>
      <c r="CC34" t="s">
        <v>173</v>
      </c>
      <c r="CD34" t="s">
        <v>185</v>
      </c>
      <c r="CE34" t="s">
        <v>173</v>
      </c>
      <c r="CF34" t="s">
        <v>185</v>
      </c>
      <c r="CG34" t="s">
        <v>173</v>
      </c>
      <c r="CH34" t="s">
        <v>185</v>
      </c>
      <c r="CI34" t="s">
        <v>173</v>
      </c>
      <c r="CJ34" t="s">
        <v>186</v>
      </c>
      <c r="CK34" t="s">
        <v>173</v>
      </c>
      <c r="CL34" t="s">
        <v>187</v>
      </c>
      <c r="CM34" t="s">
        <v>173</v>
      </c>
      <c r="CN34" t="s">
        <v>185</v>
      </c>
      <c r="CO34" t="s">
        <v>173</v>
      </c>
      <c r="CP34" t="s">
        <v>185</v>
      </c>
      <c r="CQ34" t="s">
        <v>173</v>
      </c>
      <c r="CR34" t="s">
        <v>186</v>
      </c>
      <c r="CS34" t="s">
        <v>192</v>
      </c>
      <c r="CU34" t="s">
        <v>192</v>
      </c>
      <c r="CW34" t="s">
        <v>192</v>
      </c>
      <c r="CY34" t="s">
        <v>173</v>
      </c>
      <c r="CZ34" t="s">
        <v>185</v>
      </c>
      <c r="DA34" t="s">
        <v>192</v>
      </c>
      <c r="DC34" t="s">
        <v>173</v>
      </c>
      <c r="DD34" t="s">
        <v>185</v>
      </c>
      <c r="DE34" t="s">
        <v>192</v>
      </c>
      <c r="DH34" t="s">
        <v>173</v>
      </c>
      <c r="DI34" t="s">
        <v>187</v>
      </c>
      <c r="DJ34" t="s">
        <v>192</v>
      </c>
      <c r="DL34" t="s">
        <v>173</v>
      </c>
      <c r="DM34" t="s">
        <v>173</v>
      </c>
      <c r="DN34" t="s">
        <v>191</v>
      </c>
      <c r="DO34" t="s">
        <v>173</v>
      </c>
      <c r="DP34" t="s">
        <v>173</v>
      </c>
      <c r="DQ34" t="s">
        <v>191</v>
      </c>
      <c r="DR34" t="s">
        <v>192</v>
      </c>
      <c r="DU34" t="s">
        <v>173</v>
      </c>
      <c r="DV34" t="s">
        <v>173</v>
      </c>
      <c r="DW34" t="s">
        <v>191</v>
      </c>
      <c r="DX34" t="s">
        <v>192</v>
      </c>
      <c r="EA34" t="s">
        <v>173</v>
      </c>
      <c r="EB34" t="s">
        <v>173</v>
      </c>
      <c r="EC34" t="s">
        <v>191</v>
      </c>
      <c r="ED34" t="s">
        <v>173</v>
      </c>
      <c r="EE34" t="s">
        <v>173</v>
      </c>
      <c r="EF34" t="s">
        <v>188</v>
      </c>
      <c r="EG34" t="s">
        <v>173</v>
      </c>
      <c r="EH34" t="s">
        <v>173</v>
      </c>
      <c r="EI34" t="s">
        <v>191</v>
      </c>
      <c r="EJ34" t="s">
        <v>192</v>
      </c>
      <c r="EM34" t="s">
        <v>192</v>
      </c>
      <c r="EQ34" t="s">
        <v>489</v>
      </c>
      <c r="ET34" t="s">
        <v>173</v>
      </c>
      <c r="EU34" t="s">
        <v>173</v>
      </c>
      <c r="EV34" t="s">
        <v>208</v>
      </c>
      <c r="EW34">
        <v>0</v>
      </c>
      <c r="EX34">
        <v>0</v>
      </c>
      <c r="EY34">
        <v>0</v>
      </c>
      <c r="EZ34">
        <v>0</v>
      </c>
      <c r="FA34">
        <v>1</v>
      </c>
      <c r="FB34">
        <v>0</v>
      </c>
      <c r="FC34">
        <v>0</v>
      </c>
      <c r="FD34">
        <v>0</v>
      </c>
      <c r="FE34">
        <v>0</v>
      </c>
      <c r="FH34">
        <v>83525412</v>
      </c>
      <c r="FI34" t="s">
        <v>490</v>
      </c>
      <c r="FJ34" s="1">
        <v>45758.704606481479</v>
      </c>
      <c r="FM34" t="s">
        <v>193</v>
      </c>
      <c r="FO34" t="s">
        <v>469</v>
      </c>
      <c r="FQ34">
        <v>34</v>
      </c>
    </row>
    <row r="35" spans="1:173" x14ac:dyDescent="0.25">
      <c r="A35" s="1">
        <v>45758.480285833342</v>
      </c>
      <c r="B35" s="1">
        <v>45758.496296041667</v>
      </c>
      <c r="C35" t="s">
        <v>195</v>
      </c>
      <c r="D35">
        <v>155</v>
      </c>
      <c r="E35" s="1">
        <v>45739</v>
      </c>
      <c r="F35">
        <v>3</v>
      </c>
      <c r="G35" t="s">
        <v>227</v>
      </c>
      <c r="H35" t="s">
        <v>197</v>
      </c>
      <c r="I35" t="s">
        <v>491</v>
      </c>
      <c r="J35" t="s">
        <v>492</v>
      </c>
      <c r="K35" t="s">
        <v>173</v>
      </c>
      <c r="L35">
        <v>15</v>
      </c>
      <c r="M35" t="s">
        <v>174</v>
      </c>
      <c r="N35">
        <v>0</v>
      </c>
      <c r="O35">
        <v>0</v>
      </c>
      <c r="P35">
        <v>0</v>
      </c>
      <c r="Q35">
        <v>0</v>
      </c>
      <c r="R35" t="s">
        <v>175</v>
      </c>
      <c r="S35">
        <v>43</v>
      </c>
      <c r="T35" t="str">
        <f t="shared" si="0"/>
        <v>41 a 55</v>
      </c>
      <c r="U35" t="s">
        <v>173</v>
      </c>
      <c r="W35" t="s">
        <v>176</v>
      </c>
      <c r="Y35" t="s">
        <v>318</v>
      </c>
      <c r="Z35" t="s">
        <v>239</v>
      </c>
      <c r="AA35" t="s">
        <v>179</v>
      </c>
      <c r="AB35" t="s">
        <v>215</v>
      </c>
      <c r="AC35" t="s">
        <v>202</v>
      </c>
      <c r="AD35" t="s">
        <v>493</v>
      </c>
      <c r="AG35" t="s">
        <v>202</v>
      </c>
      <c r="AH35" t="s">
        <v>204</v>
      </c>
      <c r="AI35">
        <v>0</v>
      </c>
      <c r="AJ35">
        <v>1</v>
      </c>
      <c r="AK35">
        <v>0</v>
      </c>
      <c r="AL35">
        <v>0</v>
      </c>
      <c r="AM35">
        <v>0</v>
      </c>
      <c r="AN35" t="s">
        <v>183</v>
      </c>
      <c r="AO35" t="s">
        <v>192</v>
      </c>
      <c r="AP35" t="s">
        <v>192</v>
      </c>
      <c r="AQ35" t="s">
        <v>192</v>
      </c>
      <c r="AZ35" t="s">
        <v>192</v>
      </c>
      <c r="BW35">
        <f t="shared" si="1"/>
        <v>0</v>
      </c>
      <c r="BY35" t="s">
        <v>192</v>
      </c>
      <c r="CA35" t="s">
        <v>192</v>
      </c>
      <c r="CC35" t="s">
        <v>173</v>
      </c>
      <c r="CD35" t="s">
        <v>186</v>
      </c>
      <c r="CE35" t="s">
        <v>173</v>
      </c>
      <c r="CF35" t="s">
        <v>186</v>
      </c>
      <c r="CG35" t="s">
        <v>192</v>
      </c>
      <c r="CI35" t="s">
        <v>192</v>
      </c>
      <c r="CK35" t="s">
        <v>192</v>
      </c>
      <c r="CM35" t="s">
        <v>173</v>
      </c>
      <c r="CN35" t="s">
        <v>186</v>
      </c>
      <c r="CO35" t="s">
        <v>192</v>
      </c>
      <c r="CQ35" t="s">
        <v>173</v>
      </c>
      <c r="CR35" t="s">
        <v>186</v>
      </c>
      <c r="CS35" t="s">
        <v>192</v>
      </c>
      <c r="CU35" t="s">
        <v>192</v>
      </c>
      <c r="CW35" t="s">
        <v>192</v>
      </c>
      <c r="CY35" t="s">
        <v>173</v>
      </c>
      <c r="CZ35" t="s">
        <v>185</v>
      </c>
      <c r="DA35" t="s">
        <v>192</v>
      </c>
      <c r="DC35" t="s">
        <v>192</v>
      </c>
      <c r="DE35" t="s">
        <v>192</v>
      </c>
      <c r="DH35" t="s">
        <v>173</v>
      </c>
      <c r="DI35" t="s">
        <v>186</v>
      </c>
      <c r="DJ35" t="s">
        <v>192</v>
      </c>
      <c r="DL35" t="s">
        <v>192</v>
      </c>
      <c r="DO35" t="s">
        <v>192</v>
      </c>
      <c r="DR35" t="s">
        <v>192</v>
      </c>
      <c r="DU35" t="s">
        <v>192</v>
      </c>
      <c r="DX35" t="s">
        <v>192</v>
      </c>
      <c r="EA35" t="s">
        <v>173</v>
      </c>
      <c r="EB35" t="s">
        <v>173</v>
      </c>
      <c r="EC35" t="s">
        <v>188</v>
      </c>
      <c r="ED35" t="s">
        <v>173</v>
      </c>
      <c r="EE35" t="s">
        <v>173</v>
      </c>
      <c r="EF35" t="s">
        <v>188</v>
      </c>
      <c r="EG35" t="s">
        <v>192</v>
      </c>
      <c r="EJ35" t="s">
        <v>192</v>
      </c>
      <c r="EM35" t="s">
        <v>192</v>
      </c>
      <c r="EQ35" t="s">
        <v>494</v>
      </c>
      <c r="ET35" t="s">
        <v>173</v>
      </c>
      <c r="EU35" t="s">
        <v>173</v>
      </c>
      <c r="EV35" t="s">
        <v>223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1</v>
      </c>
      <c r="FF35" t="s">
        <v>495</v>
      </c>
      <c r="FG35" t="s">
        <v>496</v>
      </c>
      <c r="FH35">
        <v>83525415</v>
      </c>
      <c r="FI35" t="s">
        <v>497</v>
      </c>
      <c r="FJ35" s="1">
        <v>45758.704629629632</v>
      </c>
      <c r="FM35" t="s">
        <v>193</v>
      </c>
      <c r="FO35" t="s">
        <v>194</v>
      </c>
      <c r="FQ35">
        <v>35</v>
      </c>
    </row>
    <row r="36" spans="1:173" x14ac:dyDescent="0.25">
      <c r="A36" s="1">
        <v>45758.496264918977</v>
      </c>
      <c r="B36" s="1">
        <v>45758.502660381942</v>
      </c>
      <c r="C36" t="s">
        <v>334</v>
      </c>
      <c r="D36">
        <v>106</v>
      </c>
      <c r="E36" s="1">
        <v>45738</v>
      </c>
      <c r="F36">
        <v>1</v>
      </c>
      <c r="G36" t="s">
        <v>438</v>
      </c>
      <c r="H36" t="s">
        <v>171</v>
      </c>
      <c r="I36" t="s">
        <v>498</v>
      </c>
      <c r="J36" t="s">
        <v>499</v>
      </c>
      <c r="K36" t="s">
        <v>173</v>
      </c>
      <c r="L36">
        <v>3</v>
      </c>
      <c r="M36" t="s">
        <v>174</v>
      </c>
      <c r="N36">
        <v>0</v>
      </c>
      <c r="O36">
        <v>0</v>
      </c>
      <c r="P36">
        <v>0</v>
      </c>
      <c r="Q36">
        <v>0</v>
      </c>
      <c r="R36" t="s">
        <v>175</v>
      </c>
      <c r="S36">
        <v>18</v>
      </c>
      <c r="T36" t="str">
        <f t="shared" si="0"/>
        <v>18 a 25</v>
      </c>
      <c r="U36" t="s">
        <v>173</v>
      </c>
      <c r="W36" t="s">
        <v>176</v>
      </c>
      <c r="Y36" t="s">
        <v>200</v>
      </c>
      <c r="Z36" t="s">
        <v>178</v>
      </c>
      <c r="AA36" t="s">
        <v>179</v>
      </c>
      <c r="AB36" t="s">
        <v>189</v>
      </c>
      <c r="AC36" t="s">
        <v>202</v>
      </c>
      <c r="AD36" t="s">
        <v>500</v>
      </c>
      <c r="AG36" t="s">
        <v>202</v>
      </c>
      <c r="AH36" t="s">
        <v>232</v>
      </c>
      <c r="AI36">
        <v>0</v>
      </c>
      <c r="AJ36">
        <v>0</v>
      </c>
      <c r="AK36">
        <v>1</v>
      </c>
      <c r="AL36">
        <v>0</v>
      </c>
      <c r="AM36">
        <v>0</v>
      </c>
      <c r="AN36" t="s">
        <v>205</v>
      </c>
      <c r="AO36" t="s">
        <v>192</v>
      </c>
      <c r="AP36" t="s">
        <v>192</v>
      </c>
      <c r="AQ36" t="s">
        <v>192</v>
      </c>
      <c r="AZ36" t="s">
        <v>192</v>
      </c>
      <c r="BW36">
        <f t="shared" si="1"/>
        <v>0</v>
      </c>
      <c r="BY36" t="s">
        <v>173</v>
      </c>
      <c r="BZ36" t="s">
        <v>186</v>
      </c>
      <c r="CA36" t="s">
        <v>192</v>
      </c>
      <c r="CC36" t="s">
        <v>192</v>
      </c>
      <c r="CE36" t="s">
        <v>192</v>
      </c>
      <c r="CG36" t="s">
        <v>192</v>
      </c>
      <c r="CI36" t="s">
        <v>192</v>
      </c>
      <c r="CK36" t="s">
        <v>173</v>
      </c>
      <c r="CL36" t="s">
        <v>186</v>
      </c>
      <c r="CM36" t="s">
        <v>173</v>
      </c>
      <c r="CN36" t="s">
        <v>185</v>
      </c>
      <c r="CO36" t="s">
        <v>192</v>
      </c>
      <c r="CQ36" t="s">
        <v>173</v>
      </c>
      <c r="CR36" t="s">
        <v>185</v>
      </c>
      <c r="CS36" t="s">
        <v>192</v>
      </c>
      <c r="CU36" t="s">
        <v>192</v>
      </c>
      <c r="CW36" t="s">
        <v>192</v>
      </c>
      <c r="CY36" t="s">
        <v>192</v>
      </c>
      <c r="DA36" t="s">
        <v>192</v>
      </c>
      <c r="DC36" t="s">
        <v>173</v>
      </c>
      <c r="DD36" t="s">
        <v>185</v>
      </c>
      <c r="DE36" t="s">
        <v>192</v>
      </c>
      <c r="DH36" t="s">
        <v>173</v>
      </c>
      <c r="DI36" t="s">
        <v>186</v>
      </c>
      <c r="DJ36" t="s">
        <v>192</v>
      </c>
      <c r="DL36" t="s">
        <v>173</v>
      </c>
      <c r="DM36" t="s">
        <v>173</v>
      </c>
      <c r="DN36" t="s">
        <v>188</v>
      </c>
      <c r="DO36" t="s">
        <v>173</v>
      </c>
      <c r="DP36" t="s">
        <v>173</v>
      </c>
      <c r="DQ36" t="s">
        <v>191</v>
      </c>
      <c r="DR36" t="s">
        <v>192</v>
      </c>
      <c r="DU36" t="s">
        <v>173</v>
      </c>
      <c r="DV36" t="s">
        <v>173</v>
      </c>
      <c r="DW36" t="s">
        <v>191</v>
      </c>
      <c r="DX36" t="s">
        <v>192</v>
      </c>
      <c r="EA36" t="s">
        <v>192</v>
      </c>
      <c r="ED36" t="s">
        <v>192</v>
      </c>
      <c r="EG36" t="s">
        <v>173</v>
      </c>
      <c r="EH36" t="s">
        <v>173</v>
      </c>
      <c r="EI36" t="s">
        <v>191</v>
      </c>
      <c r="EJ36" t="s">
        <v>192</v>
      </c>
      <c r="EM36" t="s">
        <v>192</v>
      </c>
      <c r="EQ36" t="s">
        <v>501</v>
      </c>
      <c r="ET36" t="s">
        <v>173</v>
      </c>
      <c r="EU36" t="s">
        <v>173</v>
      </c>
      <c r="EV36" t="s">
        <v>223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1</v>
      </c>
      <c r="FF36" t="s">
        <v>332</v>
      </c>
      <c r="FH36">
        <v>83526554</v>
      </c>
      <c r="FI36" t="s">
        <v>502</v>
      </c>
      <c r="FJ36" s="1">
        <v>45758.711006944453</v>
      </c>
      <c r="FM36" t="s">
        <v>193</v>
      </c>
      <c r="FO36" t="s">
        <v>469</v>
      </c>
      <c r="FQ36">
        <v>36</v>
      </c>
    </row>
    <row r="37" spans="1:173" x14ac:dyDescent="0.25">
      <c r="A37" s="1">
        <v>45758.496296597223</v>
      </c>
      <c r="B37" s="1">
        <v>45758.505106701392</v>
      </c>
      <c r="C37" t="s">
        <v>195</v>
      </c>
      <c r="D37">
        <v>154</v>
      </c>
      <c r="E37" s="1">
        <v>45739</v>
      </c>
      <c r="F37">
        <v>3</v>
      </c>
      <c r="G37" t="s">
        <v>227</v>
      </c>
      <c r="H37" t="s">
        <v>197</v>
      </c>
      <c r="I37" t="s">
        <v>503</v>
      </c>
      <c r="J37" t="s">
        <v>504</v>
      </c>
      <c r="K37" t="s">
        <v>173</v>
      </c>
      <c r="L37">
        <v>20</v>
      </c>
      <c r="M37" t="s">
        <v>174</v>
      </c>
      <c r="N37">
        <v>0</v>
      </c>
      <c r="O37">
        <v>0</v>
      </c>
      <c r="P37">
        <v>0</v>
      </c>
      <c r="Q37">
        <v>0</v>
      </c>
      <c r="R37" t="s">
        <v>175</v>
      </c>
      <c r="S37">
        <v>59</v>
      </c>
      <c r="T37" t="str">
        <f t="shared" si="0"/>
        <v>56 a más</v>
      </c>
      <c r="U37" t="s">
        <v>173</v>
      </c>
      <c r="W37" t="s">
        <v>176</v>
      </c>
      <c r="Y37" t="s">
        <v>200</v>
      </c>
      <c r="Z37" t="s">
        <v>239</v>
      </c>
      <c r="AA37" t="s">
        <v>179</v>
      </c>
      <c r="AB37" t="s">
        <v>215</v>
      </c>
      <c r="AC37" t="s">
        <v>202</v>
      </c>
      <c r="AD37" t="s">
        <v>505</v>
      </c>
      <c r="AG37" t="s">
        <v>202</v>
      </c>
      <c r="AH37" t="s">
        <v>204</v>
      </c>
      <c r="AI37">
        <v>0</v>
      </c>
      <c r="AJ37">
        <v>1</v>
      </c>
      <c r="AK37">
        <v>0</v>
      </c>
      <c r="AL37">
        <v>0</v>
      </c>
      <c r="AM37">
        <v>0</v>
      </c>
      <c r="AN37" t="s">
        <v>297</v>
      </c>
      <c r="AO37" t="s">
        <v>192</v>
      </c>
      <c r="AP37" t="s">
        <v>192</v>
      </c>
      <c r="AQ37" t="s">
        <v>192</v>
      </c>
      <c r="AZ37" t="s">
        <v>192</v>
      </c>
      <c r="BW37">
        <f t="shared" si="1"/>
        <v>0</v>
      </c>
      <c r="BY37" t="s">
        <v>192</v>
      </c>
      <c r="CA37" t="s">
        <v>192</v>
      </c>
      <c r="CC37" t="s">
        <v>173</v>
      </c>
      <c r="CD37" t="s">
        <v>186</v>
      </c>
      <c r="CE37" t="s">
        <v>173</v>
      </c>
      <c r="CF37" t="s">
        <v>186</v>
      </c>
      <c r="CG37" t="s">
        <v>192</v>
      </c>
      <c r="CI37" t="s">
        <v>173</v>
      </c>
      <c r="CJ37" t="s">
        <v>186</v>
      </c>
      <c r="CK37" t="s">
        <v>173</v>
      </c>
      <c r="CL37" t="s">
        <v>186</v>
      </c>
      <c r="CM37" t="s">
        <v>192</v>
      </c>
      <c r="CO37" t="s">
        <v>192</v>
      </c>
      <c r="CQ37" t="s">
        <v>192</v>
      </c>
      <c r="CS37" t="s">
        <v>192</v>
      </c>
      <c r="CU37" t="s">
        <v>173</v>
      </c>
      <c r="CV37" t="s">
        <v>186</v>
      </c>
      <c r="CW37" t="s">
        <v>192</v>
      </c>
      <c r="CY37" t="s">
        <v>192</v>
      </c>
      <c r="DA37" t="s">
        <v>192</v>
      </c>
      <c r="DC37" t="s">
        <v>173</v>
      </c>
      <c r="DD37" t="s">
        <v>186</v>
      </c>
      <c r="DE37" t="s">
        <v>192</v>
      </c>
      <c r="DH37" t="s">
        <v>173</v>
      </c>
      <c r="DI37" t="s">
        <v>187</v>
      </c>
      <c r="DJ37" t="s">
        <v>173</v>
      </c>
      <c r="DL37" t="s">
        <v>192</v>
      </c>
      <c r="DO37" t="s">
        <v>192</v>
      </c>
      <c r="DR37" t="s">
        <v>192</v>
      </c>
      <c r="DU37" t="s">
        <v>192</v>
      </c>
      <c r="DX37" t="s">
        <v>192</v>
      </c>
      <c r="EA37" t="s">
        <v>173</v>
      </c>
      <c r="EB37" t="s">
        <v>173</v>
      </c>
      <c r="EC37" t="s">
        <v>188</v>
      </c>
      <c r="ED37" t="s">
        <v>173</v>
      </c>
      <c r="EE37" t="s">
        <v>173</v>
      </c>
      <c r="EF37" t="s">
        <v>188</v>
      </c>
      <c r="EG37" t="s">
        <v>173</v>
      </c>
      <c r="EH37" t="s">
        <v>173</v>
      </c>
      <c r="EI37" t="s">
        <v>188</v>
      </c>
      <c r="EJ37" t="s">
        <v>192</v>
      </c>
      <c r="EM37" t="s">
        <v>192</v>
      </c>
      <c r="EQ37" t="s">
        <v>506</v>
      </c>
      <c r="ET37" t="s">
        <v>173</v>
      </c>
      <c r="EU37" t="s">
        <v>173</v>
      </c>
      <c r="EV37" t="s">
        <v>277</v>
      </c>
      <c r="EW37">
        <v>0</v>
      </c>
      <c r="EX37">
        <v>0</v>
      </c>
      <c r="EY37">
        <v>1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G37" t="s">
        <v>507</v>
      </c>
      <c r="FH37">
        <v>83527099</v>
      </c>
      <c r="FI37" t="s">
        <v>508</v>
      </c>
      <c r="FJ37" s="1">
        <v>45758.713437500002</v>
      </c>
      <c r="FM37" t="s">
        <v>193</v>
      </c>
      <c r="FO37" t="s">
        <v>194</v>
      </c>
      <c r="FQ37">
        <v>37</v>
      </c>
    </row>
    <row r="38" spans="1:173" x14ac:dyDescent="0.25">
      <c r="A38" s="1">
        <v>45758.505107141202</v>
      </c>
      <c r="B38" s="1">
        <v>45758.520875092603</v>
      </c>
      <c r="C38" t="s">
        <v>195</v>
      </c>
      <c r="D38">
        <v>153</v>
      </c>
      <c r="E38" s="1">
        <v>45739</v>
      </c>
      <c r="F38">
        <v>3</v>
      </c>
      <c r="G38" t="s">
        <v>509</v>
      </c>
      <c r="H38" t="s">
        <v>197</v>
      </c>
      <c r="I38" t="s">
        <v>510</v>
      </c>
      <c r="J38" t="s">
        <v>511</v>
      </c>
      <c r="K38" t="s">
        <v>173</v>
      </c>
      <c r="L38">
        <v>16</v>
      </c>
      <c r="M38" t="s">
        <v>174</v>
      </c>
      <c r="N38">
        <v>0</v>
      </c>
      <c r="O38">
        <v>0</v>
      </c>
      <c r="P38">
        <v>0</v>
      </c>
      <c r="Q38">
        <v>0</v>
      </c>
      <c r="R38" t="s">
        <v>251</v>
      </c>
      <c r="S38">
        <v>16</v>
      </c>
      <c r="T38" t="str">
        <f t="shared" si="0"/>
        <v>18 a 25</v>
      </c>
      <c r="U38" t="s">
        <v>173</v>
      </c>
      <c r="W38" t="s">
        <v>176</v>
      </c>
      <c r="Y38" t="s">
        <v>214</v>
      </c>
      <c r="Z38" t="s">
        <v>178</v>
      </c>
      <c r="AA38" t="s">
        <v>240</v>
      </c>
      <c r="AB38" t="s">
        <v>215</v>
      </c>
      <c r="AC38" t="s">
        <v>216</v>
      </c>
      <c r="AD38" t="s">
        <v>306</v>
      </c>
      <c r="AE38" t="s">
        <v>512</v>
      </c>
      <c r="AF38" t="s">
        <v>513</v>
      </c>
      <c r="AG38" t="s">
        <v>181</v>
      </c>
      <c r="AH38" t="s">
        <v>232</v>
      </c>
      <c r="AI38">
        <v>0</v>
      </c>
      <c r="AJ38">
        <v>0</v>
      </c>
      <c r="AK38">
        <v>1</v>
      </c>
      <c r="AL38">
        <v>0</v>
      </c>
      <c r="AM38">
        <v>0</v>
      </c>
      <c r="AN38" t="s">
        <v>183</v>
      </c>
      <c r="AO38" t="s">
        <v>192</v>
      </c>
      <c r="AP38" t="s">
        <v>173</v>
      </c>
      <c r="AQ38" t="s">
        <v>173</v>
      </c>
      <c r="AR38" t="s">
        <v>308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Z38" t="s">
        <v>192</v>
      </c>
      <c r="BW38">
        <f t="shared" si="1"/>
        <v>0</v>
      </c>
      <c r="BY38" t="s">
        <v>192</v>
      </c>
      <c r="CA38" t="s">
        <v>192</v>
      </c>
      <c r="CC38" t="s">
        <v>173</v>
      </c>
      <c r="CD38" t="s">
        <v>186</v>
      </c>
      <c r="CE38" t="s">
        <v>173</v>
      </c>
      <c r="CF38" t="s">
        <v>186</v>
      </c>
      <c r="CG38" t="s">
        <v>192</v>
      </c>
      <c r="CI38" t="s">
        <v>173</v>
      </c>
      <c r="CJ38" t="s">
        <v>185</v>
      </c>
      <c r="CK38" t="s">
        <v>173</v>
      </c>
      <c r="CL38" t="s">
        <v>187</v>
      </c>
      <c r="CM38" t="s">
        <v>173</v>
      </c>
      <c r="CN38" t="s">
        <v>185</v>
      </c>
      <c r="CO38" t="s">
        <v>173</v>
      </c>
      <c r="CP38" t="s">
        <v>185</v>
      </c>
      <c r="CQ38" t="s">
        <v>173</v>
      </c>
      <c r="CR38" t="s">
        <v>185</v>
      </c>
      <c r="CS38" t="s">
        <v>173</v>
      </c>
      <c r="CT38" t="s">
        <v>185</v>
      </c>
      <c r="CU38" t="s">
        <v>173</v>
      </c>
      <c r="CV38" t="s">
        <v>186</v>
      </c>
      <c r="CW38" t="s">
        <v>173</v>
      </c>
      <c r="CX38" t="s">
        <v>186</v>
      </c>
      <c r="CY38" t="s">
        <v>173</v>
      </c>
      <c r="CZ38" t="s">
        <v>186</v>
      </c>
      <c r="DA38" t="s">
        <v>192</v>
      </c>
      <c r="DC38" t="s">
        <v>173</v>
      </c>
      <c r="DD38" t="s">
        <v>186</v>
      </c>
      <c r="DE38" t="s">
        <v>192</v>
      </c>
      <c r="DH38" t="s">
        <v>173</v>
      </c>
      <c r="DI38" t="s">
        <v>187</v>
      </c>
      <c r="DJ38" t="s">
        <v>173</v>
      </c>
      <c r="DL38" t="s">
        <v>173</v>
      </c>
      <c r="DM38" t="s">
        <v>192</v>
      </c>
      <c r="DO38" t="s">
        <v>173</v>
      </c>
      <c r="DP38" t="s">
        <v>192</v>
      </c>
      <c r="DR38" t="s">
        <v>192</v>
      </c>
      <c r="DU38" t="s">
        <v>173</v>
      </c>
      <c r="DV38" t="s">
        <v>173</v>
      </c>
      <c r="DW38" t="s">
        <v>191</v>
      </c>
      <c r="DX38" t="s">
        <v>192</v>
      </c>
      <c r="EA38" t="s">
        <v>173</v>
      </c>
      <c r="EB38" t="s">
        <v>192</v>
      </c>
      <c r="ED38" t="s">
        <v>173</v>
      </c>
      <c r="EE38" t="s">
        <v>192</v>
      </c>
      <c r="EG38" t="s">
        <v>173</v>
      </c>
      <c r="EH38" t="s">
        <v>173</v>
      </c>
      <c r="EI38" t="s">
        <v>191</v>
      </c>
      <c r="EJ38" t="s">
        <v>173</v>
      </c>
      <c r="EK38" t="s">
        <v>192</v>
      </c>
      <c r="EM38" t="s">
        <v>192</v>
      </c>
      <c r="EQ38" t="s">
        <v>348</v>
      </c>
      <c r="ER38" t="s">
        <v>405</v>
      </c>
      <c r="ES38" t="s">
        <v>514</v>
      </c>
      <c r="ET38" t="s">
        <v>173</v>
      </c>
      <c r="EU38" t="s">
        <v>173</v>
      </c>
      <c r="EV38" t="s">
        <v>247</v>
      </c>
      <c r="EW38">
        <v>0</v>
      </c>
      <c r="EX38">
        <v>1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G38" t="s">
        <v>515</v>
      </c>
      <c r="FH38">
        <v>83529163</v>
      </c>
      <c r="FI38" t="s">
        <v>516</v>
      </c>
      <c r="FJ38" s="1">
        <v>45758.729201388887</v>
      </c>
      <c r="FM38" t="s">
        <v>193</v>
      </c>
      <c r="FO38" t="s">
        <v>194</v>
      </c>
      <c r="FQ38">
        <v>38</v>
      </c>
    </row>
    <row r="39" spans="1:173" x14ac:dyDescent="0.25">
      <c r="A39" s="1">
        <v>45758.447853043981</v>
      </c>
      <c r="B39" s="1">
        <v>45758.549825185182</v>
      </c>
      <c r="C39" t="s">
        <v>226</v>
      </c>
      <c r="D39">
        <v>73</v>
      </c>
      <c r="E39" s="1">
        <v>45738</v>
      </c>
      <c r="F39">
        <v>3</v>
      </c>
      <c r="G39" t="s">
        <v>172</v>
      </c>
      <c r="H39" t="s">
        <v>228</v>
      </c>
      <c r="I39" t="s">
        <v>517</v>
      </c>
      <c r="J39" t="s">
        <v>518</v>
      </c>
      <c r="K39" t="s">
        <v>173</v>
      </c>
      <c r="L39">
        <v>30</v>
      </c>
      <c r="M39" t="s">
        <v>174</v>
      </c>
      <c r="N39">
        <v>0</v>
      </c>
      <c r="O39">
        <v>0</v>
      </c>
      <c r="P39">
        <v>0</v>
      </c>
      <c r="Q39">
        <v>0</v>
      </c>
      <c r="R39" t="s">
        <v>251</v>
      </c>
      <c r="S39">
        <v>55</v>
      </c>
      <c r="T39" t="str">
        <f t="shared" si="0"/>
        <v>41 a 55</v>
      </c>
      <c r="U39" t="s">
        <v>173</v>
      </c>
      <c r="W39" t="s">
        <v>176</v>
      </c>
      <c r="Y39" t="s">
        <v>214</v>
      </c>
      <c r="Z39" t="s">
        <v>239</v>
      </c>
      <c r="AA39" t="s">
        <v>240</v>
      </c>
      <c r="AB39" t="s">
        <v>215</v>
      </c>
      <c r="AC39" t="s">
        <v>216</v>
      </c>
      <c r="AD39" t="s">
        <v>519</v>
      </c>
      <c r="AG39" t="s">
        <v>216</v>
      </c>
      <c r="AH39" t="s">
        <v>287</v>
      </c>
      <c r="AI39">
        <v>0</v>
      </c>
      <c r="AJ39">
        <v>0</v>
      </c>
      <c r="AK39">
        <v>0</v>
      </c>
      <c r="AL39">
        <v>0</v>
      </c>
      <c r="AM39">
        <v>1</v>
      </c>
      <c r="AN39" t="s">
        <v>297</v>
      </c>
      <c r="AO39" t="s">
        <v>192</v>
      </c>
      <c r="AP39" t="s">
        <v>192</v>
      </c>
      <c r="AQ39" t="s">
        <v>192</v>
      </c>
      <c r="AZ39" t="s">
        <v>192</v>
      </c>
      <c r="BW39">
        <f t="shared" si="1"/>
        <v>0</v>
      </c>
      <c r="BY39" t="s">
        <v>173</v>
      </c>
      <c r="BZ39" t="s">
        <v>185</v>
      </c>
      <c r="CA39" t="s">
        <v>192</v>
      </c>
      <c r="CC39" t="s">
        <v>173</v>
      </c>
      <c r="CD39" t="s">
        <v>187</v>
      </c>
      <c r="CE39" t="s">
        <v>192</v>
      </c>
      <c r="CG39" t="s">
        <v>173</v>
      </c>
      <c r="CH39" t="s">
        <v>186</v>
      </c>
      <c r="CI39" t="s">
        <v>192</v>
      </c>
      <c r="CK39" t="s">
        <v>173</v>
      </c>
      <c r="CL39" t="s">
        <v>186</v>
      </c>
      <c r="CM39" t="s">
        <v>192</v>
      </c>
      <c r="CO39" t="s">
        <v>192</v>
      </c>
      <c r="CQ39" t="s">
        <v>192</v>
      </c>
      <c r="CS39" t="s">
        <v>192</v>
      </c>
      <c r="CU39" t="s">
        <v>192</v>
      </c>
      <c r="CW39" t="s">
        <v>192</v>
      </c>
      <c r="CY39" t="s">
        <v>173</v>
      </c>
      <c r="CZ39" t="s">
        <v>187</v>
      </c>
      <c r="DA39" t="s">
        <v>192</v>
      </c>
      <c r="DC39" t="s">
        <v>192</v>
      </c>
      <c r="DE39" t="s">
        <v>192</v>
      </c>
      <c r="DH39" t="s">
        <v>173</v>
      </c>
      <c r="DI39" t="s">
        <v>186</v>
      </c>
      <c r="DJ39" t="s">
        <v>192</v>
      </c>
      <c r="DL39" t="s">
        <v>173</v>
      </c>
      <c r="DM39" t="s">
        <v>192</v>
      </c>
      <c r="DO39" t="s">
        <v>192</v>
      </c>
      <c r="DR39" t="s">
        <v>173</v>
      </c>
      <c r="DS39" t="s">
        <v>192</v>
      </c>
      <c r="DU39" t="s">
        <v>173</v>
      </c>
      <c r="DV39" t="s">
        <v>173</v>
      </c>
      <c r="DW39" t="s">
        <v>191</v>
      </c>
      <c r="DX39" t="s">
        <v>192</v>
      </c>
      <c r="EA39" t="s">
        <v>192</v>
      </c>
      <c r="ED39" t="s">
        <v>173</v>
      </c>
      <c r="EE39" t="s">
        <v>173</v>
      </c>
      <c r="EF39" t="s">
        <v>188</v>
      </c>
      <c r="EG39" t="s">
        <v>173</v>
      </c>
      <c r="EH39" t="s">
        <v>192</v>
      </c>
      <c r="EJ39" t="s">
        <v>192</v>
      </c>
      <c r="EM39" t="s">
        <v>192</v>
      </c>
      <c r="EQ39" t="s">
        <v>348</v>
      </c>
      <c r="ET39" t="s">
        <v>173</v>
      </c>
      <c r="EU39" t="s">
        <v>173</v>
      </c>
      <c r="EV39" t="s">
        <v>223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1</v>
      </c>
      <c r="FF39" t="s">
        <v>520</v>
      </c>
      <c r="FH39">
        <v>83532270</v>
      </c>
      <c r="FI39" t="s">
        <v>521</v>
      </c>
      <c r="FJ39" s="1">
        <v>45758.758171296293</v>
      </c>
      <c r="FM39" t="s">
        <v>193</v>
      </c>
      <c r="FO39" t="s">
        <v>194</v>
      </c>
      <c r="FQ39">
        <v>39</v>
      </c>
    </row>
    <row r="40" spans="1:173" x14ac:dyDescent="0.25">
      <c r="A40" s="1">
        <v>45758.520875543982</v>
      </c>
      <c r="B40" s="1">
        <v>45758.559346712973</v>
      </c>
      <c r="C40" t="s">
        <v>195</v>
      </c>
      <c r="D40">
        <v>152</v>
      </c>
      <c r="E40" s="1">
        <v>45739</v>
      </c>
      <c r="F40">
        <v>3</v>
      </c>
      <c r="G40" t="s">
        <v>280</v>
      </c>
      <c r="H40" t="s">
        <v>197</v>
      </c>
      <c r="I40" t="s">
        <v>522</v>
      </c>
      <c r="J40" t="s">
        <v>523</v>
      </c>
      <c r="K40" t="s">
        <v>173</v>
      </c>
      <c r="L40">
        <v>10</v>
      </c>
      <c r="M40" t="s">
        <v>174</v>
      </c>
      <c r="N40">
        <v>0</v>
      </c>
      <c r="O40">
        <v>0</v>
      </c>
      <c r="P40">
        <v>0</v>
      </c>
      <c r="Q40">
        <v>0</v>
      </c>
      <c r="R40" t="s">
        <v>251</v>
      </c>
      <c r="S40">
        <v>10</v>
      </c>
      <c r="T40" t="str">
        <f t="shared" si="0"/>
        <v>18 a 25</v>
      </c>
      <c r="U40" t="s">
        <v>173</v>
      </c>
      <c r="W40" t="s">
        <v>238</v>
      </c>
      <c r="Y40" t="s">
        <v>214</v>
      </c>
      <c r="Z40" t="s">
        <v>178</v>
      </c>
      <c r="AA40" t="s">
        <v>179</v>
      </c>
      <c r="AB40" t="s">
        <v>215</v>
      </c>
      <c r="AC40" t="s">
        <v>216</v>
      </c>
      <c r="AD40" t="s">
        <v>524</v>
      </c>
      <c r="AE40" t="s">
        <v>525</v>
      </c>
      <c r="AG40" t="s">
        <v>216</v>
      </c>
      <c r="AH40" t="s">
        <v>266</v>
      </c>
      <c r="AI40">
        <v>0</v>
      </c>
      <c r="AJ40">
        <v>0</v>
      </c>
      <c r="AK40">
        <v>0</v>
      </c>
      <c r="AL40">
        <v>1</v>
      </c>
      <c r="AM40">
        <v>0</v>
      </c>
      <c r="AN40" t="s">
        <v>297</v>
      </c>
      <c r="AO40" t="s">
        <v>192</v>
      </c>
      <c r="AP40" t="s">
        <v>192</v>
      </c>
      <c r="AQ40" t="s">
        <v>192</v>
      </c>
      <c r="AZ40" t="s">
        <v>192</v>
      </c>
      <c r="BW40">
        <f t="shared" si="1"/>
        <v>0</v>
      </c>
      <c r="BY40" t="s">
        <v>173</v>
      </c>
      <c r="BZ40" t="s">
        <v>186</v>
      </c>
      <c r="CA40" t="s">
        <v>192</v>
      </c>
      <c r="CC40" t="s">
        <v>173</v>
      </c>
      <c r="CD40" t="s">
        <v>186</v>
      </c>
      <c r="CE40" t="s">
        <v>173</v>
      </c>
      <c r="CF40" t="s">
        <v>185</v>
      </c>
      <c r="CG40" t="s">
        <v>192</v>
      </c>
      <c r="CI40" t="s">
        <v>192</v>
      </c>
      <c r="CK40" t="s">
        <v>192</v>
      </c>
      <c r="CM40" t="s">
        <v>173</v>
      </c>
      <c r="CN40" t="s">
        <v>185</v>
      </c>
      <c r="CO40" t="s">
        <v>192</v>
      </c>
      <c r="CQ40" t="s">
        <v>192</v>
      </c>
      <c r="CS40" t="s">
        <v>192</v>
      </c>
      <c r="CU40" t="s">
        <v>192</v>
      </c>
      <c r="CW40" t="s">
        <v>173</v>
      </c>
      <c r="CX40" t="s">
        <v>185</v>
      </c>
      <c r="CY40" t="s">
        <v>173</v>
      </c>
      <c r="CZ40" t="s">
        <v>185</v>
      </c>
      <c r="DA40" t="s">
        <v>192</v>
      </c>
      <c r="DC40" t="s">
        <v>192</v>
      </c>
      <c r="DE40" t="s">
        <v>192</v>
      </c>
      <c r="DH40" t="s">
        <v>173</v>
      </c>
      <c r="DI40" t="s">
        <v>187</v>
      </c>
      <c r="DJ40" t="s">
        <v>173</v>
      </c>
      <c r="DL40" t="s">
        <v>192</v>
      </c>
      <c r="DO40" t="s">
        <v>192</v>
      </c>
      <c r="DR40" t="s">
        <v>192</v>
      </c>
      <c r="DU40" t="s">
        <v>173</v>
      </c>
      <c r="DV40" t="s">
        <v>192</v>
      </c>
      <c r="DX40" t="s">
        <v>192</v>
      </c>
      <c r="EA40" t="s">
        <v>192</v>
      </c>
      <c r="ED40" t="s">
        <v>173</v>
      </c>
      <c r="EE40" t="s">
        <v>192</v>
      </c>
      <c r="EG40" t="s">
        <v>173</v>
      </c>
      <c r="EH40" t="s">
        <v>173</v>
      </c>
      <c r="EI40" t="s">
        <v>188</v>
      </c>
      <c r="EJ40" t="s">
        <v>173</v>
      </c>
      <c r="EK40" t="s">
        <v>192</v>
      </c>
      <c r="EM40" t="s">
        <v>192</v>
      </c>
      <c r="EQ40" t="s">
        <v>526</v>
      </c>
      <c r="ER40" t="s">
        <v>527</v>
      </c>
      <c r="ES40" t="s">
        <v>528</v>
      </c>
      <c r="ET40" t="s">
        <v>173</v>
      </c>
      <c r="EU40" t="s">
        <v>173</v>
      </c>
      <c r="EV40" t="s">
        <v>529</v>
      </c>
      <c r="EW40">
        <v>0</v>
      </c>
      <c r="EX40">
        <v>0</v>
      </c>
      <c r="EY40">
        <v>1</v>
      </c>
      <c r="EZ40">
        <v>0</v>
      </c>
      <c r="FA40">
        <v>0</v>
      </c>
      <c r="FB40">
        <v>0</v>
      </c>
      <c r="FC40">
        <v>1</v>
      </c>
      <c r="FD40">
        <v>0</v>
      </c>
      <c r="FE40">
        <v>0</v>
      </c>
      <c r="FH40">
        <v>83533178</v>
      </c>
      <c r="FI40" t="s">
        <v>530</v>
      </c>
      <c r="FJ40" s="1">
        <v>45758.767685185187</v>
      </c>
      <c r="FM40" t="s">
        <v>193</v>
      </c>
      <c r="FO40" t="s">
        <v>194</v>
      </c>
      <c r="FQ40">
        <v>40</v>
      </c>
    </row>
    <row r="41" spans="1:173" x14ac:dyDescent="0.25">
      <c r="A41" s="1">
        <v>45758.549825937502</v>
      </c>
      <c r="B41" s="1">
        <v>45758.594623275458</v>
      </c>
      <c r="C41" t="s">
        <v>226</v>
      </c>
      <c r="D41">
        <v>72</v>
      </c>
      <c r="E41" s="1">
        <v>45738</v>
      </c>
      <c r="F41">
        <v>3</v>
      </c>
      <c r="G41" t="s">
        <v>280</v>
      </c>
      <c r="H41" t="s">
        <v>228</v>
      </c>
      <c r="I41" t="s">
        <v>531</v>
      </c>
      <c r="J41" t="s">
        <v>431</v>
      </c>
      <c r="K41" t="s">
        <v>173</v>
      </c>
      <c r="L41">
        <v>15</v>
      </c>
      <c r="M41" t="s">
        <v>174</v>
      </c>
      <c r="N41">
        <v>0</v>
      </c>
      <c r="O41">
        <v>0</v>
      </c>
      <c r="P41">
        <v>0</v>
      </c>
      <c r="Q41">
        <v>0</v>
      </c>
      <c r="R41" t="s">
        <v>251</v>
      </c>
      <c r="S41">
        <v>15</v>
      </c>
      <c r="T41" t="str">
        <f t="shared" si="0"/>
        <v>18 a 25</v>
      </c>
      <c r="U41" t="s">
        <v>173</v>
      </c>
      <c r="W41" t="s">
        <v>176</v>
      </c>
      <c r="Y41" t="s">
        <v>214</v>
      </c>
      <c r="Z41" t="s">
        <v>178</v>
      </c>
      <c r="AA41" t="s">
        <v>179</v>
      </c>
      <c r="AB41" t="s">
        <v>215</v>
      </c>
      <c r="AC41" t="s">
        <v>339</v>
      </c>
      <c r="AD41" t="s">
        <v>532</v>
      </c>
      <c r="AE41" t="s">
        <v>533</v>
      </c>
      <c r="AG41" t="s">
        <v>216</v>
      </c>
      <c r="AH41" t="s">
        <v>266</v>
      </c>
      <c r="AI41">
        <v>0</v>
      </c>
      <c r="AJ41">
        <v>0</v>
      </c>
      <c r="AK41">
        <v>0</v>
      </c>
      <c r="AL41">
        <v>1</v>
      </c>
      <c r="AM41">
        <v>0</v>
      </c>
      <c r="AN41" t="s">
        <v>183</v>
      </c>
      <c r="AO41" t="s">
        <v>192</v>
      </c>
      <c r="AP41" t="s">
        <v>192</v>
      </c>
      <c r="AQ41" t="s">
        <v>192</v>
      </c>
      <c r="AZ41" t="s">
        <v>192</v>
      </c>
      <c r="BW41">
        <f t="shared" si="1"/>
        <v>0</v>
      </c>
      <c r="BY41" t="s">
        <v>173</v>
      </c>
      <c r="BZ41" t="s">
        <v>185</v>
      </c>
      <c r="CA41" t="s">
        <v>192</v>
      </c>
      <c r="CC41" t="s">
        <v>173</v>
      </c>
      <c r="CD41" t="s">
        <v>186</v>
      </c>
      <c r="CE41" t="s">
        <v>192</v>
      </c>
      <c r="CG41" t="s">
        <v>192</v>
      </c>
      <c r="CI41" t="s">
        <v>173</v>
      </c>
      <c r="CJ41" t="s">
        <v>185</v>
      </c>
      <c r="CK41" t="s">
        <v>173</v>
      </c>
      <c r="CL41" t="s">
        <v>185</v>
      </c>
      <c r="CM41" t="s">
        <v>173</v>
      </c>
      <c r="CN41" t="s">
        <v>186</v>
      </c>
      <c r="CO41" t="s">
        <v>192</v>
      </c>
      <c r="CQ41" t="s">
        <v>173</v>
      </c>
      <c r="CR41" t="s">
        <v>185</v>
      </c>
      <c r="CS41" t="s">
        <v>192</v>
      </c>
      <c r="CU41" t="s">
        <v>192</v>
      </c>
      <c r="CW41" t="s">
        <v>192</v>
      </c>
      <c r="CY41" t="s">
        <v>192</v>
      </c>
      <c r="DA41" t="s">
        <v>192</v>
      </c>
      <c r="DC41" t="s">
        <v>192</v>
      </c>
      <c r="DE41" t="s">
        <v>192</v>
      </c>
      <c r="DH41" t="s">
        <v>173</v>
      </c>
      <c r="DI41" t="s">
        <v>187</v>
      </c>
      <c r="DJ41" t="s">
        <v>173</v>
      </c>
      <c r="DL41" t="s">
        <v>173</v>
      </c>
      <c r="DM41" t="s">
        <v>192</v>
      </c>
      <c r="DO41" t="s">
        <v>173</v>
      </c>
      <c r="DP41" t="s">
        <v>192</v>
      </c>
      <c r="DR41" t="s">
        <v>192</v>
      </c>
      <c r="DU41" t="s">
        <v>173</v>
      </c>
      <c r="DV41" t="s">
        <v>192</v>
      </c>
      <c r="DX41" t="s">
        <v>173</v>
      </c>
      <c r="DY41" t="s">
        <v>192</v>
      </c>
      <c r="EA41" t="s">
        <v>192</v>
      </c>
      <c r="ED41" t="s">
        <v>173</v>
      </c>
      <c r="EE41" t="s">
        <v>192</v>
      </c>
      <c r="EG41" t="s">
        <v>173</v>
      </c>
      <c r="EH41" t="s">
        <v>192</v>
      </c>
      <c r="EJ41" t="s">
        <v>192</v>
      </c>
      <c r="EM41" t="s">
        <v>192</v>
      </c>
      <c r="EQ41" t="s">
        <v>534</v>
      </c>
      <c r="ER41" t="s">
        <v>535</v>
      </c>
      <c r="ET41" t="s">
        <v>173</v>
      </c>
      <c r="EU41" t="s">
        <v>173</v>
      </c>
      <c r="EV41" t="s">
        <v>536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1</v>
      </c>
      <c r="FC41">
        <v>0</v>
      </c>
      <c r="FD41">
        <v>0</v>
      </c>
      <c r="FE41">
        <v>0</v>
      </c>
      <c r="FH41">
        <v>83536032</v>
      </c>
      <c r="FI41" t="s">
        <v>537</v>
      </c>
      <c r="FJ41" s="1">
        <v>45758.802974537037</v>
      </c>
      <c r="FM41" t="s">
        <v>193</v>
      </c>
      <c r="FO41" t="s">
        <v>194</v>
      </c>
      <c r="FQ41">
        <v>41</v>
      </c>
    </row>
    <row r="42" spans="1:173" x14ac:dyDescent="0.25">
      <c r="A42" s="1">
        <v>45758.594623738427</v>
      </c>
      <c r="B42" s="1">
        <v>45758.597406493063</v>
      </c>
      <c r="C42" t="s">
        <v>226</v>
      </c>
      <c r="D42">
        <v>71</v>
      </c>
      <c r="E42" s="1">
        <v>45738</v>
      </c>
      <c r="F42">
        <v>3</v>
      </c>
      <c r="G42" t="s">
        <v>314</v>
      </c>
      <c r="H42" t="s">
        <v>228</v>
      </c>
      <c r="I42" t="s">
        <v>538</v>
      </c>
      <c r="J42" t="s">
        <v>539</v>
      </c>
      <c r="K42" t="s">
        <v>173</v>
      </c>
      <c r="L42">
        <v>14</v>
      </c>
      <c r="M42" t="s">
        <v>174</v>
      </c>
      <c r="N42">
        <v>1</v>
      </c>
      <c r="O42">
        <v>0</v>
      </c>
      <c r="P42">
        <v>0</v>
      </c>
      <c r="Q42">
        <v>0</v>
      </c>
      <c r="R42" t="s">
        <v>251</v>
      </c>
      <c r="S42">
        <v>47</v>
      </c>
      <c r="T42" t="str">
        <f t="shared" si="0"/>
        <v>41 a 55</v>
      </c>
      <c r="U42" t="s">
        <v>173</v>
      </c>
      <c r="W42" t="s">
        <v>238</v>
      </c>
      <c r="Y42" t="s">
        <v>214</v>
      </c>
      <c r="Z42" t="s">
        <v>239</v>
      </c>
      <c r="AA42" t="s">
        <v>179</v>
      </c>
      <c r="AB42" t="s">
        <v>215</v>
      </c>
      <c r="AC42" t="s">
        <v>216</v>
      </c>
      <c r="AD42" t="s">
        <v>540</v>
      </c>
      <c r="AE42" t="s">
        <v>541</v>
      </c>
      <c r="AF42" t="s">
        <v>321</v>
      </c>
      <c r="AG42" t="s">
        <v>202</v>
      </c>
      <c r="AH42" t="s">
        <v>287</v>
      </c>
      <c r="AI42">
        <v>0</v>
      </c>
      <c r="AJ42">
        <v>0</v>
      </c>
      <c r="AK42">
        <v>0</v>
      </c>
      <c r="AL42">
        <v>0</v>
      </c>
      <c r="AM42">
        <v>1</v>
      </c>
      <c r="AN42" t="s">
        <v>183</v>
      </c>
      <c r="AO42" t="s">
        <v>192</v>
      </c>
      <c r="AP42" t="s">
        <v>192</v>
      </c>
      <c r="AQ42" t="s">
        <v>192</v>
      </c>
      <c r="AZ42" t="s">
        <v>192</v>
      </c>
      <c r="BW42">
        <f t="shared" si="1"/>
        <v>0</v>
      </c>
      <c r="BY42" t="s">
        <v>192</v>
      </c>
      <c r="CA42" t="s">
        <v>192</v>
      </c>
      <c r="CC42" t="s">
        <v>173</v>
      </c>
      <c r="CD42" t="s">
        <v>185</v>
      </c>
      <c r="CE42" t="s">
        <v>173</v>
      </c>
      <c r="CF42" t="s">
        <v>185</v>
      </c>
      <c r="CG42" t="s">
        <v>173</v>
      </c>
      <c r="CH42" t="s">
        <v>187</v>
      </c>
      <c r="CI42" t="s">
        <v>192</v>
      </c>
      <c r="CK42" t="s">
        <v>192</v>
      </c>
      <c r="CM42" t="s">
        <v>173</v>
      </c>
      <c r="CN42" t="s">
        <v>186</v>
      </c>
      <c r="CO42" t="s">
        <v>192</v>
      </c>
      <c r="CQ42" t="s">
        <v>173</v>
      </c>
      <c r="CR42" t="s">
        <v>186</v>
      </c>
      <c r="CS42" t="s">
        <v>192</v>
      </c>
      <c r="CU42" t="s">
        <v>192</v>
      </c>
      <c r="CW42" t="s">
        <v>192</v>
      </c>
      <c r="CY42" t="s">
        <v>173</v>
      </c>
      <c r="CZ42" t="s">
        <v>185</v>
      </c>
      <c r="DA42" t="s">
        <v>192</v>
      </c>
      <c r="DC42" t="s">
        <v>192</v>
      </c>
      <c r="DE42" t="s">
        <v>192</v>
      </c>
      <c r="DH42" t="s">
        <v>173</v>
      </c>
      <c r="DI42" t="s">
        <v>186</v>
      </c>
      <c r="DJ42" t="s">
        <v>192</v>
      </c>
      <c r="DL42" t="s">
        <v>192</v>
      </c>
      <c r="DO42" t="s">
        <v>192</v>
      </c>
      <c r="DR42" t="s">
        <v>192</v>
      </c>
      <c r="DU42" t="s">
        <v>192</v>
      </c>
      <c r="DX42" t="s">
        <v>192</v>
      </c>
      <c r="EA42" t="s">
        <v>192</v>
      </c>
      <c r="ED42" t="s">
        <v>173</v>
      </c>
      <c r="EE42" t="s">
        <v>173</v>
      </c>
      <c r="EF42" t="s">
        <v>191</v>
      </c>
      <c r="EG42" t="s">
        <v>192</v>
      </c>
      <c r="EJ42" t="s">
        <v>192</v>
      </c>
      <c r="EM42" t="s">
        <v>173</v>
      </c>
      <c r="EN42" t="s">
        <v>192</v>
      </c>
      <c r="EQ42" t="s">
        <v>309</v>
      </c>
      <c r="ER42" t="s">
        <v>542</v>
      </c>
      <c r="ET42" t="s">
        <v>173</v>
      </c>
      <c r="EU42" t="s">
        <v>173</v>
      </c>
      <c r="EV42" t="s">
        <v>208</v>
      </c>
      <c r="EW42">
        <v>0</v>
      </c>
      <c r="EX42">
        <v>0</v>
      </c>
      <c r="EY42">
        <v>0</v>
      </c>
      <c r="EZ42">
        <v>0</v>
      </c>
      <c r="FA42">
        <v>1</v>
      </c>
      <c r="FB42">
        <v>0</v>
      </c>
      <c r="FC42">
        <v>0</v>
      </c>
      <c r="FD42">
        <v>0</v>
      </c>
      <c r="FE42">
        <v>0</v>
      </c>
      <c r="FH42">
        <v>83536202</v>
      </c>
      <c r="FI42" t="s">
        <v>543</v>
      </c>
      <c r="FJ42" s="1">
        <v>45758.80574074074</v>
      </c>
      <c r="FM42" t="s">
        <v>193</v>
      </c>
      <c r="FO42" t="s">
        <v>194</v>
      </c>
      <c r="FQ42">
        <v>42</v>
      </c>
    </row>
    <row r="43" spans="1:173" x14ac:dyDescent="0.25">
      <c r="A43" s="1">
        <v>45758.559347175928</v>
      </c>
      <c r="B43" s="1">
        <v>45758.599337939813</v>
      </c>
      <c r="C43" t="s">
        <v>195</v>
      </c>
      <c r="D43">
        <v>151</v>
      </c>
      <c r="E43" s="1">
        <v>45739</v>
      </c>
      <c r="F43">
        <v>3</v>
      </c>
      <c r="G43" t="s">
        <v>352</v>
      </c>
      <c r="H43" t="s">
        <v>197</v>
      </c>
      <c r="I43" t="s">
        <v>544</v>
      </c>
      <c r="J43" t="s">
        <v>545</v>
      </c>
      <c r="K43" t="s">
        <v>173</v>
      </c>
      <c r="L43">
        <v>20</v>
      </c>
      <c r="M43" t="s">
        <v>174</v>
      </c>
      <c r="N43">
        <v>0</v>
      </c>
      <c r="O43">
        <v>0</v>
      </c>
      <c r="P43">
        <v>0</v>
      </c>
      <c r="Q43">
        <v>0</v>
      </c>
      <c r="R43" t="s">
        <v>251</v>
      </c>
      <c r="S43">
        <v>40</v>
      </c>
      <c r="T43" t="str">
        <f t="shared" si="0"/>
        <v>26 a 40</v>
      </c>
      <c r="U43" t="s">
        <v>173</v>
      </c>
      <c r="W43" t="s">
        <v>238</v>
      </c>
      <c r="Y43" t="s">
        <v>214</v>
      </c>
      <c r="Z43" t="s">
        <v>178</v>
      </c>
      <c r="AA43" t="s">
        <v>179</v>
      </c>
      <c r="AB43" t="s">
        <v>201</v>
      </c>
      <c r="AC43" t="s">
        <v>216</v>
      </c>
      <c r="AD43" t="s">
        <v>546</v>
      </c>
      <c r="AE43" t="s">
        <v>547</v>
      </c>
      <c r="AF43" t="s">
        <v>548</v>
      </c>
      <c r="AG43" t="s">
        <v>339</v>
      </c>
      <c r="AH43" t="s">
        <v>287</v>
      </c>
      <c r="AI43">
        <v>0</v>
      </c>
      <c r="AJ43">
        <v>0</v>
      </c>
      <c r="AK43">
        <v>0</v>
      </c>
      <c r="AL43">
        <v>0</v>
      </c>
      <c r="AM43">
        <v>1</v>
      </c>
      <c r="AN43" t="s">
        <v>205</v>
      </c>
      <c r="AO43" t="s">
        <v>192</v>
      </c>
      <c r="AP43" t="s">
        <v>192</v>
      </c>
      <c r="AQ43" t="s">
        <v>173</v>
      </c>
      <c r="AR43" t="s">
        <v>308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0</v>
      </c>
      <c r="AZ43" t="s">
        <v>192</v>
      </c>
      <c r="BW43">
        <f t="shared" si="1"/>
        <v>0</v>
      </c>
      <c r="BY43" t="s">
        <v>173</v>
      </c>
      <c r="BZ43" t="s">
        <v>185</v>
      </c>
      <c r="CA43" t="s">
        <v>192</v>
      </c>
      <c r="CC43" t="s">
        <v>192</v>
      </c>
      <c r="CE43" t="s">
        <v>192</v>
      </c>
      <c r="CG43" t="s">
        <v>192</v>
      </c>
      <c r="CI43" t="s">
        <v>173</v>
      </c>
      <c r="CJ43" t="s">
        <v>185</v>
      </c>
      <c r="CK43" t="s">
        <v>173</v>
      </c>
      <c r="CL43" t="s">
        <v>185</v>
      </c>
      <c r="CM43" t="s">
        <v>192</v>
      </c>
      <c r="CO43" t="s">
        <v>192</v>
      </c>
      <c r="CQ43" t="s">
        <v>192</v>
      </c>
      <c r="CS43" t="s">
        <v>192</v>
      </c>
      <c r="CU43" t="s">
        <v>192</v>
      </c>
      <c r="CW43" t="s">
        <v>173</v>
      </c>
      <c r="CX43" t="s">
        <v>185</v>
      </c>
      <c r="CY43" t="s">
        <v>173</v>
      </c>
      <c r="CZ43" t="s">
        <v>186</v>
      </c>
      <c r="DA43" t="s">
        <v>192</v>
      </c>
      <c r="DC43" t="s">
        <v>192</v>
      </c>
      <c r="DE43" t="s">
        <v>192</v>
      </c>
      <c r="DH43" t="s">
        <v>173</v>
      </c>
      <c r="DI43" t="s">
        <v>186</v>
      </c>
      <c r="DJ43" t="s">
        <v>192</v>
      </c>
      <c r="DL43" t="s">
        <v>173</v>
      </c>
      <c r="DM43" t="s">
        <v>192</v>
      </c>
      <c r="DO43" t="s">
        <v>173</v>
      </c>
      <c r="DP43" t="s">
        <v>192</v>
      </c>
      <c r="DR43" t="s">
        <v>192</v>
      </c>
      <c r="DU43" t="s">
        <v>173</v>
      </c>
      <c r="DV43" t="s">
        <v>173</v>
      </c>
      <c r="DW43" t="s">
        <v>188</v>
      </c>
      <c r="DX43" t="s">
        <v>192</v>
      </c>
      <c r="EA43" t="s">
        <v>173</v>
      </c>
      <c r="EB43" t="s">
        <v>192</v>
      </c>
      <c r="ED43" t="s">
        <v>173</v>
      </c>
      <c r="EE43" t="s">
        <v>173</v>
      </c>
      <c r="EF43" t="s">
        <v>191</v>
      </c>
      <c r="EG43" t="s">
        <v>173</v>
      </c>
      <c r="EH43" t="s">
        <v>192</v>
      </c>
      <c r="EJ43" t="s">
        <v>192</v>
      </c>
      <c r="EM43" t="s">
        <v>192</v>
      </c>
      <c r="EQ43" t="s">
        <v>460</v>
      </c>
      <c r="ER43" t="s">
        <v>348</v>
      </c>
      <c r="ES43" t="s">
        <v>549</v>
      </c>
      <c r="ET43" t="s">
        <v>173</v>
      </c>
      <c r="EU43" t="s">
        <v>173</v>
      </c>
      <c r="EV43" t="s">
        <v>550</v>
      </c>
      <c r="EW43">
        <v>0</v>
      </c>
      <c r="EX43">
        <v>0</v>
      </c>
      <c r="EY43">
        <v>0</v>
      </c>
      <c r="EZ43">
        <v>0</v>
      </c>
      <c r="FA43">
        <v>1</v>
      </c>
      <c r="FB43">
        <v>0</v>
      </c>
      <c r="FC43">
        <v>0</v>
      </c>
      <c r="FD43">
        <v>0</v>
      </c>
      <c r="FE43">
        <v>1</v>
      </c>
      <c r="FF43" t="s">
        <v>551</v>
      </c>
      <c r="FH43">
        <v>83536275</v>
      </c>
      <c r="FI43" t="s">
        <v>552</v>
      </c>
      <c r="FJ43" s="1">
        <v>45758.807685185187</v>
      </c>
      <c r="FM43" t="s">
        <v>193</v>
      </c>
      <c r="FO43" t="s">
        <v>194</v>
      </c>
      <c r="FQ43">
        <v>43</v>
      </c>
    </row>
    <row r="44" spans="1:173" x14ac:dyDescent="0.25">
      <c r="A44" s="1">
        <v>45758.597406944442</v>
      </c>
      <c r="B44" s="1">
        <v>45758.601707118047</v>
      </c>
      <c r="C44" t="s">
        <v>226</v>
      </c>
      <c r="D44">
        <v>68</v>
      </c>
      <c r="E44" s="1">
        <v>45738</v>
      </c>
      <c r="F44">
        <v>3</v>
      </c>
      <c r="G44" t="s">
        <v>280</v>
      </c>
      <c r="H44" t="s">
        <v>228</v>
      </c>
      <c r="I44" t="s">
        <v>553</v>
      </c>
      <c r="J44" t="s">
        <v>554</v>
      </c>
      <c r="K44" t="s">
        <v>173</v>
      </c>
      <c r="L44">
        <v>15</v>
      </c>
      <c r="M44" t="s">
        <v>174</v>
      </c>
      <c r="N44">
        <v>0</v>
      </c>
      <c r="O44">
        <v>0</v>
      </c>
      <c r="P44">
        <v>0</v>
      </c>
      <c r="Q44">
        <v>0</v>
      </c>
      <c r="R44" t="s">
        <v>175</v>
      </c>
      <c r="S44">
        <v>48</v>
      </c>
      <c r="T44" t="str">
        <f t="shared" si="0"/>
        <v>41 a 55</v>
      </c>
      <c r="U44" t="s">
        <v>173</v>
      </c>
      <c r="W44" t="s">
        <v>176</v>
      </c>
      <c r="Y44" t="s">
        <v>214</v>
      </c>
      <c r="Z44" t="s">
        <v>239</v>
      </c>
      <c r="AA44" t="s">
        <v>179</v>
      </c>
      <c r="AB44" t="s">
        <v>201</v>
      </c>
      <c r="AC44" t="s">
        <v>216</v>
      </c>
      <c r="AD44" t="s">
        <v>555</v>
      </c>
      <c r="AG44" t="s">
        <v>216</v>
      </c>
      <c r="AH44" t="s">
        <v>556</v>
      </c>
      <c r="AI44">
        <v>0</v>
      </c>
      <c r="AJ44">
        <v>0</v>
      </c>
      <c r="AK44">
        <v>1</v>
      </c>
      <c r="AL44">
        <v>1</v>
      </c>
      <c r="AM44">
        <v>0</v>
      </c>
      <c r="AN44" t="s">
        <v>183</v>
      </c>
      <c r="AO44" t="s">
        <v>192</v>
      </c>
      <c r="AP44" t="s">
        <v>173</v>
      </c>
      <c r="AQ44" t="s">
        <v>173</v>
      </c>
      <c r="AR44" t="s">
        <v>298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 t="s">
        <v>329</v>
      </c>
      <c r="AZ44" t="s">
        <v>192</v>
      </c>
      <c r="BW44">
        <f t="shared" si="1"/>
        <v>0</v>
      </c>
      <c r="BY44" t="s">
        <v>192</v>
      </c>
      <c r="CA44" t="s">
        <v>192</v>
      </c>
      <c r="CC44" t="s">
        <v>173</v>
      </c>
      <c r="CD44" t="s">
        <v>187</v>
      </c>
      <c r="CE44" t="s">
        <v>173</v>
      </c>
      <c r="CF44" t="s">
        <v>186</v>
      </c>
      <c r="CG44" t="s">
        <v>173</v>
      </c>
      <c r="CH44" t="s">
        <v>185</v>
      </c>
      <c r="CI44" t="s">
        <v>173</v>
      </c>
      <c r="CJ44" t="s">
        <v>185</v>
      </c>
      <c r="CK44" t="s">
        <v>173</v>
      </c>
      <c r="CL44" t="s">
        <v>186</v>
      </c>
      <c r="CM44" t="s">
        <v>173</v>
      </c>
      <c r="CN44" t="s">
        <v>185</v>
      </c>
      <c r="CO44" t="s">
        <v>192</v>
      </c>
      <c r="CQ44" t="s">
        <v>192</v>
      </c>
      <c r="CS44" t="s">
        <v>192</v>
      </c>
      <c r="CU44" t="s">
        <v>173</v>
      </c>
      <c r="CV44" t="s">
        <v>185</v>
      </c>
      <c r="CW44" t="s">
        <v>173</v>
      </c>
      <c r="CX44" t="s">
        <v>185</v>
      </c>
      <c r="CY44" t="s">
        <v>192</v>
      </c>
      <c r="DA44" t="s">
        <v>192</v>
      </c>
      <c r="DC44" t="s">
        <v>192</v>
      </c>
      <c r="DE44" t="s">
        <v>192</v>
      </c>
      <c r="DH44" t="s">
        <v>173</v>
      </c>
      <c r="DI44" t="s">
        <v>186</v>
      </c>
      <c r="DJ44" t="s">
        <v>192</v>
      </c>
      <c r="DL44" t="s">
        <v>173</v>
      </c>
      <c r="DM44" t="s">
        <v>192</v>
      </c>
      <c r="DO44" t="s">
        <v>173</v>
      </c>
      <c r="DP44" t="s">
        <v>192</v>
      </c>
      <c r="DR44" t="s">
        <v>192</v>
      </c>
      <c r="DU44" t="s">
        <v>173</v>
      </c>
      <c r="DV44" t="s">
        <v>192</v>
      </c>
      <c r="DX44" t="s">
        <v>192</v>
      </c>
      <c r="EA44" t="s">
        <v>192</v>
      </c>
      <c r="ED44" t="s">
        <v>173</v>
      </c>
      <c r="EE44" t="s">
        <v>192</v>
      </c>
      <c r="EG44" t="s">
        <v>173</v>
      </c>
      <c r="EH44" t="s">
        <v>192</v>
      </c>
      <c r="EJ44" t="s">
        <v>192</v>
      </c>
      <c r="EM44" t="s">
        <v>192</v>
      </c>
      <c r="EQ44" t="s">
        <v>557</v>
      </c>
      <c r="ET44" t="s">
        <v>173</v>
      </c>
      <c r="EU44" t="s">
        <v>173</v>
      </c>
      <c r="EV44" t="s">
        <v>223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1</v>
      </c>
      <c r="FF44" t="s">
        <v>558</v>
      </c>
      <c r="FH44">
        <v>83536400</v>
      </c>
      <c r="FI44" t="s">
        <v>559</v>
      </c>
      <c r="FJ44" s="1">
        <v>45758.810046296298</v>
      </c>
      <c r="FM44" t="s">
        <v>193</v>
      </c>
      <c r="FO44" t="s">
        <v>194</v>
      </c>
      <c r="FQ44">
        <v>44</v>
      </c>
    </row>
    <row r="45" spans="1:173" x14ac:dyDescent="0.25">
      <c r="A45" s="1">
        <v>45758.601707569447</v>
      </c>
      <c r="B45" s="1">
        <v>45758.604877546299</v>
      </c>
      <c r="C45" t="s">
        <v>226</v>
      </c>
      <c r="D45">
        <v>67</v>
      </c>
      <c r="E45" s="1">
        <v>45738</v>
      </c>
      <c r="F45">
        <v>3</v>
      </c>
      <c r="G45" t="s">
        <v>352</v>
      </c>
      <c r="H45" t="s">
        <v>228</v>
      </c>
      <c r="I45" t="s">
        <v>560</v>
      </c>
      <c r="J45" t="s">
        <v>561</v>
      </c>
      <c r="K45" t="s">
        <v>173</v>
      </c>
      <c r="L45">
        <v>30</v>
      </c>
      <c r="M45" t="s">
        <v>174</v>
      </c>
      <c r="N45">
        <v>0</v>
      </c>
      <c r="O45">
        <v>0</v>
      </c>
      <c r="P45">
        <v>0</v>
      </c>
      <c r="Q45">
        <v>0</v>
      </c>
      <c r="R45" t="s">
        <v>251</v>
      </c>
      <c r="S45">
        <v>69</v>
      </c>
      <c r="T45" t="str">
        <f t="shared" si="0"/>
        <v>56 a más</v>
      </c>
      <c r="U45" t="s">
        <v>173</v>
      </c>
      <c r="W45" t="s">
        <v>176</v>
      </c>
      <c r="Y45" t="s">
        <v>318</v>
      </c>
      <c r="Z45" t="s">
        <v>239</v>
      </c>
      <c r="AA45" t="s">
        <v>240</v>
      </c>
      <c r="AB45" t="s">
        <v>215</v>
      </c>
      <c r="AC45" t="s">
        <v>216</v>
      </c>
      <c r="AD45" t="s">
        <v>217</v>
      </c>
      <c r="AE45" t="s">
        <v>562</v>
      </c>
      <c r="AF45" t="s">
        <v>365</v>
      </c>
      <c r="AG45" t="s">
        <v>202</v>
      </c>
      <c r="AH45" t="s">
        <v>287</v>
      </c>
      <c r="AI45">
        <v>0</v>
      </c>
      <c r="AJ45">
        <v>0</v>
      </c>
      <c r="AK45">
        <v>0</v>
      </c>
      <c r="AL45">
        <v>0</v>
      </c>
      <c r="AM45">
        <v>1</v>
      </c>
      <c r="AN45" t="s">
        <v>183</v>
      </c>
      <c r="AO45" t="s">
        <v>192</v>
      </c>
      <c r="AP45" t="s">
        <v>192</v>
      </c>
      <c r="AQ45" t="s">
        <v>173</v>
      </c>
      <c r="AR45" t="s">
        <v>308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Z45" t="s">
        <v>192</v>
      </c>
      <c r="BW45">
        <f t="shared" si="1"/>
        <v>0</v>
      </c>
      <c r="BY45" t="s">
        <v>192</v>
      </c>
      <c r="CA45" t="s">
        <v>192</v>
      </c>
      <c r="CC45" t="s">
        <v>173</v>
      </c>
      <c r="CD45" t="s">
        <v>185</v>
      </c>
      <c r="CE45" t="s">
        <v>173</v>
      </c>
      <c r="CF45" t="s">
        <v>186</v>
      </c>
      <c r="CG45" t="s">
        <v>173</v>
      </c>
      <c r="CH45" t="s">
        <v>186</v>
      </c>
      <c r="CI45" t="s">
        <v>192</v>
      </c>
      <c r="CK45" t="s">
        <v>173</v>
      </c>
      <c r="CL45" t="s">
        <v>185</v>
      </c>
      <c r="CM45" t="s">
        <v>192</v>
      </c>
      <c r="CO45" t="s">
        <v>192</v>
      </c>
      <c r="CQ45" t="s">
        <v>173</v>
      </c>
      <c r="CR45" t="s">
        <v>185</v>
      </c>
      <c r="CS45" t="s">
        <v>192</v>
      </c>
      <c r="CU45" t="s">
        <v>173</v>
      </c>
      <c r="CV45" t="s">
        <v>185</v>
      </c>
      <c r="CW45" t="s">
        <v>192</v>
      </c>
      <c r="CY45" t="s">
        <v>173</v>
      </c>
      <c r="CZ45" t="s">
        <v>185</v>
      </c>
      <c r="DA45" t="s">
        <v>192</v>
      </c>
      <c r="DC45" t="s">
        <v>173</v>
      </c>
      <c r="DD45" t="s">
        <v>185</v>
      </c>
      <c r="DE45" t="s">
        <v>192</v>
      </c>
      <c r="DH45" t="s">
        <v>173</v>
      </c>
      <c r="DI45" t="s">
        <v>186</v>
      </c>
      <c r="DJ45" t="s">
        <v>173</v>
      </c>
      <c r="DL45" t="s">
        <v>173</v>
      </c>
      <c r="DM45" t="s">
        <v>192</v>
      </c>
      <c r="DO45" t="s">
        <v>192</v>
      </c>
      <c r="DR45" t="s">
        <v>192</v>
      </c>
      <c r="DU45" t="s">
        <v>173</v>
      </c>
      <c r="DV45" t="s">
        <v>173</v>
      </c>
      <c r="DW45" t="s">
        <v>191</v>
      </c>
      <c r="DX45" t="s">
        <v>192</v>
      </c>
      <c r="EA45" t="s">
        <v>173</v>
      </c>
      <c r="EB45" t="s">
        <v>173</v>
      </c>
      <c r="EC45" t="s">
        <v>191</v>
      </c>
      <c r="ED45" t="s">
        <v>173</v>
      </c>
      <c r="EE45" t="s">
        <v>173</v>
      </c>
      <c r="EF45" t="s">
        <v>191</v>
      </c>
      <c r="EG45" t="s">
        <v>173</v>
      </c>
      <c r="EH45" t="s">
        <v>173</v>
      </c>
      <c r="EI45" t="s">
        <v>191</v>
      </c>
      <c r="EJ45" t="s">
        <v>173</v>
      </c>
      <c r="EK45" t="s">
        <v>192</v>
      </c>
      <c r="EM45" t="s">
        <v>192</v>
      </c>
      <c r="EQ45" t="s">
        <v>405</v>
      </c>
      <c r="ER45" t="s">
        <v>563</v>
      </c>
      <c r="ET45" t="s">
        <v>173</v>
      </c>
      <c r="EU45" t="s">
        <v>173</v>
      </c>
      <c r="EV45" t="s">
        <v>452</v>
      </c>
      <c r="EW45">
        <v>0</v>
      </c>
      <c r="EX45">
        <v>1</v>
      </c>
      <c r="EY45">
        <v>0</v>
      </c>
      <c r="EZ45">
        <v>0</v>
      </c>
      <c r="FA45">
        <v>1</v>
      </c>
      <c r="FB45">
        <v>0</v>
      </c>
      <c r="FC45">
        <v>0</v>
      </c>
      <c r="FD45">
        <v>0</v>
      </c>
      <c r="FE45">
        <v>0</v>
      </c>
      <c r="FH45">
        <v>83536532</v>
      </c>
      <c r="FI45" t="s">
        <v>564</v>
      </c>
      <c r="FJ45" s="1">
        <v>45758.81322916667</v>
      </c>
      <c r="FM45" t="s">
        <v>193</v>
      </c>
      <c r="FO45" t="s">
        <v>194</v>
      </c>
      <c r="FQ45">
        <v>45</v>
      </c>
    </row>
    <row r="46" spans="1:173" x14ac:dyDescent="0.25">
      <c r="A46" s="1">
        <v>45758.59933837963</v>
      </c>
      <c r="B46" s="1">
        <v>45758.60527359954</v>
      </c>
      <c r="C46" t="s">
        <v>195</v>
      </c>
      <c r="D46">
        <v>150</v>
      </c>
      <c r="E46" s="1">
        <v>45739</v>
      </c>
      <c r="F46">
        <v>3</v>
      </c>
      <c r="G46" t="s">
        <v>235</v>
      </c>
      <c r="H46" t="s">
        <v>197</v>
      </c>
      <c r="I46" t="s">
        <v>565</v>
      </c>
      <c r="J46" t="s">
        <v>566</v>
      </c>
      <c r="K46" t="s">
        <v>173</v>
      </c>
      <c r="L46">
        <v>7</v>
      </c>
      <c r="M46" t="s">
        <v>174</v>
      </c>
      <c r="N46">
        <v>0</v>
      </c>
      <c r="O46">
        <v>0</v>
      </c>
      <c r="P46">
        <v>0</v>
      </c>
      <c r="Q46">
        <v>0</v>
      </c>
      <c r="R46" t="s">
        <v>175</v>
      </c>
      <c r="S46">
        <v>28</v>
      </c>
      <c r="T46" t="str">
        <f t="shared" si="0"/>
        <v>26 a 40</v>
      </c>
      <c r="U46" t="s">
        <v>173</v>
      </c>
      <c r="W46" t="s">
        <v>176</v>
      </c>
      <c r="Y46" t="s">
        <v>200</v>
      </c>
      <c r="Z46" t="s">
        <v>355</v>
      </c>
      <c r="AA46" t="s">
        <v>179</v>
      </c>
      <c r="AB46" t="s">
        <v>201</v>
      </c>
      <c r="AC46" t="s">
        <v>202</v>
      </c>
      <c r="AD46" t="s">
        <v>567</v>
      </c>
      <c r="AG46" t="s">
        <v>202</v>
      </c>
      <c r="AH46" t="s">
        <v>244</v>
      </c>
      <c r="AI46">
        <v>0</v>
      </c>
      <c r="AJ46">
        <v>1</v>
      </c>
      <c r="AK46">
        <v>1</v>
      </c>
      <c r="AL46">
        <v>0</v>
      </c>
      <c r="AM46">
        <v>0</v>
      </c>
      <c r="AN46" t="s">
        <v>205</v>
      </c>
      <c r="AO46" t="s">
        <v>192</v>
      </c>
      <c r="AP46" t="s">
        <v>192</v>
      </c>
      <c r="AQ46" t="s">
        <v>192</v>
      </c>
      <c r="AZ46" t="s">
        <v>192</v>
      </c>
      <c r="BW46">
        <f t="shared" si="1"/>
        <v>0</v>
      </c>
      <c r="BY46" t="s">
        <v>173</v>
      </c>
      <c r="BZ46" t="s">
        <v>185</v>
      </c>
      <c r="CA46" t="s">
        <v>192</v>
      </c>
      <c r="CC46" t="s">
        <v>173</v>
      </c>
      <c r="CD46" t="s">
        <v>185</v>
      </c>
      <c r="CE46" t="s">
        <v>173</v>
      </c>
      <c r="CF46" t="s">
        <v>185</v>
      </c>
      <c r="CG46" t="s">
        <v>192</v>
      </c>
      <c r="CI46" t="s">
        <v>192</v>
      </c>
      <c r="CK46" t="s">
        <v>192</v>
      </c>
      <c r="CM46" t="s">
        <v>192</v>
      </c>
      <c r="CO46" t="s">
        <v>192</v>
      </c>
      <c r="CQ46" t="s">
        <v>192</v>
      </c>
      <c r="CS46" t="s">
        <v>192</v>
      </c>
      <c r="CU46" t="s">
        <v>192</v>
      </c>
      <c r="CW46" t="s">
        <v>192</v>
      </c>
      <c r="CY46" t="s">
        <v>192</v>
      </c>
      <c r="DA46" t="s">
        <v>192</v>
      </c>
      <c r="DC46" t="s">
        <v>173</v>
      </c>
      <c r="DD46" t="s">
        <v>185</v>
      </c>
      <c r="DE46" t="s">
        <v>192</v>
      </c>
      <c r="DH46" t="s">
        <v>173</v>
      </c>
      <c r="DI46" t="s">
        <v>186</v>
      </c>
      <c r="DJ46" t="s">
        <v>192</v>
      </c>
      <c r="DL46" t="s">
        <v>173</v>
      </c>
      <c r="DM46" t="s">
        <v>173</v>
      </c>
      <c r="DN46" t="s">
        <v>191</v>
      </c>
      <c r="DO46" t="s">
        <v>192</v>
      </c>
      <c r="DR46" t="s">
        <v>192</v>
      </c>
      <c r="DU46" t="s">
        <v>192</v>
      </c>
      <c r="DX46" t="s">
        <v>173</v>
      </c>
      <c r="DY46" t="s">
        <v>192</v>
      </c>
      <c r="EA46" t="s">
        <v>192</v>
      </c>
      <c r="ED46" t="s">
        <v>173</v>
      </c>
      <c r="EE46" t="s">
        <v>173</v>
      </c>
      <c r="EF46" t="s">
        <v>191</v>
      </c>
      <c r="EG46" t="s">
        <v>173</v>
      </c>
      <c r="EH46" t="s">
        <v>192</v>
      </c>
      <c r="EJ46" t="s">
        <v>173</v>
      </c>
      <c r="EK46" t="s">
        <v>192</v>
      </c>
      <c r="EM46" t="s">
        <v>192</v>
      </c>
      <c r="EQ46" t="s">
        <v>349</v>
      </c>
      <c r="ER46" t="s">
        <v>568</v>
      </c>
      <c r="ET46" t="s">
        <v>173</v>
      </c>
      <c r="EU46" t="s">
        <v>173</v>
      </c>
      <c r="EV46" t="s">
        <v>223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1</v>
      </c>
      <c r="FF46" t="s">
        <v>569</v>
      </c>
      <c r="FH46">
        <v>83536584</v>
      </c>
      <c r="FI46" t="s">
        <v>570</v>
      </c>
      <c r="FJ46" s="1">
        <v>45758.813611111109</v>
      </c>
      <c r="FM46" t="s">
        <v>193</v>
      </c>
      <c r="FO46" t="s">
        <v>194</v>
      </c>
      <c r="FQ46">
        <v>46</v>
      </c>
    </row>
    <row r="47" spans="1:173" x14ac:dyDescent="0.25">
      <c r="A47" s="1">
        <v>45758.604877962956</v>
      </c>
      <c r="B47" s="1">
        <v>45758.607763483793</v>
      </c>
      <c r="C47" t="s">
        <v>226</v>
      </c>
      <c r="D47">
        <v>66</v>
      </c>
      <c r="E47" s="1">
        <v>45738</v>
      </c>
      <c r="F47">
        <v>3</v>
      </c>
      <c r="G47" t="s">
        <v>314</v>
      </c>
      <c r="H47" t="s">
        <v>228</v>
      </c>
      <c r="I47" t="s">
        <v>571</v>
      </c>
      <c r="J47" t="s">
        <v>572</v>
      </c>
      <c r="K47" t="s">
        <v>173</v>
      </c>
      <c r="L47">
        <v>8</v>
      </c>
      <c r="M47" t="s">
        <v>174</v>
      </c>
      <c r="N47">
        <v>0</v>
      </c>
      <c r="O47">
        <v>0</v>
      </c>
      <c r="P47">
        <v>0</v>
      </c>
      <c r="Q47">
        <v>0</v>
      </c>
      <c r="R47" t="s">
        <v>251</v>
      </c>
      <c r="S47">
        <v>28</v>
      </c>
      <c r="T47" t="str">
        <f t="shared" si="0"/>
        <v>26 a 40</v>
      </c>
      <c r="U47" t="s">
        <v>173</v>
      </c>
      <c r="W47" t="s">
        <v>176</v>
      </c>
      <c r="Y47" t="s">
        <v>200</v>
      </c>
      <c r="Z47" t="s">
        <v>355</v>
      </c>
      <c r="AA47" t="s">
        <v>179</v>
      </c>
      <c r="AB47" t="s">
        <v>215</v>
      </c>
      <c r="AC47" t="s">
        <v>202</v>
      </c>
      <c r="AD47" t="s">
        <v>573</v>
      </c>
      <c r="AE47" t="s">
        <v>574</v>
      </c>
      <c r="AG47" t="s">
        <v>202</v>
      </c>
      <c r="AH47" t="s">
        <v>556</v>
      </c>
      <c r="AI47">
        <v>0</v>
      </c>
      <c r="AJ47">
        <v>0</v>
      </c>
      <c r="AK47">
        <v>1</v>
      </c>
      <c r="AL47">
        <v>1</v>
      </c>
      <c r="AM47">
        <v>0</v>
      </c>
      <c r="AN47" t="s">
        <v>297</v>
      </c>
      <c r="AO47" t="s">
        <v>192</v>
      </c>
      <c r="AP47" t="s">
        <v>192</v>
      </c>
      <c r="AQ47" t="s">
        <v>192</v>
      </c>
      <c r="AZ47" t="s">
        <v>192</v>
      </c>
      <c r="BW47">
        <f t="shared" si="1"/>
        <v>0</v>
      </c>
      <c r="BY47" t="s">
        <v>173</v>
      </c>
      <c r="BZ47" t="s">
        <v>186</v>
      </c>
      <c r="CA47" t="s">
        <v>192</v>
      </c>
      <c r="CC47" t="s">
        <v>192</v>
      </c>
      <c r="CE47" t="s">
        <v>173</v>
      </c>
      <c r="CF47" t="s">
        <v>186</v>
      </c>
      <c r="CG47" t="s">
        <v>173</v>
      </c>
      <c r="CH47" t="s">
        <v>186</v>
      </c>
      <c r="CI47" t="s">
        <v>192</v>
      </c>
      <c r="CK47" t="s">
        <v>192</v>
      </c>
      <c r="CM47" t="s">
        <v>192</v>
      </c>
      <c r="CO47" t="s">
        <v>192</v>
      </c>
      <c r="CQ47" t="s">
        <v>192</v>
      </c>
      <c r="CS47" t="s">
        <v>192</v>
      </c>
      <c r="CU47" t="s">
        <v>192</v>
      </c>
      <c r="CW47" t="s">
        <v>192</v>
      </c>
      <c r="CY47" t="s">
        <v>173</v>
      </c>
      <c r="CZ47" t="s">
        <v>186</v>
      </c>
      <c r="DA47" t="s">
        <v>192</v>
      </c>
      <c r="DC47" t="s">
        <v>192</v>
      </c>
      <c r="DE47" t="s">
        <v>192</v>
      </c>
      <c r="DH47" t="s">
        <v>173</v>
      </c>
      <c r="DI47" t="s">
        <v>187</v>
      </c>
      <c r="DJ47" t="s">
        <v>192</v>
      </c>
      <c r="DL47" t="s">
        <v>173</v>
      </c>
      <c r="DM47" t="s">
        <v>192</v>
      </c>
      <c r="DO47" t="s">
        <v>192</v>
      </c>
      <c r="DR47" t="s">
        <v>192</v>
      </c>
      <c r="DU47" t="s">
        <v>173</v>
      </c>
      <c r="DV47" t="s">
        <v>192</v>
      </c>
      <c r="DX47" t="s">
        <v>192</v>
      </c>
      <c r="EA47" t="s">
        <v>192</v>
      </c>
      <c r="ED47" t="s">
        <v>192</v>
      </c>
      <c r="EG47" t="s">
        <v>173</v>
      </c>
      <c r="EH47" t="s">
        <v>192</v>
      </c>
      <c r="EJ47" t="s">
        <v>192</v>
      </c>
      <c r="EM47" t="s">
        <v>192</v>
      </c>
      <c r="EQ47" t="s">
        <v>349</v>
      </c>
      <c r="ER47" t="s">
        <v>388</v>
      </c>
      <c r="ET47" t="s">
        <v>173</v>
      </c>
      <c r="EU47" t="s">
        <v>173</v>
      </c>
      <c r="EV47" t="s">
        <v>223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1</v>
      </c>
      <c r="FF47" t="s">
        <v>406</v>
      </c>
      <c r="FH47">
        <v>83536762</v>
      </c>
      <c r="FI47" t="s">
        <v>575</v>
      </c>
      <c r="FJ47" s="1">
        <v>45758.816111111111</v>
      </c>
      <c r="FM47" t="s">
        <v>193</v>
      </c>
      <c r="FO47" t="s">
        <v>194</v>
      </c>
      <c r="FQ47">
        <v>47</v>
      </c>
    </row>
    <row r="48" spans="1:173" x14ac:dyDescent="0.25">
      <c r="A48" s="1">
        <v>45758.592572569447</v>
      </c>
      <c r="B48" s="1">
        <v>45758.610022499997</v>
      </c>
      <c r="C48" t="s">
        <v>334</v>
      </c>
      <c r="D48">
        <v>105</v>
      </c>
      <c r="E48" s="1">
        <v>45738</v>
      </c>
      <c r="F48">
        <v>1</v>
      </c>
      <c r="G48" t="s">
        <v>429</v>
      </c>
      <c r="H48" t="s">
        <v>171</v>
      </c>
      <c r="I48" t="s">
        <v>576</v>
      </c>
      <c r="J48" t="s">
        <v>577</v>
      </c>
      <c r="K48" t="s">
        <v>173</v>
      </c>
      <c r="L48">
        <v>11</v>
      </c>
      <c r="M48" t="s">
        <v>174</v>
      </c>
      <c r="N48">
        <v>0</v>
      </c>
      <c r="O48">
        <v>0</v>
      </c>
      <c r="P48">
        <v>0</v>
      </c>
      <c r="Q48">
        <v>0</v>
      </c>
      <c r="R48" t="s">
        <v>251</v>
      </c>
      <c r="S48">
        <v>57</v>
      </c>
      <c r="T48" t="str">
        <f t="shared" si="0"/>
        <v>56 a más</v>
      </c>
      <c r="U48" t="s">
        <v>173</v>
      </c>
      <c r="W48" t="s">
        <v>317</v>
      </c>
      <c r="Y48" t="s">
        <v>263</v>
      </c>
      <c r="Z48" t="s">
        <v>239</v>
      </c>
      <c r="AA48" t="s">
        <v>179</v>
      </c>
      <c r="AB48" t="s">
        <v>189</v>
      </c>
      <c r="AC48" t="s">
        <v>339</v>
      </c>
      <c r="AD48" t="s">
        <v>578</v>
      </c>
      <c r="AE48" t="s">
        <v>579</v>
      </c>
      <c r="AF48" t="s">
        <v>580</v>
      </c>
      <c r="AG48" t="s">
        <v>216</v>
      </c>
      <c r="AH48" t="s">
        <v>232</v>
      </c>
      <c r="AI48">
        <v>0</v>
      </c>
      <c r="AJ48">
        <v>0</v>
      </c>
      <c r="AK48">
        <v>1</v>
      </c>
      <c r="AL48">
        <v>0</v>
      </c>
      <c r="AM48">
        <v>0</v>
      </c>
      <c r="AN48" t="s">
        <v>183</v>
      </c>
      <c r="AO48" t="s">
        <v>192</v>
      </c>
      <c r="AP48" t="s">
        <v>173</v>
      </c>
      <c r="AQ48" t="s">
        <v>173</v>
      </c>
      <c r="AR48" t="s">
        <v>298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 t="s">
        <v>581</v>
      </c>
      <c r="AZ48" t="s">
        <v>173</v>
      </c>
      <c r="BA48" t="s">
        <v>254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L48">
        <v>0</v>
      </c>
      <c r="BP48" t="s">
        <v>192</v>
      </c>
      <c r="BW48">
        <f t="shared" si="1"/>
        <v>1</v>
      </c>
      <c r="BY48" t="s">
        <v>192</v>
      </c>
      <c r="CA48" t="s">
        <v>173</v>
      </c>
      <c r="CB48" t="s">
        <v>185</v>
      </c>
      <c r="CC48" t="s">
        <v>173</v>
      </c>
      <c r="CD48" t="s">
        <v>186</v>
      </c>
      <c r="CE48" t="s">
        <v>192</v>
      </c>
      <c r="CG48" t="s">
        <v>189</v>
      </c>
      <c r="CI48" t="s">
        <v>173</v>
      </c>
      <c r="CJ48" t="s">
        <v>185</v>
      </c>
      <c r="CK48" t="s">
        <v>173</v>
      </c>
      <c r="CL48" t="s">
        <v>185</v>
      </c>
      <c r="CM48" t="s">
        <v>173</v>
      </c>
      <c r="CN48" t="s">
        <v>185</v>
      </c>
      <c r="CO48" t="s">
        <v>173</v>
      </c>
      <c r="CP48" t="s">
        <v>185</v>
      </c>
      <c r="CQ48" t="s">
        <v>173</v>
      </c>
      <c r="CR48" t="s">
        <v>186</v>
      </c>
      <c r="CS48" t="s">
        <v>173</v>
      </c>
      <c r="CT48" t="s">
        <v>186</v>
      </c>
      <c r="CU48" t="s">
        <v>192</v>
      </c>
      <c r="CW48" t="s">
        <v>192</v>
      </c>
      <c r="CY48" t="s">
        <v>173</v>
      </c>
      <c r="CZ48" t="s">
        <v>185</v>
      </c>
      <c r="DA48" t="s">
        <v>192</v>
      </c>
      <c r="DC48" t="s">
        <v>192</v>
      </c>
      <c r="DE48" t="s">
        <v>192</v>
      </c>
      <c r="DH48" t="s">
        <v>173</v>
      </c>
      <c r="DI48" t="s">
        <v>187</v>
      </c>
      <c r="DJ48" t="s">
        <v>173</v>
      </c>
      <c r="DL48" t="s">
        <v>192</v>
      </c>
      <c r="DO48" t="s">
        <v>192</v>
      </c>
      <c r="DR48" t="s">
        <v>192</v>
      </c>
      <c r="DU48" t="s">
        <v>173</v>
      </c>
      <c r="DV48" t="s">
        <v>173</v>
      </c>
      <c r="DW48" t="s">
        <v>191</v>
      </c>
      <c r="DX48" t="s">
        <v>192</v>
      </c>
      <c r="EA48" t="s">
        <v>192</v>
      </c>
      <c r="ED48" t="s">
        <v>173</v>
      </c>
      <c r="EE48" t="s">
        <v>173</v>
      </c>
      <c r="EF48" t="s">
        <v>191</v>
      </c>
      <c r="EG48" t="s">
        <v>173</v>
      </c>
      <c r="EH48" t="s">
        <v>173</v>
      </c>
      <c r="EI48" t="s">
        <v>191</v>
      </c>
      <c r="EJ48" t="s">
        <v>192</v>
      </c>
      <c r="EM48" t="s">
        <v>192</v>
      </c>
      <c r="EQ48" t="s">
        <v>368</v>
      </c>
      <c r="ER48" t="s">
        <v>582</v>
      </c>
      <c r="ET48" t="s">
        <v>173</v>
      </c>
      <c r="EU48" t="s">
        <v>173</v>
      </c>
      <c r="EV48" t="s">
        <v>223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1</v>
      </c>
      <c r="FF48" t="s">
        <v>583</v>
      </c>
      <c r="FH48">
        <v>83536992</v>
      </c>
      <c r="FI48" t="s">
        <v>584</v>
      </c>
      <c r="FJ48" s="1">
        <v>45758.818368055552</v>
      </c>
      <c r="FM48" t="s">
        <v>193</v>
      </c>
      <c r="FO48" t="s">
        <v>469</v>
      </c>
      <c r="FQ48">
        <v>48</v>
      </c>
    </row>
    <row r="49" spans="1:173" x14ac:dyDescent="0.25">
      <c r="A49" s="1">
        <v>45758.607763912027</v>
      </c>
      <c r="B49" s="1">
        <v>45758.610153136571</v>
      </c>
      <c r="C49" t="s">
        <v>226</v>
      </c>
      <c r="D49">
        <v>64</v>
      </c>
      <c r="E49" s="1">
        <v>45738</v>
      </c>
      <c r="F49">
        <v>3</v>
      </c>
      <c r="G49" t="s">
        <v>352</v>
      </c>
      <c r="H49" t="s">
        <v>228</v>
      </c>
      <c r="I49" t="s">
        <v>585</v>
      </c>
      <c r="J49" t="s">
        <v>499</v>
      </c>
      <c r="K49" t="s">
        <v>173</v>
      </c>
      <c r="L49">
        <v>30</v>
      </c>
      <c r="M49" t="s">
        <v>174</v>
      </c>
      <c r="N49">
        <v>0</v>
      </c>
      <c r="O49">
        <v>0</v>
      </c>
      <c r="P49">
        <v>0</v>
      </c>
      <c r="Q49">
        <v>0</v>
      </c>
      <c r="R49" t="s">
        <v>251</v>
      </c>
      <c r="S49">
        <v>65</v>
      </c>
      <c r="T49" t="str">
        <f t="shared" si="0"/>
        <v>56 a más</v>
      </c>
      <c r="U49" t="s">
        <v>173</v>
      </c>
      <c r="W49" t="s">
        <v>176</v>
      </c>
      <c r="Y49" t="s">
        <v>263</v>
      </c>
      <c r="Z49" t="s">
        <v>239</v>
      </c>
      <c r="AA49" t="s">
        <v>179</v>
      </c>
      <c r="AB49" t="s">
        <v>215</v>
      </c>
      <c r="AC49" t="s">
        <v>202</v>
      </c>
      <c r="AD49" t="s">
        <v>586</v>
      </c>
      <c r="AE49" t="s">
        <v>387</v>
      </c>
      <c r="AF49" t="s">
        <v>587</v>
      </c>
      <c r="AG49" t="s">
        <v>339</v>
      </c>
      <c r="AH49" t="s">
        <v>287</v>
      </c>
      <c r="AI49">
        <v>0</v>
      </c>
      <c r="AJ49">
        <v>0</v>
      </c>
      <c r="AK49">
        <v>0</v>
      </c>
      <c r="AL49">
        <v>0</v>
      </c>
      <c r="AM49">
        <v>1</v>
      </c>
      <c r="AN49" t="s">
        <v>297</v>
      </c>
      <c r="AO49" t="s">
        <v>192</v>
      </c>
      <c r="AP49" t="s">
        <v>192</v>
      </c>
      <c r="AQ49" t="s">
        <v>192</v>
      </c>
      <c r="AZ49" t="s">
        <v>192</v>
      </c>
      <c r="BW49">
        <f t="shared" si="1"/>
        <v>0</v>
      </c>
      <c r="BY49" t="s">
        <v>192</v>
      </c>
      <c r="CA49" t="s">
        <v>192</v>
      </c>
      <c r="CC49" t="s">
        <v>192</v>
      </c>
      <c r="CE49" t="s">
        <v>192</v>
      </c>
      <c r="CG49" t="s">
        <v>192</v>
      </c>
      <c r="CI49" t="s">
        <v>192</v>
      </c>
      <c r="CK49" t="s">
        <v>192</v>
      </c>
      <c r="CM49" t="s">
        <v>192</v>
      </c>
      <c r="CO49" t="s">
        <v>192</v>
      </c>
      <c r="CQ49" t="s">
        <v>192</v>
      </c>
      <c r="CS49" t="s">
        <v>192</v>
      </c>
      <c r="CU49" t="s">
        <v>192</v>
      </c>
      <c r="CW49" t="s">
        <v>192</v>
      </c>
      <c r="CY49" t="s">
        <v>192</v>
      </c>
      <c r="DA49" t="s">
        <v>192</v>
      </c>
      <c r="DC49" t="s">
        <v>192</v>
      </c>
      <c r="DE49" t="s">
        <v>192</v>
      </c>
      <c r="DH49" t="s">
        <v>192</v>
      </c>
      <c r="DL49" t="s">
        <v>192</v>
      </c>
      <c r="DO49" t="s">
        <v>173</v>
      </c>
      <c r="DP49" t="s">
        <v>192</v>
      </c>
      <c r="DR49" t="s">
        <v>173</v>
      </c>
      <c r="DS49" t="s">
        <v>192</v>
      </c>
      <c r="DU49" t="s">
        <v>173</v>
      </c>
      <c r="DV49" t="s">
        <v>192</v>
      </c>
      <c r="DX49" t="s">
        <v>173</v>
      </c>
      <c r="DY49" t="s">
        <v>192</v>
      </c>
      <c r="EA49" t="s">
        <v>173</v>
      </c>
      <c r="EB49" t="s">
        <v>192</v>
      </c>
      <c r="ED49" t="s">
        <v>173</v>
      </c>
      <c r="EE49" t="s">
        <v>192</v>
      </c>
      <c r="EG49" t="s">
        <v>173</v>
      </c>
      <c r="EH49" t="s">
        <v>192</v>
      </c>
      <c r="EJ49" t="s">
        <v>173</v>
      </c>
      <c r="EK49" t="s">
        <v>192</v>
      </c>
      <c r="EM49" t="s">
        <v>173</v>
      </c>
      <c r="EN49" t="s">
        <v>192</v>
      </c>
      <c r="EQ49" t="s">
        <v>348</v>
      </c>
      <c r="ER49" t="s">
        <v>349</v>
      </c>
      <c r="ET49" t="s">
        <v>173</v>
      </c>
      <c r="EU49" t="s">
        <v>173</v>
      </c>
      <c r="EV49" t="s">
        <v>223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1</v>
      </c>
      <c r="FF49" t="s">
        <v>588</v>
      </c>
      <c r="FH49">
        <v>83536993</v>
      </c>
      <c r="FI49" t="s">
        <v>589</v>
      </c>
      <c r="FJ49" s="1">
        <v>45758.818483796298</v>
      </c>
      <c r="FM49" t="s">
        <v>193</v>
      </c>
      <c r="FO49" t="s">
        <v>194</v>
      </c>
      <c r="FQ49">
        <v>49</v>
      </c>
    </row>
    <row r="50" spans="1:173" x14ac:dyDescent="0.25">
      <c r="A50" s="1">
        <v>45758.610023032408</v>
      </c>
      <c r="B50" s="1">
        <v>45758.613433969913</v>
      </c>
      <c r="C50" t="s">
        <v>334</v>
      </c>
      <c r="D50">
        <v>104</v>
      </c>
      <c r="E50" s="1">
        <v>45738</v>
      </c>
      <c r="F50">
        <v>1</v>
      </c>
      <c r="G50" t="s">
        <v>438</v>
      </c>
      <c r="H50" t="s">
        <v>171</v>
      </c>
      <c r="I50" t="s">
        <v>590</v>
      </c>
      <c r="J50" t="s">
        <v>591</v>
      </c>
      <c r="K50" t="s">
        <v>173</v>
      </c>
      <c r="L50">
        <v>25</v>
      </c>
      <c r="M50" t="s">
        <v>174</v>
      </c>
      <c r="N50">
        <v>0</v>
      </c>
      <c r="O50">
        <v>0</v>
      </c>
      <c r="P50">
        <v>0</v>
      </c>
      <c r="Q50">
        <v>0</v>
      </c>
      <c r="R50" t="s">
        <v>175</v>
      </c>
      <c r="S50">
        <v>49</v>
      </c>
      <c r="T50" t="str">
        <f t="shared" si="0"/>
        <v>41 a 55</v>
      </c>
      <c r="U50" t="s">
        <v>173</v>
      </c>
      <c r="W50" t="s">
        <v>441</v>
      </c>
      <c r="Y50" t="s">
        <v>200</v>
      </c>
      <c r="Z50" t="s">
        <v>355</v>
      </c>
      <c r="AA50" t="s">
        <v>179</v>
      </c>
      <c r="AB50" t="s">
        <v>189</v>
      </c>
      <c r="AC50" t="s">
        <v>202</v>
      </c>
      <c r="AD50" t="s">
        <v>592</v>
      </c>
      <c r="AG50" t="s">
        <v>202</v>
      </c>
      <c r="AH50" t="s">
        <v>232</v>
      </c>
      <c r="AI50">
        <v>0</v>
      </c>
      <c r="AJ50">
        <v>0</v>
      </c>
      <c r="AK50">
        <v>1</v>
      </c>
      <c r="AL50">
        <v>0</v>
      </c>
      <c r="AM50">
        <v>0</v>
      </c>
      <c r="AN50" t="s">
        <v>297</v>
      </c>
      <c r="AO50" t="s">
        <v>192</v>
      </c>
      <c r="AP50" t="s">
        <v>173</v>
      </c>
      <c r="AQ50" t="s">
        <v>192</v>
      </c>
      <c r="AZ50" t="s">
        <v>192</v>
      </c>
      <c r="BW50">
        <f t="shared" si="1"/>
        <v>0</v>
      </c>
      <c r="BY50" t="s">
        <v>173</v>
      </c>
      <c r="BZ50" t="s">
        <v>186</v>
      </c>
      <c r="CA50" t="s">
        <v>192</v>
      </c>
      <c r="CC50" t="s">
        <v>192</v>
      </c>
      <c r="CE50" t="s">
        <v>192</v>
      </c>
      <c r="CG50" t="s">
        <v>173</v>
      </c>
      <c r="CH50" t="s">
        <v>186</v>
      </c>
      <c r="CI50" t="s">
        <v>192</v>
      </c>
      <c r="CK50" t="s">
        <v>173</v>
      </c>
      <c r="CL50" t="s">
        <v>185</v>
      </c>
      <c r="CM50" t="s">
        <v>192</v>
      </c>
      <c r="CO50" t="s">
        <v>192</v>
      </c>
      <c r="CQ50" t="s">
        <v>173</v>
      </c>
      <c r="CR50" t="s">
        <v>185</v>
      </c>
      <c r="CS50" t="s">
        <v>173</v>
      </c>
      <c r="CT50" t="s">
        <v>185</v>
      </c>
      <c r="CU50" t="s">
        <v>192</v>
      </c>
      <c r="CW50" t="s">
        <v>192</v>
      </c>
      <c r="CY50" t="s">
        <v>173</v>
      </c>
      <c r="CZ50" t="s">
        <v>186</v>
      </c>
      <c r="DA50" t="s">
        <v>192</v>
      </c>
      <c r="DC50" t="s">
        <v>173</v>
      </c>
      <c r="DD50" t="s">
        <v>185</v>
      </c>
      <c r="DE50" t="s">
        <v>192</v>
      </c>
      <c r="DH50" t="s">
        <v>173</v>
      </c>
      <c r="DI50" t="s">
        <v>186</v>
      </c>
      <c r="DJ50" t="s">
        <v>192</v>
      </c>
      <c r="DL50" t="s">
        <v>173</v>
      </c>
      <c r="DM50" t="s">
        <v>173</v>
      </c>
      <c r="DN50" t="s">
        <v>188</v>
      </c>
      <c r="DO50" t="s">
        <v>173</v>
      </c>
      <c r="DP50" t="s">
        <v>173</v>
      </c>
      <c r="DQ50" t="s">
        <v>188</v>
      </c>
      <c r="DR50" t="s">
        <v>192</v>
      </c>
      <c r="DU50" t="s">
        <v>173</v>
      </c>
      <c r="DV50" t="s">
        <v>173</v>
      </c>
      <c r="DW50" t="s">
        <v>188</v>
      </c>
      <c r="DX50" t="s">
        <v>173</v>
      </c>
      <c r="DY50" t="s">
        <v>173</v>
      </c>
      <c r="DZ50" t="s">
        <v>188</v>
      </c>
      <c r="EA50" t="s">
        <v>192</v>
      </c>
      <c r="ED50" t="s">
        <v>173</v>
      </c>
      <c r="EE50" t="s">
        <v>173</v>
      </c>
      <c r="EF50" t="s">
        <v>188</v>
      </c>
      <c r="EG50" t="s">
        <v>173</v>
      </c>
      <c r="EH50" t="s">
        <v>173</v>
      </c>
      <c r="EI50" t="s">
        <v>188</v>
      </c>
      <c r="EJ50" t="s">
        <v>173</v>
      </c>
      <c r="EK50" t="s">
        <v>192</v>
      </c>
      <c r="EM50" t="s">
        <v>192</v>
      </c>
      <c r="EQ50" t="s">
        <v>220</v>
      </c>
      <c r="ET50" t="s">
        <v>173</v>
      </c>
      <c r="EU50" t="s">
        <v>173</v>
      </c>
      <c r="EV50" t="s">
        <v>277</v>
      </c>
      <c r="EW50">
        <v>0</v>
      </c>
      <c r="EX50">
        <v>0</v>
      </c>
      <c r="EY50">
        <v>1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H50">
        <v>83537173</v>
      </c>
      <c r="FI50" t="s">
        <v>593</v>
      </c>
      <c r="FJ50" s="1">
        <v>45758.821770833332</v>
      </c>
      <c r="FM50" t="s">
        <v>193</v>
      </c>
      <c r="FO50" t="s">
        <v>469</v>
      </c>
      <c r="FQ50">
        <v>50</v>
      </c>
    </row>
    <row r="51" spans="1:173" x14ac:dyDescent="0.25">
      <c r="A51" s="1">
        <v>45758.605274016198</v>
      </c>
      <c r="B51" s="1">
        <v>45758.613689918981</v>
      </c>
      <c r="C51" t="s">
        <v>195</v>
      </c>
      <c r="D51">
        <v>149</v>
      </c>
      <c r="E51" s="1">
        <v>45739</v>
      </c>
      <c r="F51">
        <v>3</v>
      </c>
      <c r="G51" t="s">
        <v>352</v>
      </c>
      <c r="H51" t="s">
        <v>197</v>
      </c>
      <c r="I51" t="s">
        <v>594</v>
      </c>
      <c r="J51" t="s">
        <v>595</v>
      </c>
      <c r="K51" t="s">
        <v>173</v>
      </c>
      <c r="L51">
        <v>30</v>
      </c>
      <c r="M51" t="s">
        <v>174</v>
      </c>
      <c r="N51">
        <v>0</v>
      </c>
      <c r="O51">
        <v>0</v>
      </c>
      <c r="P51">
        <v>0</v>
      </c>
      <c r="Q51">
        <v>0</v>
      </c>
      <c r="R51" t="s">
        <v>175</v>
      </c>
      <c r="S51">
        <v>60</v>
      </c>
      <c r="T51" t="str">
        <f t="shared" si="0"/>
        <v>56 a más</v>
      </c>
      <c r="U51" t="s">
        <v>173</v>
      </c>
      <c r="W51" t="s">
        <v>176</v>
      </c>
      <c r="Y51" t="s">
        <v>214</v>
      </c>
      <c r="Z51" t="s">
        <v>239</v>
      </c>
      <c r="AA51" t="s">
        <v>179</v>
      </c>
      <c r="AB51" t="s">
        <v>215</v>
      </c>
      <c r="AC51" t="s">
        <v>202</v>
      </c>
      <c r="AD51" t="s">
        <v>356</v>
      </c>
      <c r="AE51" t="s">
        <v>596</v>
      </c>
      <c r="AF51" t="s">
        <v>597</v>
      </c>
      <c r="AG51" t="s">
        <v>202</v>
      </c>
      <c r="AH51" t="s">
        <v>287</v>
      </c>
      <c r="AI51">
        <v>0</v>
      </c>
      <c r="AJ51">
        <v>0</v>
      </c>
      <c r="AK51">
        <v>0</v>
      </c>
      <c r="AL51">
        <v>0</v>
      </c>
      <c r="AM51">
        <v>1</v>
      </c>
      <c r="AN51" t="s">
        <v>297</v>
      </c>
      <c r="AO51" t="s">
        <v>192</v>
      </c>
      <c r="AP51" t="s">
        <v>192</v>
      </c>
      <c r="AQ51" t="s">
        <v>192</v>
      </c>
      <c r="AZ51" t="s">
        <v>192</v>
      </c>
      <c r="BW51">
        <f t="shared" si="1"/>
        <v>0</v>
      </c>
      <c r="BY51" t="s">
        <v>192</v>
      </c>
      <c r="CA51" t="s">
        <v>192</v>
      </c>
      <c r="CC51" t="s">
        <v>192</v>
      </c>
      <c r="CE51" t="s">
        <v>192</v>
      </c>
      <c r="CG51" t="s">
        <v>192</v>
      </c>
      <c r="CI51" t="s">
        <v>192</v>
      </c>
      <c r="CK51" t="s">
        <v>192</v>
      </c>
      <c r="CM51" t="s">
        <v>192</v>
      </c>
      <c r="CO51" t="s">
        <v>192</v>
      </c>
      <c r="CQ51" t="s">
        <v>192</v>
      </c>
      <c r="CS51" t="s">
        <v>192</v>
      </c>
      <c r="CU51" t="s">
        <v>192</v>
      </c>
      <c r="CW51" t="s">
        <v>192</v>
      </c>
      <c r="CY51" t="s">
        <v>192</v>
      </c>
      <c r="DA51" t="s">
        <v>192</v>
      </c>
      <c r="DC51" t="s">
        <v>192</v>
      </c>
      <c r="DE51" t="s">
        <v>192</v>
      </c>
      <c r="DH51" t="s">
        <v>173</v>
      </c>
      <c r="DI51" t="s">
        <v>187</v>
      </c>
      <c r="DJ51" t="s">
        <v>173</v>
      </c>
      <c r="DL51" t="s">
        <v>173</v>
      </c>
      <c r="DM51" t="s">
        <v>173</v>
      </c>
      <c r="DN51" t="s">
        <v>191</v>
      </c>
      <c r="DO51" t="s">
        <v>192</v>
      </c>
      <c r="DR51" t="s">
        <v>192</v>
      </c>
      <c r="DU51" t="s">
        <v>173</v>
      </c>
      <c r="DV51" t="s">
        <v>173</v>
      </c>
      <c r="DW51" t="s">
        <v>191</v>
      </c>
      <c r="DX51" t="s">
        <v>192</v>
      </c>
      <c r="EA51" t="s">
        <v>192</v>
      </c>
      <c r="ED51" t="s">
        <v>173</v>
      </c>
      <c r="EE51" t="s">
        <v>192</v>
      </c>
      <c r="EG51" t="s">
        <v>173</v>
      </c>
      <c r="EH51" t="s">
        <v>192</v>
      </c>
      <c r="EJ51" t="s">
        <v>192</v>
      </c>
      <c r="EM51" t="s">
        <v>192</v>
      </c>
      <c r="EQ51" t="s">
        <v>348</v>
      </c>
      <c r="ER51" t="s">
        <v>405</v>
      </c>
      <c r="ES51" t="s">
        <v>360</v>
      </c>
      <c r="ET51" t="s">
        <v>173</v>
      </c>
      <c r="EU51" t="s">
        <v>173</v>
      </c>
      <c r="EV51" t="s">
        <v>598</v>
      </c>
      <c r="EW51">
        <v>0</v>
      </c>
      <c r="EX51">
        <v>1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1</v>
      </c>
      <c r="FF51" t="s">
        <v>599</v>
      </c>
      <c r="FH51">
        <v>83537195</v>
      </c>
      <c r="FI51" t="s">
        <v>600</v>
      </c>
      <c r="FJ51" s="1">
        <v>45758.822025462963</v>
      </c>
      <c r="FM51" t="s">
        <v>193</v>
      </c>
      <c r="FO51" t="s">
        <v>194</v>
      </c>
      <c r="FQ51">
        <v>51</v>
      </c>
    </row>
    <row r="52" spans="1:173" x14ac:dyDescent="0.25">
      <c r="A52" s="1">
        <v>45758.610153564812</v>
      </c>
      <c r="B52" s="1">
        <v>45758.620878159723</v>
      </c>
      <c r="C52" t="s">
        <v>226</v>
      </c>
      <c r="D52">
        <v>62</v>
      </c>
      <c r="E52" s="1">
        <v>45738</v>
      </c>
      <c r="F52">
        <v>3</v>
      </c>
      <c r="G52" t="s">
        <v>314</v>
      </c>
      <c r="H52" t="s">
        <v>228</v>
      </c>
      <c r="I52" t="s">
        <v>270</v>
      </c>
      <c r="J52" t="s">
        <v>601</v>
      </c>
      <c r="K52" t="s">
        <v>173</v>
      </c>
      <c r="L52">
        <v>20</v>
      </c>
      <c r="M52" t="s">
        <v>174</v>
      </c>
      <c r="N52">
        <v>0</v>
      </c>
      <c r="O52">
        <v>0</v>
      </c>
      <c r="P52">
        <v>0</v>
      </c>
      <c r="Q52">
        <v>0</v>
      </c>
      <c r="R52" t="s">
        <v>251</v>
      </c>
      <c r="S52">
        <v>40</v>
      </c>
      <c r="T52" t="str">
        <f t="shared" si="0"/>
        <v>26 a 40</v>
      </c>
      <c r="U52" t="s">
        <v>173</v>
      </c>
      <c r="W52" t="s">
        <v>176</v>
      </c>
      <c r="Y52" t="s">
        <v>200</v>
      </c>
      <c r="Z52" t="s">
        <v>178</v>
      </c>
      <c r="AA52" t="s">
        <v>179</v>
      </c>
      <c r="AB52" t="s">
        <v>215</v>
      </c>
      <c r="AC52" t="s">
        <v>216</v>
      </c>
      <c r="AD52" t="s">
        <v>602</v>
      </c>
      <c r="AE52" t="s">
        <v>603</v>
      </c>
      <c r="AG52" t="s">
        <v>202</v>
      </c>
      <c r="AH52" t="s">
        <v>556</v>
      </c>
      <c r="AI52">
        <v>0</v>
      </c>
      <c r="AJ52">
        <v>0</v>
      </c>
      <c r="AK52">
        <v>1</v>
      </c>
      <c r="AL52">
        <v>1</v>
      </c>
      <c r="AM52">
        <v>0</v>
      </c>
      <c r="AN52" t="s">
        <v>297</v>
      </c>
      <c r="AO52" t="s">
        <v>173</v>
      </c>
      <c r="AP52" t="s">
        <v>173</v>
      </c>
      <c r="AQ52" t="s">
        <v>192</v>
      </c>
      <c r="AZ52" t="s">
        <v>192</v>
      </c>
      <c r="BW52">
        <f t="shared" si="1"/>
        <v>0</v>
      </c>
      <c r="BY52" t="s">
        <v>192</v>
      </c>
      <c r="CA52" t="s">
        <v>192</v>
      </c>
      <c r="CC52" t="s">
        <v>173</v>
      </c>
      <c r="CD52" t="s">
        <v>186</v>
      </c>
      <c r="CE52" t="s">
        <v>173</v>
      </c>
      <c r="CF52" t="s">
        <v>185</v>
      </c>
      <c r="CG52" t="s">
        <v>192</v>
      </c>
      <c r="CI52" t="s">
        <v>192</v>
      </c>
      <c r="CK52" t="s">
        <v>173</v>
      </c>
      <c r="CL52" t="s">
        <v>185</v>
      </c>
      <c r="CM52" t="s">
        <v>173</v>
      </c>
      <c r="CN52" t="s">
        <v>185</v>
      </c>
      <c r="CO52" t="s">
        <v>173</v>
      </c>
      <c r="CP52" t="s">
        <v>186</v>
      </c>
      <c r="CQ52" t="s">
        <v>173</v>
      </c>
      <c r="CR52" t="s">
        <v>186</v>
      </c>
      <c r="CS52" t="s">
        <v>192</v>
      </c>
      <c r="CU52" t="s">
        <v>173</v>
      </c>
      <c r="CV52" t="s">
        <v>185</v>
      </c>
      <c r="CW52" t="s">
        <v>192</v>
      </c>
      <c r="CY52" t="s">
        <v>173</v>
      </c>
      <c r="CZ52" t="s">
        <v>186</v>
      </c>
      <c r="DA52" t="s">
        <v>192</v>
      </c>
      <c r="DC52" t="s">
        <v>173</v>
      </c>
      <c r="DD52" t="s">
        <v>187</v>
      </c>
      <c r="DE52" t="s">
        <v>192</v>
      </c>
      <c r="DH52" t="s">
        <v>173</v>
      </c>
      <c r="DI52" t="s">
        <v>187</v>
      </c>
      <c r="DJ52" t="s">
        <v>192</v>
      </c>
      <c r="DL52" t="s">
        <v>173</v>
      </c>
      <c r="DM52" t="s">
        <v>173</v>
      </c>
      <c r="DN52" t="s">
        <v>188</v>
      </c>
      <c r="DO52" t="s">
        <v>173</v>
      </c>
      <c r="DP52" t="s">
        <v>173</v>
      </c>
      <c r="DQ52" t="s">
        <v>188</v>
      </c>
      <c r="DR52" t="s">
        <v>173</v>
      </c>
      <c r="DS52" t="s">
        <v>173</v>
      </c>
      <c r="DT52" t="s">
        <v>188</v>
      </c>
      <c r="DU52" t="s">
        <v>173</v>
      </c>
      <c r="DV52" t="s">
        <v>173</v>
      </c>
      <c r="DW52" t="s">
        <v>188</v>
      </c>
      <c r="DX52" t="s">
        <v>173</v>
      </c>
      <c r="DY52" t="s">
        <v>192</v>
      </c>
      <c r="EA52" t="s">
        <v>192</v>
      </c>
      <c r="ED52" t="s">
        <v>173</v>
      </c>
      <c r="EE52" t="s">
        <v>173</v>
      </c>
      <c r="EF52" t="s">
        <v>188</v>
      </c>
      <c r="EG52" t="s">
        <v>173</v>
      </c>
      <c r="EH52" t="s">
        <v>173</v>
      </c>
      <c r="EI52" t="s">
        <v>188</v>
      </c>
      <c r="EJ52" t="s">
        <v>173</v>
      </c>
      <c r="EK52" t="s">
        <v>192</v>
      </c>
      <c r="EM52" t="s">
        <v>173</v>
      </c>
      <c r="EN52" t="s">
        <v>192</v>
      </c>
      <c r="EQ52" t="s">
        <v>604</v>
      </c>
      <c r="ER52" t="s">
        <v>605</v>
      </c>
      <c r="ET52" t="s">
        <v>173</v>
      </c>
      <c r="EU52" t="s">
        <v>173</v>
      </c>
      <c r="EV52" t="s">
        <v>258</v>
      </c>
      <c r="EW52">
        <v>0</v>
      </c>
      <c r="EX52">
        <v>0</v>
      </c>
      <c r="EY52">
        <v>0</v>
      </c>
      <c r="EZ52">
        <v>0</v>
      </c>
      <c r="FA52">
        <v>1</v>
      </c>
      <c r="FB52">
        <v>1</v>
      </c>
      <c r="FC52">
        <v>0</v>
      </c>
      <c r="FD52">
        <v>0</v>
      </c>
      <c r="FE52">
        <v>0</v>
      </c>
      <c r="FH52">
        <v>83537970</v>
      </c>
      <c r="FI52" t="s">
        <v>606</v>
      </c>
      <c r="FJ52" s="1">
        <v>45758.829224537039</v>
      </c>
      <c r="FM52" t="s">
        <v>193</v>
      </c>
      <c r="FO52" t="s">
        <v>194</v>
      </c>
      <c r="FQ52">
        <v>52</v>
      </c>
    </row>
    <row r="53" spans="1:173" x14ac:dyDescent="0.25">
      <c r="A53" s="1">
        <v>45758.62087859954</v>
      </c>
      <c r="B53" s="1">
        <v>45758.623645196763</v>
      </c>
      <c r="C53" t="s">
        <v>226</v>
      </c>
      <c r="D53">
        <v>61</v>
      </c>
      <c r="E53" s="1">
        <v>45738</v>
      </c>
      <c r="F53">
        <v>3</v>
      </c>
      <c r="G53" t="s">
        <v>280</v>
      </c>
      <c r="H53" t="s">
        <v>228</v>
      </c>
      <c r="I53" t="s">
        <v>607</v>
      </c>
      <c r="J53" t="s">
        <v>608</v>
      </c>
      <c r="K53" t="s">
        <v>173</v>
      </c>
      <c r="L53">
        <v>30</v>
      </c>
      <c r="M53" t="s">
        <v>174</v>
      </c>
      <c r="N53">
        <v>0</v>
      </c>
      <c r="O53">
        <v>0</v>
      </c>
      <c r="P53">
        <v>0</v>
      </c>
      <c r="Q53">
        <v>0</v>
      </c>
      <c r="R53" t="s">
        <v>251</v>
      </c>
      <c r="S53">
        <v>55</v>
      </c>
      <c r="T53" t="str">
        <f t="shared" si="0"/>
        <v>41 a 55</v>
      </c>
      <c r="U53" t="s">
        <v>173</v>
      </c>
      <c r="W53" t="s">
        <v>176</v>
      </c>
      <c r="Y53" t="s">
        <v>177</v>
      </c>
      <c r="Z53" t="s">
        <v>239</v>
      </c>
      <c r="AA53" t="s">
        <v>240</v>
      </c>
      <c r="AB53" t="s">
        <v>201</v>
      </c>
      <c r="AC53" t="s">
        <v>216</v>
      </c>
      <c r="AD53" t="s">
        <v>609</v>
      </c>
      <c r="AE53" t="s">
        <v>610</v>
      </c>
      <c r="AG53" t="s">
        <v>216</v>
      </c>
      <c r="AH53" t="s">
        <v>266</v>
      </c>
      <c r="AI53">
        <v>0</v>
      </c>
      <c r="AJ53">
        <v>0</v>
      </c>
      <c r="AK53">
        <v>0</v>
      </c>
      <c r="AL53">
        <v>1</v>
      </c>
      <c r="AM53">
        <v>0</v>
      </c>
      <c r="AN53" t="s">
        <v>183</v>
      </c>
      <c r="AO53" t="s">
        <v>192</v>
      </c>
      <c r="AP53" t="s">
        <v>192</v>
      </c>
      <c r="AQ53" t="s">
        <v>192</v>
      </c>
      <c r="AZ53" t="s">
        <v>192</v>
      </c>
      <c r="BW53">
        <f t="shared" si="1"/>
        <v>0</v>
      </c>
      <c r="BY53" t="s">
        <v>192</v>
      </c>
      <c r="CA53" t="s">
        <v>192</v>
      </c>
      <c r="CC53" t="s">
        <v>192</v>
      </c>
      <c r="CE53" t="s">
        <v>192</v>
      </c>
      <c r="CG53" t="s">
        <v>192</v>
      </c>
      <c r="CI53" t="s">
        <v>192</v>
      </c>
      <c r="CK53" t="s">
        <v>173</v>
      </c>
      <c r="CL53" t="s">
        <v>185</v>
      </c>
      <c r="CM53" t="s">
        <v>192</v>
      </c>
      <c r="CO53" t="s">
        <v>192</v>
      </c>
      <c r="CQ53" t="s">
        <v>173</v>
      </c>
      <c r="CR53" t="s">
        <v>185</v>
      </c>
      <c r="CS53" t="s">
        <v>192</v>
      </c>
      <c r="CU53" t="s">
        <v>192</v>
      </c>
      <c r="CW53" t="s">
        <v>192</v>
      </c>
      <c r="CY53" t="s">
        <v>192</v>
      </c>
      <c r="DA53" t="s">
        <v>192</v>
      </c>
      <c r="DC53" t="s">
        <v>192</v>
      </c>
      <c r="DE53" t="s">
        <v>192</v>
      </c>
      <c r="DH53" t="s">
        <v>173</v>
      </c>
      <c r="DI53" t="s">
        <v>187</v>
      </c>
      <c r="DJ53" t="s">
        <v>173</v>
      </c>
      <c r="DL53" t="s">
        <v>173</v>
      </c>
      <c r="DM53" t="s">
        <v>192</v>
      </c>
      <c r="DO53" t="s">
        <v>173</v>
      </c>
      <c r="DP53" t="s">
        <v>192</v>
      </c>
      <c r="DR53" t="s">
        <v>192</v>
      </c>
      <c r="DU53" t="s">
        <v>173</v>
      </c>
      <c r="DV53" t="s">
        <v>173</v>
      </c>
      <c r="DW53" t="s">
        <v>188</v>
      </c>
      <c r="DX53" t="s">
        <v>192</v>
      </c>
      <c r="EA53" t="s">
        <v>192</v>
      </c>
      <c r="ED53" t="s">
        <v>173</v>
      </c>
      <c r="EE53" t="s">
        <v>192</v>
      </c>
      <c r="EG53" t="s">
        <v>173</v>
      </c>
      <c r="EH53" t="s">
        <v>192</v>
      </c>
      <c r="EJ53" t="s">
        <v>173</v>
      </c>
      <c r="EK53" t="s">
        <v>192</v>
      </c>
      <c r="EM53" t="s">
        <v>192</v>
      </c>
      <c r="EQ53" t="s">
        <v>611</v>
      </c>
      <c r="ER53" t="s">
        <v>612</v>
      </c>
      <c r="ET53" t="s">
        <v>173</v>
      </c>
      <c r="EU53" t="s">
        <v>173</v>
      </c>
      <c r="EV53" t="s">
        <v>613</v>
      </c>
      <c r="EW53">
        <v>0</v>
      </c>
      <c r="EX53">
        <v>1</v>
      </c>
      <c r="EY53">
        <v>0</v>
      </c>
      <c r="EZ53">
        <v>0</v>
      </c>
      <c r="FA53">
        <v>0</v>
      </c>
      <c r="FB53">
        <v>1</v>
      </c>
      <c r="FC53">
        <v>0</v>
      </c>
      <c r="FD53">
        <v>0</v>
      </c>
      <c r="FE53">
        <v>0</v>
      </c>
      <c r="FH53">
        <v>83538210</v>
      </c>
      <c r="FI53" t="s">
        <v>614</v>
      </c>
      <c r="FJ53" s="1">
        <v>45758.831990740742</v>
      </c>
      <c r="FM53" t="s">
        <v>193</v>
      </c>
      <c r="FO53" t="s">
        <v>194</v>
      </c>
      <c r="FQ53">
        <v>53</v>
      </c>
    </row>
    <row r="54" spans="1:173" x14ac:dyDescent="0.25">
      <c r="A54" s="1">
        <v>45758.613690347222</v>
      </c>
      <c r="B54" s="1">
        <v>45758.625384317129</v>
      </c>
      <c r="C54" t="s">
        <v>195</v>
      </c>
      <c r="D54">
        <v>148</v>
      </c>
      <c r="E54" s="1">
        <v>45739</v>
      </c>
      <c r="F54">
        <v>3</v>
      </c>
      <c r="G54" t="s">
        <v>352</v>
      </c>
      <c r="H54" t="s">
        <v>197</v>
      </c>
      <c r="I54" t="s">
        <v>615</v>
      </c>
      <c r="J54" t="s">
        <v>616</v>
      </c>
      <c r="K54" t="s">
        <v>173</v>
      </c>
      <c r="L54">
        <v>13</v>
      </c>
      <c r="M54" t="s">
        <v>174</v>
      </c>
      <c r="N54">
        <v>0</v>
      </c>
      <c r="O54">
        <v>0</v>
      </c>
      <c r="P54">
        <v>0</v>
      </c>
      <c r="Q54">
        <v>0</v>
      </c>
      <c r="R54" t="s">
        <v>251</v>
      </c>
      <c r="S54">
        <v>63</v>
      </c>
      <c r="T54" t="str">
        <f t="shared" si="0"/>
        <v>56 a más</v>
      </c>
      <c r="U54" t="s">
        <v>173</v>
      </c>
      <c r="W54" t="s">
        <v>176</v>
      </c>
      <c r="Y54" t="s">
        <v>177</v>
      </c>
      <c r="Z54" t="s">
        <v>355</v>
      </c>
      <c r="AA54" t="s">
        <v>179</v>
      </c>
      <c r="AB54" t="s">
        <v>180</v>
      </c>
      <c r="AC54" t="s">
        <v>202</v>
      </c>
      <c r="AD54" t="s">
        <v>617</v>
      </c>
      <c r="AE54" t="s">
        <v>618</v>
      </c>
      <c r="AF54" t="s">
        <v>619</v>
      </c>
      <c r="AG54" t="s">
        <v>339</v>
      </c>
      <c r="AH54" t="s">
        <v>232</v>
      </c>
      <c r="AI54">
        <v>0</v>
      </c>
      <c r="AJ54">
        <v>0</v>
      </c>
      <c r="AK54">
        <v>1</v>
      </c>
      <c r="AL54">
        <v>0</v>
      </c>
      <c r="AM54">
        <v>0</v>
      </c>
      <c r="AN54" t="s">
        <v>297</v>
      </c>
      <c r="AO54" t="s">
        <v>192</v>
      </c>
      <c r="AP54" t="s">
        <v>192</v>
      </c>
      <c r="AQ54" t="s">
        <v>173</v>
      </c>
      <c r="AR54" t="s">
        <v>298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 t="s">
        <v>620</v>
      </c>
      <c r="AZ54" t="s">
        <v>192</v>
      </c>
      <c r="BW54">
        <f t="shared" si="1"/>
        <v>0</v>
      </c>
      <c r="BY54" t="s">
        <v>192</v>
      </c>
      <c r="CA54" t="s">
        <v>192</v>
      </c>
      <c r="CC54" t="s">
        <v>192</v>
      </c>
      <c r="CE54" t="s">
        <v>192</v>
      </c>
      <c r="CG54" t="s">
        <v>173</v>
      </c>
      <c r="CH54" t="s">
        <v>186</v>
      </c>
      <c r="CI54" t="s">
        <v>173</v>
      </c>
      <c r="CJ54" t="s">
        <v>185</v>
      </c>
      <c r="CK54" t="s">
        <v>192</v>
      </c>
      <c r="CM54" t="s">
        <v>192</v>
      </c>
      <c r="CO54" t="s">
        <v>192</v>
      </c>
      <c r="CQ54" t="s">
        <v>192</v>
      </c>
      <c r="CS54" t="s">
        <v>192</v>
      </c>
      <c r="CU54" t="s">
        <v>192</v>
      </c>
      <c r="CW54" t="s">
        <v>192</v>
      </c>
      <c r="CY54" t="s">
        <v>173</v>
      </c>
      <c r="CZ54" t="s">
        <v>186</v>
      </c>
      <c r="DA54" t="s">
        <v>192</v>
      </c>
      <c r="DC54" t="s">
        <v>192</v>
      </c>
      <c r="DE54" t="s">
        <v>192</v>
      </c>
      <c r="DH54" t="s">
        <v>173</v>
      </c>
      <c r="DI54" t="s">
        <v>187</v>
      </c>
      <c r="DJ54" t="s">
        <v>173</v>
      </c>
      <c r="DL54" t="s">
        <v>192</v>
      </c>
      <c r="DO54" t="s">
        <v>192</v>
      </c>
      <c r="DR54" t="s">
        <v>192</v>
      </c>
      <c r="DU54" t="s">
        <v>173</v>
      </c>
      <c r="DV54" t="s">
        <v>173</v>
      </c>
      <c r="DW54" t="s">
        <v>191</v>
      </c>
      <c r="DX54" t="s">
        <v>173</v>
      </c>
      <c r="DY54" t="s">
        <v>192</v>
      </c>
      <c r="EA54" t="s">
        <v>192</v>
      </c>
      <c r="ED54" t="s">
        <v>173</v>
      </c>
      <c r="EE54" t="s">
        <v>192</v>
      </c>
      <c r="EG54" t="s">
        <v>173</v>
      </c>
      <c r="EH54" t="s">
        <v>192</v>
      </c>
      <c r="EJ54" t="s">
        <v>192</v>
      </c>
      <c r="EM54" t="s">
        <v>192</v>
      </c>
      <c r="EQ54" t="s">
        <v>621</v>
      </c>
      <c r="ER54" t="s">
        <v>388</v>
      </c>
      <c r="ES54" t="s">
        <v>256</v>
      </c>
      <c r="ET54" t="s">
        <v>173</v>
      </c>
      <c r="EU54" t="s">
        <v>173</v>
      </c>
      <c r="EV54" t="s">
        <v>208</v>
      </c>
      <c r="EW54">
        <v>0</v>
      </c>
      <c r="EX54">
        <v>0</v>
      </c>
      <c r="EY54">
        <v>0</v>
      </c>
      <c r="EZ54">
        <v>0</v>
      </c>
      <c r="FA54">
        <v>1</v>
      </c>
      <c r="FB54">
        <v>0</v>
      </c>
      <c r="FC54">
        <v>0</v>
      </c>
      <c r="FD54">
        <v>0</v>
      </c>
      <c r="FE54">
        <v>0</v>
      </c>
      <c r="FH54">
        <v>83538245</v>
      </c>
      <c r="FI54" t="s">
        <v>622</v>
      </c>
      <c r="FJ54" s="1">
        <v>45758.833726851852</v>
      </c>
      <c r="FM54" t="s">
        <v>193</v>
      </c>
      <c r="FO54" t="s">
        <v>194</v>
      </c>
      <c r="FQ54">
        <v>54</v>
      </c>
    </row>
    <row r="55" spans="1:173" x14ac:dyDescent="0.25">
      <c r="A55" s="1">
        <v>45758.625384733787</v>
      </c>
      <c r="B55" s="1">
        <v>45758.629681203704</v>
      </c>
      <c r="C55" t="s">
        <v>195</v>
      </c>
      <c r="D55">
        <v>147</v>
      </c>
      <c r="E55" s="1">
        <v>45739</v>
      </c>
      <c r="F55">
        <v>3</v>
      </c>
      <c r="G55" t="s">
        <v>227</v>
      </c>
      <c r="H55" t="s">
        <v>197</v>
      </c>
      <c r="I55" t="s">
        <v>623</v>
      </c>
      <c r="J55" t="s">
        <v>624</v>
      </c>
      <c r="K55" t="s">
        <v>173</v>
      </c>
      <c r="L55">
        <v>10</v>
      </c>
      <c r="M55" t="s">
        <v>174</v>
      </c>
      <c r="N55">
        <v>0</v>
      </c>
      <c r="O55">
        <v>0</v>
      </c>
      <c r="P55">
        <v>0</v>
      </c>
      <c r="Q55">
        <v>0</v>
      </c>
      <c r="R55" t="s">
        <v>251</v>
      </c>
      <c r="S55">
        <v>31</v>
      </c>
      <c r="T55" t="str">
        <f t="shared" si="0"/>
        <v>26 a 40</v>
      </c>
      <c r="U55" t="s">
        <v>173</v>
      </c>
      <c r="W55" t="s">
        <v>176</v>
      </c>
      <c r="Y55" t="s">
        <v>200</v>
      </c>
      <c r="Z55" t="s">
        <v>178</v>
      </c>
      <c r="AA55" t="s">
        <v>240</v>
      </c>
      <c r="AB55" t="s">
        <v>215</v>
      </c>
      <c r="AC55" t="s">
        <v>216</v>
      </c>
      <c r="AD55" t="s">
        <v>625</v>
      </c>
      <c r="AG55" t="s">
        <v>202</v>
      </c>
      <c r="AH55" t="s">
        <v>204</v>
      </c>
      <c r="AI55">
        <v>0</v>
      </c>
      <c r="AJ55">
        <v>1</v>
      </c>
      <c r="AK55">
        <v>0</v>
      </c>
      <c r="AL55">
        <v>0</v>
      </c>
      <c r="AM55">
        <v>0</v>
      </c>
      <c r="AN55" t="s">
        <v>183</v>
      </c>
      <c r="AO55" t="s">
        <v>192</v>
      </c>
      <c r="AP55" t="s">
        <v>192</v>
      </c>
      <c r="AQ55" t="s">
        <v>173</v>
      </c>
      <c r="AR55" t="s">
        <v>206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Z55" t="s">
        <v>173</v>
      </c>
      <c r="BA55" t="s">
        <v>254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L55">
        <v>0</v>
      </c>
      <c r="BP55" t="s">
        <v>192</v>
      </c>
      <c r="BW55">
        <f t="shared" si="1"/>
        <v>1</v>
      </c>
      <c r="BY55" t="s">
        <v>173</v>
      </c>
      <c r="BZ55" t="s">
        <v>186</v>
      </c>
      <c r="CA55" t="s">
        <v>192</v>
      </c>
      <c r="CC55" t="s">
        <v>173</v>
      </c>
      <c r="CD55" t="s">
        <v>187</v>
      </c>
      <c r="CE55" t="s">
        <v>173</v>
      </c>
      <c r="CF55" t="s">
        <v>186</v>
      </c>
      <c r="CG55" t="s">
        <v>173</v>
      </c>
      <c r="CH55" t="s">
        <v>185</v>
      </c>
      <c r="CI55" t="s">
        <v>192</v>
      </c>
      <c r="CK55" t="s">
        <v>173</v>
      </c>
      <c r="CL55" t="s">
        <v>186</v>
      </c>
      <c r="CM55" t="s">
        <v>173</v>
      </c>
      <c r="CN55" t="s">
        <v>186</v>
      </c>
      <c r="CO55" t="s">
        <v>192</v>
      </c>
      <c r="CQ55" t="s">
        <v>173</v>
      </c>
      <c r="CR55" t="s">
        <v>186</v>
      </c>
      <c r="CS55" t="s">
        <v>192</v>
      </c>
      <c r="CU55" t="s">
        <v>192</v>
      </c>
      <c r="CW55" t="s">
        <v>192</v>
      </c>
      <c r="CY55" t="s">
        <v>173</v>
      </c>
      <c r="CZ55" t="s">
        <v>185</v>
      </c>
      <c r="DA55" t="s">
        <v>192</v>
      </c>
      <c r="DC55" t="s">
        <v>192</v>
      </c>
      <c r="DE55" t="s">
        <v>192</v>
      </c>
      <c r="DH55" t="s">
        <v>173</v>
      </c>
      <c r="DI55" t="s">
        <v>187</v>
      </c>
      <c r="DJ55" t="s">
        <v>192</v>
      </c>
      <c r="DL55" t="s">
        <v>192</v>
      </c>
      <c r="DO55" t="s">
        <v>192</v>
      </c>
      <c r="DR55" t="s">
        <v>192</v>
      </c>
      <c r="DU55" t="s">
        <v>192</v>
      </c>
      <c r="DX55" t="s">
        <v>192</v>
      </c>
      <c r="EA55" t="s">
        <v>173</v>
      </c>
      <c r="EB55" t="s">
        <v>173</v>
      </c>
      <c r="EC55" t="s">
        <v>188</v>
      </c>
      <c r="ED55" t="s">
        <v>173</v>
      </c>
      <c r="EE55" t="s">
        <v>173</v>
      </c>
      <c r="EF55" t="s">
        <v>188</v>
      </c>
      <c r="EG55" t="s">
        <v>173</v>
      </c>
      <c r="EH55" t="s">
        <v>173</v>
      </c>
      <c r="EI55" t="s">
        <v>188</v>
      </c>
      <c r="EJ55" t="s">
        <v>192</v>
      </c>
      <c r="EM55" t="s">
        <v>192</v>
      </c>
      <c r="EQ55" t="s">
        <v>626</v>
      </c>
      <c r="ER55" t="s">
        <v>627</v>
      </c>
      <c r="ET55" t="s">
        <v>173</v>
      </c>
      <c r="EU55" t="s">
        <v>173</v>
      </c>
      <c r="EV55" t="s">
        <v>208</v>
      </c>
      <c r="EW55">
        <v>0</v>
      </c>
      <c r="EX55">
        <v>0</v>
      </c>
      <c r="EY55">
        <v>0</v>
      </c>
      <c r="EZ55">
        <v>0</v>
      </c>
      <c r="FA55">
        <v>1</v>
      </c>
      <c r="FB55">
        <v>0</v>
      </c>
      <c r="FC55">
        <v>0</v>
      </c>
      <c r="FD55">
        <v>0</v>
      </c>
      <c r="FE55">
        <v>0</v>
      </c>
      <c r="FG55" t="s">
        <v>628</v>
      </c>
      <c r="FH55">
        <v>83538564</v>
      </c>
      <c r="FI55" t="s">
        <v>629</v>
      </c>
      <c r="FJ55" s="1">
        <v>45758.838020833333</v>
      </c>
      <c r="FM55" t="s">
        <v>193</v>
      </c>
      <c r="FO55" t="s">
        <v>194</v>
      </c>
      <c r="FQ55">
        <v>55</v>
      </c>
    </row>
    <row r="56" spans="1:173" x14ac:dyDescent="0.25">
      <c r="A56" s="1">
        <v>45758.623645856482</v>
      </c>
      <c r="B56" s="1">
        <v>45758.631040092587</v>
      </c>
      <c r="C56" t="s">
        <v>226</v>
      </c>
      <c r="D56">
        <v>59</v>
      </c>
      <c r="E56" s="1">
        <v>45738</v>
      </c>
      <c r="F56">
        <v>3</v>
      </c>
      <c r="G56" t="s">
        <v>280</v>
      </c>
      <c r="H56" t="s">
        <v>228</v>
      </c>
      <c r="I56" t="s">
        <v>630</v>
      </c>
      <c r="J56" t="s">
        <v>631</v>
      </c>
      <c r="K56" t="s">
        <v>173</v>
      </c>
      <c r="L56">
        <v>30</v>
      </c>
      <c r="M56" t="s">
        <v>174</v>
      </c>
      <c r="N56">
        <v>0</v>
      </c>
      <c r="O56">
        <v>0</v>
      </c>
      <c r="P56">
        <v>0</v>
      </c>
      <c r="Q56">
        <v>0</v>
      </c>
      <c r="R56" t="s">
        <v>251</v>
      </c>
      <c r="S56">
        <v>64</v>
      </c>
      <c r="T56" t="str">
        <f t="shared" si="0"/>
        <v>56 a más</v>
      </c>
      <c r="U56" t="s">
        <v>173</v>
      </c>
      <c r="W56" t="s">
        <v>176</v>
      </c>
      <c r="Y56" t="s">
        <v>263</v>
      </c>
      <c r="Z56" t="s">
        <v>239</v>
      </c>
      <c r="AA56" t="s">
        <v>240</v>
      </c>
      <c r="AB56" t="s">
        <v>215</v>
      </c>
      <c r="AC56" t="s">
        <v>202</v>
      </c>
      <c r="AD56" t="s">
        <v>632</v>
      </c>
      <c r="AE56" t="s">
        <v>633</v>
      </c>
      <c r="AG56" t="s">
        <v>202</v>
      </c>
      <c r="AH56" t="s">
        <v>287</v>
      </c>
      <c r="AI56">
        <v>0</v>
      </c>
      <c r="AJ56">
        <v>0</v>
      </c>
      <c r="AK56">
        <v>0</v>
      </c>
      <c r="AL56">
        <v>0</v>
      </c>
      <c r="AM56">
        <v>1</v>
      </c>
      <c r="AN56" t="s">
        <v>297</v>
      </c>
      <c r="AO56" t="s">
        <v>192</v>
      </c>
      <c r="AP56" t="s">
        <v>192</v>
      </c>
      <c r="AQ56" t="s">
        <v>192</v>
      </c>
      <c r="AZ56" t="s">
        <v>192</v>
      </c>
      <c r="BW56">
        <f t="shared" si="1"/>
        <v>0</v>
      </c>
      <c r="BY56" t="s">
        <v>192</v>
      </c>
      <c r="CA56" t="s">
        <v>192</v>
      </c>
      <c r="CC56" t="s">
        <v>173</v>
      </c>
      <c r="CD56" t="s">
        <v>185</v>
      </c>
      <c r="CE56" t="s">
        <v>173</v>
      </c>
      <c r="CF56" t="s">
        <v>186</v>
      </c>
      <c r="CG56" t="s">
        <v>192</v>
      </c>
      <c r="CI56" t="s">
        <v>192</v>
      </c>
      <c r="CK56" t="s">
        <v>173</v>
      </c>
      <c r="CL56" t="s">
        <v>186</v>
      </c>
      <c r="CM56" t="s">
        <v>192</v>
      </c>
      <c r="CO56" t="s">
        <v>192</v>
      </c>
      <c r="CQ56" t="s">
        <v>192</v>
      </c>
      <c r="CS56" t="s">
        <v>192</v>
      </c>
      <c r="CU56" t="s">
        <v>192</v>
      </c>
      <c r="CW56" t="s">
        <v>192</v>
      </c>
      <c r="CY56" t="s">
        <v>192</v>
      </c>
      <c r="DA56" t="s">
        <v>192</v>
      </c>
      <c r="DC56" t="s">
        <v>192</v>
      </c>
      <c r="DE56" t="s">
        <v>192</v>
      </c>
      <c r="DH56" t="s">
        <v>173</v>
      </c>
      <c r="DI56" t="s">
        <v>187</v>
      </c>
      <c r="DJ56" t="s">
        <v>192</v>
      </c>
      <c r="DL56" t="s">
        <v>173</v>
      </c>
      <c r="DM56" t="s">
        <v>192</v>
      </c>
      <c r="DO56" t="s">
        <v>192</v>
      </c>
      <c r="DR56" t="s">
        <v>192</v>
      </c>
      <c r="DU56" t="s">
        <v>173</v>
      </c>
      <c r="DV56" t="s">
        <v>173</v>
      </c>
      <c r="DW56" t="s">
        <v>188</v>
      </c>
      <c r="DX56" t="s">
        <v>192</v>
      </c>
      <c r="EA56" t="s">
        <v>192</v>
      </c>
      <c r="ED56" t="s">
        <v>173</v>
      </c>
      <c r="EE56" t="s">
        <v>192</v>
      </c>
      <c r="EG56" t="s">
        <v>173</v>
      </c>
      <c r="EH56" t="s">
        <v>192</v>
      </c>
      <c r="EJ56" t="s">
        <v>173</v>
      </c>
      <c r="EK56" t="s">
        <v>192</v>
      </c>
      <c r="EM56" t="s">
        <v>192</v>
      </c>
      <c r="EQ56" t="s">
        <v>634</v>
      </c>
      <c r="ER56" t="s">
        <v>635</v>
      </c>
      <c r="ET56" t="s">
        <v>173</v>
      </c>
      <c r="EU56" t="s">
        <v>173</v>
      </c>
      <c r="EV56" t="s">
        <v>223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1</v>
      </c>
      <c r="FF56" t="s">
        <v>332</v>
      </c>
      <c r="FH56">
        <v>83538626</v>
      </c>
      <c r="FI56" t="s">
        <v>636</v>
      </c>
      <c r="FJ56" s="1">
        <v>45758.839375000003</v>
      </c>
      <c r="FM56" t="s">
        <v>193</v>
      </c>
      <c r="FO56" t="s">
        <v>194</v>
      </c>
      <c r="FQ56">
        <v>56</v>
      </c>
    </row>
    <row r="57" spans="1:173" x14ac:dyDescent="0.25">
      <c r="A57" s="1">
        <v>45758.631040567132</v>
      </c>
      <c r="B57" s="1">
        <v>45758.634094120367</v>
      </c>
      <c r="C57" t="s">
        <v>226</v>
      </c>
      <c r="D57">
        <v>57</v>
      </c>
      <c r="E57" s="1">
        <v>45738</v>
      </c>
      <c r="F57">
        <v>3</v>
      </c>
      <c r="G57" t="s">
        <v>172</v>
      </c>
      <c r="H57" t="s">
        <v>228</v>
      </c>
      <c r="I57" t="s">
        <v>637</v>
      </c>
      <c r="J57" t="s">
        <v>638</v>
      </c>
      <c r="K57" t="s">
        <v>173</v>
      </c>
      <c r="L57">
        <v>20</v>
      </c>
      <c r="M57" t="s">
        <v>174</v>
      </c>
      <c r="N57">
        <v>0</v>
      </c>
      <c r="O57">
        <v>0</v>
      </c>
      <c r="P57">
        <v>0</v>
      </c>
      <c r="Q57">
        <v>0</v>
      </c>
      <c r="R57" t="s">
        <v>251</v>
      </c>
      <c r="S57">
        <v>70</v>
      </c>
      <c r="T57" t="str">
        <f t="shared" si="0"/>
        <v>56 a más</v>
      </c>
      <c r="U57" t="s">
        <v>173</v>
      </c>
      <c r="W57" t="s">
        <v>176</v>
      </c>
      <c r="Y57" t="s">
        <v>263</v>
      </c>
      <c r="Z57" t="s">
        <v>178</v>
      </c>
      <c r="AA57" t="s">
        <v>240</v>
      </c>
      <c r="AB57" t="s">
        <v>215</v>
      </c>
      <c r="AC57" t="s">
        <v>216</v>
      </c>
      <c r="AD57" t="s">
        <v>639</v>
      </c>
      <c r="AG57" t="s">
        <v>216</v>
      </c>
      <c r="AH57" t="s">
        <v>873</v>
      </c>
      <c r="AI57">
        <v>1</v>
      </c>
      <c r="AJ57">
        <v>0</v>
      </c>
      <c r="AK57">
        <v>0</v>
      </c>
      <c r="AL57">
        <v>1</v>
      </c>
      <c r="AM57">
        <v>0</v>
      </c>
      <c r="AN57" t="s">
        <v>183</v>
      </c>
      <c r="AO57" t="s">
        <v>192</v>
      </c>
      <c r="AP57" t="s">
        <v>192</v>
      </c>
      <c r="AQ57" t="s">
        <v>173</v>
      </c>
      <c r="AR57" t="s">
        <v>298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 t="s">
        <v>640</v>
      </c>
      <c r="AZ57" t="s">
        <v>192</v>
      </c>
      <c r="BW57">
        <f t="shared" si="1"/>
        <v>0</v>
      </c>
      <c r="BY57" t="s">
        <v>192</v>
      </c>
      <c r="CA57" t="s">
        <v>192</v>
      </c>
      <c r="CC57" t="s">
        <v>173</v>
      </c>
      <c r="CD57" t="s">
        <v>186</v>
      </c>
      <c r="CE57" t="s">
        <v>173</v>
      </c>
      <c r="CF57" t="s">
        <v>186</v>
      </c>
      <c r="CG57" t="s">
        <v>173</v>
      </c>
      <c r="CH57" t="s">
        <v>187</v>
      </c>
      <c r="CI57" t="s">
        <v>173</v>
      </c>
      <c r="CJ57" t="s">
        <v>185</v>
      </c>
      <c r="CK57" t="s">
        <v>173</v>
      </c>
      <c r="CL57" t="s">
        <v>186</v>
      </c>
      <c r="CM57" t="s">
        <v>173</v>
      </c>
      <c r="CN57" t="s">
        <v>186</v>
      </c>
      <c r="CO57" t="s">
        <v>192</v>
      </c>
      <c r="CQ57" t="s">
        <v>173</v>
      </c>
      <c r="CR57" t="s">
        <v>187</v>
      </c>
      <c r="CS57" t="s">
        <v>173</v>
      </c>
      <c r="CT57" t="s">
        <v>187</v>
      </c>
      <c r="CU57" t="s">
        <v>173</v>
      </c>
      <c r="CV57" t="s">
        <v>186</v>
      </c>
      <c r="CW57" t="s">
        <v>173</v>
      </c>
      <c r="CX57" t="s">
        <v>186</v>
      </c>
      <c r="CY57" t="s">
        <v>173</v>
      </c>
      <c r="CZ57" t="s">
        <v>186</v>
      </c>
      <c r="DA57" t="s">
        <v>192</v>
      </c>
      <c r="DC57" t="s">
        <v>173</v>
      </c>
      <c r="DD57" t="s">
        <v>185</v>
      </c>
      <c r="DE57" t="s">
        <v>192</v>
      </c>
      <c r="DH57" t="s">
        <v>173</v>
      </c>
      <c r="DI57" t="s">
        <v>185</v>
      </c>
      <c r="DJ57" t="s">
        <v>192</v>
      </c>
      <c r="DL57" t="s">
        <v>173</v>
      </c>
      <c r="DM57" t="s">
        <v>192</v>
      </c>
      <c r="DO57" t="s">
        <v>192</v>
      </c>
      <c r="DR57" t="s">
        <v>192</v>
      </c>
      <c r="DU57" t="s">
        <v>173</v>
      </c>
      <c r="DV57" t="s">
        <v>192</v>
      </c>
      <c r="DX57" t="s">
        <v>192</v>
      </c>
      <c r="EA57" t="s">
        <v>192</v>
      </c>
      <c r="ED57" t="s">
        <v>173</v>
      </c>
      <c r="EE57" t="s">
        <v>192</v>
      </c>
      <c r="EG57" t="s">
        <v>173</v>
      </c>
      <c r="EH57" t="s">
        <v>192</v>
      </c>
      <c r="EJ57" t="s">
        <v>173</v>
      </c>
      <c r="EK57" t="s">
        <v>192</v>
      </c>
      <c r="EM57" t="s">
        <v>192</v>
      </c>
      <c r="EQ57" t="s">
        <v>641</v>
      </c>
      <c r="ER57" t="s">
        <v>348</v>
      </c>
      <c r="ET57" t="s">
        <v>173</v>
      </c>
      <c r="EU57" t="s">
        <v>173</v>
      </c>
      <c r="EV57" t="s">
        <v>223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1</v>
      </c>
      <c r="FF57" t="s">
        <v>642</v>
      </c>
      <c r="FH57">
        <v>83538784</v>
      </c>
      <c r="FI57" t="s">
        <v>643</v>
      </c>
      <c r="FJ57" s="1">
        <v>45758.842430555553</v>
      </c>
      <c r="FM57" t="s">
        <v>193</v>
      </c>
      <c r="FO57" t="s">
        <v>194</v>
      </c>
      <c r="FQ57">
        <v>57</v>
      </c>
    </row>
    <row r="58" spans="1:173" x14ac:dyDescent="0.25">
      <c r="A58" s="1">
        <v>45758.629681643521</v>
      </c>
      <c r="B58" s="1">
        <v>45758.637219745367</v>
      </c>
      <c r="C58" t="s">
        <v>195</v>
      </c>
      <c r="D58">
        <v>146</v>
      </c>
      <c r="E58" s="1">
        <v>45739</v>
      </c>
      <c r="F58">
        <v>3</v>
      </c>
      <c r="G58" t="s">
        <v>280</v>
      </c>
      <c r="H58" t="s">
        <v>197</v>
      </c>
      <c r="I58" t="s">
        <v>644</v>
      </c>
      <c r="J58" t="s">
        <v>645</v>
      </c>
      <c r="K58" t="s">
        <v>173</v>
      </c>
      <c r="L58">
        <v>29</v>
      </c>
      <c r="M58" t="s">
        <v>174</v>
      </c>
      <c r="N58">
        <v>0</v>
      </c>
      <c r="O58">
        <v>0</v>
      </c>
      <c r="P58">
        <v>0</v>
      </c>
      <c r="Q58">
        <v>0</v>
      </c>
      <c r="R58" t="s">
        <v>251</v>
      </c>
      <c r="S58">
        <v>67</v>
      </c>
      <c r="T58" t="str">
        <f t="shared" si="0"/>
        <v>56 a más</v>
      </c>
      <c r="U58" t="s">
        <v>173</v>
      </c>
      <c r="W58" t="s">
        <v>176</v>
      </c>
      <c r="Y58" t="s">
        <v>200</v>
      </c>
      <c r="Z58" t="s">
        <v>178</v>
      </c>
      <c r="AA58" t="s">
        <v>240</v>
      </c>
      <c r="AB58" t="s">
        <v>201</v>
      </c>
      <c r="AC58" t="s">
        <v>216</v>
      </c>
      <c r="AD58" t="s">
        <v>646</v>
      </c>
      <c r="AE58" t="s">
        <v>647</v>
      </c>
      <c r="AF58" t="s">
        <v>648</v>
      </c>
      <c r="AG58" t="s">
        <v>216</v>
      </c>
      <c r="AH58" t="s">
        <v>266</v>
      </c>
      <c r="AI58">
        <v>0</v>
      </c>
      <c r="AJ58">
        <v>0</v>
      </c>
      <c r="AK58">
        <v>0</v>
      </c>
      <c r="AL58">
        <v>1</v>
      </c>
      <c r="AM58">
        <v>0</v>
      </c>
      <c r="AN58" t="s">
        <v>183</v>
      </c>
      <c r="AO58" t="s">
        <v>192</v>
      </c>
      <c r="AP58" t="s">
        <v>192</v>
      </c>
      <c r="AQ58" t="s">
        <v>192</v>
      </c>
      <c r="AZ58" t="s">
        <v>192</v>
      </c>
      <c r="BW58">
        <f t="shared" si="1"/>
        <v>0</v>
      </c>
      <c r="BY58" t="s">
        <v>192</v>
      </c>
      <c r="CA58" t="s">
        <v>192</v>
      </c>
      <c r="CC58" t="s">
        <v>173</v>
      </c>
      <c r="CD58" t="s">
        <v>186</v>
      </c>
      <c r="CE58" t="s">
        <v>192</v>
      </c>
      <c r="CG58" t="s">
        <v>192</v>
      </c>
      <c r="CI58" t="s">
        <v>173</v>
      </c>
      <c r="CJ58" t="s">
        <v>185</v>
      </c>
      <c r="CK58" t="s">
        <v>173</v>
      </c>
      <c r="CL58" t="s">
        <v>185</v>
      </c>
      <c r="CM58" t="s">
        <v>192</v>
      </c>
      <c r="CO58" t="s">
        <v>192</v>
      </c>
      <c r="CQ58" t="s">
        <v>192</v>
      </c>
      <c r="CS58" t="s">
        <v>192</v>
      </c>
      <c r="CU58" t="s">
        <v>173</v>
      </c>
      <c r="CV58" t="s">
        <v>185</v>
      </c>
      <c r="CW58" t="s">
        <v>173</v>
      </c>
      <c r="CX58" t="s">
        <v>186</v>
      </c>
      <c r="CY58" t="s">
        <v>192</v>
      </c>
      <c r="DA58" t="s">
        <v>192</v>
      </c>
      <c r="DC58" t="s">
        <v>192</v>
      </c>
      <c r="DE58" t="s">
        <v>192</v>
      </c>
      <c r="DH58" t="s">
        <v>173</v>
      </c>
      <c r="DI58" t="s">
        <v>187</v>
      </c>
      <c r="DJ58" t="s">
        <v>173</v>
      </c>
      <c r="DL58" t="s">
        <v>173</v>
      </c>
      <c r="DM58" t="s">
        <v>192</v>
      </c>
      <c r="DO58" t="s">
        <v>192</v>
      </c>
      <c r="DR58" t="s">
        <v>192</v>
      </c>
      <c r="DU58" t="s">
        <v>173</v>
      </c>
      <c r="DV58" t="s">
        <v>173</v>
      </c>
      <c r="DW58" t="s">
        <v>191</v>
      </c>
      <c r="DX58" t="s">
        <v>173</v>
      </c>
      <c r="DY58" t="s">
        <v>192</v>
      </c>
      <c r="EA58" t="s">
        <v>192</v>
      </c>
      <c r="ED58" t="s">
        <v>173</v>
      </c>
      <c r="EE58" t="s">
        <v>173</v>
      </c>
      <c r="EF58" t="s">
        <v>188</v>
      </c>
      <c r="EG58" t="s">
        <v>173</v>
      </c>
      <c r="EH58" t="s">
        <v>192</v>
      </c>
      <c r="EJ58" t="s">
        <v>192</v>
      </c>
      <c r="EM58" t="s">
        <v>192</v>
      </c>
      <c r="EQ58" t="s">
        <v>649</v>
      </c>
      <c r="ER58" t="s">
        <v>650</v>
      </c>
      <c r="ET58" t="s">
        <v>173</v>
      </c>
      <c r="EU58" t="s">
        <v>173</v>
      </c>
      <c r="EV58" t="s">
        <v>208</v>
      </c>
      <c r="EW58">
        <v>0</v>
      </c>
      <c r="EX58">
        <v>0</v>
      </c>
      <c r="EY58">
        <v>0</v>
      </c>
      <c r="EZ58">
        <v>0</v>
      </c>
      <c r="FA58">
        <v>1</v>
      </c>
      <c r="FB58">
        <v>0</v>
      </c>
      <c r="FC58">
        <v>0</v>
      </c>
      <c r="FD58">
        <v>0</v>
      </c>
      <c r="FE58">
        <v>0</v>
      </c>
      <c r="FH58">
        <v>83539136</v>
      </c>
      <c r="FI58" t="s">
        <v>651</v>
      </c>
      <c r="FJ58" s="1">
        <v>45758.845555555563</v>
      </c>
      <c r="FM58" t="s">
        <v>193</v>
      </c>
      <c r="FO58" t="s">
        <v>194</v>
      </c>
      <c r="FQ58">
        <v>58</v>
      </c>
    </row>
    <row r="59" spans="1:173" x14ac:dyDescent="0.25">
      <c r="A59" s="1">
        <v>45758.634094583344</v>
      </c>
      <c r="B59" s="1">
        <v>45758.642291249998</v>
      </c>
      <c r="C59" t="s">
        <v>226</v>
      </c>
      <c r="D59">
        <v>55</v>
      </c>
      <c r="E59" s="1">
        <v>45739</v>
      </c>
      <c r="F59">
        <v>1</v>
      </c>
      <c r="G59" t="s">
        <v>438</v>
      </c>
      <c r="H59" t="s">
        <v>171</v>
      </c>
      <c r="I59" t="s">
        <v>652</v>
      </c>
      <c r="J59" t="s">
        <v>653</v>
      </c>
      <c r="K59" t="s">
        <v>173</v>
      </c>
      <c r="L59">
        <v>30</v>
      </c>
      <c r="M59" t="s">
        <v>174</v>
      </c>
      <c r="N59">
        <v>0</v>
      </c>
      <c r="O59">
        <v>0</v>
      </c>
      <c r="P59">
        <v>0</v>
      </c>
      <c r="Q59">
        <v>0</v>
      </c>
      <c r="R59" t="s">
        <v>251</v>
      </c>
      <c r="S59">
        <v>60</v>
      </c>
      <c r="T59" t="str">
        <f t="shared" si="0"/>
        <v>56 a más</v>
      </c>
      <c r="U59" t="s">
        <v>173</v>
      </c>
      <c r="W59" t="s">
        <v>176</v>
      </c>
      <c r="Y59" t="s">
        <v>177</v>
      </c>
      <c r="Z59" t="s">
        <v>178</v>
      </c>
      <c r="AA59" t="s">
        <v>240</v>
      </c>
      <c r="AB59" t="s">
        <v>189</v>
      </c>
      <c r="AC59" t="s">
        <v>216</v>
      </c>
      <c r="AD59" t="s">
        <v>654</v>
      </c>
      <c r="AG59" t="s">
        <v>202</v>
      </c>
      <c r="AH59" t="s">
        <v>287</v>
      </c>
      <c r="AI59">
        <v>0</v>
      </c>
      <c r="AJ59">
        <v>0</v>
      </c>
      <c r="AK59">
        <v>0</v>
      </c>
      <c r="AL59">
        <v>0</v>
      </c>
      <c r="AM59">
        <v>1</v>
      </c>
      <c r="AN59" t="s">
        <v>183</v>
      </c>
      <c r="AO59" t="s">
        <v>192</v>
      </c>
      <c r="AP59" t="s">
        <v>173</v>
      </c>
      <c r="AQ59" t="s">
        <v>173</v>
      </c>
      <c r="AR59" t="s">
        <v>308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Z59" t="s">
        <v>192</v>
      </c>
      <c r="BW59">
        <f t="shared" si="1"/>
        <v>0</v>
      </c>
      <c r="BY59" t="s">
        <v>173</v>
      </c>
      <c r="BZ59" t="s">
        <v>186</v>
      </c>
      <c r="CA59" t="s">
        <v>192</v>
      </c>
      <c r="CC59" t="s">
        <v>173</v>
      </c>
      <c r="CD59" t="s">
        <v>186</v>
      </c>
      <c r="CE59" t="s">
        <v>173</v>
      </c>
      <c r="CF59" t="s">
        <v>186</v>
      </c>
      <c r="CG59" t="s">
        <v>173</v>
      </c>
      <c r="CH59" t="s">
        <v>186</v>
      </c>
      <c r="CI59" t="s">
        <v>192</v>
      </c>
      <c r="CK59" t="s">
        <v>173</v>
      </c>
      <c r="CL59" t="s">
        <v>187</v>
      </c>
      <c r="CM59" t="s">
        <v>173</v>
      </c>
      <c r="CN59" t="s">
        <v>185</v>
      </c>
      <c r="CO59" t="s">
        <v>192</v>
      </c>
      <c r="CQ59" t="s">
        <v>173</v>
      </c>
      <c r="CR59" t="s">
        <v>185</v>
      </c>
      <c r="CS59" t="s">
        <v>192</v>
      </c>
      <c r="CU59" t="s">
        <v>192</v>
      </c>
      <c r="CW59" t="s">
        <v>173</v>
      </c>
      <c r="CX59" t="s">
        <v>185</v>
      </c>
      <c r="CY59" t="s">
        <v>173</v>
      </c>
      <c r="CZ59" t="s">
        <v>185</v>
      </c>
      <c r="DA59" t="s">
        <v>192</v>
      </c>
      <c r="DC59" t="s">
        <v>173</v>
      </c>
      <c r="DD59" t="s">
        <v>187</v>
      </c>
      <c r="DE59" t="s">
        <v>192</v>
      </c>
      <c r="DH59" t="s">
        <v>173</v>
      </c>
      <c r="DI59" t="s">
        <v>187</v>
      </c>
      <c r="DJ59" t="s">
        <v>192</v>
      </c>
      <c r="DL59" t="s">
        <v>192</v>
      </c>
      <c r="DO59" t="s">
        <v>192</v>
      </c>
      <c r="DR59" t="s">
        <v>192</v>
      </c>
      <c r="DU59" t="s">
        <v>192</v>
      </c>
      <c r="DX59" t="s">
        <v>192</v>
      </c>
      <c r="EA59" t="s">
        <v>192</v>
      </c>
      <c r="ED59" t="s">
        <v>173</v>
      </c>
      <c r="EE59" t="s">
        <v>173</v>
      </c>
      <c r="EF59" t="s">
        <v>191</v>
      </c>
      <c r="EG59" t="s">
        <v>173</v>
      </c>
      <c r="EH59" t="s">
        <v>192</v>
      </c>
      <c r="EJ59" t="s">
        <v>192</v>
      </c>
      <c r="EM59" t="s">
        <v>192</v>
      </c>
      <c r="EQ59" t="s">
        <v>349</v>
      </c>
      <c r="ET59" t="s">
        <v>173</v>
      </c>
      <c r="EU59" t="s">
        <v>173</v>
      </c>
      <c r="EV59" t="s">
        <v>223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1</v>
      </c>
      <c r="FF59" t="s">
        <v>655</v>
      </c>
      <c r="FH59">
        <v>83539816</v>
      </c>
      <c r="FI59" t="s">
        <v>656</v>
      </c>
      <c r="FJ59" s="1">
        <v>45758.850624999999</v>
      </c>
      <c r="FM59" t="s">
        <v>193</v>
      </c>
      <c r="FO59" t="s">
        <v>194</v>
      </c>
      <c r="FQ59">
        <v>59</v>
      </c>
    </row>
    <row r="60" spans="1:173" x14ac:dyDescent="0.25">
      <c r="A60" s="1">
        <v>45758.637220185177</v>
      </c>
      <c r="B60" s="1">
        <v>45758.64269054398</v>
      </c>
      <c r="C60" t="s">
        <v>195</v>
      </c>
      <c r="D60">
        <v>145</v>
      </c>
      <c r="E60" s="1">
        <v>45739</v>
      </c>
      <c r="F60">
        <v>3</v>
      </c>
      <c r="G60" t="s">
        <v>280</v>
      </c>
      <c r="H60" t="s">
        <v>197</v>
      </c>
      <c r="I60" t="s">
        <v>657</v>
      </c>
      <c r="J60" t="s">
        <v>658</v>
      </c>
      <c r="K60" t="s">
        <v>173</v>
      </c>
      <c r="L60">
        <v>35</v>
      </c>
      <c r="M60" t="s">
        <v>174</v>
      </c>
      <c r="N60">
        <v>0</v>
      </c>
      <c r="O60">
        <v>0</v>
      </c>
      <c r="P60">
        <v>0</v>
      </c>
      <c r="Q60">
        <v>0</v>
      </c>
      <c r="R60" t="s">
        <v>175</v>
      </c>
      <c r="S60">
        <v>66</v>
      </c>
      <c r="T60" t="str">
        <f t="shared" si="0"/>
        <v>56 a más</v>
      </c>
      <c r="U60" t="s">
        <v>173</v>
      </c>
      <c r="W60" t="s">
        <v>176</v>
      </c>
      <c r="Y60" t="s">
        <v>214</v>
      </c>
      <c r="Z60" t="s">
        <v>239</v>
      </c>
      <c r="AA60" t="s">
        <v>179</v>
      </c>
      <c r="AB60" t="s">
        <v>215</v>
      </c>
      <c r="AC60" t="s">
        <v>216</v>
      </c>
      <c r="AD60" t="s">
        <v>659</v>
      </c>
      <c r="AE60" t="s">
        <v>660</v>
      </c>
      <c r="AF60" t="s">
        <v>661</v>
      </c>
      <c r="AG60" t="s">
        <v>216</v>
      </c>
      <c r="AH60" t="s">
        <v>287</v>
      </c>
      <c r="AI60">
        <v>0</v>
      </c>
      <c r="AJ60">
        <v>0</v>
      </c>
      <c r="AK60">
        <v>0</v>
      </c>
      <c r="AL60">
        <v>0</v>
      </c>
      <c r="AM60">
        <v>1</v>
      </c>
      <c r="AN60" t="s">
        <v>183</v>
      </c>
      <c r="AO60" t="s">
        <v>192</v>
      </c>
      <c r="AP60" t="s">
        <v>192</v>
      </c>
      <c r="AQ60" t="s">
        <v>173</v>
      </c>
      <c r="AR60" t="s">
        <v>298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 t="s">
        <v>329</v>
      </c>
      <c r="AZ60" t="s">
        <v>192</v>
      </c>
      <c r="BW60">
        <f t="shared" si="1"/>
        <v>0</v>
      </c>
      <c r="BY60" t="s">
        <v>192</v>
      </c>
      <c r="CA60" t="s">
        <v>173</v>
      </c>
      <c r="CB60" t="s">
        <v>185</v>
      </c>
      <c r="CC60" t="s">
        <v>173</v>
      </c>
      <c r="CD60" t="s">
        <v>186</v>
      </c>
      <c r="CE60" t="s">
        <v>173</v>
      </c>
      <c r="CF60" t="s">
        <v>185</v>
      </c>
      <c r="CG60" t="s">
        <v>192</v>
      </c>
      <c r="CI60" t="s">
        <v>192</v>
      </c>
      <c r="CK60" t="s">
        <v>173</v>
      </c>
      <c r="CL60" t="s">
        <v>185</v>
      </c>
      <c r="CM60" t="s">
        <v>173</v>
      </c>
      <c r="CN60" t="s">
        <v>186</v>
      </c>
      <c r="CO60" t="s">
        <v>192</v>
      </c>
      <c r="CQ60" t="s">
        <v>173</v>
      </c>
      <c r="CR60" t="s">
        <v>185</v>
      </c>
      <c r="CS60" t="s">
        <v>192</v>
      </c>
      <c r="CU60" t="s">
        <v>192</v>
      </c>
      <c r="CW60" t="s">
        <v>192</v>
      </c>
      <c r="CY60" t="s">
        <v>192</v>
      </c>
      <c r="DA60" t="s">
        <v>192</v>
      </c>
      <c r="DC60" t="s">
        <v>192</v>
      </c>
      <c r="DE60" t="s">
        <v>192</v>
      </c>
      <c r="DH60" t="s">
        <v>173</v>
      </c>
      <c r="DI60" t="s">
        <v>187</v>
      </c>
      <c r="DJ60" t="s">
        <v>192</v>
      </c>
      <c r="DL60" t="s">
        <v>192</v>
      </c>
      <c r="DO60" t="s">
        <v>192</v>
      </c>
      <c r="DR60" t="s">
        <v>192</v>
      </c>
      <c r="DU60" t="s">
        <v>173</v>
      </c>
      <c r="DV60" t="s">
        <v>192</v>
      </c>
      <c r="DX60" t="s">
        <v>173</v>
      </c>
      <c r="DY60" t="s">
        <v>192</v>
      </c>
      <c r="EA60" t="s">
        <v>192</v>
      </c>
      <c r="ED60" t="s">
        <v>173</v>
      </c>
      <c r="EE60" t="s">
        <v>173</v>
      </c>
      <c r="EF60" t="s">
        <v>188</v>
      </c>
      <c r="EG60" t="s">
        <v>173</v>
      </c>
      <c r="EH60" t="s">
        <v>192</v>
      </c>
      <c r="EJ60" t="s">
        <v>173</v>
      </c>
      <c r="EK60" t="s">
        <v>192</v>
      </c>
      <c r="EM60" t="s">
        <v>192</v>
      </c>
      <c r="EQ60" t="s">
        <v>662</v>
      </c>
      <c r="ER60" t="s">
        <v>663</v>
      </c>
      <c r="ES60" t="s">
        <v>664</v>
      </c>
      <c r="ET60" t="s">
        <v>192</v>
      </c>
      <c r="EU60" t="s">
        <v>192</v>
      </c>
      <c r="EV60" t="s">
        <v>208</v>
      </c>
      <c r="EW60">
        <v>0</v>
      </c>
      <c r="EX60">
        <v>0</v>
      </c>
      <c r="EY60">
        <v>0</v>
      </c>
      <c r="EZ60">
        <v>0</v>
      </c>
      <c r="FA60">
        <v>1</v>
      </c>
      <c r="FB60">
        <v>0</v>
      </c>
      <c r="FC60">
        <v>0</v>
      </c>
      <c r="FD60">
        <v>0</v>
      </c>
      <c r="FE60">
        <v>0</v>
      </c>
      <c r="FH60">
        <v>83539872</v>
      </c>
      <c r="FI60" t="s">
        <v>665</v>
      </c>
      <c r="FJ60" s="1">
        <v>45758.851030092592</v>
      </c>
      <c r="FM60" t="s">
        <v>193</v>
      </c>
      <c r="FO60" t="s">
        <v>194</v>
      </c>
      <c r="FQ60">
        <v>60</v>
      </c>
    </row>
    <row r="61" spans="1:173" x14ac:dyDescent="0.25">
      <c r="A61" s="1">
        <v>45758.642291689823</v>
      </c>
      <c r="B61" s="1">
        <v>45758.646830682868</v>
      </c>
      <c r="C61" t="s">
        <v>226</v>
      </c>
      <c r="D61">
        <v>54</v>
      </c>
      <c r="E61" s="1">
        <v>45739</v>
      </c>
      <c r="F61">
        <v>1</v>
      </c>
      <c r="G61" t="s">
        <v>429</v>
      </c>
      <c r="H61" t="s">
        <v>171</v>
      </c>
      <c r="I61" t="s">
        <v>666</v>
      </c>
      <c r="J61" t="s">
        <v>667</v>
      </c>
      <c r="K61" t="s">
        <v>173</v>
      </c>
      <c r="L61">
        <v>24</v>
      </c>
      <c r="M61" t="s">
        <v>174</v>
      </c>
      <c r="N61">
        <v>0</v>
      </c>
      <c r="O61">
        <v>0</v>
      </c>
      <c r="P61">
        <v>0</v>
      </c>
      <c r="Q61">
        <v>0</v>
      </c>
      <c r="R61" t="s">
        <v>251</v>
      </c>
      <c r="S61">
        <v>45</v>
      </c>
      <c r="T61" t="str">
        <f t="shared" si="0"/>
        <v>41 a 55</v>
      </c>
      <c r="U61" t="s">
        <v>173</v>
      </c>
      <c r="W61" t="s">
        <v>176</v>
      </c>
      <c r="Y61" t="s">
        <v>177</v>
      </c>
      <c r="Z61" t="s">
        <v>178</v>
      </c>
      <c r="AA61" t="s">
        <v>179</v>
      </c>
      <c r="AB61" t="s">
        <v>189</v>
      </c>
      <c r="AC61" t="s">
        <v>216</v>
      </c>
      <c r="AD61" t="s">
        <v>668</v>
      </c>
      <c r="AE61" t="s">
        <v>669</v>
      </c>
      <c r="AF61" t="s">
        <v>670</v>
      </c>
      <c r="AG61" t="s">
        <v>216</v>
      </c>
      <c r="AH61" t="s">
        <v>556</v>
      </c>
      <c r="AI61">
        <v>0</v>
      </c>
      <c r="AJ61">
        <v>0</v>
      </c>
      <c r="AK61">
        <v>1</v>
      </c>
      <c r="AL61">
        <v>1</v>
      </c>
      <c r="AM61">
        <v>0</v>
      </c>
      <c r="AN61" t="s">
        <v>183</v>
      </c>
      <c r="AO61" t="s">
        <v>173</v>
      </c>
      <c r="AP61" t="s">
        <v>173</v>
      </c>
      <c r="AQ61" t="s">
        <v>173</v>
      </c>
      <c r="AR61" t="s">
        <v>298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</v>
      </c>
      <c r="AY61" t="s">
        <v>671</v>
      </c>
      <c r="AZ61" t="s">
        <v>192</v>
      </c>
      <c r="BW61">
        <f t="shared" si="1"/>
        <v>0</v>
      </c>
      <c r="BY61" t="s">
        <v>192</v>
      </c>
      <c r="CA61" t="s">
        <v>192</v>
      </c>
      <c r="CC61" t="s">
        <v>173</v>
      </c>
      <c r="CD61" t="s">
        <v>186</v>
      </c>
      <c r="CE61" t="s">
        <v>192</v>
      </c>
      <c r="CG61" t="s">
        <v>189</v>
      </c>
      <c r="CI61" t="s">
        <v>173</v>
      </c>
      <c r="CJ61" t="s">
        <v>186</v>
      </c>
      <c r="CK61" t="s">
        <v>173</v>
      </c>
      <c r="CL61" t="s">
        <v>186</v>
      </c>
      <c r="CM61" t="s">
        <v>192</v>
      </c>
      <c r="CO61" t="s">
        <v>192</v>
      </c>
      <c r="CQ61" t="s">
        <v>173</v>
      </c>
      <c r="CR61" t="s">
        <v>186</v>
      </c>
      <c r="CS61" t="s">
        <v>192</v>
      </c>
      <c r="CU61" t="s">
        <v>173</v>
      </c>
      <c r="CV61" t="s">
        <v>185</v>
      </c>
      <c r="CW61" t="s">
        <v>173</v>
      </c>
      <c r="CX61" t="s">
        <v>185</v>
      </c>
      <c r="CY61" t="s">
        <v>192</v>
      </c>
      <c r="DA61" t="s">
        <v>192</v>
      </c>
      <c r="DC61" t="s">
        <v>192</v>
      </c>
      <c r="DE61" t="s">
        <v>192</v>
      </c>
      <c r="DH61" t="s">
        <v>173</v>
      </c>
      <c r="DI61" t="s">
        <v>187</v>
      </c>
      <c r="DJ61" t="s">
        <v>173</v>
      </c>
      <c r="DL61" t="s">
        <v>192</v>
      </c>
      <c r="DO61" t="s">
        <v>192</v>
      </c>
      <c r="DR61" t="s">
        <v>192</v>
      </c>
      <c r="DU61" t="s">
        <v>173</v>
      </c>
      <c r="DV61" t="s">
        <v>173</v>
      </c>
      <c r="DW61" t="s">
        <v>191</v>
      </c>
      <c r="DX61" t="s">
        <v>192</v>
      </c>
      <c r="EA61" t="s">
        <v>192</v>
      </c>
      <c r="ED61" t="s">
        <v>173</v>
      </c>
      <c r="EE61" t="s">
        <v>173</v>
      </c>
      <c r="EF61" t="s">
        <v>191</v>
      </c>
      <c r="EG61" t="s">
        <v>173</v>
      </c>
      <c r="EH61" t="s">
        <v>173</v>
      </c>
      <c r="EI61" t="s">
        <v>188</v>
      </c>
      <c r="EJ61" t="s">
        <v>192</v>
      </c>
      <c r="EM61" t="s">
        <v>192</v>
      </c>
      <c r="EQ61" t="s">
        <v>405</v>
      </c>
      <c r="ER61" t="s">
        <v>672</v>
      </c>
      <c r="ET61" t="s">
        <v>173</v>
      </c>
      <c r="EU61" t="s">
        <v>173</v>
      </c>
      <c r="EV61" t="s">
        <v>208</v>
      </c>
      <c r="EW61">
        <v>0</v>
      </c>
      <c r="EX61">
        <v>0</v>
      </c>
      <c r="EY61">
        <v>0</v>
      </c>
      <c r="EZ61">
        <v>0</v>
      </c>
      <c r="FA61">
        <v>1</v>
      </c>
      <c r="FB61">
        <v>0</v>
      </c>
      <c r="FC61">
        <v>0</v>
      </c>
      <c r="FD61">
        <v>0</v>
      </c>
      <c r="FE61">
        <v>0</v>
      </c>
      <c r="FH61">
        <v>83540230</v>
      </c>
      <c r="FI61" t="s">
        <v>673</v>
      </c>
      <c r="FJ61" s="1">
        <v>45758.855173611111</v>
      </c>
      <c r="FM61" t="s">
        <v>193</v>
      </c>
      <c r="FO61" t="s">
        <v>194</v>
      </c>
      <c r="FQ61">
        <v>61</v>
      </c>
    </row>
    <row r="62" spans="1:173" x14ac:dyDescent="0.25">
      <c r="A62" s="1">
        <v>45758.646831111109</v>
      </c>
      <c r="B62" s="1">
        <v>45758.649994155086</v>
      </c>
      <c r="C62" t="s">
        <v>226</v>
      </c>
      <c r="D62">
        <v>53</v>
      </c>
      <c r="E62" s="1">
        <v>45739</v>
      </c>
      <c r="F62">
        <v>1</v>
      </c>
      <c r="G62" t="s">
        <v>438</v>
      </c>
      <c r="H62" t="s">
        <v>171</v>
      </c>
      <c r="I62" t="s">
        <v>674</v>
      </c>
      <c r="J62" t="s">
        <v>230</v>
      </c>
      <c r="K62" t="s">
        <v>173</v>
      </c>
      <c r="L62">
        <v>12</v>
      </c>
      <c r="M62" t="s">
        <v>174</v>
      </c>
      <c r="N62">
        <v>0</v>
      </c>
      <c r="O62">
        <v>0</v>
      </c>
      <c r="P62">
        <v>0</v>
      </c>
      <c r="Q62">
        <v>0</v>
      </c>
      <c r="R62" t="s">
        <v>175</v>
      </c>
      <c r="S62">
        <v>37</v>
      </c>
      <c r="T62" t="str">
        <f t="shared" si="0"/>
        <v>26 a 40</v>
      </c>
      <c r="U62" t="s">
        <v>173</v>
      </c>
      <c r="W62" t="s">
        <v>675</v>
      </c>
      <c r="Y62" t="s">
        <v>318</v>
      </c>
      <c r="Z62" t="s">
        <v>178</v>
      </c>
      <c r="AA62" t="s">
        <v>179</v>
      </c>
      <c r="AB62" t="s">
        <v>189</v>
      </c>
      <c r="AC62" t="s">
        <v>202</v>
      </c>
      <c r="AD62" t="s">
        <v>321</v>
      </c>
      <c r="AG62" t="s">
        <v>202</v>
      </c>
      <c r="AH62" t="s">
        <v>287</v>
      </c>
      <c r="AI62">
        <v>0</v>
      </c>
      <c r="AJ62">
        <v>0</v>
      </c>
      <c r="AK62">
        <v>0</v>
      </c>
      <c r="AL62">
        <v>0</v>
      </c>
      <c r="AM62">
        <v>1</v>
      </c>
      <c r="AN62" t="s">
        <v>205</v>
      </c>
      <c r="AO62" t="s">
        <v>192</v>
      </c>
      <c r="AP62" t="s">
        <v>192</v>
      </c>
      <c r="AQ62" t="s">
        <v>192</v>
      </c>
      <c r="AZ62" t="s">
        <v>173</v>
      </c>
      <c r="BA62" t="s">
        <v>424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L62">
        <v>0</v>
      </c>
      <c r="BS62" t="s">
        <v>173</v>
      </c>
      <c r="BW62">
        <f t="shared" si="1"/>
        <v>0</v>
      </c>
      <c r="BY62" t="s">
        <v>192</v>
      </c>
      <c r="CA62" t="s">
        <v>192</v>
      </c>
      <c r="CC62" t="s">
        <v>192</v>
      </c>
      <c r="CE62" t="s">
        <v>173</v>
      </c>
      <c r="CF62" t="s">
        <v>186</v>
      </c>
      <c r="CG62" t="s">
        <v>192</v>
      </c>
      <c r="CI62" t="s">
        <v>192</v>
      </c>
      <c r="CK62" t="s">
        <v>173</v>
      </c>
      <c r="CL62" t="s">
        <v>186</v>
      </c>
      <c r="CM62" t="s">
        <v>173</v>
      </c>
      <c r="CN62" t="s">
        <v>186</v>
      </c>
      <c r="CO62" t="s">
        <v>192</v>
      </c>
      <c r="CQ62" t="s">
        <v>192</v>
      </c>
      <c r="CS62" t="s">
        <v>192</v>
      </c>
      <c r="CU62" t="s">
        <v>192</v>
      </c>
      <c r="CW62" t="s">
        <v>192</v>
      </c>
      <c r="CY62" t="s">
        <v>173</v>
      </c>
      <c r="CZ62" t="s">
        <v>186</v>
      </c>
      <c r="DA62" t="s">
        <v>192</v>
      </c>
      <c r="DC62" t="s">
        <v>173</v>
      </c>
      <c r="DD62" t="s">
        <v>187</v>
      </c>
      <c r="DE62" t="s">
        <v>192</v>
      </c>
      <c r="DH62" t="s">
        <v>173</v>
      </c>
      <c r="DI62" t="s">
        <v>187</v>
      </c>
      <c r="DJ62" t="s">
        <v>192</v>
      </c>
      <c r="DL62" t="s">
        <v>173</v>
      </c>
      <c r="DM62" t="s">
        <v>192</v>
      </c>
      <c r="DO62" t="s">
        <v>173</v>
      </c>
      <c r="DP62" t="s">
        <v>192</v>
      </c>
      <c r="DR62" t="s">
        <v>192</v>
      </c>
      <c r="DU62" t="s">
        <v>173</v>
      </c>
      <c r="DV62" t="s">
        <v>192</v>
      </c>
      <c r="DX62" t="s">
        <v>192</v>
      </c>
      <c r="EA62" t="s">
        <v>173</v>
      </c>
      <c r="EB62" t="s">
        <v>192</v>
      </c>
      <c r="ED62" t="s">
        <v>173</v>
      </c>
      <c r="EE62" t="s">
        <v>173</v>
      </c>
      <c r="EF62" t="s">
        <v>191</v>
      </c>
      <c r="EG62" t="s">
        <v>173</v>
      </c>
      <c r="EH62" t="s">
        <v>173</v>
      </c>
      <c r="EI62" t="s">
        <v>191</v>
      </c>
      <c r="EJ62" t="s">
        <v>173</v>
      </c>
      <c r="EK62" t="s">
        <v>173</v>
      </c>
      <c r="EL62" t="s">
        <v>191</v>
      </c>
      <c r="EM62" t="s">
        <v>192</v>
      </c>
      <c r="EQ62" t="s">
        <v>676</v>
      </c>
      <c r="ET62" t="s">
        <v>173</v>
      </c>
      <c r="EU62" t="s">
        <v>173</v>
      </c>
      <c r="EV62" t="s">
        <v>550</v>
      </c>
      <c r="EW62">
        <v>0</v>
      </c>
      <c r="EX62">
        <v>0</v>
      </c>
      <c r="EY62">
        <v>0</v>
      </c>
      <c r="EZ62">
        <v>0</v>
      </c>
      <c r="FA62">
        <v>1</v>
      </c>
      <c r="FB62">
        <v>0</v>
      </c>
      <c r="FC62">
        <v>0</v>
      </c>
      <c r="FD62">
        <v>0</v>
      </c>
      <c r="FE62">
        <v>1</v>
      </c>
      <c r="FF62" t="s">
        <v>677</v>
      </c>
      <c r="FH62">
        <v>83540411</v>
      </c>
      <c r="FI62" t="s">
        <v>678</v>
      </c>
      <c r="FJ62" s="1">
        <v>45758.85833333333</v>
      </c>
      <c r="FM62" t="s">
        <v>193</v>
      </c>
      <c r="FO62" t="s">
        <v>194</v>
      </c>
      <c r="FQ62">
        <v>62</v>
      </c>
    </row>
    <row r="63" spans="1:173" x14ac:dyDescent="0.25">
      <c r="A63" s="1">
        <v>45758.64999474537</v>
      </c>
      <c r="B63" s="1">
        <v>45758.652737824072</v>
      </c>
      <c r="C63" t="s">
        <v>226</v>
      </c>
      <c r="D63">
        <v>52</v>
      </c>
      <c r="E63" s="1">
        <v>45739</v>
      </c>
      <c r="F63">
        <v>3</v>
      </c>
      <c r="G63" t="s">
        <v>227</v>
      </c>
      <c r="H63" t="s">
        <v>197</v>
      </c>
      <c r="I63" t="s">
        <v>679</v>
      </c>
      <c r="J63" t="s">
        <v>680</v>
      </c>
      <c r="K63" t="s">
        <v>173</v>
      </c>
      <c r="L63">
        <v>10</v>
      </c>
      <c r="M63" t="s">
        <v>174</v>
      </c>
      <c r="N63">
        <v>0</v>
      </c>
      <c r="O63">
        <v>0</v>
      </c>
      <c r="P63">
        <v>0</v>
      </c>
      <c r="Q63">
        <v>0</v>
      </c>
      <c r="R63" t="s">
        <v>251</v>
      </c>
      <c r="S63">
        <v>31</v>
      </c>
      <c r="T63" t="str">
        <f t="shared" si="0"/>
        <v>26 a 40</v>
      </c>
      <c r="U63" t="s">
        <v>173</v>
      </c>
      <c r="W63" t="s">
        <v>176</v>
      </c>
      <c r="Y63" t="s">
        <v>214</v>
      </c>
      <c r="Z63" t="s">
        <v>178</v>
      </c>
      <c r="AA63" t="s">
        <v>179</v>
      </c>
      <c r="AB63" t="s">
        <v>215</v>
      </c>
      <c r="AC63" t="s">
        <v>202</v>
      </c>
      <c r="AD63" t="s">
        <v>681</v>
      </c>
      <c r="AG63" t="s">
        <v>202</v>
      </c>
      <c r="AH63" t="s">
        <v>232</v>
      </c>
      <c r="AI63">
        <v>0</v>
      </c>
      <c r="AJ63">
        <v>0</v>
      </c>
      <c r="AK63">
        <v>1</v>
      </c>
      <c r="AL63">
        <v>0</v>
      </c>
      <c r="AM63">
        <v>0</v>
      </c>
      <c r="AN63" t="s">
        <v>297</v>
      </c>
      <c r="AO63" t="s">
        <v>192</v>
      </c>
      <c r="AP63" t="s">
        <v>173</v>
      </c>
      <c r="AQ63" t="s">
        <v>192</v>
      </c>
      <c r="AZ63" t="s">
        <v>192</v>
      </c>
      <c r="BW63">
        <f t="shared" si="1"/>
        <v>0</v>
      </c>
      <c r="BY63" t="s">
        <v>192</v>
      </c>
      <c r="CA63" t="s">
        <v>192</v>
      </c>
      <c r="CC63" t="s">
        <v>192</v>
      </c>
      <c r="CE63" t="s">
        <v>173</v>
      </c>
      <c r="CF63" t="s">
        <v>186</v>
      </c>
      <c r="CG63" t="s">
        <v>192</v>
      </c>
      <c r="CI63" t="s">
        <v>192</v>
      </c>
      <c r="CK63" t="s">
        <v>173</v>
      </c>
      <c r="CL63" t="s">
        <v>185</v>
      </c>
      <c r="CM63" t="s">
        <v>192</v>
      </c>
      <c r="CO63" t="s">
        <v>192</v>
      </c>
      <c r="CQ63" t="s">
        <v>192</v>
      </c>
      <c r="CS63" t="s">
        <v>192</v>
      </c>
      <c r="CU63" t="s">
        <v>192</v>
      </c>
      <c r="CW63" t="s">
        <v>192</v>
      </c>
      <c r="CY63" t="s">
        <v>173</v>
      </c>
      <c r="CZ63" t="s">
        <v>186</v>
      </c>
      <c r="DA63" t="s">
        <v>192</v>
      </c>
      <c r="DC63" t="s">
        <v>173</v>
      </c>
      <c r="DD63" t="s">
        <v>186</v>
      </c>
      <c r="DE63" t="s">
        <v>192</v>
      </c>
      <c r="DH63" t="s">
        <v>173</v>
      </c>
      <c r="DI63" t="s">
        <v>187</v>
      </c>
      <c r="DJ63" t="s">
        <v>192</v>
      </c>
      <c r="DL63" t="s">
        <v>192</v>
      </c>
      <c r="DO63" t="s">
        <v>192</v>
      </c>
      <c r="DR63" t="s">
        <v>192</v>
      </c>
      <c r="DU63" t="s">
        <v>192</v>
      </c>
      <c r="DX63" t="s">
        <v>192</v>
      </c>
      <c r="EA63" t="s">
        <v>173</v>
      </c>
      <c r="EB63" t="s">
        <v>173</v>
      </c>
      <c r="EC63" t="s">
        <v>188</v>
      </c>
      <c r="ED63" t="s">
        <v>173</v>
      </c>
      <c r="EE63" t="s">
        <v>173</v>
      </c>
      <c r="EF63" t="s">
        <v>188</v>
      </c>
      <c r="EG63" t="s">
        <v>173</v>
      </c>
      <c r="EH63" t="s">
        <v>173</v>
      </c>
      <c r="EI63" t="s">
        <v>188</v>
      </c>
      <c r="EJ63" t="s">
        <v>192</v>
      </c>
      <c r="EM63" t="s">
        <v>192</v>
      </c>
      <c r="EQ63" t="s">
        <v>626</v>
      </c>
      <c r="ER63" t="s">
        <v>682</v>
      </c>
      <c r="ET63" t="s">
        <v>173</v>
      </c>
      <c r="EU63" t="s">
        <v>173</v>
      </c>
      <c r="EV63" t="s">
        <v>208</v>
      </c>
      <c r="EW63">
        <v>0</v>
      </c>
      <c r="EX63">
        <v>0</v>
      </c>
      <c r="EY63">
        <v>0</v>
      </c>
      <c r="EZ63">
        <v>0</v>
      </c>
      <c r="FA63">
        <v>1</v>
      </c>
      <c r="FB63">
        <v>0</v>
      </c>
      <c r="FC63">
        <v>0</v>
      </c>
      <c r="FD63">
        <v>0</v>
      </c>
      <c r="FE63">
        <v>0</v>
      </c>
      <c r="FG63" t="s">
        <v>683</v>
      </c>
      <c r="FH63">
        <v>83540561</v>
      </c>
      <c r="FI63" t="s">
        <v>684</v>
      </c>
      <c r="FJ63" s="1">
        <v>45758.861076388886</v>
      </c>
      <c r="FM63" t="s">
        <v>193</v>
      </c>
      <c r="FO63" t="s">
        <v>194</v>
      </c>
      <c r="FQ63">
        <v>63</v>
      </c>
    </row>
    <row r="64" spans="1:173" x14ac:dyDescent="0.25">
      <c r="A64" s="1">
        <v>45758.652738449076</v>
      </c>
      <c r="B64" s="1">
        <v>45758.655424918979</v>
      </c>
      <c r="C64" t="s">
        <v>226</v>
      </c>
      <c r="D64">
        <v>51</v>
      </c>
      <c r="E64" s="1">
        <v>45739</v>
      </c>
      <c r="F64">
        <v>1</v>
      </c>
      <c r="G64" t="s">
        <v>429</v>
      </c>
      <c r="H64" t="s">
        <v>171</v>
      </c>
      <c r="I64" t="s">
        <v>685</v>
      </c>
      <c r="J64" t="s">
        <v>686</v>
      </c>
      <c r="K64" t="s">
        <v>173</v>
      </c>
      <c r="L64">
        <v>13</v>
      </c>
      <c r="M64" t="s">
        <v>174</v>
      </c>
      <c r="N64">
        <v>0</v>
      </c>
      <c r="O64">
        <v>0</v>
      </c>
      <c r="P64">
        <v>0</v>
      </c>
      <c r="Q64">
        <v>0</v>
      </c>
      <c r="R64" t="s">
        <v>251</v>
      </c>
      <c r="S64">
        <v>61</v>
      </c>
      <c r="T64" t="str">
        <f t="shared" si="0"/>
        <v>56 a más</v>
      </c>
      <c r="U64" t="s">
        <v>173</v>
      </c>
      <c r="W64" t="s">
        <v>176</v>
      </c>
      <c r="Y64" t="s">
        <v>214</v>
      </c>
      <c r="Z64" t="s">
        <v>239</v>
      </c>
      <c r="AA64" t="s">
        <v>179</v>
      </c>
      <c r="AB64" t="s">
        <v>189</v>
      </c>
      <c r="AC64" t="s">
        <v>202</v>
      </c>
      <c r="AD64" t="s">
        <v>687</v>
      </c>
      <c r="AE64" t="s">
        <v>688</v>
      </c>
      <c r="AF64" t="s">
        <v>689</v>
      </c>
      <c r="AG64" t="s">
        <v>202</v>
      </c>
      <c r="AH64" t="s">
        <v>556</v>
      </c>
      <c r="AI64">
        <v>0</v>
      </c>
      <c r="AJ64">
        <v>0</v>
      </c>
      <c r="AK64">
        <v>1</v>
      </c>
      <c r="AL64">
        <v>1</v>
      </c>
      <c r="AM64">
        <v>0</v>
      </c>
      <c r="AN64" t="s">
        <v>183</v>
      </c>
      <c r="AO64" t="s">
        <v>192</v>
      </c>
      <c r="AP64" t="s">
        <v>173</v>
      </c>
      <c r="AQ64" t="s">
        <v>192</v>
      </c>
      <c r="AZ64" t="s">
        <v>192</v>
      </c>
      <c r="BW64">
        <f t="shared" si="1"/>
        <v>0</v>
      </c>
      <c r="BY64" t="s">
        <v>192</v>
      </c>
      <c r="CA64" t="s">
        <v>192</v>
      </c>
      <c r="CC64" t="s">
        <v>173</v>
      </c>
      <c r="CD64" t="s">
        <v>186</v>
      </c>
      <c r="CE64" t="s">
        <v>192</v>
      </c>
      <c r="CG64" t="s">
        <v>192</v>
      </c>
      <c r="CI64" t="s">
        <v>173</v>
      </c>
      <c r="CJ64" t="s">
        <v>186</v>
      </c>
      <c r="CK64" t="s">
        <v>192</v>
      </c>
      <c r="CM64" t="s">
        <v>173</v>
      </c>
      <c r="CN64" t="s">
        <v>186</v>
      </c>
      <c r="CO64" t="s">
        <v>192</v>
      </c>
      <c r="CQ64" t="s">
        <v>192</v>
      </c>
      <c r="CS64" t="s">
        <v>192</v>
      </c>
      <c r="CU64" t="s">
        <v>192</v>
      </c>
      <c r="CW64" t="s">
        <v>173</v>
      </c>
      <c r="CX64" t="s">
        <v>185</v>
      </c>
      <c r="CY64" t="s">
        <v>173</v>
      </c>
      <c r="CZ64" t="s">
        <v>185</v>
      </c>
      <c r="DA64" t="s">
        <v>192</v>
      </c>
      <c r="DC64" t="s">
        <v>192</v>
      </c>
      <c r="DE64" t="s">
        <v>192</v>
      </c>
      <c r="DH64" t="s">
        <v>173</v>
      </c>
      <c r="DI64" t="s">
        <v>187</v>
      </c>
      <c r="DJ64" t="s">
        <v>173</v>
      </c>
      <c r="DL64" t="s">
        <v>173</v>
      </c>
      <c r="DM64" t="s">
        <v>173</v>
      </c>
      <c r="DN64" t="s">
        <v>191</v>
      </c>
      <c r="DO64" t="s">
        <v>192</v>
      </c>
      <c r="DR64" t="s">
        <v>192</v>
      </c>
      <c r="DU64" t="s">
        <v>173</v>
      </c>
      <c r="DV64" t="s">
        <v>173</v>
      </c>
      <c r="DW64" t="s">
        <v>191</v>
      </c>
      <c r="DX64" t="s">
        <v>192</v>
      </c>
      <c r="EA64" t="s">
        <v>173</v>
      </c>
      <c r="EB64" t="s">
        <v>173</v>
      </c>
      <c r="EC64" t="s">
        <v>191</v>
      </c>
      <c r="ED64" t="s">
        <v>173</v>
      </c>
      <c r="EE64" t="s">
        <v>173</v>
      </c>
      <c r="EF64" t="s">
        <v>188</v>
      </c>
      <c r="EG64" t="s">
        <v>173</v>
      </c>
      <c r="EH64" t="s">
        <v>173</v>
      </c>
      <c r="EI64" t="s">
        <v>191</v>
      </c>
      <c r="EJ64" t="s">
        <v>192</v>
      </c>
      <c r="EM64" t="s">
        <v>192</v>
      </c>
      <c r="EQ64" t="s">
        <v>690</v>
      </c>
      <c r="ER64" t="s">
        <v>691</v>
      </c>
      <c r="ET64" t="s">
        <v>173</v>
      </c>
      <c r="EU64" t="s">
        <v>173</v>
      </c>
      <c r="EV64" t="s">
        <v>277</v>
      </c>
      <c r="EW64">
        <v>0</v>
      </c>
      <c r="EX64">
        <v>0</v>
      </c>
      <c r="EY64">
        <v>1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H64">
        <v>83540683</v>
      </c>
      <c r="FI64" t="s">
        <v>692</v>
      </c>
      <c r="FJ64" s="1">
        <v>45758.863761574074</v>
      </c>
      <c r="FM64" t="s">
        <v>193</v>
      </c>
      <c r="FO64" t="s">
        <v>194</v>
      </c>
      <c r="FQ64">
        <v>64</v>
      </c>
    </row>
    <row r="65" spans="1:173" x14ac:dyDescent="0.25">
      <c r="A65" s="1">
        <v>45758.655425543977</v>
      </c>
      <c r="B65" s="1">
        <v>45758.658672662037</v>
      </c>
      <c r="C65" t="s">
        <v>226</v>
      </c>
      <c r="D65">
        <v>50</v>
      </c>
      <c r="E65" s="1">
        <v>45739</v>
      </c>
      <c r="F65">
        <v>1</v>
      </c>
      <c r="G65" t="s">
        <v>462</v>
      </c>
      <c r="H65" t="s">
        <v>171</v>
      </c>
      <c r="I65" t="s">
        <v>693</v>
      </c>
      <c r="J65" t="s">
        <v>694</v>
      </c>
      <c r="K65" t="s">
        <v>173</v>
      </c>
      <c r="L65">
        <v>6</v>
      </c>
      <c r="M65" t="s">
        <v>174</v>
      </c>
      <c r="N65">
        <v>0</v>
      </c>
      <c r="O65">
        <v>0</v>
      </c>
      <c r="P65">
        <v>0</v>
      </c>
      <c r="Q65">
        <v>0</v>
      </c>
      <c r="R65" t="s">
        <v>251</v>
      </c>
      <c r="S65">
        <v>22</v>
      </c>
      <c r="T65" t="str">
        <f t="shared" si="0"/>
        <v>18 a 25</v>
      </c>
      <c r="U65" t="s">
        <v>173</v>
      </c>
      <c r="W65" t="s">
        <v>176</v>
      </c>
      <c r="Y65" t="s">
        <v>200</v>
      </c>
      <c r="Z65" t="s">
        <v>178</v>
      </c>
      <c r="AA65" t="s">
        <v>179</v>
      </c>
      <c r="AB65" t="s">
        <v>201</v>
      </c>
      <c r="AC65" t="s">
        <v>339</v>
      </c>
      <c r="AD65" t="s">
        <v>695</v>
      </c>
      <c r="AG65" t="s">
        <v>216</v>
      </c>
      <c r="AH65" t="s">
        <v>287</v>
      </c>
      <c r="AI65">
        <v>0</v>
      </c>
      <c r="AJ65">
        <v>0</v>
      </c>
      <c r="AK65">
        <v>0</v>
      </c>
      <c r="AL65">
        <v>0</v>
      </c>
      <c r="AM65">
        <v>1</v>
      </c>
      <c r="AN65" t="s">
        <v>183</v>
      </c>
      <c r="AO65" t="s">
        <v>192</v>
      </c>
      <c r="AP65" t="s">
        <v>192</v>
      </c>
      <c r="AQ65" t="s">
        <v>192</v>
      </c>
      <c r="AZ65" t="s">
        <v>173</v>
      </c>
      <c r="BA65" t="s">
        <v>418</v>
      </c>
      <c r="BB65">
        <v>1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L65">
        <v>0</v>
      </c>
      <c r="BO65" t="s">
        <v>192</v>
      </c>
      <c r="BW65">
        <f t="shared" si="1"/>
        <v>1</v>
      </c>
      <c r="BY65" t="s">
        <v>173</v>
      </c>
      <c r="BZ65" t="s">
        <v>187</v>
      </c>
      <c r="CA65" t="s">
        <v>173</v>
      </c>
      <c r="CB65" t="s">
        <v>185</v>
      </c>
      <c r="CC65" t="s">
        <v>173</v>
      </c>
      <c r="CD65" t="s">
        <v>186</v>
      </c>
      <c r="CE65" t="s">
        <v>173</v>
      </c>
      <c r="CF65" t="s">
        <v>186</v>
      </c>
      <c r="CG65" t="s">
        <v>173</v>
      </c>
      <c r="CH65" t="s">
        <v>186</v>
      </c>
      <c r="CI65" t="s">
        <v>173</v>
      </c>
      <c r="CJ65" t="s">
        <v>185</v>
      </c>
      <c r="CK65" t="s">
        <v>173</v>
      </c>
      <c r="CL65" t="s">
        <v>185</v>
      </c>
      <c r="CM65" t="s">
        <v>173</v>
      </c>
      <c r="CN65" t="s">
        <v>185</v>
      </c>
      <c r="CO65" t="s">
        <v>173</v>
      </c>
      <c r="CP65" t="s">
        <v>185</v>
      </c>
      <c r="CQ65" t="s">
        <v>173</v>
      </c>
      <c r="CR65" t="s">
        <v>185</v>
      </c>
      <c r="CS65" t="s">
        <v>192</v>
      </c>
      <c r="CU65" t="s">
        <v>173</v>
      </c>
      <c r="CV65" t="s">
        <v>185</v>
      </c>
      <c r="CW65" t="s">
        <v>173</v>
      </c>
      <c r="CX65" t="s">
        <v>186</v>
      </c>
      <c r="CY65" t="s">
        <v>192</v>
      </c>
      <c r="DA65" t="s">
        <v>192</v>
      </c>
      <c r="DC65" t="s">
        <v>173</v>
      </c>
      <c r="DD65" t="s">
        <v>185</v>
      </c>
      <c r="DE65" t="s">
        <v>192</v>
      </c>
      <c r="DH65" t="s">
        <v>173</v>
      </c>
      <c r="DI65" t="s">
        <v>187</v>
      </c>
      <c r="DJ65" t="s">
        <v>192</v>
      </c>
      <c r="DL65" t="s">
        <v>192</v>
      </c>
      <c r="DO65" t="s">
        <v>192</v>
      </c>
      <c r="DR65" t="s">
        <v>192</v>
      </c>
      <c r="DU65" t="s">
        <v>192</v>
      </c>
      <c r="DX65" t="s">
        <v>192</v>
      </c>
      <c r="EA65" t="s">
        <v>192</v>
      </c>
      <c r="ED65" t="s">
        <v>173</v>
      </c>
      <c r="EE65" t="s">
        <v>173</v>
      </c>
      <c r="EF65" t="s">
        <v>188</v>
      </c>
      <c r="EG65" t="s">
        <v>192</v>
      </c>
      <c r="EJ65" t="s">
        <v>192</v>
      </c>
      <c r="EM65" t="s">
        <v>192</v>
      </c>
      <c r="EQ65" t="s">
        <v>548</v>
      </c>
      <c r="ER65" t="s">
        <v>696</v>
      </c>
      <c r="ET65" t="s">
        <v>173</v>
      </c>
      <c r="EU65" t="s">
        <v>173</v>
      </c>
      <c r="EV65" t="s">
        <v>208</v>
      </c>
      <c r="EW65">
        <v>0</v>
      </c>
      <c r="EX65">
        <v>0</v>
      </c>
      <c r="EY65">
        <v>0</v>
      </c>
      <c r="EZ65">
        <v>0</v>
      </c>
      <c r="FA65">
        <v>1</v>
      </c>
      <c r="FB65">
        <v>0</v>
      </c>
      <c r="FC65">
        <v>0</v>
      </c>
      <c r="FD65">
        <v>0</v>
      </c>
      <c r="FE65">
        <v>0</v>
      </c>
      <c r="FG65" t="s">
        <v>697</v>
      </c>
      <c r="FH65">
        <v>83540806</v>
      </c>
      <c r="FI65" t="s">
        <v>698</v>
      </c>
      <c r="FJ65" s="1">
        <v>45758.867013888892</v>
      </c>
      <c r="FM65" t="s">
        <v>193</v>
      </c>
      <c r="FO65" t="s">
        <v>194</v>
      </c>
      <c r="FQ65">
        <v>65</v>
      </c>
    </row>
    <row r="66" spans="1:173" x14ac:dyDescent="0.25">
      <c r="A66" s="1">
        <v>45758.642691203713</v>
      </c>
      <c r="B66" s="1">
        <v>45758.659369317131</v>
      </c>
      <c r="C66" t="s">
        <v>195</v>
      </c>
      <c r="D66">
        <v>144</v>
      </c>
      <c r="E66" s="1">
        <v>45739</v>
      </c>
      <c r="F66">
        <v>3</v>
      </c>
      <c r="G66" t="s">
        <v>352</v>
      </c>
      <c r="H66" t="s">
        <v>197</v>
      </c>
      <c r="I66" t="s">
        <v>699</v>
      </c>
      <c r="J66" t="s">
        <v>700</v>
      </c>
      <c r="K66" t="s">
        <v>173</v>
      </c>
      <c r="L66">
        <v>10</v>
      </c>
      <c r="M66" t="s">
        <v>174</v>
      </c>
      <c r="N66">
        <v>0</v>
      </c>
      <c r="O66">
        <v>0</v>
      </c>
      <c r="P66">
        <v>0</v>
      </c>
      <c r="Q66">
        <v>0</v>
      </c>
      <c r="R66" t="s">
        <v>251</v>
      </c>
      <c r="S66">
        <v>48</v>
      </c>
      <c r="T66" t="str">
        <f t="shared" si="0"/>
        <v>41 a 55</v>
      </c>
      <c r="U66" t="s">
        <v>173</v>
      </c>
      <c r="W66" t="s">
        <v>176</v>
      </c>
      <c r="Y66" t="s">
        <v>214</v>
      </c>
      <c r="Z66" t="s">
        <v>178</v>
      </c>
      <c r="AA66" t="s">
        <v>179</v>
      </c>
      <c r="AB66" t="s">
        <v>215</v>
      </c>
      <c r="AC66" t="s">
        <v>216</v>
      </c>
      <c r="AD66" t="s">
        <v>701</v>
      </c>
      <c r="AE66" t="s">
        <v>702</v>
      </c>
      <c r="AF66" t="s">
        <v>703</v>
      </c>
      <c r="AG66" t="s">
        <v>202</v>
      </c>
      <c r="AH66" t="s">
        <v>204</v>
      </c>
      <c r="AI66">
        <v>0</v>
      </c>
      <c r="AJ66">
        <v>1</v>
      </c>
      <c r="AK66">
        <v>0</v>
      </c>
      <c r="AL66">
        <v>0</v>
      </c>
      <c r="AM66">
        <v>0</v>
      </c>
      <c r="AN66" t="s">
        <v>297</v>
      </c>
      <c r="AO66" t="s">
        <v>192</v>
      </c>
      <c r="AP66" t="s">
        <v>173</v>
      </c>
      <c r="AQ66" t="s">
        <v>173</v>
      </c>
      <c r="AR66" t="s">
        <v>184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Z66" t="s">
        <v>192</v>
      </c>
      <c r="BW66">
        <f t="shared" si="1"/>
        <v>0</v>
      </c>
      <c r="BY66" t="s">
        <v>173</v>
      </c>
      <c r="BZ66" t="s">
        <v>185</v>
      </c>
      <c r="CA66" t="s">
        <v>192</v>
      </c>
      <c r="CC66" t="s">
        <v>173</v>
      </c>
      <c r="CD66" t="s">
        <v>186</v>
      </c>
      <c r="CE66" t="s">
        <v>192</v>
      </c>
      <c r="CG66" t="s">
        <v>192</v>
      </c>
      <c r="CI66" t="s">
        <v>173</v>
      </c>
      <c r="CJ66" t="s">
        <v>186</v>
      </c>
      <c r="CK66" t="s">
        <v>173</v>
      </c>
      <c r="CL66" t="s">
        <v>186</v>
      </c>
      <c r="CM66" t="s">
        <v>173</v>
      </c>
      <c r="CN66" t="s">
        <v>186</v>
      </c>
      <c r="CO66" t="s">
        <v>192</v>
      </c>
      <c r="CQ66" t="s">
        <v>192</v>
      </c>
      <c r="CS66" t="s">
        <v>192</v>
      </c>
      <c r="CU66" t="s">
        <v>173</v>
      </c>
      <c r="CV66" t="s">
        <v>185</v>
      </c>
      <c r="CW66" t="s">
        <v>192</v>
      </c>
      <c r="CY66" t="s">
        <v>192</v>
      </c>
      <c r="DA66" t="s">
        <v>192</v>
      </c>
      <c r="DC66" t="s">
        <v>192</v>
      </c>
      <c r="DE66" t="s">
        <v>192</v>
      </c>
      <c r="DH66" t="s">
        <v>173</v>
      </c>
      <c r="DI66" t="s">
        <v>187</v>
      </c>
      <c r="DJ66" t="s">
        <v>173</v>
      </c>
      <c r="DL66" t="s">
        <v>173</v>
      </c>
      <c r="DM66" t="s">
        <v>192</v>
      </c>
      <c r="DO66" t="s">
        <v>192</v>
      </c>
      <c r="DR66" t="s">
        <v>192</v>
      </c>
      <c r="DU66" t="s">
        <v>173</v>
      </c>
      <c r="DV66" t="s">
        <v>173</v>
      </c>
      <c r="DW66" t="s">
        <v>191</v>
      </c>
      <c r="DX66" t="s">
        <v>192</v>
      </c>
      <c r="EA66" t="s">
        <v>192</v>
      </c>
      <c r="ED66" t="s">
        <v>173</v>
      </c>
      <c r="EE66" t="s">
        <v>173</v>
      </c>
      <c r="EF66" t="s">
        <v>191</v>
      </c>
      <c r="EG66" t="s">
        <v>173</v>
      </c>
      <c r="EH66" t="s">
        <v>192</v>
      </c>
      <c r="EJ66" t="s">
        <v>192</v>
      </c>
      <c r="EM66" t="s">
        <v>192</v>
      </c>
      <c r="EQ66" t="s">
        <v>704</v>
      </c>
      <c r="ER66" t="s">
        <v>368</v>
      </c>
      <c r="ES66" t="s">
        <v>705</v>
      </c>
      <c r="ET66" t="s">
        <v>173</v>
      </c>
      <c r="EU66" t="s">
        <v>173</v>
      </c>
      <c r="EV66" t="s">
        <v>208</v>
      </c>
      <c r="EW66">
        <v>0</v>
      </c>
      <c r="EX66">
        <v>0</v>
      </c>
      <c r="EY66">
        <v>0</v>
      </c>
      <c r="EZ66">
        <v>0</v>
      </c>
      <c r="FA66">
        <v>1</v>
      </c>
      <c r="FB66">
        <v>0</v>
      </c>
      <c r="FC66">
        <v>0</v>
      </c>
      <c r="FD66">
        <v>0</v>
      </c>
      <c r="FE66">
        <v>0</v>
      </c>
      <c r="FH66">
        <v>83540899</v>
      </c>
      <c r="FI66" t="s">
        <v>706</v>
      </c>
      <c r="FJ66" s="1">
        <v>45758.867708333331</v>
      </c>
      <c r="FM66" t="s">
        <v>193</v>
      </c>
      <c r="FO66" t="s">
        <v>194</v>
      </c>
      <c r="FQ66">
        <v>66</v>
      </c>
    </row>
    <row r="67" spans="1:173" x14ac:dyDescent="0.25">
      <c r="A67" s="1">
        <v>45758.613434560182</v>
      </c>
      <c r="B67" s="1">
        <v>45758.661154756941</v>
      </c>
      <c r="C67" t="s">
        <v>334</v>
      </c>
      <c r="D67">
        <v>98</v>
      </c>
      <c r="E67" s="1">
        <v>45738</v>
      </c>
      <c r="F67">
        <v>1</v>
      </c>
      <c r="G67" t="s">
        <v>438</v>
      </c>
      <c r="H67" t="s">
        <v>171</v>
      </c>
      <c r="I67" t="s">
        <v>707</v>
      </c>
      <c r="J67" t="s">
        <v>708</v>
      </c>
      <c r="K67" t="s">
        <v>173</v>
      </c>
      <c r="L67">
        <v>20</v>
      </c>
      <c r="M67" t="s">
        <v>174</v>
      </c>
      <c r="N67">
        <v>0</v>
      </c>
      <c r="O67">
        <v>0</v>
      </c>
      <c r="P67">
        <v>0</v>
      </c>
      <c r="Q67">
        <v>0</v>
      </c>
      <c r="R67" t="s">
        <v>251</v>
      </c>
      <c r="S67">
        <v>21</v>
      </c>
      <c r="T67" t="str">
        <f t="shared" ref="T67:T130" si="2">IF(S67&lt;=25,"18 a 25",IF(S67&lt;=40,"26 a 40",IF(S67&lt;=55,"41 a 55","56 a más")))</f>
        <v>18 a 25</v>
      </c>
      <c r="U67" t="s">
        <v>173</v>
      </c>
      <c r="W67" t="s">
        <v>176</v>
      </c>
      <c r="Y67" t="s">
        <v>200</v>
      </c>
      <c r="Z67" t="s">
        <v>178</v>
      </c>
      <c r="AA67" t="s">
        <v>179</v>
      </c>
      <c r="AB67" t="s">
        <v>189</v>
      </c>
      <c r="AC67" t="s">
        <v>202</v>
      </c>
      <c r="AD67" t="s">
        <v>709</v>
      </c>
      <c r="AG67" t="s">
        <v>202</v>
      </c>
      <c r="AH67" t="s">
        <v>204</v>
      </c>
      <c r="AI67">
        <v>0</v>
      </c>
      <c r="AJ67">
        <v>1</v>
      </c>
      <c r="AK67">
        <v>0</v>
      </c>
      <c r="AL67">
        <v>0</v>
      </c>
      <c r="AM67">
        <v>0</v>
      </c>
      <c r="AN67" t="s">
        <v>297</v>
      </c>
      <c r="AO67" t="s">
        <v>192</v>
      </c>
      <c r="AP67" t="s">
        <v>173</v>
      </c>
      <c r="AQ67" t="s">
        <v>173</v>
      </c>
      <c r="AR67" t="s">
        <v>308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Z67" t="s">
        <v>192</v>
      </c>
      <c r="BW67">
        <f t="shared" ref="BW67:BW130" si="3">IF(OR(BN67="2. No",BO67="2. No",BP67="2. No",BQ67="2. No",BR67="2. No",BS67="2. No",BT67="2. No",BU67="2. No",BV67="2. No"),1,0)</f>
        <v>0</v>
      </c>
      <c r="BY67" t="s">
        <v>192</v>
      </c>
      <c r="CA67" t="s">
        <v>192</v>
      </c>
      <c r="CC67" t="s">
        <v>192</v>
      </c>
      <c r="CE67" t="s">
        <v>173</v>
      </c>
      <c r="CF67" t="s">
        <v>185</v>
      </c>
      <c r="CG67" t="s">
        <v>173</v>
      </c>
      <c r="CH67" t="s">
        <v>186</v>
      </c>
      <c r="CI67" t="s">
        <v>192</v>
      </c>
      <c r="CK67" t="s">
        <v>192</v>
      </c>
      <c r="CM67" t="s">
        <v>192</v>
      </c>
      <c r="CO67" t="s">
        <v>192</v>
      </c>
      <c r="CQ67" t="s">
        <v>192</v>
      </c>
      <c r="CS67" t="s">
        <v>192</v>
      </c>
      <c r="CU67" t="s">
        <v>192</v>
      </c>
      <c r="CW67" t="s">
        <v>192</v>
      </c>
      <c r="CY67" t="s">
        <v>192</v>
      </c>
      <c r="DA67" t="s">
        <v>192</v>
      </c>
      <c r="DC67" t="s">
        <v>173</v>
      </c>
      <c r="DD67" t="s">
        <v>186</v>
      </c>
      <c r="DE67" t="s">
        <v>192</v>
      </c>
      <c r="DH67" t="s">
        <v>192</v>
      </c>
      <c r="DL67" t="s">
        <v>173</v>
      </c>
      <c r="DM67" t="s">
        <v>192</v>
      </c>
      <c r="DO67" t="s">
        <v>192</v>
      </c>
      <c r="DR67" t="s">
        <v>173</v>
      </c>
      <c r="DS67" t="s">
        <v>192</v>
      </c>
      <c r="DU67" t="s">
        <v>173</v>
      </c>
      <c r="DV67" t="s">
        <v>173</v>
      </c>
      <c r="DW67" t="s">
        <v>191</v>
      </c>
      <c r="DX67" t="s">
        <v>173</v>
      </c>
      <c r="DY67" t="s">
        <v>192</v>
      </c>
      <c r="EA67" t="s">
        <v>173</v>
      </c>
      <c r="EB67" t="s">
        <v>173</v>
      </c>
      <c r="EC67" t="s">
        <v>191</v>
      </c>
      <c r="ED67" t="s">
        <v>173</v>
      </c>
      <c r="EE67" t="s">
        <v>173</v>
      </c>
      <c r="EF67" t="s">
        <v>191</v>
      </c>
      <c r="EG67" t="s">
        <v>173</v>
      </c>
      <c r="EH67" t="s">
        <v>192</v>
      </c>
      <c r="EJ67" t="s">
        <v>192</v>
      </c>
      <c r="EM67" t="s">
        <v>192</v>
      </c>
      <c r="EQ67" t="s">
        <v>388</v>
      </c>
      <c r="ET67" t="s">
        <v>173</v>
      </c>
      <c r="EU67" t="s">
        <v>173</v>
      </c>
      <c r="EV67" t="s">
        <v>208</v>
      </c>
      <c r="EW67">
        <v>0</v>
      </c>
      <c r="EX67">
        <v>0</v>
      </c>
      <c r="EY67">
        <v>0</v>
      </c>
      <c r="EZ67">
        <v>0</v>
      </c>
      <c r="FA67">
        <v>1</v>
      </c>
      <c r="FB67">
        <v>0</v>
      </c>
      <c r="FC67">
        <v>0</v>
      </c>
      <c r="FD67">
        <v>0</v>
      </c>
      <c r="FE67">
        <v>0</v>
      </c>
      <c r="FH67">
        <v>83541079</v>
      </c>
      <c r="FI67" t="s">
        <v>710</v>
      </c>
      <c r="FJ67" s="1">
        <v>45758.869502314818</v>
      </c>
      <c r="FM67" t="s">
        <v>193</v>
      </c>
      <c r="FO67" t="s">
        <v>469</v>
      </c>
      <c r="FQ67">
        <v>67</v>
      </c>
    </row>
    <row r="68" spans="1:173" x14ac:dyDescent="0.25">
      <c r="A68" s="1">
        <v>45758.658673368052</v>
      </c>
      <c r="B68" s="1">
        <v>45758.663467800929</v>
      </c>
      <c r="C68" t="s">
        <v>226</v>
      </c>
      <c r="D68">
        <v>49</v>
      </c>
      <c r="E68" s="1">
        <v>45739</v>
      </c>
      <c r="F68">
        <v>3</v>
      </c>
      <c r="G68" t="s">
        <v>235</v>
      </c>
      <c r="H68" t="s">
        <v>197</v>
      </c>
      <c r="I68" t="s">
        <v>711</v>
      </c>
      <c r="J68" t="s">
        <v>431</v>
      </c>
      <c r="K68" t="s">
        <v>173</v>
      </c>
      <c r="L68">
        <v>5</v>
      </c>
      <c r="M68" t="s">
        <v>174</v>
      </c>
      <c r="N68">
        <v>0</v>
      </c>
      <c r="O68">
        <v>0</v>
      </c>
      <c r="P68">
        <v>0</v>
      </c>
      <c r="Q68">
        <v>0</v>
      </c>
      <c r="R68" t="s">
        <v>251</v>
      </c>
      <c r="S68">
        <v>33</v>
      </c>
      <c r="T68" t="str">
        <f t="shared" si="2"/>
        <v>26 a 40</v>
      </c>
      <c r="U68" t="s">
        <v>173</v>
      </c>
      <c r="W68" t="s">
        <v>238</v>
      </c>
      <c r="Y68" t="s">
        <v>214</v>
      </c>
      <c r="Z68" t="s">
        <v>178</v>
      </c>
      <c r="AA68" t="s">
        <v>240</v>
      </c>
      <c r="AB68" t="s">
        <v>201</v>
      </c>
      <c r="AC68" t="s">
        <v>202</v>
      </c>
      <c r="AD68" t="s">
        <v>712</v>
      </c>
      <c r="AE68" t="s">
        <v>713</v>
      </c>
      <c r="AG68" t="s">
        <v>202</v>
      </c>
      <c r="AH68" t="s">
        <v>556</v>
      </c>
      <c r="AI68">
        <v>0</v>
      </c>
      <c r="AJ68">
        <v>0</v>
      </c>
      <c r="AK68">
        <v>1</v>
      </c>
      <c r="AL68">
        <v>1</v>
      </c>
      <c r="AM68">
        <v>0</v>
      </c>
      <c r="AN68" t="s">
        <v>205</v>
      </c>
      <c r="AO68" t="s">
        <v>192</v>
      </c>
      <c r="AP68" t="s">
        <v>192</v>
      </c>
      <c r="AQ68" t="s">
        <v>192</v>
      </c>
      <c r="AZ68" t="s">
        <v>192</v>
      </c>
      <c r="BW68">
        <f t="shared" si="3"/>
        <v>0</v>
      </c>
      <c r="BY68" t="s">
        <v>173</v>
      </c>
      <c r="BZ68" t="s">
        <v>186</v>
      </c>
      <c r="CA68" t="s">
        <v>192</v>
      </c>
      <c r="CC68" t="s">
        <v>173</v>
      </c>
      <c r="CD68" t="s">
        <v>185</v>
      </c>
      <c r="CE68" t="s">
        <v>192</v>
      </c>
      <c r="CG68" t="s">
        <v>192</v>
      </c>
      <c r="CI68" t="s">
        <v>192</v>
      </c>
      <c r="CK68" t="s">
        <v>173</v>
      </c>
      <c r="CL68" t="s">
        <v>185</v>
      </c>
      <c r="CM68" t="s">
        <v>192</v>
      </c>
      <c r="CO68" t="s">
        <v>192</v>
      </c>
      <c r="CQ68" t="s">
        <v>192</v>
      </c>
      <c r="CS68" t="s">
        <v>192</v>
      </c>
      <c r="CU68" t="s">
        <v>192</v>
      </c>
      <c r="CW68" t="s">
        <v>192</v>
      </c>
      <c r="CY68" t="s">
        <v>192</v>
      </c>
      <c r="DA68" t="s">
        <v>192</v>
      </c>
      <c r="DC68" t="s">
        <v>192</v>
      </c>
      <c r="DE68" t="s">
        <v>192</v>
      </c>
      <c r="DH68" t="s">
        <v>173</v>
      </c>
      <c r="DI68" t="s">
        <v>187</v>
      </c>
      <c r="DJ68" t="s">
        <v>192</v>
      </c>
      <c r="DL68" t="s">
        <v>173</v>
      </c>
      <c r="DM68" t="s">
        <v>192</v>
      </c>
      <c r="DO68" t="s">
        <v>192</v>
      </c>
      <c r="DR68" t="s">
        <v>192</v>
      </c>
      <c r="DU68" t="s">
        <v>173</v>
      </c>
      <c r="DV68" t="s">
        <v>173</v>
      </c>
      <c r="DW68" t="s">
        <v>191</v>
      </c>
      <c r="DX68" t="s">
        <v>173</v>
      </c>
      <c r="DY68" t="s">
        <v>192</v>
      </c>
      <c r="EA68" t="s">
        <v>173</v>
      </c>
      <c r="EB68" t="s">
        <v>192</v>
      </c>
      <c r="ED68" t="s">
        <v>173</v>
      </c>
      <c r="EE68" t="s">
        <v>173</v>
      </c>
      <c r="EF68" t="s">
        <v>191</v>
      </c>
      <c r="EG68" t="s">
        <v>173</v>
      </c>
      <c r="EH68" t="s">
        <v>192</v>
      </c>
      <c r="EJ68" t="s">
        <v>173</v>
      </c>
      <c r="EK68" t="s">
        <v>192</v>
      </c>
      <c r="EM68" t="s">
        <v>192</v>
      </c>
      <c r="EQ68" t="s">
        <v>405</v>
      </c>
      <c r="ER68" t="s">
        <v>714</v>
      </c>
      <c r="ES68" t="s">
        <v>514</v>
      </c>
      <c r="ET68" t="s">
        <v>173</v>
      </c>
      <c r="EU68" t="s">
        <v>173</v>
      </c>
      <c r="EV68" t="s">
        <v>452</v>
      </c>
      <c r="EW68">
        <v>0</v>
      </c>
      <c r="EX68">
        <v>1</v>
      </c>
      <c r="EY68">
        <v>0</v>
      </c>
      <c r="EZ68">
        <v>0</v>
      </c>
      <c r="FA68">
        <v>1</v>
      </c>
      <c r="FB68">
        <v>0</v>
      </c>
      <c r="FC68">
        <v>0</v>
      </c>
      <c r="FD68">
        <v>0</v>
      </c>
      <c r="FE68">
        <v>0</v>
      </c>
      <c r="FH68">
        <v>83541167</v>
      </c>
      <c r="FI68" t="s">
        <v>715</v>
      </c>
      <c r="FJ68" s="1">
        <v>45758.871817129628</v>
      </c>
      <c r="FM68" t="s">
        <v>193</v>
      </c>
      <c r="FO68" t="s">
        <v>194</v>
      </c>
      <c r="FQ68">
        <v>68</v>
      </c>
    </row>
    <row r="69" spans="1:173" x14ac:dyDescent="0.25">
      <c r="A69" s="1">
        <v>45758.661155358794</v>
      </c>
      <c r="B69" s="1">
        <v>45758.663853032413</v>
      </c>
      <c r="C69" t="s">
        <v>334</v>
      </c>
      <c r="D69">
        <v>92</v>
      </c>
      <c r="E69" s="1">
        <v>45738</v>
      </c>
      <c r="F69">
        <v>1</v>
      </c>
      <c r="G69" t="s">
        <v>429</v>
      </c>
      <c r="H69" t="s">
        <v>171</v>
      </c>
      <c r="I69" t="s">
        <v>716</v>
      </c>
      <c r="J69" t="s">
        <v>717</v>
      </c>
      <c r="K69" t="s">
        <v>173</v>
      </c>
      <c r="L69">
        <v>25</v>
      </c>
      <c r="M69" t="s">
        <v>174</v>
      </c>
      <c r="N69">
        <v>0</v>
      </c>
      <c r="O69">
        <v>0</v>
      </c>
      <c r="P69">
        <v>0</v>
      </c>
      <c r="Q69">
        <v>0</v>
      </c>
      <c r="R69" t="s">
        <v>251</v>
      </c>
      <c r="S69">
        <v>55</v>
      </c>
      <c r="T69" t="str">
        <f t="shared" si="2"/>
        <v>41 a 55</v>
      </c>
      <c r="U69" t="s">
        <v>173</v>
      </c>
      <c r="W69" t="s">
        <v>176</v>
      </c>
      <c r="Y69" t="s">
        <v>318</v>
      </c>
      <c r="Z69" t="s">
        <v>178</v>
      </c>
      <c r="AA69" t="s">
        <v>240</v>
      </c>
      <c r="AB69" t="s">
        <v>189</v>
      </c>
      <c r="AC69" t="s">
        <v>216</v>
      </c>
      <c r="AD69" t="s">
        <v>718</v>
      </c>
      <c r="AE69" t="s">
        <v>719</v>
      </c>
      <c r="AF69" t="s">
        <v>720</v>
      </c>
      <c r="AG69" t="s">
        <v>216</v>
      </c>
      <c r="AH69" t="s">
        <v>244</v>
      </c>
      <c r="AI69">
        <v>0</v>
      </c>
      <c r="AJ69">
        <v>1</v>
      </c>
      <c r="AK69">
        <v>1</v>
      </c>
      <c r="AL69">
        <v>0</v>
      </c>
      <c r="AM69">
        <v>0</v>
      </c>
      <c r="AN69" t="s">
        <v>183</v>
      </c>
      <c r="AO69" t="s">
        <v>192</v>
      </c>
      <c r="AP69" t="s">
        <v>192</v>
      </c>
      <c r="AQ69" t="s">
        <v>192</v>
      </c>
      <c r="AZ69" t="s">
        <v>192</v>
      </c>
      <c r="BW69">
        <f t="shared" si="3"/>
        <v>0</v>
      </c>
      <c r="BY69" t="s">
        <v>192</v>
      </c>
      <c r="CA69" t="s">
        <v>192</v>
      </c>
      <c r="CC69" t="s">
        <v>173</v>
      </c>
      <c r="CD69" t="s">
        <v>186</v>
      </c>
      <c r="CE69" t="s">
        <v>173</v>
      </c>
      <c r="CF69" t="s">
        <v>186</v>
      </c>
      <c r="CG69" t="s">
        <v>189</v>
      </c>
      <c r="CI69" t="s">
        <v>192</v>
      </c>
      <c r="CK69" t="s">
        <v>173</v>
      </c>
      <c r="CL69" t="s">
        <v>187</v>
      </c>
      <c r="CM69" t="s">
        <v>173</v>
      </c>
      <c r="CN69" t="s">
        <v>186</v>
      </c>
      <c r="CO69" t="s">
        <v>173</v>
      </c>
      <c r="CP69" t="s">
        <v>186</v>
      </c>
      <c r="CQ69" t="s">
        <v>173</v>
      </c>
      <c r="CR69" t="s">
        <v>186</v>
      </c>
      <c r="CS69" t="s">
        <v>173</v>
      </c>
      <c r="CT69" t="s">
        <v>186</v>
      </c>
      <c r="CU69" t="s">
        <v>192</v>
      </c>
      <c r="CW69" t="s">
        <v>192</v>
      </c>
      <c r="CY69" t="s">
        <v>173</v>
      </c>
      <c r="CZ69" t="s">
        <v>186</v>
      </c>
      <c r="DA69" t="s">
        <v>192</v>
      </c>
      <c r="DC69" t="s">
        <v>173</v>
      </c>
      <c r="DD69" t="s">
        <v>186</v>
      </c>
      <c r="DE69" t="s">
        <v>192</v>
      </c>
      <c r="DH69" t="s">
        <v>173</v>
      </c>
      <c r="DI69" t="s">
        <v>187</v>
      </c>
      <c r="DJ69" t="s">
        <v>173</v>
      </c>
      <c r="DL69" t="s">
        <v>192</v>
      </c>
      <c r="DO69" t="s">
        <v>192</v>
      </c>
      <c r="DR69" t="s">
        <v>192</v>
      </c>
      <c r="DU69" t="s">
        <v>192</v>
      </c>
      <c r="DX69" t="s">
        <v>173</v>
      </c>
      <c r="DY69" t="s">
        <v>173</v>
      </c>
      <c r="DZ69" t="s">
        <v>188</v>
      </c>
      <c r="EA69" t="s">
        <v>192</v>
      </c>
      <c r="ED69" t="s">
        <v>173</v>
      </c>
      <c r="EE69" t="s">
        <v>173</v>
      </c>
      <c r="EF69" t="s">
        <v>191</v>
      </c>
      <c r="EG69" t="s">
        <v>173</v>
      </c>
      <c r="EH69" t="s">
        <v>173</v>
      </c>
      <c r="EI69" t="s">
        <v>190</v>
      </c>
      <c r="EJ69" t="s">
        <v>173</v>
      </c>
      <c r="EK69" t="s">
        <v>192</v>
      </c>
      <c r="EM69" t="s">
        <v>192</v>
      </c>
      <c r="EQ69" t="s">
        <v>721</v>
      </c>
      <c r="ER69" t="s">
        <v>626</v>
      </c>
      <c r="ET69" t="s">
        <v>173</v>
      </c>
      <c r="EU69" t="s">
        <v>173</v>
      </c>
      <c r="EV69" t="s">
        <v>208</v>
      </c>
      <c r="EW69">
        <v>0</v>
      </c>
      <c r="EX69">
        <v>0</v>
      </c>
      <c r="EY69">
        <v>0</v>
      </c>
      <c r="EZ69">
        <v>0</v>
      </c>
      <c r="FA69">
        <v>1</v>
      </c>
      <c r="FB69">
        <v>0</v>
      </c>
      <c r="FC69">
        <v>0</v>
      </c>
      <c r="FD69">
        <v>0</v>
      </c>
      <c r="FE69">
        <v>0</v>
      </c>
      <c r="FH69">
        <v>83541192</v>
      </c>
      <c r="FI69" t="s">
        <v>722</v>
      </c>
      <c r="FJ69" s="1">
        <v>45758.872187499997</v>
      </c>
      <c r="FM69" t="s">
        <v>193</v>
      </c>
      <c r="FO69" t="s">
        <v>469</v>
      </c>
      <c r="FQ69">
        <v>69</v>
      </c>
    </row>
    <row r="70" spans="1:173" x14ac:dyDescent="0.25">
      <c r="A70" s="1">
        <v>45758.659369780093</v>
      </c>
      <c r="B70" s="1">
        <v>45758.665796793983</v>
      </c>
      <c r="C70" t="s">
        <v>195</v>
      </c>
      <c r="D70">
        <v>143</v>
      </c>
      <c r="E70" s="1">
        <v>45739</v>
      </c>
      <c r="F70">
        <v>3</v>
      </c>
      <c r="G70" t="s">
        <v>352</v>
      </c>
      <c r="H70" t="s">
        <v>197</v>
      </c>
      <c r="I70" t="s">
        <v>723</v>
      </c>
      <c r="J70" t="s">
        <v>608</v>
      </c>
      <c r="K70" t="s">
        <v>173</v>
      </c>
      <c r="L70">
        <v>6</v>
      </c>
      <c r="M70" t="s">
        <v>174</v>
      </c>
      <c r="N70">
        <v>0</v>
      </c>
      <c r="O70">
        <v>0</v>
      </c>
      <c r="P70">
        <v>0</v>
      </c>
      <c r="Q70">
        <v>0</v>
      </c>
      <c r="R70" t="s">
        <v>175</v>
      </c>
      <c r="S70">
        <v>30</v>
      </c>
      <c r="T70" t="str">
        <f t="shared" si="2"/>
        <v>26 a 40</v>
      </c>
      <c r="U70" t="s">
        <v>173</v>
      </c>
      <c r="W70" t="s">
        <v>176</v>
      </c>
      <c r="Y70" t="s">
        <v>200</v>
      </c>
      <c r="Z70" t="s">
        <v>239</v>
      </c>
      <c r="AA70" t="s">
        <v>179</v>
      </c>
      <c r="AB70" t="s">
        <v>215</v>
      </c>
      <c r="AC70" t="s">
        <v>202</v>
      </c>
      <c r="AD70" t="s">
        <v>356</v>
      </c>
      <c r="AE70" t="s">
        <v>724</v>
      </c>
      <c r="AF70" t="s">
        <v>358</v>
      </c>
      <c r="AG70" t="s">
        <v>202</v>
      </c>
      <c r="AH70" t="s">
        <v>287</v>
      </c>
      <c r="AI70">
        <v>0</v>
      </c>
      <c r="AJ70">
        <v>0</v>
      </c>
      <c r="AK70">
        <v>0</v>
      </c>
      <c r="AL70">
        <v>0</v>
      </c>
      <c r="AM70">
        <v>1</v>
      </c>
      <c r="AN70" t="s">
        <v>205</v>
      </c>
      <c r="AO70" t="s">
        <v>192</v>
      </c>
      <c r="AP70" t="s">
        <v>192</v>
      </c>
      <c r="AQ70" t="s">
        <v>192</v>
      </c>
      <c r="AZ70" t="s">
        <v>192</v>
      </c>
      <c r="BW70">
        <f t="shared" si="3"/>
        <v>0</v>
      </c>
      <c r="BY70" t="s">
        <v>192</v>
      </c>
      <c r="CA70" t="s">
        <v>192</v>
      </c>
      <c r="CC70" t="s">
        <v>192</v>
      </c>
      <c r="CE70" t="s">
        <v>192</v>
      </c>
      <c r="CG70" t="s">
        <v>192</v>
      </c>
      <c r="CI70" t="s">
        <v>192</v>
      </c>
      <c r="CK70" t="s">
        <v>192</v>
      </c>
      <c r="CM70" t="s">
        <v>192</v>
      </c>
      <c r="CO70" t="s">
        <v>192</v>
      </c>
      <c r="CQ70" t="s">
        <v>192</v>
      </c>
      <c r="CS70" t="s">
        <v>192</v>
      </c>
      <c r="CU70" t="s">
        <v>192</v>
      </c>
      <c r="CW70" t="s">
        <v>192</v>
      </c>
      <c r="CY70" t="s">
        <v>192</v>
      </c>
      <c r="DA70" t="s">
        <v>192</v>
      </c>
      <c r="DC70" t="s">
        <v>192</v>
      </c>
      <c r="DE70" t="s">
        <v>192</v>
      </c>
      <c r="DH70" t="s">
        <v>173</v>
      </c>
      <c r="DI70" t="s">
        <v>187</v>
      </c>
      <c r="DJ70" t="s">
        <v>192</v>
      </c>
      <c r="DL70" t="s">
        <v>192</v>
      </c>
      <c r="DO70" t="s">
        <v>192</v>
      </c>
      <c r="DR70" t="s">
        <v>192</v>
      </c>
      <c r="DU70" t="s">
        <v>173</v>
      </c>
      <c r="DV70" t="s">
        <v>192</v>
      </c>
      <c r="DX70" t="s">
        <v>173</v>
      </c>
      <c r="DY70" t="s">
        <v>192</v>
      </c>
      <c r="EA70" t="s">
        <v>192</v>
      </c>
      <c r="ED70" t="s">
        <v>173</v>
      </c>
      <c r="EE70" t="s">
        <v>192</v>
      </c>
      <c r="EG70" t="s">
        <v>173</v>
      </c>
      <c r="EH70" t="s">
        <v>192</v>
      </c>
      <c r="EJ70" t="s">
        <v>192</v>
      </c>
      <c r="EM70" t="s">
        <v>192</v>
      </c>
      <c r="EQ70" t="s">
        <v>460</v>
      </c>
      <c r="ER70" t="s">
        <v>221</v>
      </c>
      <c r="ES70" t="s">
        <v>220</v>
      </c>
      <c r="ET70" t="s">
        <v>173</v>
      </c>
      <c r="EU70" t="s">
        <v>173</v>
      </c>
      <c r="EV70" t="s">
        <v>223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1</v>
      </c>
      <c r="FF70" t="s">
        <v>725</v>
      </c>
      <c r="FH70">
        <v>83541222</v>
      </c>
      <c r="FI70" t="s">
        <v>726</v>
      </c>
      <c r="FJ70" s="1">
        <v>45758.874131944453</v>
      </c>
      <c r="FM70" t="s">
        <v>193</v>
      </c>
      <c r="FO70" t="s">
        <v>194</v>
      </c>
      <c r="FQ70">
        <v>70</v>
      </c>
    </row>
    <row r="71" spans="1:173" x14ac:dyDescent="0.25">
      <c r="A71" s="1">
        <v>45758.66385365741</v>
      </c>
      <c r="B71" s="1">
        <v>45758.666040416669</v>
      </c>
      <c r="C71" t="s">
        <v>334</v>
      </c>
      <c r="D71">
        <v>91</v>
      </c>
      <c r="E71" s="1">
        <v>45738</v>
      </c>
      <c r="F71">
        <v>1</v>
      </c>
      <c r="G71" t="s">
        <v>727</v>
      </c>
      <c r="H71" t="s">
        <v>171</v>
      </c>
      <c r="I71" t="s">
        <v>728</v>
      </c>
      <c r="J71" t="s">
        <v>729</v>
      </c>
      <c r="K71" t="s">
        <v>173</v>
      </c>
      <c r="L71">
        <v>10</v>
      </c>
      <c r="M71" t="s">
        <v>174</v>
      </c>
      <c r="N71">
        <v>0</v>
      </c>
      <c r="O71">
        <v>0</v>
      </c>
      <c r="P71">
        <v>0</v>
      </c>
      <c r="Q71">
        <v>0</v>
      </c>
      <c r="R71" t="s">
        <v>251</v>
      </c>
      <c r="S71">
        <v>54</v>
      </c>
      <c r="T71" t="str">
        <f t="shared" si="2"/>
        <v>41 a 55</v>
      </c>
      <c r="U71" t="s">
        <v>173</v>
      </c>
      <c r="W71" t="s">
        <v>238</v>
      </c>
      <c r="Y71" t="s">
        <v>214</v>
      </c>
      <c r="Z71" t="s">
        <v>239</v>
      </c>
      <c r="AA71" t="s">
        <v>240</v>
      </c>
      <c r="AB71" t="s">
        <v>215</v>
      </c>
      <c r="AC71" t="s">
        <v>202</v>
      </c>
      <c r="AD71" t="s">
        <v>730</v>
      </c>
      <c r="AG71" t="s">
        <v>202</v>
      </c>
      <c r="AH71" t="s">
        <v>244</v>
      </c>
      <c r="AI71">
        <v>0</v>
      </c>
      <c r="AJ71">
        <v>1</v>
      </c>
      <c r="AK71">
        <v>1</v>
      </c>
      <c r="AL71">
        <v>0</v>
      </c>
      <c r="AM71">
        <v>0</v>
      </c>
      <c r="AN71" t="s">
        <v>297</v>
      </c>
      <c r="AO71" t="s">
        <v>192</v>
      </c>
      <c r="AP71" t="s">
        <v>192</v>
      </c>
      <c r="AQ71" t="s">
        <v>192</v>
      </c>
      <c r="AZ71" t="s">
        <v>173</v>
      </c>
      <c r="BA71" t="s">
        <v>254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L71">
        <v>0</v>
      </c>
      <c r="BP71" t="s">
        <v>192</v>
      </c>
      <c r="BW71">
        <f t="shared" si="3"/>
        <v>1</v>
      </c>
      <c r="BY71" t="s">
        <v>192</v>
      </c>
      <c r="CA71" t="s">
        <v>192</v>
      </c>
      <c r="CC71" t="s">
        <v>192</v>
      </c>
      <c r="CE71" t="s">
        <v>173</v>
      </c>
      <c r="CF71" t="s">
        <v>185</v>
      </c>
      <c r="CG71" t="s">
        <v>192</v>
      </c>
      <c r="CI71" t="s">
        <v>192</v>
      </c>
      <c r="CK71" t="s">
        <v>192</v>
      </c>
      <c r="CM71" t="s">
        <v>192</v>
      </c>
      <c r="CO71" t="s">
        <v>192</v>
      </c>
      <c r="CQ71" t="s">
        <v>173</v>
      </c>
      <c r="CR71" t="s">
        <v>185</v>
      </c>
      <c r="CS71" t="s">
        <v>173</v>
      </c>
      <c r="CT71" t="s">
        <v>185</v>
      </c>
      <c r="CU71" t="s">
        <v>192</v>
      </c>
      <c r="CW71" t="s">
        <v>192</v>
      </c>
      <c r="CY71" t="s">
        <v>173</v>
      </c>
      <c r="CZ71" t="s">
        <v>185</v>
      </c>
      <c r="DA71" t="s">
        <v>192</v>
      </c>
      <c r="DC71" t="s">
        <v>192</v>
      </c>
      <c r="DE71" t="s">
        <v>192</v>
      </c>
      <c r="DH71" t="s">
        <v>173</v>
      </c>
      <c r="DI71" t="s">
        <v>185</v>
      </c>
      <c r="DJ71" t="s">
        <v>192</v>
      </c>
      <c r="DL71" t="s">
        <v>173</v>
      </c>
      <c r="DM71" t="s">
        <v>192</v>
      </c>
      <c r="DO71" t="s">
        <v>173</v>
      </c>
      <c r="DP71" t="s">
        <v>192</v>
      </c>
      <c r="DR71" t="s">
        <v>192</v>
      </c>
      <c r="DU71" t="s">
        <v>173</v>
      </c>
      <c r="DV71" t="s">
        <v>192</v>
      </c>
      <c r="DX71" t="s">
        <v>192</v>
      </c>
      <c r="EA71" t="s">
        <v>192</v>
      </c>
      <c r="ED71" t="s">
        <v>173</v>
      </c>
      <c r="EE71" t="s">
        <v>173</v>
      </c>
      <c r="EF71" t="s">
        <v>191</v>
      </c>
      <c r="EG71" t="s">
        <v>173</v>
      </c>
      <c r="EH71" t="s">
        <v>173</v>
      </c>
      <c r="EI71" t="s">
        <v>191</v>
      </c>
      <c r="EJ71" t="s">
        <v>173</v>
      </c>
      <c r="EK71" t="s">
        <v>173</v>
      </c>
      <c r="EL71" t="s">
        <v>191</v>
      </c>
      <c r="EM71" t="s">
        <v>192</v>
      </c>
      <c r="EQ71" t="s">
        <v>731</v>
      </c>
      <c r="ET71" t="s">
        <v>173</v>
      </c>
      <c r="EU71" t="s">
        <v>173</v>
      </c>
      <c r="EV71" t="s">
        <v>223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1</v>
      </c>
      <c r="FF71" t="s">
        <v>732</v>
      </c>
      <c r="FH71">
        <v>83541228</v>
      </c>
      <c r="FI71" t="s">
        <v>733</v>
      </c>
      <c r="FJ71" s="1">
        <v>45758.874374999999</v>
      </c>
      <c r="FM71" t="s">
        <v>193</v>
      </c>
      <c r="FO71" t="s">
        <v>469</v>
      </c>
      <c r="FQ71">
        <v>71</v>
      </c>
    </row>
    <row r="72" spans="1:173" x14ac:dyDescent="0.25">
      <c r="A72" s="1">
        <v>45758.66346851852</v>
      </c>
      <c r="B72" s="1">
        <v>45758.6662980787</v>
      </c>
      <c r="C72" t="s">
        <v>226</v>
      </c>
      <c r="D72">
        <v>48</v>
      </c>
      <c r="E72" s="1">
        <v>45739</v>
      </c>
      <c r="F72">
        <v>1</v>
      </c>
      <c r="G72" t="s">
        <v>734</v>
      </c>
      <c r="H72" t="s">
        <v>171</v>
      </c>
      <c r="I72" t="s">
        <v>735</v>
      </c>
      <c r="J72" t="s">
        <v>736</v>
      </c>
      <c r="K72" t="s">
        <v>173</v>
      </c>
      <c r="L72">
        <v>40</v>
      </c>
      <c r="M72" t="s">
        <v>174</v>
      </c>
      <c r="N72">
        <v>0</v>
      </c>
      <c r="O72">
        <v>0</v>
      </c>
      <c r="P72">
        <v>0</v>
      </c>
      <c r="Q72">
        <v>0</v>
      </c>
      <c r="R72" t="s">
        <v>251</v>
      </c>
      <c r="S72">
        <v>62</v>
      </c>
      <c r="T72" t="str">
        <f t="shared" si="2"/>
        <v>56 a más</v>
      </c>
      <c r="U72" t="s">
        <v>173</v>
      </c>
      <c r="W72" t="s">
        <v>238</v>
      </c>
      <c r="Y72" t="s">
        <v>214</v>
      </c>
      <c r="Z72" t="s">
        <v>239</v>
      </c>
      <c r="AA72" t="s">
        <v>240</v>
      </c>
      <c r="AB72" t="s">
        <v>215</v>
      </c>
      <c r="AC72" t="s">
        <v>202</v>
      </c>
      <c r="AD72" t="s">
        <v>737</v>
      </c>
      <c r="AE72" t="s">
        <v>738</v>
      </c>
      <c r="AG72" t="s">
        <v>202</v>
      </c>
      <c r="AH72" t="s">
        <v>266</v>
      </c>
      <c r="AI72">
        <v>0</v>
      </c>
      <c r="AJ72">
        <v>0</v>
      </c>
      <c r="AK72">
        <v>0</v>
      </c>
      <c r="AL72">
        <v>1</v>
      </c>
      <c r="AM72">
        <v>0</v>
      </c>
      <c r="AN72" t="s">
        <v>205</v>
      </c>
      <c r="AO72" t="s">
        <v>192</v>
      </c>
      <c r="AP72" t="s">
        <v>173</v>
      </c>
      <c r="AQ72" t="s">
        <v>192</v>
      </c>
      <c r="AZ72" t="s">
        <v>192</v>
      </c>
      <c r="BW72">
        <f t="shared" si="3"/>
        <v>0</v>
      </c>
      <c r="BY72" t="s">
        <v>192</v>
      </c>
      <c r="CA72" t="s">
        <v>192</v>
      </c>
      <c r="CC72" t="s">
        <v>173</v>
      </c>
      <c r="CD72" t="s">
        <v>185</v>
      </c>
      <c r="CE72" t="s">
        <v>192</v>
      </c>
      <c r="CG72" t="s">
        <v>192</v>
      </c>
      <c r="CI72" t="s">
        <v>173</v>
      </c>
      <c r="CJ72" t="s">
        <v>185</v>
      </c>
      <c r="CK72" t="s">
        <v>192</v>
      </c>
      <c r="CM72" t="s">
        <v>173</v>
      </c>
      <c r="CN72" t="s">
        <v>185</v>
      </c>
      <c r="CO72" t="s">
        <v>192</v>
      </c>
      <c r="CQ72" t="s">
        <v>192</v>
      </c>
      <c r="CS72" t="s">
        <v>192</v>
      </c>
      <c r="CU72" t="s">
        <v>192</v>
      </c>
      <c r="CW72" t="s">
        <v>192</v>
      </c>
      <c r="CY72" t="s">
        <v>192</v>
      </c>
      <c r="DA72" t="s">
        <v>192</v>
      </c>
      <c r="DC72" t="s">
        <v>192</v>
      </c>
      <c r="DE72" t="s">
        <v>192</v>
      </c>
      <c r="DH72" t="s">
        <v>173</v>
      </c>
      <c r="DI72" t="s">
        <v>187</v>
      </c>
      <c r="DJ72" t="s">
        <v>192</v>
      </c>
      <c r="DL72" t="s">
        <v>173</v>
      </c>
      <c r="DM72" t="s">
        <v>173</v>
      </c>
      <c r="DN72" t="s">
        <v>191</v>
      </c>
      <c r="DO72" t="s">
        <v>192</v>
      </c>
      <c r="DR72" t="s">
        <v>192</v>
      </c>
      <c r="DU72" t="s">
        <v>192</v>
      </c>
      <c r="DX72" t="s">
        <v>192</v>
      </c>
      <c r="EA72" t="s">
        <v>173</v>
      </c>
      <c r="EB72" t="s">
        <v>173</v>
      </c>
      <c r="EC72" t="s">
        <v>191</v>
      </c>
      <c r="ED72" t="s">
        <v>173</v>
      </c>
      <c r="EE72" t="s">
        <v>173</v>
      </c>
      <c r="EF72" t="s">
        <v>191</v>
      </c>
      <c r="EG72" t="s">
        <v>173</v>
      </c>
      <c r="EH72" t="s">
        <v>173</v>
      </c>
      <c r="EI72" t="s">
        <v>191</v>
      </c>
      <c r="EJ72" t="s">
        <v>192</v>
      </c>
      <c r="EM72" t="s">
        <v>192</v>
      </c>
      <c r="EQ72" t="s">
        <v>322</v>
      </c>
      <c r="ER72" t="s">
        <v>348</v>
      </c>
      <c r="ET72" t="s">
        <v>173</v>
      </c>
      <c r="EU72" t="s">
        <v>173</v>
      </c>
      <c r="EV72" t="s">
        <v>208</v>
      </c>
      <c r="EW72">
        <v>0</v>
      </c>
      <c r="EX72">
        <v>0</v>
      </c>
      <c r="EY72">
        <v>0</v>
      </c>
      <c r="EZ72">
        <v>0</v>
      </c>
      <c r="FA72">
        <v>1</v>
      </c>
      <c r="FB72">
        <v>0</v>
      </c>
      <c r="FC72">
        <v>0</v>
      </c>
      <c r="FD72">
        <v>0</v>
      </c>
      <c r="FE72">
        <v>0</v>
      </c>
      <c r="FH72">
        <v>83541231</v>
      </c>
      <c r="FI72" t="s">
        <v>739</v>
      </c>
      <c r="FJ72" s="1">
        <v>45758.874641203707</v>
      </c>
      <c r="FM72" t="s">
        <v>193</v>
      </c>
      <c r="FO72" t="s">
        <v>194</v>
      </c>
      <c r="FQ72">
        <v>72</v>
      </c>
    </row>
    <row r="73" spans="1:173" x14ac:dyDescent="0.25">
      <c r="A73" s="1">
        <v>45758.666298495373</v>
      </c>
      <c r="B73" s="1">
        <v>45758.670191585647</v>
      </c>
      <c r="C73" t="s">
        <v>226</v>
      </c>
      <c r="D73">
        <v>47</v>
      </c>
      <c r="E73" s="1">
        <v>45739</v>
      </c>
      <c r="F73">
        <v>1</v>
      </c>
      <c r="G73" t="s">
        <v>462</v>
      </c>
      <c r="H73" t="s">
        <v>171</v>
      </c>
      <c r="I73" t="s">
        <v>740</v>
      </c>
      <c r="J73" t="s">
        <v>741</v>
      </c>
      <c r="K73" t="s">
        <v>173</v>
      </c>
      <c r="L73">
        <v>9</v>
      </c>
      <c r="M73" t="s">
        <v>174</v>
      </c>
      <c r="N73">
        <v>0</v>
      </c>
      <c r="O73">
        <v>0</v>
      </c>
      <c r="P73">
        <v>0</v>
      </c>
      <c r="Q73">
        <v>0</v>
      </c>
      <c r="R73" t="s">
        <v>175</v>
      </c>
      <c r="S73">
        <v>55</v>
      </c>
      <c r="T73" t="str">
        <f t="shared" si="2"/>
        <v>41 a 55</v>
      </c>
      <c r="U73" t="s">
        <v>173</v>
      </c>
      <c r="W73" t="s">
        <v>742</v>
      </c>
      <c r="Y73" t="s">
        <v>200</v>
      </c>
      <c r="Z73" t="s">
        <v>239</v>
      </c>
      <c r="AA73" t="s">
        <v>179</v>
      </c>
      <c r="AB73" t="s">
        <v>215</v>
      </c>
      <c r="AC73" t="s">
        <v>202</v>
      </c>
      <c r="AD73" t="s">
        <v>743</v>
      </c>
      <c r="AG73" t="s">
        <v>202</v>
      </c>
      <c r="AH73" t="s">
        <v>204</v>
      </c>
      <c r="AI73">
        <v>0</v>
      </c>
      <c r="AJ73">
        <v>1</v>
      </c>
      <c r="AK73">
        <v>0</v>
      </c>
      <c r="AL73">
        <v>0</v>
      </c>
      <c r="AM73">
        <v>0</v>
      </c>
      <c r="AN73" t="s">
        <v>297</v>
      </c>
      <c r="AO73" t="s">
        <v>192</v>
      </c>
      <c r="AP73" t="s">
        <v>173</v>
      </c>
      <c r="AQ73" t="s">
        <v>192</v>
      </c>
      <c r="AZ73" t="s">
        <v>192</v>
      </c>
      <c r="BW73">
        <f t="shared" si="3"/>
        <v>0</v>
      </c>
      <c r="BY73" t="s">
        <v>192</v>
      </c>
      <c r="CA73" t="s">
        <v>192</v>
      </c>
      <c r="CC73" t="s">
        <v>173</v>
      </c>
      <c r="CD73" t="s">
        <v>186</v>
      </c>
      <c r="CE73" t="s">
        <v>173</v>
      </c>
      <c r="CF73" t="s">
        <v>186</v>
      </c>
      <c r="CG73" t="s">
        <v>192</v>
      </c>
      <c r="CI73" t="s">
        <v>192</v>
      </c>
      <c r="CK73" t="s">
        <v>173</v>
      </c>
      <c r="CL73" t="s">
        <v>186</v>
      </c>
      <c r="CM73" t="s">
        <v>173</v>
      </c>
      <c r="CN73" t="s">
        <v>186</v>
      </c>
      <c r="CO73" t="s">
        <v>192</v>
      </c>
      <c r="CQ73" t="s">
        <v>173</v>
      </c>
      <c r="CR73" t="s">
        <v>186</v>
      </c>
      <c r="CS73" t="s">
        <v>173</v>
      </c>
      <c r="CT73" t="s">
        <v>186</v>
      </c>
      <c r="CU73" t="s">
        <v>192</v>
      </c>
      <c r="CW73" t="s">
        <v>173</v>
      </c>
      <c r="CX73" t="s">
        <v>185</v>
      </c>
      <c r="CY73" t="s">
        <v>173</v>
      </c>
      <c r="CZ73" t="s">
        <v>185</v>
      </c>
      <c r="DA73" t="s">
        <v>192</v>
      </c>
      <c r="DC73" t="s">
        <v>192</v>
      </c>
      <c r="DE73" t="s">
        <v>192</v>
      </c>
      <c r="DH73" t="s">
        <v>173</v>
      </c>
      <c r="DI73" t="s">
        <v>187</v>
      </c>
      <c r="DJ73" t="s">
        <v>192</v>
      </c>
      <c r="DL73" t="s">
        <v>173</v>
      </c>
      <c r="DM73" t="s">
        <v>173</v>
      </c>
      <c r="DN73" t="s">
        <v>191</v>
      </c>
      <c r="DO73" t="s">
        <v>173</v>
      </c>
      <c r="DP73" t="s">
        <v>173</v>
      </c>
      <c r="DQ73" t="s">
        <v>191</v>
      </c>
      <c r="DR73" t="s">
        <v>192</v>
      </c>
      <c r="DU73" t="s">
        <v>173</v>
      </c>
      <c r="DV73" t="s">
        <v>173</v>
      </c>
      <c r="DW73" t="s">
        <v>191</v>
      </c>
      <c r="DX73" t="s">
        <v>192</v>
      </c>
      <c r="EA73" t="s">
        <v>173</v>
      </c>
      <c r="EB73" t="s">
        <v>173</v>
      </c>
      <c r="EC73" t="s">
        <v>188</v>
      </c>
      <c r="ED73" t="s">
        <v>173</v>
      </c>
      <c r="EE73" t="s">
        <v>173</v>
      </c>
      <c r="EF73" t="s">
        <v>188</v>
      </c>
      <c r="EG73" t="s">
        <v>173</v>
      </c>
      <c r="EH73" t="s">
        <v>173</v>
      </c>
      <c r="EI73" t="s">
        <v>191</v>
      </c>
      <c r="EJ73" t="s">
        <v>173</v>
      </c>
      <c r="EK73" t="s">
        <v>173</v>
      </c>
      <c r="EL73" t="s">
        <v>191</v>
      </c>
      <c r="EM73" t="s">
        <v>192</v>
      </c>
      <c r="EQ73" t="s">
        <v>744</v>
      </c>
      <c r="ET73" t="s">
        <v>173</v>
      </c>
      <c r="EU73" t="s">
        <v>173</v>
      </c>
      <c r="EV73" t="s">
        <v>223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1</v>
      </c>
      <c r="FF73" t="s">
        <v>745</v>
      </c>
      <c r="FH73">
        <v>83541567</v>
      </c>
      <c r="FI73" t="s">
        <v>746</v>
      </c>
      <c r="FJ73" s="1">
        <v>45758.878530092603</v>
      </c>
      <c r="FM73" t="s">
        <v>193</v>
      </c>
      <c r="FO73" t="s">
        <v>194</v>
      </c>
      <c r="FQ73">
        <v>73</v>
      </c>
    </row>
    <row r="74" spans="1:173" x14ac:dyDescent="0.25">
      <c r="A74" s="1">
        <v>45758.666040868047</v>
      </c>
      <c r="B74" s="1">
        <v>45758.67068422454</v>
      </c>
      <c r="C74" t="s">
        <v>334</v>
      </c>
      <c r="D74">
        <v>89</v>
      </c>
      <c r="E74" s="1">
        <v>45738</v>
      </c>
      <c r="F74">
        <v>1</v>
      </c>
      <c r="G74" t="s">
        <v>438</v>
      </c>
      <c r="H74" t="s">
        <v>171</v>
      </c>
      <c r="I74" t="s">
        <v>747</v>
      </c>
      <c r="J74" t="s">
        <v>667</v>
      </c>
      <c r="K74" t="s">
        <v>173</v>
      </c>
      <c r="L74">
        <v>6</v>
      </c>
      <c r="M74" t="s">
        <v>174</v>
      </c>
      <c r="N74">
        <v>0</v>
      </c>
      <c r="O74">
        <v>0</v>
      </c>
      <c r="P74">
        <v>0</v>
      </c>
      <c r="Q74">
        <v>0</v>
      </c>
      <c r="R74" t="s">
        <v>251</v>
      </c>
      <c r="S74">
        <v>26</v>
      </c>
      <c r="T74" t="str">
        <f t="shared" si="2"/>
        <v>26 a 40</v>
      </c>
      <c r="U74" t="s">
        <v>173</v>
      </c>
      <c r="W74" t="s">
        <v>176</v>
      </c>
      <c r="Y74" t="s">
        <v>200</v>
      </c>
      <c r="Z74" t="s">
        <v>178</v>
      </c>
      <c r="AA74" t="s">
        <v>179</v>
      </c>
      <c r="AB74" t="s">
        <v>189</v>
      </c>
      <c r="AC74" t="s">
        <v>216</v>
      </c>
      <c r="AD74" t="s">
        <v>305</v>
      </c>
      <c r="AG74" t="s">
        <v>202</v>
      </c>
      <c r="AH74" t="s">
        <v>287</v>
      </c>
      <c r="AI74">
        <v>0</v>
      </c>
      <c r="AJ74">
        <v>0</v>
      </c>
      <c r="AK74">
        <v>0</v>
      </c>
      <c r="AL74">
        <v>0</v>
      </c>
      <c r="AM74">
        <v>1</v>
      </c>
      <c r="AN74" t="s">
        <v>183</v>
      </c>
      <c r="AO74" t="s">
        <v>192</v>
      </c>
      <c r="AP74" t="s">
        <v>173</v>
      </c>
      <c r="AQ74" t="s">
        <v>173</v>
      </c>
      <c r="AR74" t="s">
        <v>308</v>
      </c>
      <c r="AS74">
        <v>0</v>
      </c>
      <c r="AT74">
        <v>0</v>
      </c>
      <c r="AU74">
        <v>1</v>
      </c>
      <c r="AV74">
        <v>0</v>
      </c>
      <c r="AW74">
        <v>0</v>
      </c>
      <c r="AX74">
        <v>0</v>
      </c>
      <c r="AZ74" t="s">
        <v>192</v>
      </c>
      <c r="BW74">
        <f t="shared" si="3"/>
        <v>0</v>
      </c>
      <c r="BY74" t="s">
        <v>192</v>
      </c>
      <c r="CA74" t="s">
        <v>192</v>
      </c>
      <c r="CC74" t="s">
        <v>173</v>
      </c>
      <c r="CD74" t="s">
        <v>186</v>
      </c>
      <c r="CE74" t="s">
        <v>173</v>
      </c>
      <c r="CF74" t="s">
        <v>185</v>
      </c>
      <c r="CG74" t="s">
        <v>173</v>
      </c>
      <c r="CH74" t="s">
        <v>185</v>
      </c>
      <c r="CI74" t="s">
        <v>192</v>
      </c>
      <c r="CK74" t="s">
        <v>173</v>
      </c>
      <c r="CL74" t="s">
        <v>186</v>
      </c>
      <c r="CM74" t="s">
        <v>173</v>
      </c>
      <c r="CN74" t="s">
        <v>186</v>
      </c>
      <c r="CO74" t="s">
        <v>192</v>
      </c>
      <c r="CQ74" t="s">
        <v>173</v>
      </c>
      <c r="CR74" t="s">
        <v>186</v>
      </c>
      <c r="CS74" t="s">
        <v>192</v>
      </c>
      <c r="CU74" t="s">
        <v>192</v>
      </c>
      <c r="CW74" t="s">
        <v>192</v>
      </c>
      <c r="CY74" t="s">
        <v>192</v>
      </c>
      <c r="DA74" t="s">
        <v>192</v>
      </c>
      <c r="DC74" t="s">
        <v>173</v>
      </c>
      <c r="DD74" t="s">
        <v>187</v>
      </c>
      <c r="DE74" t="s">
        <v>192</v>
      </c>
      <c r="DH74" t="s">
        <v>173</v>
      </c>
      <c r="DI74" t="s">
        <v>186</v>
      </c>
      <c r="DJ74" t="s">
        <v>192</v>
      </c>
      <c r="DL74" t="s">
        <v>173</v>
      </c>
      <c r="DM74" t="s">
        <v>192</v>
      </c>
      <c r="DO74" t="s">
        <v>192</v>
      </c>
      <c r="DR74" t="s">
        <v>173</v>
      </c>
      <c r="DS74" t="s">
        <v>192</v>
      </c>
      <c r="DU74" t="s">
        <v>173</v>
      </c>
      <c r="DV74" t="s">
        <v>192</v>
      </c>
      <c r="DX74" t="s">
        <v>192</v>
      </c>
      <c r="EA74" t="s">
        <v>173</v>
      </c>
      <c r="EB74" t="s">
        <v>192</v>
      </c>
      <c r="ED74" t="s">
        <v>173</v>
      </c>
      <c r="EE74" t="s">
        <v>173</v>
      </c>
      <c r="EF74" t="s">
        <v>191</v>
      </c>
      <c r="EG74" t="s">
        <v>173</v>
      </c>
      <c r="EH74" t="s">
        <v>173</v>
      </c>
      <c r="EI74" t="s">
        <v>188</v>
      </c>
      <c r="EJ74" t="s">
        <v>173</v>
      </c>
      <c r="EK74" t="s">
        <v>192</v>
      </c>
      <c r="EM74" t="s">
        <v>192</v>
      </c>
      <c r="EQ74" t="s">
        <v>349</v>
      </c>
      <c r="ET74" t="s">
        <v>192</v>
      </c>
      <c r="EU74" t="s">
        <v>192</v>
      </c>
      <c r="EV74" t="s">
        <v>247</v>
      </c>
      <c r="EW74">
        <v>0</v>
      </c>
      <c r="EX74">
        <v>1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H74">
        <v>83541611</v>
      </c>
      <c r="FI74" t="s">
        <v>748</v>
      </c>
      <c r="FJ74" s="1">
        <v>45758.879027777781</v>
      </c>
      <c r="FM74" t="s">
        <v>193</v>
      </c>
      <c r="FO74" t="s">
        <v>469</v>
      </c>
      <c r="FQ74">
        <v>74</v>
      </c>
    </row>
    <row r="75" spans="1:173" x14ac:dyDescent="0.25">
      <c r="A75" s="1">
        <v>45758.670684791658</v>
      </c>
      <c r="B75" s="1">
        <v>45758.673890949067</v>
      </c>
      <c r="C75" t="s">
        <v>334</v>
      </c>
      <c r="D75">
        <v>87</v>
      </c>
      <c r="E75" s="1">
        <v>45738</v>
      </c>
      <c r="F75">
        <v>1</v>
      </c>
      <c r="G75" t="s">
        <v>749</v>
      </c>
      <c r="H75" t="s">
        <v>171</v>
      </c>
      <c r="I75" t="s">
        <v>750</v>
      </c>
      <c r="J75" t="s">
        <v>751</v>
      </c>
      <c r="K75" t="s">
        <v>173</v>
      </c>
      <c r="L75">
        <v>32</v>
      </c>
      <c r="M75" t="s">
        <v>174</v>
      </c>
      <c r="N75">
        <v>0</v>
      </c>
      <c r="O75">
        <v>0</v>
      </c>
      <c r="P75">
        <v>0</v>
      </c>
      <c r="Q75">
        <v>0</v>
      </c>
      <c r="R75" t="s">
        <v>251</v>
      </c>
      <c r="S75">
        <v>51</v>
      </c>
      <c r="T75" t="str">
        <f t="shared" si="2"/>
        <v>41 a 55</v>
      </c>
      <c r="U75" t="s">
        <v>173</v>
      </c>
      <c r="W75" t="s">
        <v>176</v>
      </c>
      <c r="Y75" t="s">
        <v>214</v>
      </c>
      <c r="Z75" t="s">
        <v>364</v>
      </c>
      <c r="AA75" t="s">
        <v>179</v>
      </c>
      <c r="AB75" t="s">
        <v>215</v>
      </c>
      <c r="AC75" t="s">
        <v>202</v>
      </c>
      <c r="AD75" t="s">
        <v>752</v>
      </c>
      <c r="AG75" t="s">
        <v>202</v>
      </c>
      <c r="AH75" t="s">
        <v>244</v>
      </c>
      <c r="AI75">
        <v>0</v>
      </c>
      <c r="AJ75">
        <v>1</v>
      </c>
      <c r="AK75">
        <v>1</v>
      </c>
      <c r="AL75">
        <v>0</v>
      </c>
      <c r="AM75">
        <v>0</v>
      </c>
      <c r="AN75" t="s">
        <v>205</v>
      </c>
      <c r="AO75" t="s">
        <v>192</v>
      </c>
      <c r="AP75" t="s">
        <v>173</v>
      </c>
      <c r="AQ75" t="s">
        <v>192</v>
      </c>
      <c r="AZ75" t="s">
        <v>192</v>
      </c>
      <c r="BW75">
        <f t="shared" si="3"/>
        <v>0</v>
      </c>
      <c r="BY75" t="s">
        <v>192</v>
      </c>
      <c r="CA75" t="s">
        <v>192</v>
      </c>
      <c r="CC75" t="s">
        <v>192</v>
      </c>
      <c r="CE75" t="s">
        <v>173</v>
      </c>
      <c r="CF75" t="s">
        <v>185</v>
      </c>
      <c r="CG75" t="s">
        <v>192</v>
      </c>
      <c r="CI75" t="s">
        <v>192</v>
      </c>
      <c r="CK75" t="s">
        <v>173</v>
      </c>
      <c r="CL75" t="s">
        <v>186</v>
      </c>
      <c r="CM75" t="s">
        <v>192</v>
      </c>
      <c r="CO75" t="s">
        <v>192</v>
      </c>
      <c r="CQ75" t="s">
        <v>173</v>
      </c>
      <c r="CR75" t="s">
        <v>186</v>
      </c>
      <c r="CS75" t="s">
        <v>192</v>
      </c>
      <c r="CU75" t="s">
        <v>192</v>
      </c>
      <c r="CW75" t="s">
        <v>192</v>
      </c>
      <c r="CY75" t="s">
        <v>173</v>
      </c>
      <c r="CZ75" t="s">
        <v>185</v>
      </c>
      <c r="DA75" t="s">
        <v>192</v>
      </c>
      <c r="DC75" t="s">
        <v>192</v>
      </c>
      <c r="DE75" t="s">
        <v>192</v>
      </c>
      <c r="DH75" t="s">
        <v>173</v>
      </c>
      <c r="DI75" t="s">
        <v>187</v>
      </c>
      <c r="DJ75" t="s">
        <v>192</v>
      </c>
      <c r="DL75" t="s">
        <v>173</v>
      </c>
      <c r="DM75" t="s">
        <v>192</v>
      </c>
      <c r="DO75" t="s">
        <v>173</v>
      </c>
      <c r="DP75" t="s">
        <v>192</v>
      </c>
      <c r="DR75" t="s">
        <v>192</v>
      </c>
      <c r="DU75" t="s">
        <v>173</v>
      </c>
      <c r="DV75" t="s">
        <v>192</v>
      </c>
      <c r="DX75" t="s">
        <v>173</v>
      </c>
      <c r="DY75" t="s">
        <v>192</v>
      </c>
      <c r="EA75" t="s">
        <v>173</v>
      </c>
      <c r="EB75" t="s">
        <v>192</v>
      </c>
      <c r="ED75" t="s">
        <v>173</v>
      </c>
      <c r="EE75" t="s">
        <v>173</v>
      </c>
      <c r="EF75" t="s">
        <v>191</v>
      </c>
      <c r="EG75" t="s">
        <v>173</v>
      </c>
      <c r="EH75" t="s">
        <v>192</v>
      </c>
      <c r="EJ75" t="s">
        <v>173</v>
      </c>
      <c r="EK75" t="s">
        <v>192</v>
      </c>
      <c r="EM75" t="s">
        <v>173</v>
      </c>
      <c r="EN75" t="s">
        <v>192</v>
      </c>
      <c r="EQ75" t="s">
        <v>753</v>
      </c>
      <c r="ET75" t="s">
        <v>173</v>
      </c>
      <c r="EU75" t="s">
        <v>173</v>
      </c>
      <c r="EV75" t="s">
        <v>223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1</v>
      </c>
      <c r="FF75" t="s">
        <v>754</v>
      </c>
      <c r="FH75">
        <v>83541730</v>
      </c>
      <c r="FI75" t="s">
        <v>755</v>
      </c>
      <c r="FJ75" s="1">
        <v>45758.882233796299</v>
      </c>
      <c r="FM75" t="s">
        <v>193</v>
      </c>
      <c r="FO75" t="s">
        <v>469</v>
      </c>
      <c r="FQ75">
        <v>75</v>
      </c>
    </row>
    <row r="76" spans="1:173" x14ac:dyDescent="0.25">
      <c r="A76" s="1">
        <v>45758.665797407397</v>
      </c>
      <c r="B76" s="1">
        <v>45758.677595277783</v>
      </c>
      <c r="C76" t="s">
        <v>195</v>
      </c>
      <c r="D76">
        <v>141</v>
      </c>
      <c r="E76" s="1">
        <v>45739</v>
      </c>
      <c r="F76">
        <v>3</v>
      </c>
      <c r="G76" t="s">
        <v>235</v>
      </c>
      <c r="H76" t="s">
        <v>197</v>
      </c>
      <c r="I76" t="s">
        <v>756</v>
      </c>
      <c r="J76" t="s">
        <v>757</v>
      </c>
      <c r="K76" t="s">
        <v>173</v>
      </c>
      <c r="L76">
        <v>10</v>
      </c>
      <c r="M76" t="s">
        <v>174</v>
      </c>
      <c r="N76">
        <v>0</v>
      </c>
      <c r="O76">
        <v>0</v>
      </c>
      <c r="P76">
        <v>0</v>
      </c>
      <c r="Q76">
        <v>0</v>
      </c>
      <c r="R76" t="s">
        <v>251</v>
      </c>
      <c r="S76">
        <v>55</v>
      </c>
      <c r="T76" t="str">
        <f t="shared" si="2"/>
        <v>41 a 55</v>
      </c>
      <c r="U76" t="s">
        <v>173</v>
      </c>
      <c r="W76" t="s">
        <v>238</v>
      </c>
      <c r="Y76" t="s">
        <v>214</v>
      </c>
      <c r="Z76" t="s">
        <v>239</v>
      </c>
      <c r="AA76" t="s">
        <v>179</v>
      </c>
      <c r="AB76" t="s">
        <v>215</v>
      </c>
      <c r="AC76" t="s">
        <v>202</v>
      </c>
      <c r="AD76" t="s">
        <v>758</v>
      </c>
      <c r="AE76" t="s">
        <v>759</v>
      </c>
      <c r="AG76" t="s">
        <v>202</v>
      </c>
      <c r="AH76" t="s">
        <v>244</v>
      </c>
      <c r="AI76">
        <v>0</v>
      </c>
      <c r="AJ76">
        <v>1</v>
      </c>
      <c r="AK76">
        <v>1</v>
      </c>
      <c r="AL76">
        <v>0</v>
      </c>
      <c r="AM76">
        <v>0</v>
      </c>
      <c r="AN76" t="s">
        <v>297</v>
      </c>
      <c r="AO76" t="s">
        <v>192</v>
      </c>
      <c r="AP76" t="s">
        <v>192</v>
      </c>
      <c r="AQ76" t="s">
        <v>192</v>
      </c>
      <c r="AZ76" t="s">
        <v>192</v>
      </c>
      <c r="BW76">
        <f t="shared" si="3"/>
        <v>0</v>
      </c>
      <c r="BY76" t="s">
        <v>173</v>
      </c>
      <c r="BZ76" t="s">
        <v>186</v>
      </c>
      <c r="CA76" t="s">
        <v>192</v>
      </c>
      <c r="CC76" t="s">
        <v>173</v>
      </c>
      <c r="CD76" t="s">
        <v>186</v>
      </c>
      <c r="CE76" t="s">
        <v>192</v>
      </c>
      <c r="CG76" t="s">
        <v>192</v>
      </c>
      <c r="CI76" t="s">
        <v>173</v>
      </c>
      <c r="CJ76" t="s">
        <v>185</v>
      </c>
      <c r="CK76" t="s">
        <v>173</v>
      </c>
      <c r="CL76" t="s">
        <v>185</v>
      </c>
      <c r="CM76" t="s">
        <v>192</v>
      </c>
      <c r="CO76" t="s">
        <v>192</v>
      </c>
      <c r="CQ76" t="s">
        <v>192</v>
      </c>
      <c r="CS76" t="s">
        <v>192</v>
      </c>
      <c r="CU76" t="s">
        <v>192</v>
      </c>
      <c r="CW76" t="s">
        <v>173</v>
      </c>
      <c r="CX76" t="s">
        <v>185</v>
      </c>
      <c r="CY76" t="s">
        <v>173</v>
      </c>
      <c r="CZ76" t="s">
        <v>186</v>
      </c>
      <c r="DA76" t="s">
        <v>192</v>
      </c>
      <c r="DC76" t="s">
        <v>173</v>
      </c>
      <c r="DD76" t="s">
        <v>186</v>
      </c>
      <c r="DE76" t="s">
        <v>192</v>
      </c>
      <c r="DH76" t="s">
        <v>173</v>
      </c>
      <c r="DI76" t="s">
        <v>187</v>
      </c>
      <c r="DJ76" t="s">
        <v>192</v>
      </c>
      <c r="DL76" t="s">
        <v>192</v>
      </c>
      <c r="DO76" t="s">
        <v>192</v>
      </c>
      <c r="DR76" t="s">
        <v>192</v>
      </c>
      <c r="DU76" t="s">
        <v>173</v>
      </c>
      <c r="DV76" t="s">
        <v>192</v>
      </c>
      <c r="DX76" t="s">
        <v>192</v>
      </c>
      <c r="EA76" t="s">
        <v>192</v>
      </c>
      <c r="ED76" t="s">
        <v>173</v>
      </c>
      <c r="EE76" t="s">
        <v>173</v>
      </c>
      <c r="EF76" t="s">
        <v>191</v>
      </c>
      <c r="EG76" t="s">
        <v>173</v>
      </c>
      <c r="EH76" t="s">
        <v>173</v>
      </c>
      <c r="EI76" t="s">
        <v>191</v>
      </c>
      <c r="EJ76" t="s">
        <v>173</v>
      </c>
      <c r="EK76" t="s">
        <v>173</v>
      </c>
      <c r="EL76" t="s">
        <v>191</v>
      </c>
      <c r="EM76" t="s">
        <v>192</v>
      </c>
      <c r="EQ76" t="s">
        <v>274</v>
      </c>
      <c r="ER76" t="s">
        <v>760</v>
      </c>
      <c r="ET76" t="s">
        <v>173</v>
      </c>
      <c r="EU76" t="s">
        <v>173</v>
      </c>
      <c r="EV76" t="s">
        <v>529</v>
      </c>
      <c r="EW76">
        <v>0</v>
      </c>
      <c r="EX76">
        <v>0</v>
      </c>
      <c r="EY76">
        <v>1</v>
      </c>
      <c r="EZ76">
        <v>0</v>
      </c>
      <c r="FA76">
        <v>0</v>
      </c>
      <c r="FB76">
        <v>0</v>
      </c>
      <c r="FC76">
        <v>1</v>
      </c>
      <c r="FD76">
        <v>0</v>
      </c>
      <c r="FE76">
        <v>0</v>
      </c>
      <c r="FH76">
        <v>83541956</v>
      </c>
      <c r="FI76" t="s">
        <v>761</v>
      </c>
      <c r="FJ76" s="1">
        <v>45758.885937500003</v>
      </c>
      <c r="FM76" t="s">
        <v>193</v>
      </c>
      <c r="FO76" t="s">
        <v>194</v>
      </c>
      <c r="FQ76">
        <v>76</v>
      </c>
    </row>
    <row r="77" spans="1:173" x14ac:dyDescent="0.25">
      <c r="A77" s="1">
        <v>45758.677595937501</v>
      </c>
      <c r="B77" s="1">
        <v>45758.681645185177</v>
      </c>
      <c r="C77" t="s">
        <v>195</v>
      </c>
      <c r="D77">
        <v>141</v>
      </c>
      <c r="E77" s="1">
        <v>45739</v>
      </c>
      <c r="F77">
        <v>3</v>
      </c>
      <c r="G77" t="s">
        <v>227</v>
      </c>
      <c r="H77" t="s">
        <v>197</v>
      </c>
      <c r="I77" t="s">
        <v>762</v>
      </c>
      <c r="J77" t="s">
        <v>763</v>
      </c>
      <c r="K77" t="s">
        <v>173</v>
      </c>
      <c r="L77">
        <v>25</v>
      </c>
      <c r="M77" t="s">
        <v>174</v>
      </c>
      <c r="N77">
        <v>0</v>
      </c>
      <c r="O77">
        <v>0</v>
      </c>
      <c r="P77">
        <v>0</v>
      </c>
      <c r="Q77">
        <v>0</v>
      </c>
      <c r="R77" t="s">
        <v>251</v>
      </c>
      <c r="S77">
        <v>69</v>
      </c>
      <c r="T77" t="str">
        <f t="shared" si="2"/>
        <v>56 a más</v>
      </c>
      <c r="U77" t="s">
        <v>173</v>
      </c>
      <c r="W77" t="s">
        <v>176</v>
      </c>
      <c r="Y77" t="s">
        <v>177</v>
      </c>
      <c r="Z77" t="s">
        <v>239</v>
      </c>
      <c r="AA77" t="s">
        <v>179</v>
      </c>
      <c r="AB77" t="s">
        <v>215</v>
      </c>
      <c r="AC77" t="s">
        <v>216</v>
      </c>
      <c r="AD77" t="s">
        <v>764</v>
      </c>
      <c r="AG77" t="s">
        <v>202</v>
      </c>
      <c r="AH77" t="s">
        <v>204</v>
      </c>
      <c r="AI77">
        <v>0</v>
      </c>
      <c r="AJ77">
        <v>1</v>
      </c>
      <c r="AK77">
        <v>0</v>
      </c>
      <c r="AL77">
        <v>0</v>
      </c>
      <c r="AM77">
        <v>0</v>
      </c>
      <c r="AN77" t="s">
        <v>183</v>
      </c>
      <c r="AO77" t="s">
        <v>192</v>
      </c>
      <c r="AP77" t="s">
        <v>173</v>
      </c>
      <c r="AQ77" t="s">
        <v>173</v>
      </c>
      <c r="AR77" t="s">
        <v>308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Z77" t="s">
        <v>192</v>
      </c>
      <c r="BW77">
        <f t="shared" si="3"/>
        <v>0</v>
      </c>
      <c r="BY77" t="s">
        <v>173</v>
      </c>
      <c r="BZ77" t="s">
        <v>186</v>
      </c>
      <c r="CA77" t="s">
        <v>192</v>
      </c>
      <c r="CC77" t="s">
        <v>173</v>
      </c>
      <c r="CD77" t="s">
        <v>187</v>
      </c>
      <c r="CE77" t="s">
        <v>192</v>
      </c>
      <c r="CG77" t="s">
        <v>192</v>
      </c>
      <c r="CI77" t="s">
        <v>173</v>
      </c>
      <c r="CJ77" t="s">
        <v>185</v>
      </c>
      <c r="CK77" t="s">
        <v>192</v>
      </c>
      <c r="CM77" t="s">
        <v>192</v>
      </c>
      <c r="CO77" t="s">
        <v>192</v>
      </c>
      <c r="CQ77" t="s">
        <v>192</v>
      </c>
      <c r="CS77" t="s">
        <v>192</v>
      </c>
      <c r="CU77" t="s">
        <v>192</v>
      </c>
      <c r="CW77" t="s">
        <v>192</v>
      </c>
      <c r="CY77" t="s">
        <v>173</v>
      </c>
      <c r="CZ77" t="s">
        <v>185</v>
      </c>
      <c r="DA77" t="s">
        <v>192</v>
      </c>
      <c r="DC77" t="s">
        <v>192</v>
      </c>
      <c r="DE77" t="s">
        <v>192</v>
      </c>
      <c r="DH77" t="s">
        <v>173</v>
      </c>
      <c r="DI77" t="s">
        <v>186</v>
      </c>
      <c r="DJ77" t="s">
        <v>192</v>
      </c>
      <c r="DL77" t="s">
        <v>173</v>
      </c>
      <c r="DM77" t="s">
        <v>173</v>
      </c>
      <c r="DN77" t="s">
        <v>188</v>
      </c>
      <c r="DO77" t="s">
        <v>173</v>
      </c>
      <c r="DP77" t="s">
        <v>173</v>
      </c>
      <c r="DQ77" t="s">
        <v>191</v>
      </c>
      <c r="DR77" t="s">
        <v>192</v>
      </c>
      <c r="DU77" t="s">
        <v>192</v>
      </c>
      <c r="DX77" t="s">
        <v>173</v>
      </c>
      <c r="DY77" t="s">
        <v>173</v>
      </c>
      <c r="DZ77" t="s">
        <v>188</v>
      </c>
      <c r="EA77" t="s">
        <v>173</v>
      </c>
      <c r="EB77" t="s">
        <v>173</v>
      </c>
      <c r="EC77" t="s">
        <v>188</v>
      </c>
      <c r="ED77" t="s">
        <v>173</v>
      </c>
      <c r="EE77" t="s">
        <v>173</v>
      </c>
      <c r="EF77" t="s">
        <v>188</v>
      </c>
      <c r="EG77" t="s">
        <v>173</v>
      </c>
      <c r="EH77" t="s">
        <v>173</v>
      </c>
      <c r="EI77" t="s">
        <v>188</v>
      </c>
      <c r="EJ77" t="s">
        <v>192</v>
      </c>
      <c r="EM77" t="s">
        <v>192</v>
      </c>
      <c r="EQ77" t="s">
        <v>765</v>
      </c>
      <c r="ET77" t="s">
        <v>173</v>
      </c>
      <c r="EU77" t="s">
        <v>173</v>
      </c>
      <c r="EV77" t="s">
        <v>208</v>
      </c>
      <c r="EW77">
        <v>0</v>
      </c>
      <c r="EX77">
        <v>0</v>
      </c>
      <c r="EY77">
        <v>0</v>
      </c>
      <c r="EZ77">
        <v>0</v>
      </c>
      <c r="FA77">
        <v>1</v>
      </c>
      <c r="FB77">
        <v>0</v>
      </c>
      <c r="FC77">
        <v>0</v>
      </c>
      <c r="FD77">
        <v>0</v>
      </c>
      <c r="FE77">
        <v>0</v>
      </c>
      <c r="FG77" t="s">
        <v>766</v>
      </c>
      <c r="FH77">
        <v>83542152</v>
      </c>
      <c r="FI77" t="s">
        <v>767</v>
      </c>
      <c r="FJ77" s="1">
        <v>45758.889988425923</v>
      </c>
      <c r="FM77" t="s">
        <v>193</v>
      </c>
      <c r="FO77" t="s">
        <v>194</v>
      </c>
      <c r="FQ77">
        <v>77</v>
      </c>
    </row>
    <row r="78" spans="1:173" x14ac:dyDescent="0.25">
      <c r="A78" s="1">
        <v>45761.353176655102</v>
      </c>
      <c r="B78" s="1">
        <v>45761.362552743063</v>
      </c>
      <c r="C78" t="s">
        <v>195</v>
      </c>
      <c r="D78">
        <v>140</v>
      </c>
      <c r="E78" s="1">
        <v>45739</v>
      </c>
      <c r="F78">
        <v>3</v>
      </c>
      <c r="G78" t="s">
        <v>235</v>
      </c>
      <c r="H78" t="s">
        <v>197</v>
      </c>
      <c r="I78" t="s">
        <v>768</v>
      </c>
      <c r="J78" t="s">
        <v>769</v>
      </c>
      <c r="K78" t="s">
        <v>173</v>
      </c>
      <c r="L78">
        <v>40</v>
      </c>
      <c r="M78" t="s">
        <v>174</v>
      </c>
      <c r="N78">
        <v>0</v>
      </c>
      <c r="O78">
        <v>0</v>
      </c>
      <c r="P78">
        <v>0</v>
      </c>
      <c r="Q78">
        <v>0</v>
      </c>
      <c r="R78" t="s">
        <v>251</v>
      </c>
      <c r="S78">
        <v>54</v>
      </c>
      <c r="T78" t="str">
        <f t="shared" si="2"/>
        <v>41 a 55</v>
      </c>
      <c r="U78" t="s">
        <v>173</v>
      </c>
      <c r="W78" t="s">
        <v>176</v>
      </c>
      <c r="Y78" t="s">
        <v>214</v>
      </c>
      <c r="Z78" t="s">
        <v>239</v>
      </c>
      <c r="AA78" t="s">
        <v>240</v>
      </c>
      <c r="AB78" t="s">
        <v>215</v>
      </c>
      <c r="AC78" t="s">
        <v>202</v>
      </c>
      <c r="AD78" t="s">
        <v>770</v>
      </c>
      <c r="AE78" t="s">
        <v>771</v>
      </c>
      <c r="AG78" t="s">
        <v>202</v>
      </c>
      <c r="AH78" t="s">
        <v>244</v>
      </c>
      <c r="AI78">
        <v>0</v>
      </c>
      <c r="AJ78">
        <v>1</v>
      </c>
      <c r="AK78">
        <v>1</v>
      </c>
      <c r="AL78">
        <v>0</v>
      </c>
      <c r="AM78">
        <v>0</v>
      </c>
      <c r="AN78" t="s">
        <v>297</v>
      </c>
      <c r="AO78" t="s">
        <v>192</v>
      </c>
      <c r="AP78" t="s">
        <v>192</v>
      </c>
      <c r="AQ78" t="s">
        <v>192</v>
      </c>
      <c r="AZ78" t="s">
        <v>192</v>
      </c>
      <c r="BW78">
        <f t="shared" si="3"/>
        <v>0</v>
      </c>
      <c r="BY78" t="s">
        <v>173</v>
      </c>
      <c r="BZ78" t="s">
        <v>186</v>
      </c>
      <c r="CA78" t="s">
        <v>192</v>
      </c>
      <c r="CC78" t="s">
        <v>173</v>
      </c>
      <c r="CD78" t="s">
        <v>186</v>
      </c>
      <c r="CE78" t="s">
        <v>192</v>
      </c>
      <c r="CG78" t="s">
        <v>192</v>
      </c>
      <c r="CI78" t="s">
        <v>192</v>
      </c>
      <c r="CK78" t="s">
        <v>192</v>
      </c>
      <c r="CM78" t="s">
        <v>173</v>
      </c>
      <c r="CN78" t="s">
        <v>185</v>
      </c>
      <c r="CO78" t="s">
        <v>192</v>
      </c>
      <c r="CQ78" t="s">
        <v>192</v>
      </c>
      <c r="CS78" t="s">
        <v>192</v>
      </c>
      <c r="CU78" t="s">
        <v>192</v>
      </c>
      <c r="CW78" t="s">
        <v>192</v>
      </c>
      <c r="CY78" t="s">
        <v>192</v>
      </c>
      <c r="DA78" t="s">
        <v>192</v>
      </c>
      <c r="DC78" t="s">
        <v>173</v>
      </c>
      <c r="DD78" t="s">
        <v>186</v>
      </c>
      <c r="DE78" t="s">
        <v>192</v>
      </c>
      <c r="DH78" t="s">
        <v>173</v>
      </c>
      <c r="DI78" t="s">
        <v>187</v>
      </c>
      <c r="DJ78" t="s">
        <v>192</v>
      </c>
      <c r="DL78" t="s">
        <v>173</v>
      </c>
      <c r="DM78" t="s">
        <v>192</v>
      </c>
      <c r="DO78" t="s">
        <v>192</v>
      </c>
      <c r="DR78" t="s">
        <v>192</v>
      </c>
      <c r="DU78" t="s">
        <v>173</v>
      </c>
      <c r="DV78" t="s">
        <v>192</v>
      </c>
      <c r="DX78" t="s">
        <v>173</v>
      </c>
      <c r="DY78" t="s">
        <v>192</v>
      </c>
      <c r="EA78" t="s">
        <v>173</v>
      </c>
      <c r="EB78" t="s">
        <v>192</v>
      </c>
      <c r="ED78" t="s">
        <v>173</v>
      </c>
      <c r="EE78" t="s">
        <v>173</v>
      </c>
      <c r="EF78" t="s">
        <v>188</v>
      </c>
      <c r="EG78" t="s">
        <v>173</v>
      </c>
      <c r="EH78" t="s">
        <v>192</v>
      </c>
      <c r="EJ78" t="s">
        <v>173</v>
      </c>
      <c r="EK78" t="s">
        <v>173</v>
      </c>
      <c r="EL78" t="s">
        <v>188</v>
      </c>
      <c r="EM78" t="s">
        <v>192</v>
      </c>
      <c r="EQ78" t="s">
        <v>309</v>
      </c>
      <c r="ER78" t="s">
        <v>772</v>
      </c>
      <c r="ET78" t="s">
        <v>173</v>
      </c>
      <c r="EU78" t="s">
        <v>173</v>
      </c>
      <c r="EV78" t="s">
        <v>773</v>
      </c>
      <c r="EW78">
        <v>0</v>
      </c>
      <c r="EX78">
        <v>1</v>
      </c>
      <c r="EY78">
        <v>0</v>
      </c>
      <c r="EZ78">
        <v>0</v>
      </c>
      <c r="FA78">
        <v>1</v>
      </c>
      <c r="FB78">
        <v>1</v>
      </c>
      <c r="FC78">
        <v>0</v>
      </c>
      <c r="FD78">
        <v>0</v>
      </c>
      <c r="FE78">
        <v>0</v>
      </c>
      <c r="FH78">
        <v>83702761</v>
      </c>
      <c r="FI78" t="s">
        <v>774</v>
      </c>
      <c r="FJ78" s="1">
        <v>45761.570902777778</v>
      </c>
      <c r="FM78" t="s">
        <v>193</v>
      </c>
      <c r="FO78" t="s">
        <v>469</v>
      </c>
      <c r="FQ78">
        <v>78</v>
      </c>
    </row>
    <row r="79" spans="1:173" x14ac:dyDescent="0.25">
      <c r="A79" s="1">
        <v>45761.362553310188</v>
      </c>
      <c r="B79" s="1">
        <v>45761.368214953713</v>
      </c>
      <c r="C79" t="s">
        <v>195</v>
      </c>
      <c r="D79">
        <v>139</v>
      </c>
      <c r="E79" s="1">
        <v>45739</v>
      </c>
      <c r="F79">
        <v>3</v>
      </c>
      <c r="G79" t="s">
        <v>280</v>
      </c>
      <c r="H79" t="s">
        <v>197</v>
      </c>
      <c r="I79" t="s">
        <v>775</v>
      </c>
      <c r="J79" t="s">
        <v>776</v>
      </c>
      <c r="K79" t="s">
        <v>173</v>
      </c>
      <c r="L79">
        <v>22</v>
      </c>
      <c r="M79" t="s">
        <v>174</v>
      </c>
      <c r="N79">
        <v>0</v>
      </c>
      <c r="O79">
        <v>0</v>
      </c>
      <c r="P79">
        <v>0</v>
      </c>
      <c r="Q79">
        <v>0</v>
      </c>
      <c r="R79" t="s">
        <v>251</v>
      </c>
      <c r="S79">
        <v>38</v>
      </c>
      <c r="T79" t="str">
        <f t="shared" si="2"/>
        <v>26 a 40</v>
      </c>
      <c r="U79" t="s">
        <v>173</v>
      </c>
      <c r="W79" t="s">
        <v>176</v>
      </c>
      <c r="Y79" t="s">
        <v>200</v>
      </c>
      <c r="Z79" t="s">
        <v>239</v>
      </c>
      <c r="AA79" t="s">
        <v>179</v>
      </c>
      <c r="AB79" t="s">
        <v>189</v>
      </c>
      <c r="AC79" t="s">
        <v>216</v>
      </c>
      <c r="AD79" t="s">
        <v>777</v>
      </c>
      <c r="AE79" t="s">
        <v>647</v>
      </c>
      <c r="AG79" t="s">
        <v>216</v>
      </c>
      <c r="AH79" t="s">
        <v>287</v>
      </c>
      <c r="AI79">
        <v>0</v>
      </c>
      <c r="AJ79">
        <v>0</v>
      </c>
      <c r="AK79">
        <v>0</v>
      </c>
      <c r="AL79">
        <v>0</v>
      </c>
      <c r="AM79">
        <v>1</v>
      </c>
      <c r="AN79" t="s">
        <v>183</v>
      </c>
      <c r="AO79" t="s">
        <v>192</v>
      </c>
      <c r="AP79" t="s">
        <v>192</v>
      </c>
      <c r="AQ79" t="s">
        <v>173</v>
      </c>
      <c r="AR79" t="s">
        <v>298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 t="s">
        <v>778</v>
      </c>
      <c r="AZ79" t="s">
        <v>173</v>
      </c>
      <c r="BA79" t="s">
        <v>418</v>
      </c>
      <c r="BB79">
        <v>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L79">
        <v>0</v>
      </c>
      <c r="BO79" t="s">
        <v>192</v>
      </c>
      <c r="BW79">
        <f t="shared" si="3"/>
        <v>1</v>
      </c>
      <c r="BY79" t="s">
        <v>192</v>
      </c>
      <c r="CA79" t="s">
        <v>173</v>
      </c>
      <c r="CB79" t="s">
        <v>185</v>
      </c>
      <c r="CC79" t="s">
        <v>173</v>
      </c>
      <c r="CD79" t="s">
        <v>186</v>
      </c>
      <c r="CE79" t="s">
        <v>173</v>
      </c>
      <c r="CF79" t="s">
        <v>185</v>
      </c>
      <c r="CG79" t="s">
        <v>192</v>
      </c>
      <c r="CI79" t="s">
        <v>192</v>
      </c>
      <c r="CK79" t="s">
        <v>173</v>
      </c>
      <c r="CL79" t="s">
        <v>186</v>
      </c>
      <c r="CM79" t="s">
        <v>173</v>
      </c>
      <c r="CN79" t="s">
        <v>186</v>
      </c>
      <c r="CO79" t="s">
        <v>173</v>
      </c>
      <c r="CP79" t="s">
        <v>185</v>
      </c>
      <c r="CQ79" t="s">
        <v>173</v>
      </c>
      <c r="CR79" t="s">
        <v>186</v>
      </c>
      <c r="CS79" t="s">
        <v>173</v>
      </c>
      <c r="CT79" t="s">
        <v>185</v>
      </c>
      <c r="CU79" t="s">
        <v>173</v>
      </c>
      <c r="CV79" t="s">
        <v>185</v>
      </c>
      <c r="CW79" t="s">
        <v>173</v>
      </c>
      <c r="CX79" t="s">
        <v>187</v>
      </c>
      <c r="CY79" t="s">
        <v>173</v>
      </c>
      <c r="CZ79" t="s">
        <v>186</v>
      </c>
      <c r="DA79" t="s">
        <v>192</v>
      </c>
      <c r="DC79" t="s">
        <v>192</v>
      </c>
      <c r="DE79" t="s">
        <v>192</v>
      </c>
      <c r="DH79" t="s">
        <v>173</v>
      </c>
      <c r="DI79" t="s">
        <v>187</v>
      </c>
      <c r="DJ79" t="s">
        <v>173</v>
      </c>
      <c r="DL79" t="s">
        <v>192</v>
      </c>
      <c r="DO79" t="s">
        <v>192</v>
      </c>
      <c r="DR79" t="s">
        <v>192</v>
      </c>
      <c r="DU79" t="s">
        <v>192</v>
      </c>
      <c r="DX79" t="s">
        <v>192</v>
      </c>
      <c r="EA79" t="s">
        <v>192</v>
      </c>
      <c r="ED79" t="s">
        <v>173</v>
      </c>
      <c r="EE79" t="s">
        <v>192</v>
      </c>
      <c r="EG79" t="s">
        <v>192</v>
      </c>
      <c r="EJ79" t="s">
        <v>192</v>
      </c>
      <c r="EM79" t="s">
        <v>192</v>
      </c>
      <c r="EQ79" t="s">
        <v>779</v>
      </c>
      <c r="ER79" t="s">
        <v>780</v>
      </c>
      <c r="ET79" t="s">
        <v>173</v>
      </c>
      <c r="EU79" t="s">
        <v>173</v>
      </c>
      <c r="EV79" t="s">
        <v>208</v>
      </c>
      <c r="EW79">
        <v>0</v>
      </c>
      <c r="EX79">
        <v>0</v>
      </c>
      <c r="EY79">
        <v>0</v>
      </c>
      <c r="EZ79">
        <v>0</v>
      </c>
      <c r="FA79">
        <v>1</v>
      </c>
      <c r="FB79">
        <v>0</v>
      </c>
      <c r="FC79">
        <v>0</v>
      </c>
      <c r="FD79">
        <v>0</v>
      </c>
      <c r="FE79">
        <v>0</v>
      </c>
      <c r="FH79">
        <v>83703389</v>
      </c>
      <c r="FI79" t="s">
        <v>781</v>
      </c>
      <c r="FJ79" s="1">
        <v>45761.576550925929</v>
      </c>
      <c r="FM79" t="s">
        <v>193</v>
      </c>
      <c r="FO79" t="s">
        <v>469</v>
      </c>
      <c r="FQ79">
        <v>79</v>
      </c>
    </row>
    <row r="80" spans="1:173" x14ac:dyDescent="0.25">
      <c r="A80" s="1">
        <v>45761.368215393522</v>
      </c>
      <c r="B80" s="1">
        <v>45761.375902511572</v>
      </c>
      <c r="C80" t="s">
        <v>195</v>
      </c>
      <c r="D80">
        <v>138</v>
      </c>
      <c r="E80" s="1">
        <v>45739</v>
      </c>
      <c r="F80">
        <v>3</v>
      </c>
      <c r="G80" t="s">
        <v>782</v>
      </c>
      <c r="H80" t="s">
        <v>197</v>
      </c>
      <c r="I80" t="s">
        <v>783</v>
      </c>
      <c r="J80" t="s">
        <v>784</v>
      </c>
      <c r="K80" t="s">
        <v>173</v>
      </c>
      <c r="L80">
        <v>30</v>
      </c>
      <c r="M80" t="s">
        <v>174</v>
      </c>
      <c r="N80">
        <v>0</v>
      </c>
      <c r="O80">
        <v>0</v>
      </c>
      <c r="P80">
        <v>0</v>
      </c>
      <c r="Q80">
        <v>0</v>
      </c>
      <c r="R80" t="s">
        <v>251</v>
      </c>
      <c r="S80">
        <v>50</v>
      </c>
      <c r="T80" t="str">
        <f t="shared" si="2"/>
        <v>41 a 55</v>
      </c>
      <c r="U80" t="s">
        <v>173</v>
      </c>
      <c r="W80" t="s">
        <v>176</v>
      </c>
      <c r="Y80" t="s">
        <v>177</v>
      </c>
      <c r="Z80" t="s">
        <v>239</v>
      </c>
      <c r="AA80" t="s">
        <v>179</v>
      </c>
      <c r="AB80" t="s">
        <v>215</v>
      </c>
      <c r="AC80" t="s">
        <v>339</v>
      </c>
      <c r="AD80" t="s">
        <v>785</v>
      </c>
      <c r="AG80" t="s">
        <v>202</v>
      </c>
      <c r="AH80" t="s">
        <v>204</v>
      </c>
      <c r="AI80">
        <v>0</v>
      </c>
      <c r="AJ80">
        <v>1</v>
      </c>
      <c r="AK80">
        <v>0</v>
      </c>
      <c r="AL80">
        <v>0</v>
      </c>
      <c r="AM80">
        <v>0</v>
      </c>
      <c r="AN80" t="s">
        <v>183</v>
      </c>
      <c r="AO80" t="s">
        <v>192</v>
      </c>
      <c r="AP80" t="s">
        <v>192</v>
      </c>
      <c r="AQ80" t="s">
        <v>173</v>
      </c>
      <c r="AR80" t="s">
        <v>206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Z80" t="s">
        <v>192</v>
      </c>
      <c r="BW80">
        <f t="shared" si="3"/>
        <v>0</v>
      </c>
      <c r="BY80" t="s">
        <v>192</v>
      </c>
      <c r="CA80" t="s">
        <v>192</v>
      </c>
      <c r="CC80" t="s">
        <v>173</v>
      </c>
      <c r="CD80" t="s">
        <v>186</v>
      </c>
      <c r="CE80" t="s">
        <v>173</v>
      </c>
      <c r="CF80" t="s">
        <v>186</v>
      </c>
      <c r="CG80" t="s">
        <v>173</v>
      </c>
      <c r="CH80" t="s">
        <v>186</v>
      </c>
      <c r="CI80" t="s">
        <v>173</v>
      </c>
      <c r="CJ80" t="s">
        <v>186</v>
      </c>
      <c r="CK80" t="s">
        <v>173</v>
      </c>
      <c r="CL80" t="s">
        <v>186</v>
      </c>
      <c r="CM80" t="s">
        <v>192</v>
      </c>
      <c r="CO80" t="s">
        <v>192</v>
      </c>
      <c r="CQ80" t="s">
        <v>192</v>
      </c>
      <c r="CS80" t="s">
        <v>192</v>
      </c>
      <c r="CU80" t="s">
        <v>192</v>
      </c>
      <c r="CW80" t="s">
        <v>192</v>
      </c>
      <c r="CY80" t="s">
        <v>173</v>
      </c>
      <c r="CZ80" t="s">
        <v>186</v>
      </c>
      <c r="DA80" t="s">
        <v>192</v>
      </c>
      <c r="DC80" t="s">
        <v>192</v>
      </c>
      <c r="DE80" t="s">
        <v>192</v>
      </c>
      <c r="DH80" t="s">
        <v>173</v>
      </c>
      <c r="DI80" t="s">
        <v>187</v>
      </c>
      <c r="DJ80" t="s">
        <v>192</v>
      </c>
      <c r="DL80" t="s">
        <v>192</v>
      </c>
      <c r="DO80" t="s">
        <v>192</v>
      </c>
      <c r="DR80" t="s">
        <v>192</v>
      </c>
      <c r="DU80" t="s">
        <v>192</v>
      </c>
      <c r="DX80" t="s">
        <v>192</v>
      </c>
      <c r="EA80" t="s">
        <v>192</v>
      </c>
      <c r="ED80" t="s">
        <v>173</v>
      </c>
      <c r="EE80" t="s">
        <v>173</v>
      </c>
      <c r="EF80" t="s">
        <v>188</v>
      </c>
      <c r="EG80" t="s">
        <v>192</v>
      </c>
      <c r="EJ80" t="s">
        <v>192</v>
      </c>
      <c r="EM80" t="s">
        <v>192</v>
      </c>
      <c r="EQ80" t="s">
        <v>786</v>
      </c>
      <c r="ET80" t="s">
        <v>173</v>
      </c>
      <c r="EU80" t="s">
        <v>173</v>
      </c>
      <c r="EV80" t="s">
        <v>536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1</v>
      </c>
      <c r="FC80">
        <v>0</v>
      </c>
      <c r="FD80">
        <v>0</v>
      </c>
      <c r="FE80">
        <v>0</v>
      </c>
      <c r="FG80" t="s">
        <v>787</v>
      </c>
      <c r="FH80">
        <v>83704407</v>
      </c>
      <c r="FI80" t="s">
        <v>788</v>
      </c>
      <c r="FJ80" s="1">
        <v>45761.584247685183</v>
      </c>
      <c r="FM80" t="s">
        <v>193</v>
      </c>
      <c r="FO80" t="s">
        <v>469</v>
      </c>
      <c r="FQ80">
        <v>80</v>
      </c>
    </row>
    <row r="81" spans="1:173" x14ac:dyDescent="0.25">
      <c r="A81" s="1">
        <v>45761.37590298611</v>
      </c>
      <c r="B81" s="1">
        <v>45761.386597037039</v>
      </c>
      <c r="C81" t="s">
        <v>195</v>
      </c>
      <c r="D81">
        <v>137</v>
      </c>
      <c r="E81" s="1">
        <v>45739</v>
      </c>
      <c r="F81">
        <v>3</v>
      </c>
      <c r="G81" t="s">
        <v>789</v>
      </c>
      <c r="H81" t="s">
        <v>197</v>
      </c>
      <c r="I81" t="s">
        <v>790</v>
      </c>
      <c r="J81" t="s">
        <v>791</v>
      </c>
      <c r="K81" t="s">
        <v>173</v>
      </c>
      <c r="L81">
        <v>15</v>
      </c>
      <c r="M81" t="s">
        <v>174</v>
      </c>
      <c r="N81">
        <v>0</v>
      </c>
      <c r="O81">
        <v>0</v>
      </c>
      <c r="P81">
        <v>0</v>
      </c>
      <c r="Q81">
        <v>0</v>
      </c>
      <c r="R81" t="s">
        <v>175</v>
      </c>
      <c r="S81">
        <v>29</v>
      </c>
      <c r="T81" t="str">
        <f t="shared" si="2"/>
        <v>26 a 40</v>
      </c>
      <c r="U81" t="s">
        <v>173</v>
      </c>
      <c r="W81" t="s">
        <v>176</v>
      </c>
      <c r="Y81" t="s">
        <v>214</v>
      </c>
      <c r="Z81" t="s">
        <v>178</v>
      </c>
      <c r="AA81" t="s">
        <v>240</v>
      </c>
      <c r="AB81" t="s">
        <v>215</v>
      </c>
      <c r="AC81" t="s">
        <v>216</v>
      </c>
      <c r="AD81" t="s">
        <v>792</v>
      </c>
      <c r="AE81" t="s">
        <v>793</v>
      </c>
      <c r="AG81" t="s">
        <v>216</v>
      </c>
      <c r="AH81" t="s">
        <v>287</v>
      </c>
      <c r="AI81">
        <v>0</v>
      </c>
      <c r="AJ81">
        <v>0</v>
      </c>
      <c r="AK81">
        <v>0</v>
      </c>
      <c r="AL81">
        <v>0</v>
      </c>
      <c r="AM81">
        <v>1</v>
      </c>
      <c r="AN81" t="s">
        <v>183</v>
      </c>
      <c r="AO81" t="s">
        <v>192</v>
      </c>
      <c r="AP81" t="s">
        <v>192</v>
      </c>
      <c r="AQ81" t="s">
        <v>173</v>
      </c>
      <c r="AR81" t="s">
        <v>794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1</v>
      </c>
      <c r="AY81" t="s">
        <v>374</v>
      </c>
      <c r="AZ81" t="s">
        <v>192</v>
      </c>
      <c r="BW81">
        <f t="shared" si="3"/>
        <v>0</v>
      </c>
      <c r="BY81" t="s">
        <v>173</v>
      </c>
      <c r="BZ81" t="s">
        <v>186</v>
      </c>
      <c r="CA81" t="s">
        <v>173</v>
      </c>
      <c r="CB81" t="s">
        <v>185</v>
      </c>
      <c r="CC81" t="s">
        <v>173</v>
      </c>
      <c r="CD81" t="s">
        <v>186</v>
      </c>
      <c r="CE81" t="s">
        <v>192</v>
      </c>
      <c r="CG81" t="s">
        <v>192</v>
      </c>
      <c r="CI81" t="s">
        <v>173</v>
      </c>
      <c r="CJ81" t="s">
        <v>185</v>
      </c>
      <c r="CK81" t="s">
        <v>173</v>
      </c>
      <c r="CL81" t="s">
        <v>185</v>
      </c>
      <c r="CM81" t="s">
        <v>173</v>
      </c>
      <c r="CN81" t="s">
        <v>186</v>
      </c>
      <c r="CO81" t="s">
        <v>192</v>
      </c>
      <c r="CQ81" t="s">
        <v>173</v>
      </c>
      <c r="CR81" t="s">
        <v>185</v>
      </c>
      <c r="CS81" t="s">
        <v>192</v>
      </c>
      <c r="CU81" t="s">
        <v>173</v>
      </c>
      <c r="CV81" t="s">
        <v>185</v>
      </c>
      <c r="CW81" t="s">
        <v>173</v>
      </c>
      <c r="CX81" t="s">
        <v>185</v>
      </c>
      <c r="CY81" t="s">
        <v>173</v>
      </c>
      <c r="CZ81" t="s">
        <v>185</v>
      </c>
      <c r="DA81" t="s">
        <v>192</v>
      </c>
      <c r="DC81" t="s">
        <v>192</v>
      </c>
      <c r="DE81" t="s">
        <v>192</v>
      </c>
      <c r="DH81" t="s">
        <v>173</v>
      </c>
      <c r="DI81" t="s">
        <v>187</v>
      </c>
      <c r="DJ81" t="s">
        <v>192</v>
      </c>
      <c r="DL81" t="s">
        <v>173</v>
      </c>
      <c r="DM81" t="s">
        <v>192</v>
      </c>
      <c r="DO81" t="s">
        <v>173</v>
      </c>
      <c r="DP81" t="s">
        <v>192</v>
      </c>
      <c r="DR81" t="s">
        <v>173</v>
      </c>
      <c r="DS81" t="s">
        <v>173</v>
      </c>
      <c r="DT81" t="s">
        <v>191</v>
      </c>
      <c r="DU81" t="s">
        <v>173</v>
      </c>
      <c r="DV81" t="s">
        <v>173</v>
      </c>
      <c r="DW81" t="s">
        <v>191</v>
      </c>
      <c r="DX81" t="s">
        <v>173</v>
      </c>
      <c r="DY81" t="s">
        <v>192</v>
      </c>
      <c r="EA81" t="s">
        <v>173</v>
      </c>
      <c r="EB81" t="s">
        <v>192</v>
      </c>
      <c r="ED81" t="s">
        <v>173</v>
      </c>
      <c r="EE81" t="s">
        <v>192</v>
      </c>
      <c r="EG81" t="s">
        <v>173</v>
      </c>
      <c r="EH81" t="s">
        <v>192</v>
      </c>
      <c r="EJ81" t="s">
        <v>192</v>
      </c>
      <c r="EM81" t="s">
        <v>192</v>
      </c>
      <c r="EQ81" t="s">
        <v>795</v>
      </c>
      <c r="ER81" t="s">
        <v>796</v>
      </c>
      <c r="ET81" t="s">
        <v>173</v>
      </c>
      <c r="EU81" t="s">
        <v>173</v>
      </c>
      <c r="EV81" t="s">
        <v>613</v>
      </c>
      <c r="EW81">
        <v>0</v>
      </c>
      <c r="EX81">
        <v>1</v>
      </c>
      <c r="EY81">
        <v>0</v>
      </c>
      <c r="EZ81">
        <v>0</v>
      </c>
      <c r="FA81">
        <v>0</v>
      </c>
      <c r="FB81">
        <v>1</v>
      </c>
      <c r="FC81">
        <v>0</v>
      </c>
      <c r="FD81">
        <v>0</v>
      </c>
      <c r="FE81">
        <v>0</v>
      </c>
      <c r="FH81">
        <v>83705719</v>
      </c>
      <c r="FI81" t="s">
        <v>797</v>
      </c>
      <c r="FJ81" s="1">
        <v>45761.594942129632</v>
      </c>
      <c r="FM81" t="s">
        <v>193</v>
      </c>
      <c r="FO81" t="s">
        <v>469</v>
      </c>
      <c r="FQ81">
        <v>81</v>
      </c>
    </row>
    <row r="82" spans="1:173" x14ac:dyDescent="0.25">
      <c r="A82" s="1">
        <v>45761.38659746528</v>
      </c>
      <c r="B82" s="1">
        <v>45761.431644571763</v>
      </c>
      <c r="C82" t="s">
        <v>195</v>
      </c>
      <c r="D82">
        <v>135</v>
      </c>
      <c r="E82" s="1">
        <v>45739</v>
      </c>
      <c r="F82">
        <v>2</v>
      </c>
      <c r="G82" t="s">
        <v>335</v>
      </c>
      <c r="H82" t="s">
        <v>336</v>
      </c>
      <c r="I82" t="s">
        <v>798</v>
      </c>
      <c r="J82" t="s">
        <v>799</v>
      </c>
      <c r="K82" t="s">
        <v>173</v>
      </c>
      <c r="L82">
        <v>10</v>
      </c>
      <c r="M82" t="s">
        <v>174</v>
      </c>
      <c r="N82">
        <v>0</v>
      </c>
      <c r="O82">
        <v>0</v>
      </c>
      <c r="P82">
        <v>0</v>
      </c>
      <c r="Q82">
        <v>0</v>
      </c>
      <c r="R82" t="s">
        <v>175</v>
      </c>
      <c r="S82">
        <v>60</v>
      </c>
      <c r="T82" t="str">
        <f t="shared" si="2"/>
        <v>56 a más</v>
      </c>
      <c r="U82" t="s">
        <v>173</v>
      </c>
      <c r="W82" t="s">
        <v>238</v>
      </c>
      <c r="Y82" t="s">
        <v>214</v>
      </c>
      <c r="Z82" t="s">
        <v>239</v>
      </c>
      <c r="AA82" t="s">
        <v>240</v>
      </c>
      <c r="AB82" t="s">
        <v>215</v>
      </c>
      <c r="AC82" t="s">
        <v>216</v>
      </c>
      <c r="AD82" t="s">
        <v>800</v>
      </c>
      <c r="AE82" t="s">
        <v>801</v>
      </c>
      <c r="AG82" t="s">
        <v>216</v>
      </c>
      <c r="AH82" t="s">
        <v>244</v>
      </c>
      <c r="AI82">
        <v>0</v>
      </c>
      <c r="AJ82">
        <v>1</v>
      </c>
      <c r="AK82">
        <v>1</v>
      </c>
      <c r="AL82">
        <v>0</v>
      </c>
      <c r="AM82">
        <v>0</v>
      </c>
      <c r="AN82" t="s">
        <v>297</v>
      </c>
      <c r="AO82" t="s">
        <v>192</v>
      </c>
      <c r="AP82" t="s">
        <v>192</v>
      </c>
      <c r="AQ82" t="s">
        <v>192</v>
      </c>
      <c r="AZ82" t="s">
        <v>192</v>
      </c>
      <c r="BW82">
        <f t="shared" si="3"/>
        <v>0</v>
      </c>
      <c r="BY82" t="s">
        <v>192</v>
      </c>
      <c r="CA82" t="s">
        <v>192</v>
      </c>
      <c r="CC82" t="s">
        <v>173</v>
      </c>
      <c r="CD82" t="s">
        <v>186</v>
      </c>
      <c r="CE82" t="s">
        <v>192</v>
      </c>
      <c r="CG82" t="s">
        <v>192</v>
      </c>
      <c r="CI82" t="s">
        <v>173</v>
      </c>
      <c r="CJ82" t="s">
        <v>185</v>
      </c>
      <c r="CK82" t="s">
        <v>192</v>
      </c>
      <c r="CM82" t="s">
        <v>192</v>
      </c>
      <c r="CO82" t="s">
        <v>192</v>
      </c>
      <c r="CQ82" t="s">
        <v>192</v>
      </c>
      <c r="CS82" t="s">
        <v>192</v>
      </c>
      <c r="CU82" t="s">
        <v>192</v>
      </c>
      <c r="CW82" t="s">
        <v>173</v>
      </c>
      <c r="CX82" t="s">
        <v>185</v>
      </c>
      <c r="CY82" t="s">
        <v>192</v>
      </c>
      <c r="DA82" t="s">
        <v>192</v>
      </c>
      <c r="DC82" t="s">
        <v>192</v>
      </c>
      <c r="DE82" t="s">
        <v>192</v>
      </c>
      <c r="DH82" t="s">
        <v>173</v>
      </c>
      <c r="DI82" t="s">
        <v>186</v>
      </c>
      <c r="DJ82" t="s">
        <v>192</v>
      </c>
      <c r="DL82" t="s">
        <v>192</v>
      </c>
      <c r="DO82" t="s">
        <v>192</v>
      </c>
      <c r="DR82" t="s">
        <v>192</v>
      </c>
      <c r="DU82" t="s">
        <v>173</v>
      </c>
      <c r="DV82" t="s">
        <v>192</v>
      </c>
      <c r="DX82" t="s">
        <v>173</v>
      </c>
      <c r="DY82" t="s">
        <v>192</v>
      </c>
      <c r="EA82" t="s">
        <v>173</v>
      </c>
      <c r="EB82" t="s">
        <v>192</v>
      </c>
      <c r="ED82" t="s">
        <v>173</v>
      </c>
      <c r="EE82" t="s">
        <v>173</v>
      </c>
      <c r="EF82" t="s">
        <v>188</v>
      </c>
      <c r="EG82" t="s">
        <v>173</v>
      </c>
      <c r="EH82" t="s">
        <v>192</v>
      </c>
      <c r="EJ82" t="s">
        <v>192</v>
      </c>
      <c r="EM82" t="s">
        <v>192</v>
      </c>
      <c r="EQ82" t="s">
        <v>802</v>
      </c>
      <c r="ER82" t="s">
        <v>803</v>
      </c>
      <c r="ET82" t="s">
        <v>173</v>
      </c>
      <c r="EU82" t="s">
        <v>173</v>
      </c>
      <c r="EV82" t="s">
        <v>223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1</v>
      </c>
      <c r="FF82" t="s">
        <v>804</v>
      </c>
      <c r="FH82">
        <v>83708575</v>
      </c>
      <c r="FI82" t="s">
        <v>805</v>
      </c>
      <c r="FJ82" s="1">
        <v>45761.639988425923</v>
      </c>
      <c r="FM82" t="s">
        <v>193</v>
      </c>
      <c r="FO82" t="s">
        <v>469</v>
      </c>
      <c r="FQ82">
        <v>82</v>
      </c>
    </row>
    <row r="83" spans="1:173" x14ac:dyDescent="0.25">
      <c r="A83" s="1">
        <v>45761.431645046287</v>
      </c>
      <c r="B83" s="1">
        <v>45761.438527268518</v>
      </c>
      <c r="C83" t="s">
        <v>195</v>
      </c>
      <c r="D83">
        <v>134</v>
      </c>
      <c r="E83" s="1">
        <v>45739</v>
      </c>
      <c r="F83">
        <v>2</v>
      </c>
      <c r="G83" t="s">
        <v>379</v>
      </c>
      <c r="H83" t="s">
        <v>336</v>
      </c>
      <c r="I83" t="s">
        <v>806</v>
      </c>
      <c r="J83" t="s">
        <v>485</v>
      </c>
      <c r="K83" t="s">
        <v>173</v>
      </c>
      <c r="L83">
        <v>17</v>
      </c>
      <c r="M83" t="s">
        <v>174</v>
      </c>
      <c r="N83">
        <v>0</v>
      </c>
      <c r="O83">
        <v>0</v>
      </c>
      <c r="P83">
        <v>0</v>
      </c>
      <c r="Q83">
        <v>0</v>
      </c>
      <c r="R83" t="s">
        <v>251</v>
      </c>
      <c r="S83">
        <v>52</v>
      </c>
      <c r="T83" t="str">
        <f t="shared" si="2"/>
        <v>41 a 55</v>
      </c>
      <c r="U83" t="s">
        <v>173</v>
      </c>
      <c r="W83" t="s">
        <v>176</v>
      </c>
      <c r="Y83" t="s">
        <v>263</v>
      </c>
      <c r="Z83" t="s">
        <v>355</v>
      </c>
      <c r="AA83" t="s">
        <v>240</v>
      </c>
      <c r="AB83" t="s">
        <v>215</v>
      </c>
      <c r="AC83" t="s">
        <v>202</v>
      </c>
      <c r="AD83" t="s">
        <v>807</v>
      </c>
      <c r="AE83" t="s">
        <v>808</v>
      </c>
      <c r="AG83" t="s">
        <v>202</v>
      </c>
      <c r="AH83" t="s">
        <v>244</v>
      </c>
      <c r="AI83">
        <v>0</v>
      </c>
      <c r="AJ83">
        <v>1</v>
      </c>
      <c r="AK83">
        <v>1</v>
      </c>
      <c r="AL83">
        <v>0</v>
      </c>
      <c r="AM83">
        <v>0</v>
      </c>
      <c r="AN83" t="s">
        <v>183</v>
      </c>
      <c r="AO83" t="s">
        <v>192</v>
      </c>
      <c r="AP83" t="s">
        <v>192</v>
      </c>
      <c r="AQ83" t="s">
        <v>192</v>
      </c>
      <c r="AZ83" t="s">
        <v>192</v>
      </c>
      <c r="BW83">
        <f t="shared" si="3"/>
        <v>0</v>
      </c>
      <c r="BY83" t="s">
        <v>173</v>
      </c>
      <c r="BZ83" t="s">
        <v>186</v>
      </c>
      <c r="CA83" t="s">
        <v>192</v>
      </c>
      <c r="CC83" t="s">
        <v>173</v>
      </c>
      <c r="CD83" t="s">
        <v>187</v>
      </c>
      <c r="CE83" t="s">
        <v>173</v>
      </c>
      <c r="CF83" t="s">
        <v>187</v>
      </c>
      <c r="CG83" t="s">
        <v>173</v>
      </c>
      <c r="CH83" t="s">
        <v>185</v>
      </c>
      <c r="CI83" t="s">
        <v>173</v>
      </c>
      <c r="CJ83" t="s">
        <v>186</v>
      </c>
      <c r="CK83" t="s">
        <v>173</v>
      </c>
      <c r="CL83" t="s">
        <v>185</v>
      </c>
      <c r="CM83" t="s">
        <v>192</v>
      </c>
      <c r="CO83" t="s">
        <v>192</v>
      </c>
      <c r="CQ83" t="s">
        <v>173</v>
      </c>
      <c r="CR83" t="s">
        <v>186</v>
      </c>
      <c r="CS83" t="s">
        <v>192</v>
      </c>
      <c r="CU83" t="s">
        <v>173</v>
      </c>
      <c r="CV83" t="s">
        <v>186</v>
      </c>
      <c r="CW83" t="s">
        <v>192</v>
      </c>
      <c r="CY83" t="s">
        <v>173</v>
      </c>
      <c r="CZ83" t="s">
        <v>185</v>
      </c>
      <c r="DA83" t="s">
        <v>192</v>
      </c>
      <c r="DC83" t="s">
        <v>192</v>
      </c>
      <c r="DE83" t="s">
        <v>192</v>
      </c>
      <c r="DH83" t="s">
        <v>173</v>
      </c>
      <c r="DI83" t="s">
        <v>187</v>
      </c>
      <c r="DJ83" t="s">
        <v>173</v>
      </c>
      <c r="DL83" t="s">
        <v>173</v>
      </c>
      <c r="DM83" t="s">
        <v>192</v>
      </c>
      <c r="DO83" t="s">
        <v>173</v>
      </c>
      <c r="DP83" t="s">
        <v>192</v>
      </c>
      <c r="DR83" t="s">
        <v>192</v>
      </c>
      <c r="DU83" t="s">
        <v>192</v>
      </c>
      <c r="DX83" t="s">
        <v>192</v>
      </c>
      <c r="EA83" t="s">
        <v>192</v>
      </c>
      <c r="ED83" t="s">
        <v>173</v>
      </c>
      <c r="EE83" t="s">
        <v>192</v>
      </c>
      <c r="EG83" t="s">
        <v>173</v>
      </c>
      <c r="EH83" t="s">
        <v>192</v>
      </c>
      <c r="EJ83" t="s">
        <v>173</v>
      </c>
      <c r="EK83" t="s">
        <v>192</v>
      </c>
      <c r="EM83" t="s">
        <v>192</v>
      </c>
      <c r="EQ83" t="s">
        <v>676</v>
      </c>
      <c r="ER83" t="s">
        <v>809</v>
      </c>
      <c r="ET83" t="s">
        <v>173</v>
      </c>
      <c r="EU83" t="s">
        <v>173</v>
      </c>
      <c r="EV83" t="s">
        <v>223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1</v>
      </c>
      <c r="FF83" t="s">
        <v>810</v>
      </c>
      <c r="FH83">
        <v>83709157</v>
      </c>
      <c r="FI83" t="s">
        <v>811</v>
      </c>
      <c r="FJ83" s="1">
        <v>45761.646863425929</v>
      </c>
      <c r="FM83" t="s">
        <v>193</v>
      </c>
      <c r="FO83" t="s">
        <v>469</v>
      </c>
      <c r="FQ83">
        <v>83</v>
      </c>
    </row>
    <row r="84" spans="1:173" x14ac:dyDescent="0.25">
      <c r="A84" s="1">
        <v>45761.43460158565</v>
      </c>
      <c r="B84" s="1">
        <v>45761.446142141212</v>
      </c>
      <c r="C84" t="s">
        <v>171</v>
      </c>
      <c r="D84">
        <v>16</v>
      </c>
      <c r="E84" s="1">
        <v>45738</v>
      </c>
      <c r="F84">
        <v>2</v>
      </c>
      <c r="G84" t="s">
        <v>385</v>
      </c>
      <c r="H84" t="s">
        <v>336</v>
      </c>
      <c r="I84" t="s">
        <v>812</v>
      </c>
      <c r="J84" t="s">
        <v>813</v>
      </c>
      <c r="K84" t="s">
        <v>173</v>
      </c>
      <c r="L84">
        <v>20</v>
      </c>
      <c r="M84" t="s">
        <v>174</v>
      </c>
      <c r="N84">
        <v>0</v>
      </c>
      <c r="O84">
        <v>0</v>
      </c>
      <c r="P84">
        <v>0</v>
      </c>
      <c r="Q84">
        <v>0</v>
      </c>
      <c r="R84" t="s">
        <v>251</v>
      </c>
      <c r="S84">
        <v>64</v>
      </c>
      <c r="T84" t="str">
        <f t="shared" si="2"/>
        <v>56 a más</v>
      </c>
      <c r="U84" t="s">
        <v>173</v>
      </c>
      <c r="W84" t="s">
        <v>176</v>
      </c>
      <c r="Y84" t="s">
        <v>200</v>
      </c>
      <c r="Z84" t="s">
        <v>465</v>
      </c>
      <c r="AB84" t="s">
        <v>215</v>
      </c>
      <c r="AC84" t="s">
        <v>216</v>
      </c>
      <c r="AD84" t="s">
        <v>217</v>
      </c>
      <c r="AE84" t="s">
        <v>814</v>
      </c>
      <c r="AG84" t="s">
        <v>202</v>
      </c>
      <c r="AH84" t="s">
        <v>244</v>
      </c>
      <c r="AI84">
        <v>0</v>
      </c>
      <c r="AJ84">
        <v>1</v>
      </c>
      <c r="AK84">
        <v>1</v>
      </c>
      <c r="AL84">
        <v>0</v>
      </c>
      <c r="AM84">
        <v>0</v>
      </c>
      <c r="AN84" t="s">
        <v>183</v>
      </c>
      <c r="AO84" t="s">
        <v>192</v>
      </c>
      <c r="AP84" t="s">
        <v>192</v>
      </c>
      <c r="AQ84" t="s">
        <v>173</v>
      </c>
      <c r="AR84" t="s">
        <v>815</v>
      </c>
      <c r="AS84">
        <v>0</v>
      </c>
      <c r="AT84">
        <v>1</v>
      </c>
      <c r="AU84">
        <v>1</v>
      </c>
      <c r="AV84">
        <v>0</v>
      </c>
      <c r="AW84">
        <v>0</v>
      </c>
      <c r="AX84">
        <v>0</v>
      </c>
      <c r="AZ84" t="s">
        <v>173</v>
      </c>
      <c r="BA84" t="s">
        <v>418</v>
      </c>
      <c r="BB84">
        <v>1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L84">
        <v>0</v>
      </c>
      <c r="BO84" t="s">
        <v>192</v>
      </c>
      <c r="BW84">
        <f t="shared" si="3"/>
        <v>1</v>
      </c>
      <c r="BY84" t="s">
        <v>173</v>
      </c>
      <c r="BZ84" t="s">
        <v>185</v>
      </c>
      <c r="CA84" t="s">
        <v>192</v>
      </c>
      <c r="CC84" t="s">
        <v>173</v>
      </c>
      <c r="CD84" t="s">
        <v>185</v>
      </c>
      <c r="CE84" t="s">
        <v>173</v>
      </c>
      <c r="CF84" t="s">
        <v>186</v>
      </c>
      <c r="CG84" t="s">
        <v>173</v>
      </c>
      <c r="CH84" t="s">
        <v>185</v>
      </c>
      <c r="CI84" t="s">
        <v>192</v>
      </c>
      <c r="CK84" t="s">
        <v>173</v>
      </c>
      <c r="CL84" t="s">
        <v>186</v>
      </c>
      <c r="CM84" t="s">
        <v>173</v>
      </c>
      <c r="CN84" t="s">
        <v>185</v>
      </c>
      <c r="CO84" t="s">
        <v>192</v>
      </c>
      <c r="CQ84" t="s">
        <v>173</v>
      </c>
      <c r="CR84" t="s">
        <v>186</v>
      </c>
      <c r="CS84" t="s">
        <v>192</v>
      </c>
      <c r="CU84" t="s">
        <v>192</v>
      </c>
      <c r="CW84" t="s">
        <v>173</v>
      </c>
      <c r="CX84" t="s">
        <v>185</v>
      </c>
      <c r="CY84" t="s">
        <v>173</v>
      </c>
      <c r="CZ84" t="s">
        <v>186</v>
      </c>
      <c r="DA84" t="s">
        <v>192</v>
      </c>
      <c r="DC84" t="s">
        <v>192</v>
      </c>
      <c r="DE84" t="s">
        <v>192</v>
      </c>
      <c r="DH84" t="s">
        <v>173</v>
      </c>
      <c r="DI84" t="s">
        <v>187</v>
      </c>
      <c r="DJ84" t="s">
        <v>173</v>
      </c>
      <c r="DL84" t="s">
        <v>173</v>
      </c>
      <c r="DM84" t="s">
        <v>192</v>
      </c>
      <c r="DO84" t="s">
        <v>173</v>
      </c>
      <c r="DP84" t="s">
        <v>192</v>
      </c>
      <c r="DR84" t="s">
        <v>192</v>
      </c>
      <c r="DU84" t="s">
        <v>192</v>
      </c>
      <c r="DX84" t="s">
        <v>192</v>
      </c>
      <c r="EA84" t="s">
        <v>173</v>
      </c>
      <c r="EB84" t="s">
        <v>192</v>
      </c>
      <c r="ED84" t="s">
        <v>173</v>
      </c>
      <c r="EE84" t="s">
        <v>173</v>
      </c>
      <c r="EF84" t="s">
        <v>191</v>
      </c>
      <c r="EG84" t="s">
        <v>192</v>
      </c>
      <c r="EJ84" t="s">
        <v>192</v>
      </c>
      <c r="EM84" t="s">
        <v>192</v>
      </c>
      <c r="EQ84" t="s">
        <v>368</v>
      </c>
      <c r="ER84" t="s">
        <v>816</v>
      </c>
      <c r="ET84" t="s">
        <v>173</v>
      </c>
      <c r="EU84" t="s">
        <v>173</v>
      </c>
      <c r="EV84" t="s">
        <v>208</v>
      </c>
      <c r="EW84">
        <v>0</v>
      </c>
      <c r="EX84">
        <v>0</v>
      </c>
      <c r="EY84">
        <v>0</v>
      </c>
      <c r="EZ84">
        <v>0</v>
      </c>
      <c r="FA84">
        <v>1</v>
      </c>
      <c r="FB84">
        <v>0</v>
      </c>
      <c r="FC84">
        <v>0</v>
      </c>
      <c r="FD84">
        <v>0</v>
      </c>
      <c r="FE84">
        <v>0</v>
      </c>
      <c r="FG84" t="s">
        <v>817</v>
      </c>
      <c r="FH84">
        <v>83711100</v>
      </c>
      <c r="FI84" t="s">
        <v>818</v>
      </c>
      <c r="FJ84" s="1">
        <v>45761.654490740737</v>
      </c>
      <c r="FM84" t="s">
        <v>193</v>
      </c>
      <c r="FO84" t="s">
        <v>469</v>
      </c>
      <c r="FQ84">
        <v>84</v>
      </c>
    </row>
    <row r="85" spans="1:173" x14ac:dyDescent="0.25">
      <c r="A85" s="1">
        <v>45761.438527708327</v>
      </c>
      <c r="B85" s="1">
        <v>45761.451269930563</v>
      </c>
      <c r="C85" t="s">
        <v>195</v>
      </c>
      <c r="D85">
        <v>133</v>
      </c>
      <c r="E85" s="1">
        <v>45739</v>
      </c>
      <c r="F85">
        <v>2</v>
      </c>
      <c r="G85" t="s">
        <v>385</v>
      </c>
      <c r="H85" t="s">
        <v>336</v>
      </c>
      <c r="I85" t="s">
        <v>819</v>
      </c>
      <c r="J85" t="s">
        <v>820</v>
      </c>
      <c r="K85" t="s">
        <v>173</v>
      </c>
      <c r="L85">
        <v>12</v>
      </c>
      <c r="M85" t="s">
        <v>174</v>
      </c>
      <c r="N85">
        <v>0</v>
      </c>
      <c r="O85">
        <v>0</v>
      </c>
      <c r="P85">
        <v>0</v>
      </c>
      <c r="Q85">
        <v>0</v>
      </c>
      <c r="R85" t="s">
        <v>175</v>
      </c>
      <c r="S85">
        <v>40</v>
      </c>
      <c r="T85" t="str">
        <f t="shared" si="2"/>
        <v>26 a 40</v>
      </c>
      <c r="U85" t="s">
        <v>173</v>
      </c>
      <c r="W85" t="s">
        <v>176</v>
      </c>
      <c r="Y85" t="s">
        <v>177</v>
      </c>
      <c r="Z85" t="s">
        <v>239</v>
      </c>
      <c r="AA85" t="s">
        <v>179</v>
      </c>
      <c r="AB85" t="s">
        <v>201</v>
      </c>
      <c r="AC85" t="s">
        <v>216</v>
      </c>
      <c r="AD85" t="s">
        <v>217</v>
      </c>
      <c r="AE85" t="s">
        <v>821</v>
      </c>
      <c r="AG85" t="s">
        <v>202</v>
      </c>
      <c r="AH85" t="s">
        <v>204</v>
      </c>
      <c r="AI85">
        <v>0</v>
      </c>
      <c r="AJ85">
        <v>1</v>
      </c>
      <c r="AK85">
        <v>0</v>
      </c>
      <c r="AL85">
        <v>0</v>
      </c>
      <c r="AM85">
        <v>0</v>
      </c>
      <c r="AN85" t="s">
        <v>183</v>
      </c>
      <c r="AO85" t="s">
        <v>192</v>
      </c>
      <c r="AP85" t="s">
        <v>192</v>
      </c>
      <c r="AQ85" t="s">
        <v>192</v>
      </c>
      <c r="AZ85" t="s">
        <v>192</v>
      </c>
      <c r="BW85">
        <f t="shared" si="3"/>
        <v>0</v>
      </c>
      <c r="BY85" t="s">
        <v>192</v>
      </c>
      <c r="CA85" t="s">
        <v>192</v>
      </c>
      <c r="CC85" t="s">
        <v>173</v>
      </c>
      <c r="CD85" t="s">
        <v>186</v>
      </c>
      <c r="CE85" t="s">
        <v>192</v>
      </c>
      <c r="CG85" t="s">
        <v>192</v>
      </c>
      <c r="CI85" t="s">
        <v>173</v>
      </c>
      <c r="CJ85" t="s">
        <v>186</v>
      </c>
      <c r="CK85" t="s">
        <v>173</v>
      </c>
      <c r="CL85" t="s">
        <v>186</v>
      </c>
      <c r="CM85" t="s">
        <v>173</v>
      </c>
      <c r="CN85" t="s">
        <v>186</v>
      </c>
      <c r="CO85" t="s">
        <v>192</v>
      </c>
      <c r="CQ85" t="s">
        <v>173</v>
      </c>
      <c r="CR85" t="s">
        <v>187</v>
      </c>
      <c r="CS85" t="s">
        <v>192</v>
      </c>
      <c r="CU85" t="s">
        <v>173</v>
      </c>
      <c r="CV85" t="s">
        <v>186</v>
      </c>
      <c r="CW85" t="s">
        <v>192</v>
      </c>
      <c r="CY85" t="s">
        <v>192</v>
      </c>
      <c r="DA85" t="s">
        <v>192</v>
      </c>
      <c r="DC85" t="s">
        <v>192</v>
      </c>
      <c r="DE85" t="s">
        <v>192</v>
      </c>
      <c r="DH85" t="s">
        <v>173</v>
      </c>
      <c r="DI85" t="s">
        <v>187</v>
      </c>
      <c r="DJ85" t="s">
        <v>173</v>
      </c>
      <c r="DL85" t="s">
        <v>173</v>
      </c>
      <c r="DM85" t="s">
        <v>173</v>
      </c>
      <c r="DN85" t="s">
        <v>191</v>
      </c>
      <c r="DO85" t="s">
        <v>192</v>
      </c>
      <c r="DR85" t="s">
        <v>192</v>
      </c>
      <c r="DU85" t="s">
        <v>192</v>
      </c>
      <c r="DX85" t="s">
        <v>192</v>
      </c>
      <c r="EA85" t="s">
        <v>192</v>
      </c>
      <c r="ED85" t="s">
        <v>173</v>
      </c>
      <c r="EE85" t="s">
        <v>173</v>
      </c>
      <c r="EF85" t="s">
        <v>188</v>
      </c>
      <c r="EG85" t="s">
        <v>173</v>
      </c>
      <c r="EH85" t="s">
        <v>192</v>
      </c>
      <c r="EJ85" t="s">
        <v>192</v>
      </c>
      <c r="EM85" t="s">
        <v>192</v>
      </c>
      <c r="EQ85" t="s">
        <v>309</v>
      </c>
      <c r="ER85" t="s">
        <v>221</v>
      </c>
      <c r="ES85" t="s">
        <v>349</v>
      </c>
      <c r="ET85" t="s">
        <v>173</v>
      </c>
      <c r="EU85" t="s">
        <v>173</v>
      </c>
      <c r="EV85" t="s">
        <v>247</v>
      </c>
      <c r="EW85">
        <v>0</v>
      </c>
      <c r="EX85">
        <v>1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G85" t="s">
        <v>822</v>
      </c>
      <c r="FH85">
        <v>83712603</v>
      </c>
      <c r="FI85" t="s">
        <v>823</v>
      </c>
      <c r="FJ85" s="1">
        <v>45761.65960648148</v>
      </c>
      <c r="FM85" t="s">
        <v>193</v>
      </c>
      <c r="FO85" t="s">
        <v>469</v>
      </c>
      <c r="FQ85">
        <v>85</v>
      </c>
    </row>
    <row r="86" spans="1:173" x14ac:dyDescent="0.25">
      <c r="A86" s="1">
        <v>45761.451270370373</v>
      </c>
      <c r="B86" s="1">
        <v>45761.457241296303</v>
      </c>
      <c r="C86" t="s">
        <v>195</v>
      </c>
      <c r="D86">
        <v>132</v>
      </c>
      <c r="E86" s="1">
        <v>45739</v>
      </c>
      <c r="F86">
        <v>2</v>
      </c>
      <c r="G86" t="s">
        <v>824</v>
      </c>
      <c r="H86" t="s">
        <v>336</v>
      </c>
      <c r="I86" t="s">
        <v>825</v>
      </c>
      <c r="J86" t="s">
        <v>561</v>
      </c>
      <c r="K86" t="s">
        <v>173</v>
      </c>
      <c r="L86">
        <v>20</v>
      </c>
      <c r="M86" t="s">
        <v>174</v>
      </c>
      <c r="N86">
        <v>0</v>
      </c>
      <c r="O86">
        <v>0</v>
      </c>
      <c r="P86">
        <v>0</v>
      </c>
      <c r="Q86">
        <v>0</v>
      </c>
      <c r="R86" t="s">
        <v>175</v>
      </c>
      <c r="S86">
        <v>49</v>
      </c>
      <c r="T86" t="str">
        <f t="shared" si="2"/>
        <v>41 a 55</v>
      </c>
      <c r="U86" t="s">
        <v>173</v>
      </c>
      <c r="W86" t="s">
        <v>176</v>
      </c>
      <c r="Y86" t="s">
        <v>200</v>
      </c>
      <c r="Z86" t="s">
        <v>178</v>
      </c>
      <c r="AA86" t="s">
        <v>179</v>
      </c>
      <c r="AB86" t="s">
        <v>215</v>
      </c>
      <c r="AC86" t="s">
        <v>216</v>
      </c>
      <c r="AD86" t="s">
        <v>826</v>
      </c>
      <c r="AE86" t="s">
        <v>341</v>
      </c>
      <c r="AG86" t="s">
        <v>202</v>
      </c>
      <c r="AH86" t="s">
        <v>232</v>
      </c>
      <c r="AI86">
        <v>0</v>
      </c>
      <c r="AJ86">
        <v>0</v>
      </c>
      <c r="AK86">
        <v>1</v>
      </c>
      <c r="AL86">
        <v>0</v>
      </c>
      <c r="AM86">
        <v>0</v>
      </c>
      <c r="AN86" t="s">
        <v>297</v>
      </c>
      <c r="AO86" t="s">
        <v>192</v>
      </c>
      <c r="AP86" t="s">
        <v>173</v>
      </c>
      <c r="AQ86" t="s">
        <v>192</v>
      </c>
      <c r="AZ86" t="s">
        <v>192</v>
      </c>
      <c r="BW86">
        <f t="shared" si="3"/>
        <v>0</v>
      </c>
      <c r="BY86" t="s">
        <v>192</v>
      </c>
      <c r="CA86" t="s">
        <v>192</v>
      </c>
      <c r="CC86" t="s">
        <v>173</v>
      </c>
      <c r="CD86" t="s">
        <v>185</v>
      </c>
      <c r="CE86" t="s">
        <v>173</v>
      </c>
      <c r="CF86" t="s">
        <v>187</v>
      </c>
      <c r="CG86" t="s">
        <v>192</v>
      </c>
      <c r="CI86" t="s">
        <v>173</v>
      </c>
      <c r="CJ86" t="s">
        <v>185</v>
      </c>
      <c r="CK86" t="s">
        <v>192</v>
      </c>
      <c r="CM86" t="s">
        <v>192</v>
      </c>
      <c r="CO86" t="s">
        <v>192</v>
      </c>
      <c r="CQ86" t="s">
        <v>192</v>
      </c>
      <c r="CS86" t="s">
        <v>192</v>
      </c>
      <c r="CU86" t="s">
        <v>192</v>
      </c>
      <c r="CW86" t="s">
        <v>192</v>
      </c>
      <c r="CY86" t="s">
        <v>173</v>
      </c>
      <c r="CZ86" t="s">
        <v>185</v>
      </c>
      <c r="DA86" t="s">
        <v>192</v>
      </c>
      <c r="DC86" t="s">
        <v>192</v>
      </c>
      <c r="DE86" t="s">
        <v>192</v>
      </c>
      <c r="DH86" t="s">
        <v>173</v>
      </c>
      <c r="DI86" t="s">
        <v>186</v>
      </c>
      <c r="DJ86" t="s">
        <v>192</v>
      </c>
      <c r="DL86" t="s">
        <v>192</v>
      </c>
      <c r="DO86" t="s">
        <v>192</v>
      </c>
      <c r="DR86" t="s">
        <v>192</v>
      </c>
      <c r="DU86" t="s">
        <v>173</v>
      </c>
      <c r="DV86" t="s">
        <v>192</v>
      </c>
      <c r="DX86" t="s">
        <v>192</v>
      </c>
      <c r="EA86" t="s">
        <v>192</v>
      </c>
      <c r="ED86" t="s">
        <v>173</v>
      </c>
      <c r="EE86" t="s">
        <v>173</v>
      </c>
      <c r="EF86" t="s">
        <v>188</v>
      </c>
      <c r="EG86" t="s">
        <v>173</v>
      </c>
      <c r="EH86" t="s">
        <v>192</v>
      </c>
      <c r="EJ86" t="s">
        <v>173</v>
      </c>
      <c r="EK86" t="s">
        <v>192</v>
      </c>
      <c r="EM86" t="s">
        <v>192</v>
      </c>
      <c r="EQ86" t="s">
        <v>827</v>
      </c>
      <c r="ER86" t="s">
        <v>605</v>
      </c>
      <c r="ET86" t="s">
        <v>173</v>
      </c>
      <c r="EU86" t="s">
        <v>173</v>
      </c>
      <c r="EV86" t="s">
        <v>223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1</v>
      </c>
      <c r="FF86" t="s">
        <v>406</v>
      </c>
      <c r="FH86">
        <v>83714119</v>
      </c>
      <c r="FI86" t="s">
        <v>828</v>
      </c>
      <c r="FJ86" s="1">
        <v>45761.665590277778</v>
      </c>
      <c r="FM86" t="s">
        <v>193</v>
      </c>
      <c r="FO86" t="s">
        <v>469</v>
      </c>
      <c r="FQ86">
        <v>86</v>
      </c>
    </row>
    <row r="87" spans="1:173" x14ac:dyDescent="0.25">
      <c r="A87" s="1">
        <v>45761.457241851851</v>
      </c>
      <c r="B87" s="1">
        <v>45761.463675960651</v>
      </c>
      <c r="C87" t="s">
        <v>195</v>
      </c>
      <c r="D87">
        <v>131</v>
      </c>
      <c r="E87" s="1">
        <v>45739</v>
      </c>
      <c r="F87">
        <v>2</v>
      </c>
      <c r="G87" t="s">
        <v>385</v>
      </c>
      <c r="H87" t="s">
        <v>336</v>
      </c>
      <c r="I87" t="s">
        <v>829</v>
      </c>
      <c r="J87" t="s">
        <v>830</v>
      </c>
      <c r="K87" t="s">
        <v>173</v>
      </c>
      <c r="L87">
        <v>40</v>
      </c>
      <c r="M87" t="s">
        <v>174</v>
      </c>
      <c r="N87">
        <v>0</v>
      </c>
      <c r="O87">
        <v>0</v>
      </c>
      <c r="P87">
        <v>0</v>
      </c>
      <c r="Q87">
        <v>0</v>
      </c>
      <c r="R87" t="s">
        <v>251</v>
      </c>
      <c r="S87">
        <v>81</v>
      </c>
      <c r="T87" t="str">
        <f t="shared" si="2"/>
        <v>56 a más</v>
      </c>
      <c r="U87" t="s">
        <v>173</v>
      </c>
      <c r="W87" t="s">
        <v>176</v>
      </c>
      <c r="Y87" t="s">
        <v>263</v>
      </c>
      <c r="Z87" t="s">
        <v>239</v>
      </c>
      <c r="AA87" t="s">
        <v>179</v>
      </c>
      <c r="AB87" t="s">
        <v>215</v>
      </c>
      <c r="AC87" t="s">
        <v>202</v>
      </c>
      <c r="AD87" t="s">
        <v>831</v>
      </c>
      <c r="AE87" t="s">
        <v>387</v>
      </c>
      <c r="AG87" t="s">
        <v>202</v>
      </c>
      <c r="AH87" t="s">
        <v>232</v>
      </c>
      <c r="AI87">
        <v>0</v>
      </c>
      <c r="AJ87">
        <v>0</v>
      </c>
      <c r="AK87">
        <v>1</v>
      </c>
      <c r="AL87">
        <v>0</v>
      </c>
      <c r="AM87">
        <v>0</v>
      </c>
      <c r="AN87" t="s">
        <v>297</v>
      </c>
      <c r="AO87" t="s">
        <v>192</v>
      </c>
      <c r="AP87" t="s">
        <v>192</v>
      </c>
      <c r="AQ87" t="s">
        <v>192</v>
      </c>
      <c r="AZ87" t="s">
        <v>192</v>
      </c>
      <c r="BW87">
        <f t="shared" si="3"/>
        <v>0</v>
      </c>
      <c r="BY87" t="s">
        <v>173</v>
      </c>
      <c r="BZ87" t="s">
        <v>186</v>
      </c>
      <c r="CA87" t="s">
        <v>192</v>
      </c>
      <c r="CC87" t="s">
        <v>173</v>
      </c>
      <c r="CD87" t="s">
        <v>187</v>
      </c>
      <c r="CE87" t="s">
        <v>173</v>
      </c>
      <c r="CF87" t="s">
        <v>187</v>
      </c>
      <c r="CG87" t="s">
        <v>192</v>
      </c>
      <c r="CI87" t="s">
        <v>173</v>
      </c>
      <c r="CJ87" t="s">
        <v>186</v>
      </c>
      <c r="CK87" t="s">
        <v>173</v>
      </c>
      <c r="CL87" t="s">
        <v>186</v>
      </c>
      <c r="CM87" t="s">
        <v>192</v>
      </c>
      <c r="CO87" t="s">
        <v>192</v>
      </c>
      <c r="CQ87" t="s">
        <v>192</v>
      </c>
      <c r="CS87" t="s">
        <v>192</v>
      </c>
      <c r="CU87" t="s">
        <v>173</v>
      </c>
      <c r="CV87" t="s">
        <v>185</v>
      </c>
      <c r="CW87" t="s">
        <v>173</v>
      </c>
      <c r="CX87" t="s">
        <v>187</v>
      </c>
      <c r="CY87" t="s">
        <v>173</v>
      </c>
      <c r="CZ87" t="s">
        <v>187</v>
      </c>
      <c r="DA87" t="s">
        <v>192</v>
      </c>
      <c r="DC87" t="s">
        <v>192</v>
      </c>
      <c r="DE87" t="s">
        <v>192</v>
      </c>
      <c r="DH87" t="s">
        <v>173</v>
      </c>
      <c r="DI87" t="s">
        <v>187</v>
      </c>
      <c r="DJ87" t="s">
        <v>173</v>
      </c>
      <c r="DL87" t="s">
        <v>173</v>
      </c>
      <c r="DM87" t="s">
        <v>173</v>
      </c>
      <c r="DN87" t="s">
        <v>191</v>
      </c>
      <c r="DO87" t="s">
        <v>192</v>
      </c>
      <c r="DR87" t="s">
        <v>192</v>
      </c>
      <c r="DU87" t="s">
        <v>173</v>
      </c>
      <c r="DV87" t="s">
        <v>192</v>
      </c>
      <c r="DX87" t="s">
        <v>192</v>
      </c>
      <c r="EA87" t="s">
        <v>192</v>
      </c>
      <c r="ED87" t="s">
        <v>173</v>
      </c>
      <c r="EE87" t="s">
        <v>173</v>
      </c>
      <c r="EF87" t="s">
        <v>191</v>
      </c>
      <c r="EG87" t="s">
        <v>173</v>
      </c>
      <c r="EH87" t="s">
        <v>192</v>
      </c>
      <c r="EJ87" t="s">
        <v>192</v>
      </c>
      <c r="EM87" t="s">
        <v>192</v>
      </c>
      <c r="EQ87" t="s">
        <v>832</v>
      </c>
      <c r="ER87" t="s">
        <v>349</v>
      </c>
      <c r="ES87" t="s">
        <v>833</v>
      </c>
      <c r="ET87" t="s">
        <v>173</v>
      </c>
      <c r="EU87" t="s">
        <v>173</v>
      </c>
      <c r="EV87" t="s">
        <v>208</v>
      </c>
      <c r="EW87">
        <v>0</v>
      </c>
      <c r="EX87">
        <v>0</v>
      </c>
      <c r="EY87">
        <v>0</v>
      </c>
      <c r="EZ87">
        <v>0</v>
      </c>
      <c r="FA87">
        <v>1</v>
      </c>
      <c r="FB87">
        <v>0</v>
      </c>
      <c r="FC87">
        <v>0</v>
      </c>
      <c r="FD87">
        <v>0</v>
      </c>
      <c r="FE87">
        <v>0</v>
      </c>
      <c r="FG87" t="s">
        <v>834</v>
      </c>
      <c r="FH87">
        <v>83714604</v>
      </c>
      <c r="FI87" t="s">
        <v>835</v>
      </c>
      <c r="FJ87" s="1">
        <v>45761.672013888892</v>
      </c>
      <c r="FM87" t="s">
        <v>193</v>
      </c>
      <c r="FO87" t="s">
        <v>469</v>
      </c>
      <c r="FQ87">
        <v>87</v>
      </c>
    </row>
    <row r="88" spans="1:173" x14ac:dyDescent="0.25">
      <c r="A88" s="1">
        <v>45761.463676412037</v>
      </c>
      <c r="B88" s="1">
        <v>45761.47514696759</v>
      </c>
      <c r="C88" t="s">
        <v>195</v>
      </c>
      <c r="D88">
        <v>130</v>
      </c>
      <c r="E88" s="1">
        <v>45739</v>
      </c>
      <c r="F88">
        <v>2</v>
      </c>
      <c r="G88" t="s">
        <v>379</v>
      </c>
      <c r="H88" t="s">
        <v>336</v>
      </c>
      <c r="I88" t="s">
        <v>836</v>
      </c>
      <c r="J88" t="s">
        <v>837</v>
      </c>
      <c r="K88" t="s">
        <v>173</v>
      </c>
      <c r="L88">
        <v>18</v>
      </c>
      <c r="M88" t="s">
        <v>174</v>
      </c>
      <c r="N88">
        <v>0</v>
      </c>
      <c r="O88">
        <v>0</v>
      </c>
      <c r="P88">
        <v>0</v>
      </c>
      <c r="Q88">
        <v>0</v>
      </c>
      <c r="R88" t="s">
        <v>251</v>
      </c>
      <c r="S88">
        <v>39</v>
      </c>
      <c r="T88" t="str">
        <f t="shared" si="2"/>
        <v>26 a 40</v>
      </c>
      <c r="U88" t="s">
        <v>173</v>
      </c>
      <c r="W88" t="s">
        <v>176</v>
      </c>
      <c r="Y88" t="s">
        <v>200</v>
      </c>
      <c r="Z88" t="s">
        <v>178</v>
      </c>
      <c r="AA88" t="s">
        <v>179</v>
      </c>
      <c r="AB88" t="s">
        <v>201</v>
      </c>
      <c r="AC88" t="s">
        <v>202</v>
      </c>
      <c r="AD88" t="s">
        <v>838</v>
      </c>
      <c r="AE88" t="s">
        <v>839</v>
      </c>
      <c r="AG88" t="s">
        <v>202</v>
      </c>
      <c r="AH88" t="s">
        <v>244</v>
      </c>
      <c r="AI88">
        <v>0</v>
      </c>
      <c r="AJ88">
        <v>1</v>
      </c>
      <c r="AK88">
        <v>1</v>
      </c>
      <c r="AL88">
        <v>0</v>
      </c>
      <c r="AM88">
        <v>0</v>
      </c>
      <c r="AN88" t="s">
        <v>183</v>
      </c>
      <c r="AO88" t="s">
        <v>192</v>
      </c>
      <c r="AP88" t="s">
        <v>192</v>
      </c>
      <c r="AQ88" t="s">
        <v>192</v>
      </c>
      <c r="AZ88" t="s">
        <v>192</v>
      </c>
      <c r="BW88">
        <f t="shared" si="3"/>
        <v>0</v>
      </c>
      <c r="BY88" t="s">
        <v>173</v>
      </c>
      <c r="BZ88" t="s">
        <v>187</v>
      </c>
      <c r="CA88" t="s">
        <v>192</v>
      </c>
      <c r="CC88" t="s">
        <v>173</v>
      </c>
      <c r="CD88" t="s">
        <v>185</v>
      </c>
      <c r="CE88" t="s">
        <v>173</v>
      </c>
      <c r="CF88" t="s">
        <v>186</v>
      </c>
      <c r="CG88" t="s">
        <v>192</v>
      </c>
      <c r="CI88" t="s">
        <v>173</v>
      </c>
      <c r="CJ88" t="s">
        <v>186</v>
      </c>
      <c r="CK88" t="s">
        <v>173</v>
      </c>
      <c r="CL88" t="s">
        <v>186</v>
      </c>
      <c r="CM88" t="s">
        <v>192</v>
      </c>
      <c r="CO88" t="s">
        <v>192</v>
      </c>
      <c r="CQ88" t="s">
        <v>192</v>
      </c>
      <c r="CS88" t="s">
        <v>192</v>
      </c>
      <c r="CU88" t="s">
        <v>192</v>
      </c>
      <c r="CW88" t="s">
        <v>192</v>
      </c>
      <c r="CY88" t="s">
        <v>192</v>
      </c>
      <c r="DA88" t="s">
        <v>192</v>
      </c>
      <c r="DC88" t="s">
        <v>192</v>
      </c>
      <c r="DE88" t="s">
        <v>192</v>
      </c>
      <c r="DH88" t="s">
        <v>173</v>
      </c>
      <c r="DI88" t="s">
        <v>187</v>
      </c>
      <c r="DJ88" t="s">
        <v>173</v>
      </c>
      <c r="DL88" t="s">
        <v>173</v>
      </c>
      <c r="DM88" t="s">
        <v>192</v>
      </c>
      <c r="DO88" t="s">
        <v>192</v>
      </c>
      <c r="DR88" t="s">
        <v>192</v>
      </c>
      <c r="DU88" t="s">
        <v>173</v>
      </c>
      <c r="DV88" t="s">
        <v>192</v>
      </c>
      <c r="DX88" t="s">
        <v>192</v>
      </c>
      <c r="EA88" t="s">
        <v>173</v>
      </c>
      <c r="EB88" t="s">
        <v>192</v>
      </c>
      <c r="ED88" t="s">
        <v>173</v>
      </c>
      <c r="EE88" t="s">
        <v>192</v>
      </c>
      <c r="EG88" t="s">
        <v>192</v>
      </c>
      <c r="EJ88" t="s">
        <v>192</v>
      </c>
      <c r="EM88" t="s">
        <v>192</v>
      </c>
      <c r="EQ88" t="s">
        <v>349</v>
      </c>
      <c r="ER88" t="s">
        <v>221</v>
      </c>
      <c r="ET88" t="s">
        <v>173</v>
      </c>
      <c r="EU88" t="s">
        <v>173</v>
      </c>
      <c r="EV88" t="s">
        <v>208</v>
      </c>
      <c r="EW88">
        <v>0</v>
      </c>
      <c r="EX88">
        <v>0</v>
      </c>
      <c r="EY88">
        <v>0</v>
      </c>
      <c r="EZ88">
        <v>0</v>
      </c>
      <c r="FA88">
        <v>1</v>
      </c>
      <c r="FB88">
        <v>0</v>
      </c>
      <c r="FC88">
        <v>0</v>
      </c>
      <c r="FD88">
        <v>0</v>
      </c>
      <c r="FE88">
        <v>0</v>
      </c>
      <c r="FH88">
        <v>83715017</v>
      </c>
      <c r="FI88" t="s">
        <v>840</v>
      </c>
      <c r="FJ88" s="1">
        <v>45761.683495370373</v>
      </c>
      <c r="FM88" t="s">
        <v>193</v>
      </c>
      <c r="FO88" t="s">
        <v>469</v>
      </c>
      <c r="FQ88">
        <v>88</v>
      </c>
    </row>
    <row r="89" spans="1:173" x14ac:dyDescent="0.25">
      <c r="A89" s="1">
        <v>45761.441651122688</v>
      </c>
      <c r="B89" s="1">
        <v>45761.477065543979</v>
      </c>
      <c r="C89" t="s">
        <v>334</v>
      </c>
      <c r="D89">
        <v>46</v>
      </c>
      <c r="E89" s="1">
        <v>45739</v>
      </c>
      <c r="F89">
        <v>1</v>
      </c>
      <c r="G89" t="s">
        <v>438</v>
      </c>
      <c r="H89" t="s">
        <v>171</v>
      </c>
      <c r="I89" t="s">
        <v>841</v>
      </c>
      <c r="J89" t="s">
        <v>842</v>
      </c>
      <c r="K89" t="s">
        <v>173</v>
      </c>
      <c r="L89">
        <v>20</v>
      </c>
      <c r="M89" t="s">
        <v>174</v>
      </c>
      <c r="N89">
        <v>0</v>
      </c>
      <c r="O89">
        <v>0</v>
      </c>
      <c r="P89">
        <v>0</v>
      </c>
      <c r="Q89">
        <v>0</v>
      </c>
      <c r="R89" t="s">
        <v>251</v>
      </c>
      <c r="S89">
        <v>46</v>
      </c>
      <c r="T89" t="str">
        <f t="shared" si="2"/>
        <v>41 a 55</v>
      </c>
      <c r="U89" t="s">
        <v>173</v>
      </c>
      <c r="W89" t="s">
        <v>176</v>
      </c>
      <c r="Y89" t="s">
        <v>214</v>
      </c>
      <c r="Z89" t="s">
        <v>178</v>
      </c>
      <c r="AA89" t="s">
        <v>179</v>
      </c>
      <c r="AB89" t="s">
        <v>189</v>
      </c>
      <c r="AC89" t="s">
        <v>216</v>
      </c>
      <c r="AD89" t="s">
        <v>777</v>
      </c>
      <c r="AG89" t="s">
        <v>202</v>
      </c>
      <c r="AH89" t="s">
        <v>232</v>
      </c>
      <c r="AI89">
        <v>0</v>
      </c>
      <c r="AJ89">
        <v>0</v>
      </c>
      <c r="AK89">
        <v>1</v>
      </c>
      <c r="AL89">
        <v>0</v>
      </c>
      <c r="AM89">
        <v>0</v>
      </c>
      <c r="AN89" t="s">
        <v>183</v>
      </c>
      <c r="AO89" t="s">
        <v>192</v>
      </c>
      <c r="AP89" t="s">
        <v>192</v>
      </c>
      <c r="AQ89" t="s">
        <v>192</v>
      </c>
      <c r="AZ89" t="s">
        <v>192</v>
      </c>
      <c r="BW89">
        <f t="shared" si="3"/>
        <v>0</v>
      </c>
      <c r="BY89" t="s">
        <v>173</v>
      </c>
      <c r="BZ89" t="s">
        <v>185</v>
      </c>
      <c r="CA89" t="s">
        <v>192</v>
      </c>
      <c r="CC89" t="s">
        <v>173</v>
      </c>
      <c r="CD89" t="s">
        <v>187</v>
      </c>
      <c r="CE89" t="s">
        <v>173</v>
      </c>
      <c r="CF89" t="s">
        <v>186</v>
      </c>
      <c r="CG89" t="s">
        <v>173</v>
      </c>
      <c r="CH89" t="s">
        <v>186</v>
      </c>
      <c r="CI89" t="s">
        <v>173</v>
      </c>
      <c r="CJ89" t="s">
        <v>187</v>
      </c>
      <c r="CK89" t="s">
        <v>173</v>
      </c>
      <c r="CL89" t="s">
        <v>186</v>
      </c>
      <c r="CM89" t="s">
        <v>173</v>
      </c>
      <c r="CN89" t="s">
        <v>187</v>
      </c>
      <c r="CO89" t="s">
        <v>173</v>
      </c>
      <c r="CP89" t="s">
        <v>187</v>
      </c>
      <c r="CQ89" t="s">
        <v>173</v>
      </c>
      <c r="CR89" t="s">
        <v>187</v>
      </c>
      <c r="CS89" t="s">
        <v>192</v>
      </c>
      <c r="CU89" t="s">
        <v>192</v>
      </c>
      <c r="CW89" t="s">
        <v>173</v>
      </c>
      <c r="CX89" t="s">
        <v>186</v>
      </c>
      <c r="CY89" t="s">
        <v>173</v>
      </c>
      <c r="CZ89" t="s">
        <v>186</v>
      </c>
      <c r="DA89" t="s">
        <v>173</v>
      </c>
      <c r="DB89" t="s">
        <v>185</v>
      </c>
      <c r="DC89" t="s">
        <v>173</v>
      </c>
      <c r="DD89" t="s">
        <v>187</v>
      </c>
      <c r="DE89" t="s">
        <v>192</v>
      </c>
      <c r="DH89" t="s">
        <v>173</v>
      </c>
      <c r="DI89" t="s">
        <v>187</v>
      </c>
      <c r="DJ89" t="s">
        <v>192</v>
      </c>
      <c r="DL89" t="s">
        <v>173</v>
      </c>
      <c r="DM89" t="s">
        <v>192</v>
      </c>
      <c r="DO89" t="s">
        <v>173</v>
      </c>
      <c r="DP89" t="s">
        <v>192</v>
      </c>
      <c r="DR89" t="s">
        <v>192</v>
      </c>
      <c r="DU89" t="s">
        <v>173</v>
      </c>
      <c r="DV89" t="s">
        <v>192</v>
      </c>
      <c r="DX89" t="s">
        <v>173</v>
      </c>
      <c r="DY89" t="s">
        <v>192</v>
      </c>
      <c r="EA89" t="s">
        <v>173</v>
      </c>
      <c r="EB89" t="s">
        <v>192</v>
      </c>
      <c r="ED89" t="s">
        <v>173</v>
      </c>
      <c r="EE89" t="s">
        <v>173</v>
      </c>
      <c r="EF89" t="s">
        <v>191</v>
      </c>
      <c r="EG89" t="s">
        <v>173</v>
      </c>
      <c r="EH89" t="s">
        <v>192</v>
      </c>
      <c r="EJ89" t="s">
        <v>173</v>
      </c>
      <c r="EK89" t="s">
        <v>192</v>
      </c>
      <c r="EM89" t="s">
        <v>192</v>
      </c>
      <c r="EQ89" t="s">
        <v>349</v>
      </c>
      <c r="ET89" t="s">
        <v>173</v>
      </c>
      <c r="EU89" t="s">
        <v>173</v>
      </c>
      <c r="EV89" t="s">
        <v>208</v>
      </c>
      <c r="EW89">
        <v>0</v>
      </c>
      <c r="EX89">
        <v>0</v>
      </c>
      <c r="EY89">
        <v>0</v>
      </c>
      <c r="EZ89">
        <v>0</v>
      </c>
      <c r="FA89">
        <v>1</v>
      </c>
      <c r="FB89">
        <v>0</v>
      </c>
      <c r="FC89">
        <v>0</v>
      </c>
      <c r="FD89">
        <v>0</v>
      </c>
      <c r="FE89">
        <v>0</v>
      </c>
      <c r="FH89">
        <v>83715094</v>
      </c>
      <c r="FI89" t="s">
        <v>843</v>
      </c>
      <c r="FJ89" s="1">
        <v>45761.685416666667</v>
      </c>
      <c r="FM89" t="s">
        <v>193</v>
      </c>
      <c r="FO89" t="s">
        <v>469</v>
      </c>
      <c r="FQ89">
        <v>89</v>
      </c>
    </row>
    <row r="90" spans="1:173" x14ac:dyDescent="0.25">
      <c r="A90" s="1">
        <v>45761.475147395831</v>
      </c>
      <c r="B90" s="1">
        <v>45761.48009247685</v>
      </c>
      <c r="C90" t="s">
        <v>195</v>
      </c>
      <c r="D90">
        <v>128</v>
      </c>
      <c r="E90" s="1">
        <v>45739</v>
      </c>
      <c r="F90">
        <v>2</v>
      </c>
      <c r="G90" t="s">
        <v>824</v>
      </c>
      <c r="H90" t="s">
        <v>336</v>
      </c>
      <c r="I90" t="s">
        <v>844</v>
      </c>
      <c r="J90" t="s">
        <v>845</v>
      </c>
      <c r="K90" t="s">
        <v>173</v>
      </c>
      <c r="L90">
        <v>40</v>
      </c>
      <c r="M90" t="s">
        <v>174</v>
      </c>
      <c r="N90">
        <v>0</v>
      </c>
      <c r="O90">
        <v>0</v>
      </c>
      <c r="P90">
        <v>0</v>
      </c>
      <c r="Q90">
        <v>0</v>
      </c>
      <c r="R90" t="s">
        <v>175</v>
      </c>
      <c r="S90">
        <v>60</v>
      </c>
      <c r="T90" t="str">
        <f t="shared" si="2"/>
        <v>56 a más</v>
      </c>
      <c r="U90" t="s">
        <v>173</v>
      </c>
      <c r="W90" t="s">
        <v>176</v>
      </c>
      <c r="Y90" t="s">
        <v>263</v>
      </c>
      <c r="Z90" t="s">
        <v>239</v>
      </c>
      <c r="AA90" t="s">
        <v>179</v>
      </c>
      <c r="AB90" t="s">
        <v>215</v>
      </c>
      <c r="AC90" t="s">
        <v>202</v>
      </c>
      <c r="AD90" t="s">
        <v>846</v>
      </c>
      <c r="AG90" t="s">
        <v>202</v>
      </c>
      <c r="AH90" t="s">
        <v>244</v>
      </c>
      <c r="AI90">
        <v>0</v>
      </c>
      <c r="AJ90">
        <v>1</v>
      </c>
      <c r="AK90">
        <v>1</v>
      </c>
      <c r="AL90">
        <v>0</v>
      </c>
      <c r="AM90">
        <v>0</v>
      </c>
      <c r="AN90" t="s">
        <v>205</v>
      </c>
      <c r="AO90" t="s">
        <v>192</v>
      </c>
      <c r="AP90" t="s">
        <v>173</v>
      </c>
      <c r="AQ90" t="s">
        <v>192</v>
      </c>
      <c r="AZ90" t="s">
        <v>192</v>
      </c>
      <c r="BW90">
        <f t="shared" si="3"/>
        <v>0</v>
      </c>
      <c r="BY90" t="s">
        <v>192</v>
      </c>
      <c r="CA90" t="s">
        <v>192</v>
      </c>
      <c r="CC90" t="s">
        <v>173</v>
      </c>
      <c r="CD90" t="s">
        <v>185</v>
      </c>
      <c r="CE90" t="s">
        <v>173</v>
      </c>
      <c r="CF90" t="s">
        <v>185</v>
      </c>
      <c r="CG90" t="s">
        <v>192</v>
      </c>
      <c r="CI90" t="s">
        <v>192</v>
      </c>
      <c r="CK90" t="s">
        <v>192</v>
      </c>
      <c r="CM90" t="s">
        <v>192</v>
      </c>
      <c r="CO90" t="s">
        <v>192</v>
      </c>
      <c r="CQ90" t="s">
        <v>192</v>
      </c>
      <c r="CS90" t="s">
        <v>192</v>
      </c>
      <c r="CU90" t="s">
        <v>192</v>
      </c>
      <c r="CW90" t="s">
        <v>192</v>
      </c>
      <c r="CY90" t="s">
        <v>173</v>
      </c>
      <c r="CZ90" t="s">
        <v>185</v>
      </c>
      <c r="DA90" t="s">
        <v>192</v>
      </c>
      <c r="DC90" t="s">
        <v>192</v>
      </c>
      <c r="DE90" t="s">
        <v>192</v>
      </c>
      <c r="DH90" t="s">
        <v>173</v>
      </c>
      <c r="DI90" t="s">
        <v>186</v>
      </c>
      <c r="DJ90" t="s">
        <v>192</v>
      </c>
      <c r="DL90" t="s">
        <v>192</v>
      </c>
      <c r="DO90" t="s">
        <v>192</v>
      </c>
      <c r="DR90" t="s">
        <v>192</v>
      </c>
      <c r="DU90" t="s">
        <v>192</v>
      </c>
      <c r="DX90" t="s">
        <v>192</v>
      </c>
      <c r="EA90" t="s">
        <v>192</v>
      </c>
      <c r="ED90" t="s">
        <v>173</v>
      </c>
      <c r="EE90" t="s">
        <v>173</v>
      </c>
      <c r="EF90" t="s">
        <v>188</v>
      </c>
      <c r="EG90" t="s">
        <v>173</v>
      </c>
      <c r="EH90" t="s">
        <v>192</v>
      </c>
      <c r="EJ90" t="s">
        <v>192</v>
      </c>
      <c r="EM90" t="s">
        <v>192</v>
      </c>
      <c r="EQ90" t="s">
        <v>847</v>
      </c>
      <c r="ER90" t="s">
        <v>848</v>
      </c>
      <c r="ET90" t="s">
        <v>173</v>
      </c>
      <c r="EU90" t="s">
        <v>173</v>
      </c>
      <c r="EV90" t="s">
        <v>223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1</v>
      </c>
      <c r="FF90" t="s">
        <v>849</v>
      </c>
      <c r="FH90">
        <v>83715216</v>
      </c>
      <c r="FI90" t="s">
        <v>850</v>
      </c>
      <c r="FJ90" s="1">
        <v>45761.688425925917</v>
      </c>
      <c r="FM90" t="s">
        <v>193</v>
      </c>
      <c r="FO90" t="s">
        <v>469</v>
      </c>
      <c r="FQ90">
        <v>90</v>
      </c>
    </row>
    <row r="91" spans="1:173" x14ac:dyDescent="0.25">
      <c r="A91" s="1">
        <v>45761.477065983803</v>
      </c>
      <c r="B91" s="1">
        <v>45761.480204409723</v>
      </c>
      <c r="C91" t="s">
        <v>334</v>
      </c>
      <c r="D91">
        <v>45</v>
      </c>
      <c r="E91" s="1">
        <v>45739</v>
      </c>
      <c r="F91">
        <v>1</v>
      </c>
      <c r="G91" t="s">
        <v>429</v>
      </c>
      <c r="H91" t="s">
        <v>171</v>
      </c>
      <c r="I91" t="s">
        <v>851</v>
      </c>
      <c r="J91" t="s">
        <v>852</v>
      </c>
      <c r="K91" t="s">
        <v>173</v>
      </c>
      <c r="L91">
        <v>10</v>
      </c>
      <c r="M91" t="s">
        <v>174</v>
      </c>
      <c r="N91">
        <v>0</v>
      </c>
      <c r="O91">
        <v>0</v>
      </c>
      <c r="P91">
        <v>0</v>
      </c>
      <c r="Q91">
        <v>0</v>
      </c>
      <c r="R91" t="s">
        <v>251</v>
      </c>
      <c r="S91">
        <v>33</v>
      </c>
      <c r="T91" t="str">
        <f t="shared" si="2"/>
        <v>26 a 40</v>
      </c>
      <c r="U91" t="s">
        <v>173</v>
      </c>
      <c r="W91" t="s">
        <v>176</v>
      </c>
      <c r="Y91" t="s">
        <v>200</v>
      </c>
      <c r="Z91" t="s">
        <v>239</v>
      </c>
      <c r="AA91" t="s">
        <v>179</v>
      </c>
      <c r="AB91" t="s">
        <v>189</v>
      </c>
      <c r="AC91" t="s">
        <v>216</v>
      </c>
      <c r="AD91" t="s">
        <v>853</v>
      </c>
      <c r="AE91" t="s">
        <v>548</v>
      </c>
      <c r="AF91" t="s">
        <v>854</v>
      </c>
      <c r="AG91" t="s">
        <v>216</v>
      </c>
      <c r="AH91" t="s">
        <v>287</v>
      </c>
      <c r="AI91">
        <v>0</v>
      </c>
      <c r="AJ91">
        <v>0</v>
      </c>
      <c r="AK91">
        <v>0</v>
      </c>
      <c r="AL91">
        <v>0</v>
      </c>
      <c r="AM91">
        <v>1</v>
      </c>
      <c r="AN91" t="s">
        <v>183</v>
      </c>
      <c r="AO91" t="s">
        <v>192</v>
      </c>
      <c r="AP91" t="s">
        <v>173</v>
      </c>
      <c r="AQ91" t="s">
        <v>192</v>
      </c>
      <c r="AZ91" t="s">
        <v>173</v>
      </c>
      <c r="BA91" t="s">
        <v>418</v>
      </c>
      <c r="BB91">
        <v>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L91">
        <v>0</v>
      </c>
      <c r="BO91" t="s">
        <v>192</v>
      </c>
      <c r="BW91">
        <f t="shared" si="3"/>
        <v>1</v>
      </c>
      <c r="BY91" t="s">
        <v>192</v>
      </c>
      <c r="CA91" t="s">
        <v>192</v>
      </c>
      <c r="CC91" t="s">
        <v>173</v>
      </c>
      <c r="CD91" t="s">
        <v>187</v>
      </c>
      <c r="CE91" t="s">
        <v>173</v>
      </c>
      <c r="CF91" t="s">
        <v>187</v>
      </c>
      <c r="CG91" t="s">
        <v>189</v>
      </c>
      <c r="CI91" t="s">
        <v>173</v>
      </c>
      <c r="CJ91" t="s">
        <v>186</v>
      </c>
      <c r="CK91" t="s">
        <v>173</v>
      </c>
      <c r="CL91" t="s">
        <v>186</v>
      </c>
      <c r="CM91" t="s">
        <v>173</v>
      </c>
      <c r="CN91" t="s">
        <v>187</v>
      </c>
      <c r="CO91" t="s">
        <v>192</v>
      </c>
      <c r="CQ91" t="s">
        <v>173</v>
      </c>
      <c r="CR91" t="s">
        <v>186</v>
      </c>
      <c r="CS91" t="s">
        <v>173</v>
      </c>
      <c r="CT91" t="s">
        <v>186</v>
      </c>
      <c r="CU91" t="s">
        <v>173</v>
      </c>
      <c r="CV91" t="s">
        <v>185</v>
      </c>
      <c r="CW91" t="s">
        <v>192</v>
      </c>
      <c r="CY91" t="s">
        <v>192</v>
      </c>
      <c r="DA91" t="s">
        <v>192</v>
      </c>
      <c r="DC91" t="s">
        <v>173</v>
      </c>
      <c r="DD91" t="s">
        <v>186</v>
      </c>
      <c r="DE91" t="s">
        <v>192</v>
      </c>
      <c r="DH91" t="s">
        <v>173</v>
      </c>
      <c r="DI91" t="s">
        <v>187</v>
      </c>
      <c r="DJ91" t="s">
        <v>173</v>
      </c>
      <c r="DL91" t="s">
        <v>192</v>
      </c>
      <c r="DO91" t="s">
        <v>192</v>
      </c>
      <c r="DR91" t="s">
        <v>192</v>
      </c>
      <c r="DU91" t="s">
        <v>173</v>
      </c>
      <c r="DV91" t="s">
        <v>173</v>
      </c>
      <c r="DW91" t="s">
        <v>191</v>
      </c>
      <c r="DX91" t="s">
        <v>192</v>
      </c>
      <c r="EA91" t="s">
        <v>192</v>
      </c>
      <c r="ED91" t="s">
        <v>173</v>
      </c>
      <c r="EE91" t="s">
        <v>173</v>
      </c>
      <c r="EF91" t="s">
        <v>191</v>
      </c>
      <c r="EG91" t="s">
        <v>192</v>
      </c>
      <c r="EJ91" t="s">
        <v>192</v>
      </c>
      <c r="EM91" t="s">
        <v>192</v>
      </c>
      <c r="EQ91" t="s">
        <v>855</v>
      </c>
      <c r="ET91" t="s">
        <v>173</v>
      </c>
      <c r="EU91" t="s">
        <v>173</v>
      </c>
      <c r="EV91" t="s">
        <v>208</v>
      </c>
      <c r="EW91">
        <v>0</v>
      </c>
      <c r="EX91">
        <v>0</v>
      </c>
      <c r="EY91">
        <v>0</v>
      </c>
      <c r="EZ91">
        <v>0</v>
      </c>
      <c r="FA91">
        <v>1</v>
      </c>
      <c r="FB91">
        <v>0</v>
      </c>
      <c r="FC91">
        <v>0</v>
      </c>
      <c r="FD91">
        <v>0</v>
      </c>
      <c r="FE91">
        <v>0</v>
      </c>
      <c r="FH91">
        <v>83715218</v>
      </c>
      <c r="FI91" t="s">
        <v>856</v>
      </c>
      <c r="FJ91" s="1">
        <v>45761.68855324074</v>
      </c>
      <c r="FM91" t="s">
        <v>193</v>
      </c>
      <c r="FO91" t="s">
        <v>469</v>
      </c>
      <c r="FQ91">
        <v>91</v>
      </c>
    </row>
    <row r="92" spans="1:173" x14ac:dyDescent="0.25">
      <c r="A92" s="1">
        <v>45761.480092916667</v>
      </c>
      <c r="B92" s="1">
        <v>45761.486499305553</v>
      </c>
      <c r="C92" t="s">
        <v>195</v>
      </c>
      <c r="D92">
        <v>127</v>
      </c>
      <c r="E92" s="1">
        <v>45739</v>
      </c>
      <c r="F92">
        <v>2</v>
      </c>
      <c r="G92" t="s">
        <v>385</v>
      </c>
      <c r="H92" t="s">
        <v>336</v>
      </c>
      <c r="I92" t="s">
        <v>819</v>
      </c>
      <c r="J92" t="s">
        <v>857</v>
      </c>
      <c r="K92" t="s">
        <v>173</v>
      </c>
      <c r="L92">
        <v>32</v>
      </c>
      <c r="M92" t="s">
        <v>174</v>
      </c>
      <c r="N92">
        <v>0</v>
      </c>
      <c r="O92">
        <v>0</v>
      </c>
      <c r="P92">
        <v>0</v>
      </c>
      <c r="Q92">
        <v>0</v>
      </c>
      <c r="R92" t="s">
        <v>175</v>
      </c>
      <c r="S92">
        <v>54</v>
      </c>
      <c r="T92" t="str">
        <f t="shared" si="2"/>
        <v>41 a 55</v>
      </c>
      <c r="U92" t="s">
        <v>173</v>
      </c>
      <c r="W92" t="s">
        <v>441</v>
      </c>
      <c r="Y92" t="s">
        <v>214</v>
      </c>
      <c r="Z92" t="s">
        <v>178</v>
      </c>
      <c r="AA92" t="s">
        <v>240</v>
      </c>
      <c r="AB92" t="s">
        <v>215</v>
      </c>
      <c r="AC92" t="s">
        <v>216</v>
      </c>
      <c r="AD92" t="s">
        <v>305</v>
      </c>
      <c r="AE92" t="s">
        <v>858</v>
      </c>
      <c r="AF92" t="s">
        <v>859</v>
      </c>
      <c r="AG92" t="s">
        <v>202</v>
      </c>
      <c r="AH92" t="s">
        <v>244</v>
      </c>
      <c r="AI92">
        <v>0</v>
      </c>
      <c r="AJ92">
        <v>1</v>
      </c>
      <c r="AK92">
        <v>1</v>
      </c>
      <c r="AL92">
        <v>0</v>
      </c>
      <c r="AM92">
        <v>0</v>
      </c>
      <c r="AN92" t="s">
        <v>183</v>
      </c>
      <c r="AO92" t="s">
        <v>192</v>
      </c>
      <c r="AP92" t="s">
        <v>192</v>
      </c>
      <c r="AQ92" t="s">
        <v>192</v>
      </c>
      <c r="AZ92" t="s">
        <v>192</v>
      </c>
      <c r="BW92">
        <f t="shared" si="3"/>
        <v>0</v>
      </c>
      <c r="BY92" t="s">
        <v>192</v>
      </c>
      <c r="CA92" t="s">
        <v>192</v>
      </c>
      <c r="CC92" t="s">
        <v>173</v>
      </c>
      <c r="CD92" t="s">
        <v>187</v>
      </c>
      <c r="CE92" t="s">
        <v>173</v>
      </c>
      <c r="CF92" t="s">
        <v>186</v>
      </c>
      <c r="CG92" t="s">
        <v>192</v>
      </c>
      <c r="CI92" t="s">
        <v>173</v>
      </c>
      <c r="CJ92" t="s">
        <v>185</v>
      </c>
      <c r="CK92" t="s">
        <v>173</v>
      </c>
      <c r="CL92" t="s">
        <v>185</v>
      </c>
      <c r="CM92" t="s">
        <v>173</v>
      </c>
      <c r="CN92" t="s">
        <v>185</v>
      </c>
      <c r="CO92" t="s">
        <v>173</v>
      </c>
      <c r="CP92" t="s">
        <v>185</v>
      </c>
      <c r="CQ92" t="s">
        <v>173</v>
      </c>
      <c r="CR92" t="s">
        <v>187</v>
      </c>
      <c r="CS92" t="s">
        <v>173</v>
      </c>
      <c r="CT92" t="s">
        <v>187</v>
      </c>
      <c r="CU92" t="s">
        <v>192</v>
      </c>
      <c r="CW92" t="s">
        <v>192</v>
      </c>
      <c r="CY92" t="s">
        <v>173</v>
      </c>
      <c r="CZ92" t="s">
        <v>186</v>
      </c>
      <c r="DA92" t="s">
        <v>192</v>
      </c>
      <c r="DC92" t="s">
        <v>192</v>
      </c>
      <c r="DE92" t="s">
        <v>192</v>
      </c>
      <c r="DH92" t="s">
        <v>173</v>
      </c>
      <c r="DI92" t="s">
        <v>186</v>
      </c>
      <c r="DJ92" t="s">
        <v>192</v>
      </c>
      <c r="DL92" t="s">
        <v>192</v>
      </c>
      <c r="DO92" t="s">
        <v>192</v>
      </c>
      <c r="DR92" t="s">
        <v>192</v>
      </c>
      <c r="DU92" t="s">
        <v>173</v>
      </c>
      <c r="DV92" t="s">
        <v>173</v>
      </c>
      <c r="DW92" t="s">
        <v>191</v>
      </c>
      <c r="DX92" t="s">
        <v>192</v>
      </c>
      <c r="EA92" t="s">
        <v>192</v>
      </c>
      <c r="ED92" t="s">
        <v>173</v>
      </c>
      <c r="EE92" t="s">
        <v>173</v>
      </c>
      <c r="EF92" t="s">
        <v>188</v>
      </c>
      <c r="EG92" t="s">
        <v>192</v>
      </c>
      <c r="EJ92" t="s">
        <v>192</v>
      </c>
      <c r="EM92" t="s">
        <v>192</v>
      </c>
      <c r="EQ92" t="s">
        <v>322</v>
      </c>
      <c r="ER92" t="s">
        <v>220</v>
      </c>
      <c r="ES92" t="s">
        <v>348</v>
      </c>
      <c r="ET92" t="s">
        <v>173</v>
      </c>
      <c r="EU92" t="s">
        <v>173</v>
      </c>
      <c r="EV92" t="s">
        <v>223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1</v>
      </c>
      <c r="FF92" t="s">
        <v>860</v>
      </c>
      <c r="FG92" t="s">
        <v>861</v>
      </c>
      <c r="FH92">
        <v>83715388</v>
      </c>
      <c r="FI92" t="s">
        <v>862</v>
      </c>
      <c r="FJ92" s="1">
        <v>45761.694849537038</v>
      </c>
      <c r="FM92" t="s">
        <v>193</v>
      </c>
      <c r="FO92" t="s">
        <v>469</v>
      </c>
      <c r="FQ92">
        <v>92</v>
      </c>
    </row>
    <row r="93" spans="1:173" x14ac:dyDescent="0.25">
      <c r="A93" s="1">
        <v>45761.48020484954</v>
      </c>
      <c r="B93" s="1">
        <v>45761.487075405093</v>
      </c>
      <c r="C93" t="s">
        <v>334</v>
      </c>
      <c r="D93">
        <v>43</v>
      </c>
      <c r="E93" s="1">
        <v>45739</v>
      </c>
      <c r="F93">
        <v>1</v>
      </c>
      <c r="G93" t="s">
        <v>462</v>
      </c>
      <c r="H93" t="s">
        <v>171</v>
      </c>
      <c r="I93" t="s">
        <v>863</v>
      </c>
      <c r="J93" t="s">
        <v>864</v>
      </c>
      <c r="K93" t="s">
        <v>173</v>
      </c>
      <c r="L93">
        <v>36</v>
      </c>
      <c r="M93" t="s">
        <v>174</v>
      </c>
      <c r="N93">
        <v>0</v>
      </c>
      <c r="O93">
        <v>0</v>
      </c>
      <c r="P93">
        <v>0</v>
      </c>
      <c r="Q93">
        <v>0</v>
      </c>
      <c r="R93" t="s">
        <v>175</v>
      </c>
      <c r="S93">
        <v>44</v>
      </c>
      <c r="T93" t="str">
        <f t="shared" si="2"/>
        <v>41 a 55</v>
      </c>
      <c r="U93" t="s">
        <v>173</v>
      </c>
      <c r="W93" t="s">
        <v>176</v>
      </c>
      <c r="Y93" t="s">
        <v>200</v>
      </c>
      <c r="Z93" t="s">
        <v>239</v>
      </c>
      <c r="AA93" t="s">
        <v>179</v>
      </c>
      <c r="AB93" t="s">
        <v>215</v>
      </c>
      <c r="AC93" t="s">
        <v>216</v>
      </c>
      <c r="AD93" t="s">
        <v>865</v>
      </c>
      <c r="AG93" t="s">
        <v>202</v>
      </c>
      <c r="AH93" t="s">
        <v>244</v>
      </c>
      <c r="AI93">
        <v>0</v>
      </c>
      <c r="AJ93">
        <v>1</v>
      </c>
      <c r="AK93">
        <v>1</v>
      </c>
      <c r="AL93">
        <v>0</v>
      </c>
      <c r="AM93">
        <v>0</v>
      </c>
      <c r="AN93" t="s">
        <v>183</v>
      </c>
      <c r="AO93" t="s">
        <v>173</v>
      </c>
      <c r="AP93" t="s">
        <v>173</v>
      </c>
      <c r="AQ93" t="s">
        <v>192</v>
      </c>
      <c r="AZ93" t="s">
        <v>192</v>
      </c>
      <c r="BW93">
        <f t="shared" si="3"/>
        <v>0</v>
      </c>
      <c r="BY93" t="s">
        <v>192</v>
      </c>
      <c r="CA93" t="s">
        <v>192</v>
      </c>
      <c r="CC93" t="s">
        <v>173</v>
      </c>
      <c r="CD93" t="s">
        <v>185</v>
      </c>
      <c r="CE93" t="s">
        <v>173</v>
      </c>
      <c r="CF93" t="s">
        <v>186</v>
      </c>
      <c r="CG93" t="s">
        <v>192</v>
      </c>
      <c r="CI93" t="s">
        <v>192</v>
      </c>
      <c r="CK93" t="s">
        <v>173</v>
      </c>
      <c r="CL93" t="s">
        <v>186</v>
      </c>
      <c r="CM93" t="s">
        <v>192</v>
      </c>
      <c r="CO93" t="s">
        <v>192</v>
      </c>
      <c r="CQ93" t="s">
        <v>192</v>
      </c>
      <c r="CS93" t="s">
        <v>192</v>
      </c>
      <c r="CU93" t="s">
        <v>173</v>
      </c>
      <c r="CV93" t="s">
        <v>185</v>
      </c>
      <c r="CW93" t="s">
        <v>173</v>
      </c>
      <c r="CX93" t="s">
        <v>185</v>
      </c>
      <c r="CY93" t="s">
        <v>173</v>
      </c>
      <c r="CZ93" t="s">
        <v>185</v>
      </c>
      <c r="DA93" t="s">
        <v>192</v>
      </c>
      <c r="DC93" t="s">
        <v>192</v>
      </c>
      <c r="DE93" t="s">
        <v>192</v>
      </c>
      <c r="DH93" t="s">
        <v>173</v>
      </c>
      <c r="DI93" t="s">
        <v>187</v>
      </c>
      <c r="DJ93" t="s">
        <v>192</v>
      </c>
      <c r="DL93" t="s">
        <v>192</v>
      </c>
      <c r="DO93" t="s">
        <v>192</v>
      </c>
      <c r="DR93" t="s">
        <v>192</v>
      </c>
      <c r="DU93" t="s">
        <v>192</v>
      </c>
      <c r="DX93" t="s">
        <v>192</v>
      </c>
      <c r="EA93" t="s">
        <v>192</v>
      </c>
      <c r="ED93" t="s">
        <v>173</v>
      </c>
      <c r="EE93" t="s">
        <v>173</v>
      </c>
      <c r="EF93" t="s">
        <v>188</v>
      </c>
      <c r="EG93" t="s">
        <v>192</v>
      </c>
      <c r="EJ93" t="s">
        <v>173</v>
      </c>
      <c r="EK93" t="s">
        <v>173</v>
      </c>
      <c r="EL93" t="s">
        <v>191</v>
      </c>
      <c r="EM93" t="s">
        <v>192</v>
      </c>
      <c r="EQ93" t="s">
        <v>866</v>
      </c>
      <c r="ET93" t="s">
        <v>173</v>
      </c>
      <c r="EU93" t="s">
        <v>173</v>
      </c>
      <c r="EV93" t="s">
        <v>208</v>
      </c>
      <c r="EW93">
        <v>0</v>
      </c>
      <c r="EX93">
        <v>0</v>
      </c>
      <c r="EY93">
        <v>0</v>
      </c>
      <c r="EZ93">
        <v>0</v>
      </c>
      <c r="FA93">
        <v>1</v>
      </c>
      <c r="FB93">
        <v>0</v>
      </c>
      <c r="FC93">
        <v>0</v>
      </c>
      <c r="FD93">
        <v>0</v>
      </c>
      <c r="FE93">
        <v>0</v>
      </c>
      <c r="FG93" t="s">
        <v>867</v>
      </c>
      <c r="FH93">
        <v>83715391</v>
      </c>
      <c r="FI93" t="s">
        <v>868</v>
      </c>
      <c r="FJ93" s="1">
        <v>45761.695428240739</v>
      </c>
      <c r="FM93" t="s">
        <v>193</v>
      </c>
      <c r="FO93" t="s">
        <v>469</v>
      </c>
      <c r="FQ93">
        <v>93</v>
      </c>
    </row>
    <row r="94" spans="1:173" x14ac:dyDescent="0.25">
      <c r="A94" s="1">
        <v>45761.487075844911</v>
      </c>
      <c r="B94" s="1">
        <v>45761.493616412037</v>
      </c>
      <c r="C94" t="s">
        <v>334</v>
      </c>
      <c r="D94">
        <v>41</v>
      </c>
      <c r="E94" s="1">
        <v>45739</v>
      </c>
      <c r="F94">
        <v>1</v>
      </c>
      <c r="G94" t="s">
        <v>429</v>
      </c>
      <c r="H94" t="s">
        <v>171</v>
      </c>
      <c r="I94" t="s">
        <v>590</v>
      </c>
      <c r="J94" t="s">
        <v>869</v>
      </c>
      <c r="K94" t="s">
        <v>173</v>
      </c>
      <c r="L94">
        <v>40</v>
      </c>
      <c r="M94" t="s">
        <v>174</v>
      </c>
      <c r="N94">
        <v>0</v>
      </c>
      <c r="O94">
        <v>0</v>
      </c>
      <c r="P94">
        <v>0</v>
      </c>
      <c r="Q94">
        <v>0</v>
      </c>
      <c r="R94" t="s">
        <v>251</v>
      </c>
      <c r="S94">
        <v>55</v>
      </c>
      <c r="T94" t="str">
        <f t="shared" si="2"/>
        <v>41 a 55</v>
      </c>
      <c r="U94" t="s">
        <v>173</v>
      </c>
      <c r="W94" t="s">
        <v>176</v>
      </c>
      <c r="Y94" t="s">
        <v>200</v>
      </c>
      <c r="Z94" t="s">
        <v>178</v>
      </c>
      <c r="AA94" t="s">
        <v>240</v>
      </c>
      <c r="AB94" t="s">
        <v>189</v>
      </c>
      <c r="AC94" t="s">
        <v>202</v>
      </c>
      <c r="AD94" t="s">
        <v>870</v>
      </c>
      <c r="AE94" t="s">
        <v>871</v>
      </c>
      <c r="AF94" t="s">
        <v>872</v>
      </c>
      <c r="AG94" t="s">
        <v>202</v>
      </c>
      <c r="AH94" t="s">
        <v>873</v>
      </c>
      <c r="AI94">
        <v>1</v>
      </c>
      <c r="AJ94">
        <v>0</v>
      </c>
      <c r="AK94">
        <v>0</v>
      </c>
      <c r="AL94">
        <v>1</v>
      </c>
      <c r="AM94">
        <v>0</v>
      </c>
      <c r="AN94" t="s">
        <v>297</v>
      </c>
      <c r="AO94" t="s">
        <v>192</v>
      </c>
      <c r="AP94" t="s">
        <v>173</v>
      </c>
      <c r="AQ94" t="s">
        <v>189</v>
      </c>
      <c r="AZ94" t="s">
        <v>192</v>
      </c>
      <c r="BW94">
        <f t="shared" si="3"/>
        <v>0</v>
      </c>
      <c r="BY94" t="s">
        <v>192</v>
      </c>
      <c r="CA94" t="s">
        <v>192</v>
      </c>
      <c r="CC94" t="s">
        <v>192</v>
      </c>
      <c r="CE94" t="s">
        <v>173</v>
      </c>
      <c r="CF94" t="s">
        <v>186</v>
      </c>
      <c r="CG94" t="s">
        <v>189</v>
      </c>
      <c r="CI94" t="s">
        <v>192</v>
      </c>
      <c r="CK94" t="s">
        <v>173</v>
      </c>
      <c r="CL94" t="s">
        <v>185</v>
      </c>
      <c r="CM94" t="s">
        <v>192</v>
      </c>
      <c r="CO94" t="s">
        <v>192</v>
      </c>
      <c r="CQ94" t="s">
        <v>192</v>
      </c>
      <c r="CS94" t="s">
        <v>192</v>
      </c>
      <c r="CU94" t="s">
        <v>192</v>
      </c>
      <c r="CW94" t="s">
        <v>173</v>
      </c>
      <c r="CX94" t="s">
        <v>185</v>
      </c>
      <c r="CY94" t="s">
        <v>192</v>
      </c>
      <c r="DA94" t="s">
        <v>192</v>
      </c>
      <c r="DC94" t="s">
        <v>192</v>
      </c>
      <c r="DE94" t="s">
        <v>192</v>
      </c>
      <c r="DH94" t="s">
        <v>173</v>
      </c>
      <c r="DI94" t="s">
        <v>186</v>
      </c>
      <c r="DJ94" t="s">
        <v>192</v>
      </c>
      <c r="DL94" t="s">
        <v>173</v>
      </c>
      <c r="DM94" t="s">
        <v>192</v>
      </c>
      <c r="DO94" t="s">
        <v>192</v>
      </c>
      <c r="DR94" t="s">
        <v>192</v>
      </c>
      <c r="DU94" t="s">
        <v>173</v>
      </c>
      <c r="DV94" t="s">
        <v>173</v>
      </c>
      <c r="DW94" t="s">
        <v>188</v>
      </c>
      <c r="DX94" t="s">
        <v>192</v>
      </c>
      <c r="EA94" t="s">
        <v>173</v>
      </c>
      <c r="EB94" t="s">
        <v>173</v>
      </c>
      <c r="EC94" t="s">
        <v>191</v>
      </c>
      <c r="ED94" t="s">
        <v>173</v>
      </c>
      <c r="EE94" t="s">
        <v>173</v>
      </c>
      <c r="EF94" t="s">
        <v>188</v>
      </c>
      <c r="EG94" t="s">
        <v>173</v>
      </c>
      <c r="EH94" t="s">
        <v>173</v>
      </c>
      <c r="EI94" t="s">
        <v>188</v>
      </c>
      <c r="EJ94" t="s">
        <v>173</v>
      </c>
      <c r="EK94" t="s">
        <v>173</v>
      </c>
      <c r="EL94" t="s">
        <v>188</v>
      </c>
      <c r="EM94" t="s">
        <v>192</v>
      </c>
      <c r="EQ94" t="s">
        <v>322</v>
      </c>
      <c r="ER94" t="s">
        <v>360</v>
      </c>
      <c r="ES94" t="s">
        <v>874</v>
      </c>
      <c r="ET94" t="s">
        <v>173</v>
      </c>
      <c r="EU94" t="s">
        <v>173</v>
      </c>
      <c r="EV94" t="s">
        <v>223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1</v>
      </c>
      <c r="FF94" t="s">
        <v>875</v>
      </c>
      <c r="FG94" t="s">
        <v>876</v>
      </c>
      <c r="FH94">
        <v>83715958</v>
      </c>
      <c r="FI94" t="s">
        <v>877</v>
      </c>
      <c r="FJ94" s="1">
        <v>45761.701967592591</v>
      </c>
      <c r="FM94" t="s">
        <v>193</v>
      </c>
      <c r="FO94" t="s">
        <v>469</v>
      </c>
      <c r="FQ94">
        <v>94</v>
      </c>
    </row>
    <row r="95" spans="1:173" x14ac:dyDescent="0.25">
      <c r="A95" s="1">
        <v>45761.493616840278</v>
      </c>
      <c r="B95" s="1">
        <v>45761.496201979156</v>
      </c>
      <c r="C95" t="s">
        <v>334</v>
      </c>
      <c r="D95">
        <v>40</v>
      </c>
      <c r="E95" s="1">
        <v>45739</v>
      </c>
      <c r="F95">
        <v>1</v>
      </c>
      <c r="G95" t="s">
        <v>438</v>
      </c>
      <c r="H95" t="s">
        <v>171</v>
      </c>
      <c r="I95" t="s">
        <v>878</v>
      </c>
      <c r="J95" t="s">
        <v>879</v>
      </c>
      <c r="K95" t="s">
        <v>173</v>
      </c>
      <c r="L95">
        <v>20</v>
      </c>
      <c r="M95" t="s">
        <v>174</v>
      </c>
      <c r="N95">
        <v>0</v>
      </c>
      <c r="O95">
        <v>0</v>
      </c>
      <c r="P95">
        <v>0</v>
      </c>
      <c r="Q95">
        <v>0</v>
      </c>
      <c r="R95" t="s">
        <v>251</v>
      </c>
      <c r="S95">
        <v>62</v>
      </c>
      <c r="T95" t="str">
        <f t="shared" si="2"/>
        <v>56 a más</v>
      </c>
      <c r="U95" t="s">
        <v>173</v>
      </c>
      <c r="W95" t="s">
        <v>176</v>
      </c>
      <c r="Y95" t="s">
        <v>177</v>
      </c>
      <c r="Z95" t="s">
        <v>239</v>
      </c>
      <c r="AA95" t="s">
        <v>179</v>
      </c>
      <c r="AB95" t="s">
        <v>189</v>
      </c>
      <c r="AC95" t="s">
        <v>202</v>
      </c>
      <c r="AD95" t="s">
        <v>709</v>
      </c>
      <c r="AG95" t="s">
        <v>202</v>
      </c>
      <c r="AH95" t="s">
        <v>204</v>
      </c>
      <c r="AI95">
        <v>0</v>
      </c>
      <c r="AJ95">
        <v>1</v>
      </c>
      <c r="AK95">
        <v>0</v>
      </c>
      <c r="AL95">
        <v>0</v>
      </c>
      <c r="AM95">
        <v>0</v>
      </c>
      <c r="AN95" t="s">
        <v>297</v>
      </c>
      <c r="AO95" t="s">
        <v>192</v>
      </c>
      <c r="AP95" t="s">
        <v>192</v>
      </c>
      <c r="AQ95" t="s">
        <v>173</v>
      </c>
      <c r="AR95" t="s">
        <v>308</v>
      </c>
      <c r="AS95">
        <v>0</v>
      </c>
      <c r="AT95">
        <v>0</v>
      </c>
      <c r="AU95">
        <v>1</v>
      </c>
      <c r="AV95">
        <v>0</v>
      </c>
      <c r="AW95">
        <v>0</v>
      </c>
      <c r="AX95">
        <v>0</v>
      </c>
      <c r="AZ95" t="s">
        <v>192</v>
      </c>
      <c r="BW95">
        <f t="shared" si="3"/>
        <v>0</v>
      </c>
      <c r="BY95" t="s">
        <v>192</v>
      </c>
      <c r="CA95" t="s">
        <v>192</v>
      </c>
      <c r="CC95" t="s">
        <v>173</v>
      </c>
      <c r="CD95" t="s">
        <v>186</v>
      </c>
      <c r="CE95" t="s">
        <v>173</v>
      </c>
      <c r="CF95" t="s">
        <v>186</v>
      </c>
      <c r="CG95" t="s">
        <v>173</v>
      </c>
      <c r="CH95" t="s">
        <v>186</v>
      </c>
      <c r="CI95" t="s">
        <v>173</v>
      </c>
      <c r="CJ95" t="s">
        <v>185</v>
      </c>
      <c r="CK95" t="s">
        <v>192</v>
      </c>
      <c r="CM95" t="s">
        <v>192</v>
      </c>
      <c r="CO95" t="s">
        <v>192</v>
      </c>
      <c r="CQ95" t="s">
        <v>173</v>
      </c>
      <c r="CR95" t="s">
        <v>185</v>
      </c>
      <c r="CS95" t="s">
        <v>173</v>
      </c>
      <c r="CT95" t="s">
        <v>185</v>
      </c>
      <c r="CU95" t="s">
        <v>173</v>
      </c>
      <c r="CV95" t="s">
        <v>187</v>
      </c>
      <c r="CW95" t="s">
        <v>173</v>
      </c>
      <c r="CX95" t="s">
        <v>185</v>
      </c>
      <c r="CY95" t="s">
        <v>192</v>
      </c>
      <c r="DA95" t="s">
        <v>192</v>
      </c>
      <c r="DC95" t="s">
        <v>192</v>
      </c>
      <c r="DE95" t="s">
        <v>192</v>
      </c>
      <c r="DH95" t="s">
        <v>173</v>
      </c>
      <c r="DI95" t="s">
        <v>187</v>
      </c>
      <c r="DJ95" t="s">
        <v>192</v>
      </c>
      <c r="DL95" t="s">
        <v>173</v>
      </c>
      <c r="DM95" t="s">
        <v>192</v>
      </c>
      <c r="DO95" t="s">
        <v>192</v>
      </c>
      <c r="DR95" t="s">
        <v>192</v>
      </c>
      <c r="DU95" t="s">
        <v>173</v>
      </c>
      <c r="DV95" t="s">
        <v>192</v>
      </c>
      <c r="DX95" t="s">
        <v>192</v>
      </c>
      <c r="EA95" t="s">
        <v>192</v>
      </c>
      <c r="ED95" t="s">
        <v>173</v>
      </c>
      <c r="EE95" t="s">
        <v>173</v>
      </c>
      <c r="EF95" t="s">
        <v>191</v>
      </c>
      <c r="EG95" t="s">
        <v>173</v>
      </c>
      <c r="EH95" t="s">
        <v>173</v>
      </c>
      <c r="EI95" t="s">
        <v>191</v>
      </c>
      <c r="EJ95" t="s">
        <v>173</v>
      </c>
      <c r="EK95" t="s">
        <v>192</v>
      </c>
      <c r="EM95" t="s">
        <v>192</v>
      </c>
      <c r="EQ95" t="s">
        <v>349</v>
      </c>
      <c r="ET95" t="s">
        <v>173</v>
      </c>
      <c r="EU95" t="s">
        <v>173</v>
      </c>
      <c r="EV95" t="s">
        <v>223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1</v>
      </c>
      <c r="FF95" t="s">
        <v>880</v>
      </c>
      <c r="FH95">
        <v>83716527</v>
      </c>
      <c r="FI95" t="s">
        <v>881</v>
      </c>
      <c r="FJ95" s="1">
        <v>45761.70453703704</v>
      </c>
      <c r="FM95" t="s">
        <v>193</v>
      </c>
      <c r="FO95" t="s">
        <v>469</v>
      </c>
      <c r="FQ95">
        <v>95</v>
      </c>
    </row>
    <row r="96" spans="1:173" x14ac:dyDescent="0.25">
      <c r="A96" s="1">
        <v>45761.496202453702</v>
      </c>
      <c r="B96" s="1">
        <v>45761.499503171297</v>
      </c>
      <c r="C96" t="s">
        <v>334</v>
      </c>
      <c r="D96">
        <v>39</v>
      </c>
      <c r="E96" s="1">
        <v>45739</v>
      </c>
      <c r="F96">
        <v>1</v>
      </c>
      <c r="G96" t="s">
        <v>882</v>
      </c>
      <c r="H96" t="s">
        <v>171</v>
      </c>
      <c r="I96" t="s">
        <v>590</v>
      </c>
      <c r="J96" t="s">
        <v>869</v>
      </c>
      <c r="K96" t="s">
        <v>173</v>
      </c>
      <c r="L96">
        <v>9</v>
      </c>
      <c r="M96" t="s">
        <v>174</v>
      </c>
      <c r="N96">
        <v>0</v>
      </c>
      <c r="O96">
        <v>0</v>
      </c>
      <c r="P96">
        <v>0</v>
      </c>
      <c r="Q96">
        <v>0</v>
      </c>
      <c r="R96" t="s">
        <v>251</v>
      </c>
      <c r="S96">
        <v>40</v>
      </c>
      <c r="T96" t="str">
        <f t="shared" si="2"/>
        <v>26 a 40</v>
      </c>
      <c r="U96" t="s">
        <v>173</v>
      </c>
      <c r="W96" t="s">
        <v>176</v>
      </c>
      <c r="Y96" t="s">
        <v>200</v>
      </c>
      <c r="Z96" t="s">
        <v>178</v>
      </c>
      <c r="AA96" t="s">
        <v>179</v>
      </c>
      <c r="AB96" t="s">
        <v>215</v>
      </c>
      <c r="AC96" t="s">
        <v>339</v>
      </c>
      <c r="AD96" t="s">
        <v>883</v>
      </c>
      <c r="AE96" t="s">
        <v>884</v>
      </c>
      <c r="AF96" t="s">
        <v>885</v>
      </c>
      <c r="AG96" t="s">
        <v>216</v>
      </c>
      <c r="AH96" t="s">
        <v>244</v>
      </c>
      <c r="AI96">
        <v>0</v>
      </c>
      <c r="AJ96">
        <v>1</v>
      </c>
      <c r="AK96">
        <v>1</v>
      </c>
      <c r="AL96">
        <v>0</v>
      </c>
      <c r="AM96">
        <v>0</v>
      </c>
      <c r="AN96" t="s">
        <v>183</v>
      </c>
      <c r="AO96" t="s">
        <v>173</v>
      </c>
      <c r="AP96" t="s">
        <v>173</v>
      </c>
      <c r="AQ96" t="s">
        <v>173</v>
      </c>
      <c r="AR96" t="s">
        <v>815</v>
      </c>
      <c r="AS96">
        <v>0</v>
      </c>
      <c r="AT96">
        <v>1</v>
      </c>
      <c r="AU96">
        <v>1</v>
      </c>
      <c r="AV96">
        <v>0</v>
      </c>
      <c r="AW96">
        <v>0</v>
      </c>
      <c r="AX96">
        <v>0</v>
      </c>
      <c r="AZ96" t="s">
        <v>173</v>
      </c>
      <c r="BA96" t="s">
        <v>254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L96">
        <v>0</v>
      </c>
      <c r="BP96" t="s">
        <v>192</v>
      </c>
      <c r="BW96">
        <f t="shared" si="3"/>
        <v>1</v>
      </c>
      <c r="BY96" t="s">
        <v>173</v>
      </c>
      <c r="BZ96" t="s">
        <v>185</v>
      </c>
      <c r="CA96" t="s">
        <v>192</v>
      </c>
      <c r="CC96" t="s">
        <v>173</v>
      </c>
      <c r="CD96" t="s">
        <v>185</v>
      </c>
      <c r="CE96" t="s">
        <v>173</v>
      </c>
      <c r="CF96" t="s">
        <v>185</v>
      </c>
      <c r="CG96" t="s">
        <v>173</v>
      </c>
      <c r="CH96" t="s">
        <v>185</v>
      </c>
      <c r="CI96" t="s">
        <v>173</v>
      </c>
      <c r="CJ96" t="s">
        <v>185</v>
      </c>
      <c r="CK96" t="s">
        <v>173</v>
      </c>
      <c r="CL96" t="s">
        <v>185</v>
      </c>
      <c r="CM96" t="s">
        <v>173</v>
      </c>
      <c r="CN96" t="s">
        <v>186</v>
      </c>
      <c r="CO96" t="s">
        <v>192</v>
      </c>
      <c r="CQ96" t="s">
        <v>173</v>
      </c>
      <c r="CR96" t="s">
        <v>186</v>
      </c>
      <c r="CS96" t="s">
        <v>173</v>
      </c>
      <c r="CT96" t="s">
        <v>186</v>
      </c>
      <c r="CU96" t="s">
        <v>173</v>
      </c>
      <c r="CV96" t="s">
        <v>185</v>
      </c>
      <c r="CW96" t="s">
        <v>173</v>
      </c>
      <c r="CX96" t="s">
        <v>185</v>
      </c>
      <c r="CY96" t="s">
        <v>173</v>
      </c>
      <c r="CZ96" t="s">
        <v>185</v>
      </c>
      <c r="DA96" t="s">
        <v>192</v>
      </c>
      <c r="DC96" t="s">
        <v>173</v>
      </c>
      <c r="DD96" t="s">
        <v>185</v>
      </c>
      <c r="DE96" t="s">
        <v>192</v>
      </c>
      <c r="DH96" t="s">
        <v>173</v>
      </c>
      <c r="DI96" t="s">
        <v>187</v>
      </c>
      <c r="DJ96" t="s">
        <v>192</v>
      </c>
      <c r="DL96" t="s">
        <v>192</v>
      </c>
      <c r="DO96" t="s">
        <v>192</v>
      </c>
      <c r="DR96" t="s">
        <v>192</v>
      </c>
      <c r="DU96" t="s">
        <v>192</v>
      </c>
      <c r="DX96" t="s">
        <v>192</v>
      </c>
      <c r="EA96" t="s">
        <v>173</v>
      </c>
      <c r="EB96" t="s">
        <v>173</v>
      </c>
      <c r="EC96" t="s">
        <v>191</v>
      </c>
      <c r="ED96" t="s">
        <v>173</v>
      </c>
      <c r="EE96" t="s">
        <v>173</v>
      </c>
      <c r="EF96" t="s">
        <v>188</v>
      </c>
      <c r="EG96" t="s">
        <v>173</v>
      </c>
      <c r="EH96" t="s">
        <v>192</v>
      </c>
      <c r="EJ96" t="s">
        <v>173</v>
      </c>
      <c r="EK96" t="s">
        <v>192</v>
      </c>
      <c r="EM96" t="s">
        <v>192</v>
      </c>
      <c r="EQ96" t="s">
        <v>548</v>
      </c>
      <c r="ER96" t="s">
        <v>886</v>
      </c>
      <c r="ET96" t="s">
        <v>173</v>
      </c>
      <c r="EU96" t="s">
        <v>173</v>
      </c>
      <c r="EV96" t="s">
        <v>223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1</v>
      </c>
      <c r="FF96" t="s">
        <v>887</v>
      </c>
      <c r="FH96">
        <v>83716836</v>
      </c>
      <c r="FI96" t="s">
        <v>888</v>
      </c>
      <c r="FJ96" s="1">
        <v>45761.707835648151</v>
      </c>
      <c r="FM96" t="s">
        <v>193</v>
      </c>
      <c r="FO96" t="s">
        <v>469</v>
      </c>
      <c r="FQ96">
        <v>96</v>
      </c>
    </row>
    <row r="97" spans="1:173" x14ac:dyDescent="0.25">
      <c r="A97" s="1">
        <v>45761.499503599538</v>
      </c>
      <c r="B97" s="1">
        <v>45761.502356793979</v>
      </c>
      <c r="C97" t="s">
        <v>334</v>
      </c>
      <c r="D97">
        <v>38</v>
      </c>
      <c r="E97" s="1">
        <v>45739</v>
      </c>
      <c r="F97">
        <v>1</v>
      </c>
      <c r="G97" t="s">
        <v>429</v>
      </c>
      <c r="H97" t="s">
        <v>171</v>
      </c>
      <c r="I97" t="s">
        <v>889</v>
      </c>
      <c r="J97" t="s">
        <v>890</v>
      </c>
      <c r="K97" t="s">
        <v>173</v>
      </c>
      <c r="L97">
        <v>16</v>
      </c>
      <c r="M97" t="s">
        <v>174</v>
      </c>
      <c r="N97">
        <v>0</v>
      </c>
      <c r="O97">
        <v>0</v>
      </c>
      <c r="P97">
        <v>0</v>
      </c>
      <c r="Q97">
        <v>0</v>
      </c>
      <c r="R97" t="s">
        <v>251</v>
      </c>
      <c r="S97">
        <v>45</v>
      </c>
      <c r="T97" t="str">
        <f t="shared" si="2"/>
        <v>41 a 55</v>
      </c>
      <c r="U97" t="s">
        <v>173</v>
      </c>
      <c r="W97" t="s">
        <v>176</v>
      </c>
      <c r="Y97" t="s">
        <v>200</v>
      </c>
      <c r="Z97" t="s">
        <v>355</v>
      </c>
      <c r="AA97" t="s">
        <v>179</v>
      </c>
      <c r="AB97" t="s">
        <v>189</v>
      </c>
      <c r="AC97" t="s">
        <v>202</v>
      </c>
      <c r="AD97" t="s">
        <v>573</v>
      </c>
      <c r="AG97" t="s">
        <v>202</v>
      </c>
      <c r="AH97" t="s">
        <v>449</v>
      </c>
      <c r="AI97">
        <v>0</v>
      </c>
      <c r="AJ97">
        <v>1</v>
      </c>
      <c r="AK97">
        <v>1</v>
      </c>
      <c r="AL97">
        <v>1</v>
      </c>
      <c r="AM97">
        <v>0</v>
      </c>
      <c r="AN97" t="s">
        <v>183</v>
      </c>
      <c r="AO97" t="s">
        <v>192</v>
      </c>
      <c r="AP97" t="s">
        <v>192</v>
      </c>
      <c r="AQ97" t="s">
        <v>192</v>
      </c>
      <c r="AZ97" t="s">
        <v>192</v>
      </c>
      <c r="BW97">
        <f t="shared" si="3"/>
        <v>0</v>
      </c>
      <c r="BY97" t="s">
        <v>192</v>
      </c>
      <c r="CA97" t="s">
        <v>192</v>
      </c>
      <c r="CC97" t="s">
        <v>173</v>
      </c>
      <c r="CD97" t="s">
        <v>185</v>
      </c>
      <c r="CE97" t="s">
        <v>189</v>
      </c>
      <c r="CG97" t="s">
        <v>189</v>
      </c>
      <c r="CI97" t="s">
        <v>173</v>
      </c>
      <c r="CJ97" t="s">
        <v>185</v>
      </c>
      <c r="CK97" t="s">
        <v>192</v>
      </c>
      <c r="CM97" t="s">
        <v>192</v>
      </c>
      <c r="CO97" t="s">
        <v>192</v>
      </c>
      <c r="CQ97" t="s">
        <v>192</v>
      </c>
      <c r="CS97" t="s">
        <v>192</v>
      </c>
      <c r="CU97" t="s">
        <v>173</v>
      </c>
      <c r="CV97" t="s">
        <v>185</v>
      </c>
      <c r="CW97" t="s">
        <v>192</v>
      </c>
      <c r="CY97" t="s">
        <v>173</v>
      </c>
      <c r="CZ97" t="s">
        <v>185</v>
      </c>
      <c r="DA97" t="s">
        <v>192</v>
      </c>
      <c r="DC97" t="s">
        <v>192</v>
      </c>
      <c r="DE97" t="s">
        <v>192</v>
      </c>
      <c r="DH97" t="s">
        <v>173</v>
      </c>
      <c r="DI97" t="s">
        <v>186</v>
      </c>
      <c r="DJ97" t="s">
        <v>173</v>
      </c>
      <c r="DL97" t="s">
        <v>192</v>
      </c>
      <c r="DO97" t="s">
        <v>192</v>
      </c>
      <c r="DR97" t="s">
        <v>192</v>
      </c>
      <c r="DU97" t="s">
        <v>192</v>
      </c>
      <c r="DX97" t="s">
        <v>192</v>
      </c>
      <c r="EA97" t="s">
        <v>192</v>
      </c>
      <c r="ED97" t="s">
        <v>173</v>
      </c>
      <c r="EE97" t="s">
        <v>173</v>
      </c>
      <c r="EF97" t="s">
        <v>191</v>
      </c>
      <c r="EG97" t="s">
        <v>173</v>
      </c>
      <c r="EH97" t="s">
        <v>173</v>
      </c>
      <c r="EI97" t="s">
        <v>191</v>
      </c>
      <c r="EJ97" t="s">
        <v>192</v>
      </c>
      <c r="EM97" t="s">
        <v>192</v>
      </c>
      <c r="EQ97" t="s">
        <v>1313</v>
      </c>
      <c r="ER97" t="s">
        <v>1314</v>
      </c>
      <c r="ET97" t="s">
        <v>192</v>
      </c>
      <c r="EU97" t="s">
        <v>173</v>
      </c>
      <c r="EV97" t="s">
        <v>223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1</v>
      </c>
      <c r="FF97" t="s">
        <v>891</v>
      </c>
      <c r="FH97">
        <v>83716965</v>
      </c>
      <c r="FI97" t="s">
        <v>892</v>
      </c>
      <c r="FJ97" s="1">
        <v>45761.710706018523</v>
      </c>
      <c r="FM97" t="s">
        <v>193</v>
      </c>
      <c r="FO97" t="s">
        <v>469</v>
      </c>
      <c r="FQ97">
        <v>97</v>
      </c>
    </row>
    <row r="98" spans="1:173" x14ac:dyDescent="0.25">
      <c r="A98" s="1">
        <v>45761.502357210651</v>
      </c>
      <c r="B98" s="1">
        <v>45761.505861342594</v>
      </c>
      <c r="C98" t="s">
        <v>334</v>
      </c>
      <c r="D98">
        <v>37</v>
      </c>
      <c r="E98" s="1">
        <v>45739</v>
      </c>
      <c r="F98">
        <v>1</v>
      </c>
      <c r="G98" t="s">
        <v>462</v>
      </c>
      <c r="H98" t="s">
        <v>171</v>
      </c>
      <c r="I98" t="s">
        <v>893</v>
      </c>
      <c r="J98" t="s">
        <v>894</v>
      </c>
      <c r="K98" t="s">
        <v>173</v>
      </c>
      <c r="L98">
        <v>7</v>
      </c>
      <c r="M98" t="s">
        <v>174</v>
      </c>
      <c r="N98">
        <v>0</v>
      </c>
      <c r="O98">
        <v>0</v>
      </c>
      <c r="P98">
        <v>0</v>
      </c>
      <c r="Q98">
        <v>0</v>
      </c>
      <c r="R98" t="s">
        <v>175</v>
      </c>
      <c r="S98">
        <v>31</v>
      </c>
      <c r="T98" t="str">
        <f t="shared" si="2"/>
        <v>26 a 40</v>
      </c>
      <c r="U98" t="s">
        <v>173</v>
      </c>
      <c r="W98" t="s">
        <v>176</v>
      </c>
      <c r="Y98" t="s">
        <v>200</v>
      </c>
      <c r="Z98" t="s">
        <v>364</v>
      </c>
      <c r="AA98" t="s">
        <v>179</v>
      </c>
      <c r="AB98" t="s">
        <v>180</v>
      </c>
      <c r="AC98" t="s">
        <v>202</v>
      </c>
      <c r="AD98" t="s">
        <v>895</v>
      </c>
      <c r="AG98" t="s">
        <v>202</v>
      </c>
      <c r="AH98" t="s">
        <v>244</v>
      </c>
      <c r="AI98">
        <v>0</v>
      </c>
      <c r="AJ98">
        <v>1</v>
      </c>
      <c r="AK98">
        <v>1</v>
      </c>
      <c r="AL98">
        <v>0</v>
      </c>
      <c r="AM98">
        <v>0</v>
      </c>
      <c r="AN98" t="s">
        <v>297</v>
      </c>
      <c r="AO98" t="s">
        <v>192</v>
      </c>
      <c r="AP98" t="s">
        <v>173</v>
      </c>
      <c r="AQ98" t="s">
        <v>192</v>
      </c>
      <c r="AZ98" t="s">
        <v>192</v>
      </c>
      <c r="BW98">
        <f t="shared" si="3"/>
        <v>0</v>
      </c>
      <c r="BY98" t="s">
        <v>192</v>
      </c>
      <c r="CA98" t="s">
        <v>192</v>
      </c>
      <c r="CC98" t="s">
        <v>173</v>
      </c>
      <c r="CD98" t="s">
        <v>185</v>
      </c>
      <c r="CE98" t="s">
        <v>173</v>
      </c>
      <c r="CF98" t="s">
        <v>185</v>
      </c>
      <c r="CG98" t="s">
        <v>192</v>
      </c>
      <c r="CI98" t="s">
        <v>192</v>
      </c>
      <c r="CK98" t="s">
        <v>173</v>
      </c>
      <c r="CL98" t="s">
        <v>185</v>
      </c>
      <c r="CM98" t="s">
        <v>173</v>
      </c>
      <c r="CN98" t="s">
        <v>185</v>
      </c>
      <c r="CO98" t="s">
        <v>192</v>
      </c>
      <c r="CQ98" t="s">
        <v>192</v>
      </c>
      <c r="CS98" t="s">
        <v>192</v>
      </c>
      <c r="CU98" t="s">
        <v>192</v>
      </c>
      <c r="CW98" t="s">
        <v>192</v>
      </c>
      <c r="CY98" t="s">
        <v>173</v>
      </c>
      <c r="CZ98" t="s">
        <v>185</v>
      </c>
      <c r="DA98" t="s">
        <v>192</v>
      </c>
      <c r="DC98" t="s">
        <v>192</v>
      </c>
      <c r="DE98" t="s">
        <v>192</v>
      </c>
      <c r="DH98" t="s">
        <v>173</v>
      </c>
      <c r="DI98" t="s">
        <v>187</v>
      </c>
      <c r="DJ98" t="s">
        <v>192</v>
      </c>
      <c r="DL98" t="s">
        <v>192</v>
      </c>
      <c r="DO98" t="s">
        <v>192</v>
      </c>
      <c r="DR98" t="s">
        <v>192</v>
      </c>
      <c r="DU98" t="s">
        <v>192</v>
      </c>
      <c r="DX98" t="s">
        <v>192</v>
      </c>
      <c r="EA98" t="s">
        <v>192</v>
      </c>
      <c r="ED98" t="s">
        <v>173</v>
      </c>
      <c r="EE98" t="s">
        <v>173</v>
      </c>
      <c r="EF98" t="s">
        <v>188</v>
      </c>
      <c r="EG98" t="s">
        <v>173</v>
      </c>
      <c r="EH98" t="s">
        <v>173</v>
      </c>
      <c r="EI98" t="s">
        <v>191</v>
      </c>
      <c r="EJ98" t="s">
        <v>173</v>
      </c>
      <c r="EK98" t="s">
        <v>173</v>
      </c>
      <c r="EL98" t="s">
        <v>191</v>
      </c>
      <c r="EM98" t="s">
        <v>192</v>
      </c>
      <c r="EQ98" t="s">
        <v>896</v>
      </c>
      <c r="ET98" t="s">
        <v>173</v>
      </c>
      <c r="EU98" t="s">
        <v>173</v>
      </c>
      <c r="EV98" t="s">
        <v>223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1</v>
      </c>
      <c r="FF98" t="s">
        <v>887</v>
      </c>
      <c r="FH98">
        <v>83717161</v>
      </c>
      <c r="FI98" t="s">
        <v>897</v>
      </c>
      <c r="FJ98" s="1">
        <v>45761.714212962957</v>
      </c>
      <c r="FM98" t="s">
        <v>193</v>
      </c>
      <c r="FO98" t="s">
        <v>469</v>
      </c>
      <c r="FQ98">
        <v>98</v>
      </c>
    </row>
    <row r="99" spans="1:173" x14ac:dyDescent="0.25">
      <c r="A99" s="1">
        <v>45761.50124020833</v>
      </c>
      <c r="B99" s="1">
        <v>45761.507554733798</v>
      </c>
      <c r="C99" t="s">
        <v>171</v>
      </c>
      <c r="D99">
        <v>1</v>
      </c>
      <c r="E99" s="1">
        <v>45738</v>
      </c>
      <c r="F99">
        <v>2</v>
      </c>
      <c r="G99" t="s">
        <v>228</v>
      </c>
      <c r="H99" t="s">
        <v>336</v>
      </c>
      <c r="I99" t="s">
        <v>898</v>
      </c>
      <c r="J99" t="s">
        <v>899</v>
      </c>
      <c r="K99" t="s">
        <v>173</v>
      </c>
      <c r="L99">
        <v>25</v>
      </c>
      <c r="M99" t="s">
        <v>174</v>
      </c>
      <c r="N99">
        <v>0</v>
      </c>
      <c r="O99">
        <v>0</v>
      </c>
      <c r="P99">
        <v>0</v>
      </c>
      <c r="Q99">
        <v>0</v>
      </c>
      <c r="R99" t="s">
        <v>251</v>
      </c>
      <c r="S99">
        <v>64</v>
      </c>
      <c r="T99" t="str">
        <f t="shared" si="2"/>
        <v>56 a más</v>
      </c>
      <c r="U99" t="s">
        <v>173</v>
      </c>
      <c r="W99" t="s">
        <v>176</v>
      </c>
      <c r="Y99" t="s">
        <v>214</v>
      </c>
      <c r="Z99" t="s">
        <v>239</v>
      </c>
      <c r="AA99" t="s">
        <v>179</v>
      </c>
      <c r="AB99" t="s">
        <v>215</v>
      </c>
      <c r="AC99" t="s">
        <v>202</v>
      </c>
      <c r="AD99" t="s">
        <v>900</v>
      </c>
      <c r="AG99" t="s">
        <v>181</v>
      </c>
      <c r="AH99" t="s">
        <v>244</v>
      </c>
      <c r="AI99">
        <v>0</v>
      </c>
      <c r="AJ99">
        <v>1</v>
      </c>
      <c r="AK99">
        <v>1</v>
      </c>
      <c r="AL99">
        <v>0</v>
      </c>
      <c r="AM99">
        <v>0</v>
      </c>
      <c r="AN99" t="s">
        <v>183</v>
      </c>
      <c r="AO99" t="s">
        <v>192</v>
      </c>
      <c r="AP99" t="s">
        <v>173</v>
      </c>
      <c r="AQ99" t="s">
        <v>173</v>
      </c>
      <c r="AR99" t="s">
        <v>308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0</v>
      </c>
      <c r="AZ99" t="s">
        <v>173</v>
      </c>
      <c r="BA99" t="s">
        <v>418</v>
      </c>
      <c r="BB99">
        <v>1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L99">
        <v>0</v>
      </c>
      <c r="BO99" t="s">
        <v>173</v>
      </c>
      <c r="BW99">
        <f t="shared" si="3"/>
        <v>0</v>
      </c>
      <c r="BY99" t="s">
        <v>173</v>
      </c>
      <c r="BZ99" t="s">
        <v>186</v>
      </c>
      <c r="CA99" t="s">
        <v>192</v>
      </c>
      <c r="CC99" t="s">
        <v>192</v>
      </c>
      <c r="CE99" t="s">
        <v>173</v>
      </c>
      <c r="CF99" t="s">
        <v>185</v>
      </c>
      <c r="CG99" t="s">
        <v>192</v>
      </c>
      <c r="CI99" t="s">
        <v>192</v>
      </c>
      <c r="CK99" t="s">
        <v>173</v>
      </c>
      <c r="CL99" t="s">
        <v>185</v>
      </c>
      <c r="CM99" t="s">
        <v>192</v>
      </c>
      <c r="CO99" t="s">
        <v>192</v>
      </c>
      <c r="CQ99" t="s">
        <v>192</v>
      </c>
      <c r="CS99" t="s">
        <v>189</v>
      </c>
      <c r="CU99" t="s">
        <v>173</v>
      </c>
      <c r="CV99" t="s">
        <v>185</v>
      </c>
      <c r="CW99" t="s">
        <v>173</v>
      </c>
      <c r="CX99" t="s">
        <v>185</v>
      </c>
      <c r="CY99" t="s">
        <v>173</v>
      </c>
      <c r="CZ99" t="s">
        <v>185</v>
      </c>
      <c r="DA99" t="s">
        <v>192</v>
      </c>
      <c r="DC99" t="s">
        <v>192</v>
      </c>
      <c r="DE99" t="s">
        <v>192</v>
      </c>
      <c r="DH99" t="s">
        <v>173</v>
      </c>
      <c r="DI99" t="s">
        <v>186</v>
      </c>
      <c r="DJ99" t="s">
        <v>192</v>
      </c>
      <c r="DL99" t="s">
        <v>173</v>
      </c>
      <c r="DM99" t="s">
        <v>192</v>
      </c>
      <c r="DO99" t="s">
        <v>173</v>
      </c>
      <c r="DP99" t="s">
        <v>192</v>
      </c>
      <c r="DR99" t="s">
        <v>192</v>
      </c>
      <c r="DU99" t="s">
        <v>173</v>
      </c>
      <c r="DV99" t="s">
        <v>192</v>
      </c>
      <c r="DX99" t="s">
        <v>192</v>
      </c>
      <c r="EA99" t="s">
        <v>192</v>
      </c>
      <c r="ED99" t="s">
        <v>173</v>
      </c>
      <c r="EE99" t="s">
        <v>173</v>
      </c>
      <c r="EF99" t="s">
        <v>191</v>
      </c>
      <c r="EG99" t="s">
        <v>173</v>
      </c>
      <c r="EH99" t="s">
        <v>192</v>
      </c>
      <c r="EJ99" t="s">
        <v>192</v>
      </c>
      <c r="EM99" t="s">
        <v>192</v>
      </c>
      <c r="EQ99" t="s">
        <v>901</v>
      </c>
      <c r="ET99" t="s">
        <v>173</v>
      </c>
      <c r="EU99" t="s">
        <v>173</v>
      </c>
      <c r="EV99" t="s">
        <v>208</v>
      </c>
      <c r="EW99">
        <v>0</v>
      </c>
      <c r="EX99">
        <v>0</v>
      </c>
      <c r="EY99">
        <v>0</v>
      </c>
      <c r="EZ99">
        <v>0</v>
      </c>
      <c r="FA99">
        <v>1</v>
      </c>
      <c r="FB99">
        <v>0</v>
      </c>
      <c r="FC99">
        <v>0</v>
      </c>
      <c r="FD99">
        <v>0</v>
      </c>
      <c r="FE99">
        <v>0</v>
      </c>
      <c r="FH99">
        <v>83717527</v>
      </c>
      <c r="FI99" t="s">
        <v>902</v>
      </c>
      <c r="FJ99" s="1">
        <v>45761.715902777767</v>
      </c>
      <c r="FM99" t="s">
        <v>193</v>
      </c>
      <c r="FO99" t="s">
        <v>469</v>
      </c>
      <c r="FQ99">
        <v>99</v>
      </c>
    </row>
    <row r="100" spans="1:173" x14ac:dyDescent="0.25">
      <c r="A100" s="1">
        <v>45761.505861805563</v>
      </c>
      <c r="B100" s="1">
        <v>45761.509099062503</v>
      </c>
      <c r="C100" t="s">
        <v>334</v>
      </c>
      <c r="D100">
        <v>36</v>
      </c>
      <c r="E100" s="1">
        <v>45739</v>
      </c>
      <c r="F100">
        <v>1</v>
      </c>
      <c r="G100" t="s">
        <v>429</v>
      </c>
      <c r="H100" t="s">
        <v>171</v>
      </c>
      <c r="I100" t="s">
        <v>903</v>
      </c>
      <c r="J100" t="s">
        <v>904</v>
      </c>
      <c r="K100" t="s">
        <v>173</v>
      </c>
      <c r="L100">
        <v>10</v>
      </c>
      <c r="M100" t="s">
        <v>174</v>
      </c>
      <c r="N100">
        <v>0</v>
      </c>
      <c r="O100">
        <v>0</v>
      </c>
      <c r="P100">
        <v>0</v>
      </c>
      <c r="Q100">
        <v>0</v>
      </c>
      <c r="R100" t="s">
        <v>251</v>
      </c>
      <c r="S100">
        <v>64</v>
      </c>
      <c r="T100" t="str">
        <f t="shared" si="2"/>
        <v>56 a más</v>
      </c>
      <c r="U100" t="s">
        <v>173</v>
      </c>
      <c r="W100" t="s">
        <v>176</v>
      </c>
      <c r="Y100" t="s">
        <v>263</v>
      </c>
      <c r="Z100" t="s">
        <v>239</v>
      </c>
      <c r="AA100" t="s">
        <v>179</v>
      </c>
      <c r="AB100" t="s">
        <v>189</v>
      </c>
      <c r="AC100" t="s">
        <v>216</v>
      </c>
      <c r="AD100" t="s">
        <v>305</v>
      </c>
      <c r="AE100" t="s">
        <v>905</v>
      </c>
      <c r="AG100" t="s">
        <v>216</v>
      </c>
      <c r="AH100" t="s">
        <v>449</v>
      </c>
      <c r="AI100">
        <v>0</v>
      </c>
      <c r="AJ100">
        <v>1</v>
      </c>
      <c r="AK100">
        <v>1</v>
      </c>
      <c r="AL100">
        <v>1</v>
      </c>
      <c r="AM100">
        <v>0</v>
      </c>
      <c r="AN100" t="s">
        <v>183</v>
      </c>
      <c r="AO100" t="s">
        <v>192</v>
      </c>
      <c r="AP100" t="s">
        <v>192</v>
      </c>
      <c r="AQ100" t="s">
        <v>173</v>
      </c>
      <c r="AR100" t="s">
        <v>298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 t="s">
        <v>906</v>
      </c>
      <c r="AZ100" t="s">
        <v>192</v>
      </c>
      <c r="BW100">
        <f t="shared" si="3"/>
        <v>0</v>
      </c>
      <c r="BY100" t="s">
        <v>192</v>
      </c>
      <c r="CA100" t="s">
        <v>192</v>
      </c>
      <c r="CC100" t="s">
        <v>173</v>
      </c>
      <c r="CD100" t="s">
        <v>186</v>
      </c>
      <c r="CE100" t="s">
        <v>192</v>
      </c>
      <c r="CG100" t="s">
        <v>189</v>
      </c>
      <c r="CI100" t="s">
        <v>173</v>
      </c>
      <c r="CJ100" t="s">
        <v>185</v>
      </c>
      <c r="CK100" t="s">
        <v>192</v>
      </c>
      <c r="CM100" t="s">
        <v>173</v>
      </c>
      <c r="CN100" t="s">
        <v>185</v>
      </c>
      <c r="CO100" t="s">
        <v>192</v>
      </c>
      <c r="CQ100" t="s">
        <v>173</v>
      </c>
      <c r="CR100" t="s">
        <v>185</v>
      </c>
      <c r="CS100" t="s">
        <v>173</v>
      </c>
      <c r="CT100" t="s">
        <v>185</v>
      </c>
      <c r="CU100" t="s">
        <v>192</v>
      </c>
      <c r="CW100" t="s">
        <v>173</v>
      </c>
      <c r="CX100" t="s">
        <v>185</v>
      </c>
      <c r="CY100" t="s">
        <v>192</v>
      </c>
      <c r="DA100" t="s">
        <v>192</v>
      </c>
      <c r="DC100" t="s">
        <v>192</v>
      </c>
      <c r="DE100" t="s">
        <v>192</v>
      </c>
      <c r="DH100" t="s">
        <v>173</v>
      </c>
      <c r="DI100" t="s">
        <v>187</v>
      </c>
      <c r="DJ100" t="s">
        <v>173</v>
      </c>
      <c r="DL100" t="s">
        <v>173</v>
      </c>
      <c r="DM100" t="s">
        <v>173</v>
      </c>
      <c r="DN100" t="s">
        <v>191</v>
      </c>
      <c r="DO100" t="s">
        <v>192</v>
      </c>
      <c r="DR100" t="s">
        <v>192</v>
      </c>
      <c r="DU100" t="s">
        <v>173</v>
      </c>
      <c r="DV100" t="s">
        <v>173</v>
      </c>
      <c r="DW100" t="s">
        <v>188</v>
      </c>
      <c r="DX100" t="s">
        <v>173</v>
      </c>
      <c r="DY100" t="s">
        <v>173</v>
      </c>
      <c r="DZ100" t="s">
        <v>191</v>
      </c>
      <c r="EA100" t="s">
        <v>173</v>
      </c>
      <c r="EB100" t="s">
        <v>173</v>
      </c>
      <c r="EC100" t="s">
        <v>191</v>
      </c>
      <c r="ED100" t="s">
        <v>173</v>
      </c>
      <c r="EE100" t="s">
        <v>173</v>
      </c>
      <c r="EF100" t="s">
        <v>188</v>
      </c>
      <c r="EG100" t="s">
        <v>173</v>
      </c>
      <c r="EH100" t="s">
        <v>173</v>
      </c>
      <c r="EI100" t="s">
        <v>191</v>
      </c>
      <c r="EJ100" t="s">
        <v>173</v>
      </c>
      <c r="EK100" t="s">
        <v>192</v>
      </c>
      <c r="EM100" t="s">
        <v>192</v>
      </c>
      <c r="EQ100" t="s">
        <v>907</v>
      </c>
      <c r="ER100" t="s">
        <v>908</v>
      </c>
      <c r="ET100" t="s">
        <v>173</v>
      </c>
      <c r="EU100" t="s">
        <v>173</v>
      </c>
      <c r="EV100" t="s">
        <v>247</v>
      </c>
      <c r="EW100">
        <v>0</v>
      </c>
      <c r="EX100">
        <v>1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H100">
        <v>83717646</v>
      </c>
      <c r="FI100" t="s">
        <v>909</v>
      </c>
      <c r="FJ100" s="1">
        <v>45761.717442129629</v>
      </c>
      <c r="FM100" t="s">
        <v>193</v>
      </c>
      <c r="FO100" t="s">
        <v>469</v>
      </c>
      <c r="FQ100">
        <v>100</v>
      </c>
    </row>
    <row r="101" spans="1:173" x14ac:dyDescent="0.25">
      <c r="A101" s="1">
        <v>45761.509099525458</v>
      </c>
      <c r="B101" s="1">
        <v>45761.513057245371</v>
      </c>
      <c r="C101" t="s">
        <v>334</v>
      </c>
      <c r="D101">
        <v>34</v>
      </c>
      <c r="E101" s="1">
        <v>45739</v>
      </c>
      <c r="F101">
        <v>1</v>
      </c>
      <c r="G101" t="s">
        <v>462</v>
      </c>
      <c r="H101" t="s">
        <v>171</v>
      </c>
      <c r="I101" t="s">
        <v>910</v>
      </c>
      <c r="J101" t="s">
        <v>911</v>
      </c>
      <c r="K101" t="s">
        <v>173</v>
      </c>
      <c r="L101">
        <v>8</v>
      </c>
      <c r="M101" t="s">
        <v>174</v>
      </c>
      <c r="N101">
        <v>0</v>
      </c>
      <c r="O101">
        <v>0</v>
      </c>
      <c r="P101">
        <v>0</v>
      </c>
      <c r="Q101">
        <v>1</v>
      </c>
      <c r="R101" t="s">
        <v>175</v>
      </c>
      <c r="S101">
        <v>37</v>
      </c>
      <c r="T101" t="str">
        <f t="shared" si="2"/>
        <v>26 a 40</v>
      </c>
      <c r="U101" t="s">
        <v>173</v>
      </c>
      <c r="W101" t="s">
        <v>176</v>
      </c>
      <c r="Y101" t="s">
        <v>214</v>
      </c>
      <c r="Z101" t="s">
        <v>178</v>
      </c>
      <c r="AA101" t="s">
        <v>179</v>
      </c>
      <c r="AB101" t="s">
        <v>201</v>
      </c>
      <c r="AC101" t="s">
        <v>216</v>
      </c>
      <c r="AD101" t="s">
        <v>865</v>
      </c>
      <c r="AE101" t="s">
        <v>217</v>
      </c>
      <c r="AG101" t="s">
        <v>216</v>
      </c>
      <c r="AH101" t="s">
        <v>287</v>
      </c>
      <c r="AI101">
        <v>0</v>
      </c>
      <c r="AJ101">
        <v>0</v>
      </c>
      <c r="AK101">
        <v>0</v>
      </c>
      <c r="AL101">
        <v>0</v>
      </c>
      <c r="AM101">
        <v>1</v>
      </c>
      <c r="AN101" t="s">
        <v>183</v>
      </c>
      <c r="AO101" t="s">
        <v>192</v>
      </c>
      <c r="AP101" t="s">
        <v>173</v>
      </c>
      <c r="AQ101" t="s">
        <v>192</v>
      </c>
      <c r="AZ101" t="s">
        <v>192</v>
      </c>
      <c r="BW101">
        <f t="shared" si="3"/>
        <v>0</v>
      </c>
      <c r="BY101" t="s">
        <v>192</v>
      </c>
      <c r="CA101" t="s">
        <v>173</v>
      </c>
      <c r="CB101" t="s">
        <v>185</v>
      </c>
      <c r="CC101" t="s">
        <v>173</v>
      </c>
      <c r="CD101" t="s">
        <v>185</v>
      </c>
      <c r="CE101" t="s">
        <v>173</v>
      </c>
      <c r="CF101" t="s">
        <v>185</v>
      </c>
      <c r="CG101" t="s">
        <v>192</v>
      </c>
      <c r="CI101" t="s">
        <v>192</v>
      </c>
      <c r="CK101" t="s">
        <v>173</v>
      </c>
      <c r="CL101" t="s">
        <v>185</v>
      </c>
      <c r="CM101" t="s">
        <v>192</v>
      </c>
      <c r="CO101" t="s">
        <v>192</v>
      </c>
      <c r="CQ101" t="s">
        <v>192</v>
      </c>
      <c r="CS101" t="s">
        <v>192</v>
      </c>
      <c r="CU101" t="s">
        <v>192</v>
      </c>
      <c r="CW101" t="s">
        <v>192</v>
      </c>
      <c r="CY101" t="s">
        <v>192</v>
      </c>
      <c r="DA101" t="s">
        <v>192</v>
      </c>
      <c r="DC101" t="s">
        <v>192</v>
      </c>
      <c r="DE101" t="s">
        <v>192</v>
      </c>
      <c r="DH101" t="s">
        <v>173</v>
      </c>
      <c r="DI101" t="s">
        <v>187</v>
      </c>
      <c r="DJ101" t="s">
        <v>192</v>
      </c>
      <c r="DL101" t="s">
        <v>192</v>
      </c>
      <c r="DO101" t="s">
        <v>192</v>
      </c>
      <c r="DR101" t="s">
        <v>192</v>
      </c>
      <c r="DU101" t="s">
        <v>173</v>
      </c>
      <c r="DV101" t="s">
        <v>173</v>
      </c>
      <c r="DW101" t="s">
        <v>191</v>
      </c>
      <c r="DX101" t="s">
        <v>192</v>
      </c>
      <c r="EA101" t="s">
        <v>192</v>
      </c>
      <c r="ED101" t="s">
        <v>173</v>
      </c>
      <c r="EE101" t="s">
        <v>173</v>
      </c>
      <c r="EF101" t="s">
        <v>188</v>
      </c>
      <c r="EG101" t="s">
        <v>173</v>
      </c>
      <c r="EH101" t="s">
        <v>192</v>
      </c>
      <c r="EJ101" t="s">
        <v>192</v>
      </c>
      <c r="EM101" t="s">
        <v>192</v>
      </c>
      <c r="EQ101" t="s">
        <v>548</v>
      </c>
      <c r="ER101" t="s">
        <v>912</v>
      </c>
      <c r="ET101" t="s">
        <v>173</v>
      </c>
      <c r="EU101" t="s">
        <v>173</v>
      </c>
      <c r="EV101" t="s">
        <v>208</v>
      </c>
      <c r="EW101">
        <v>0</v>
      </c>
      <c r="EX101">
        <v>0</v>
      </c>
      <c r="EY101">
        <v>0</v>
      </c>
      <c r="EZ101">
        <v>0</v>
      </c>
      <c r="FA101">
        <v>1</v>
      </c>
      <c r="FB101">
        <v>0</v>
      </c>
      <c r="FC101">
        <v>0</v>
      </c>
      <c r="FD101">
        <v>0</v>
      </c>
      <c r="FE101">
        <v>0</v>
      </c>
      <c r="FG101" t="s">
        <v>913</v>
      </c>
      <c r="FH101">
        <v>83717924</v>
      </c>
      <c r="FI101" t="s">
        <v>914</v>
      </c>
      <c r="FJ101" s="1">
        <v>45761.721400462957</v>
      </c>
      <c r="FM101" t="s">
        <v>193</v>
      </c>
      <c r="FO101" t="s">
        <v>469</v>
      </c>
      <c r="FQ101">
        <v>101</v>
      </c>
    </row>
    <row r="102" spans="1:173" x14ac:dyDescent="0.25">
      <c r="A102" s="1">
        <v>45761.507555185177</v>
      </c>
      <c r="B102" s="1">
        <v>45761.51550652778</v>
      </c>
      <c r="C102" t="s">
        <v>171</v>
      </c>
      <c r="D102">
        <v>2</v>
      </c>
      <c r="E102" s="1">
        <v>45738</v>
      </c>
      <c r="F102">
        <v>2</v>
      </c>
      <c r="G102" t="s">
        <v>379</v>
      </c>
      <c r="H102" t="s">
        <v>336</v>
      </c>
      <c r="I102" t="s">
        <v>915</v>
      </c>
      <c r="J102" t="s">
        <v>916</v>
      </c>
      <c r="K102" t="s">
        <v>173</v>
      </c>
      <c r="L102">
        <v>33</v>
      </c>
      <c r="M102" t="s">
        <v>174</v>
      </c>
      <c r="N102">
        <v>0</v>
      </c>
      <c r="O102">
        <v>0</v>
      </c>
      <c r="P102">
        <v>0</v>
      </c>
      <c r="Q102">
        <v>0</v>
      </c>
      <c r="R102" t="s">
        <v>175</v>
      </c>
      <c r="S102">
        <v>67</v>
      </c>
      <c r="T102" t="str">
        <f t="shared" si="2"/>
        <v>56 a más</v>
      </c>
      <c r="U102" t="s">
        <v>173</v>
      </c>
      <c r="W102" t="s">
        <v>176</v>
      </c>
      <c r="Y102" t="s">
        <v>177</v>
      </c>
      <c r="Z102" t="s">
        <v>178</v>
      </c>
      <c r="AA102" t="s">
        <v>179</v>
      </c>
      <c r="AB102" t="s">
        <v>201</v>
      </c>
      <c r="AC102" t="s">
        <v>202</v>
      </c>
      <c r="AD102" t="s">
        <v>383</v>
      </c>
      <c r="AE102" t="s">
        <v>387</v>
      </c>
      <c r="AG102" t="s">
        <v>202</v>
      </c>
      <c r="AH102" t="s">
        <v>182</v>
      </c>
      <c r="AI102">
        <v>1</v>
      </c>
      <c r="AJ102">
        <v>0</v>
      </c>
      <c r="AK102">
        <v>0</v>
      </c>
      <c r="AL102">
        <v>0</v>
      </c>
      <c r="AM102">
        <v>0</v>
      </c>
      <c r="AN102" t="s">
        <v>297</v>
      </c>
      <c r="AO102" t="s">
        <v>192</v>
      </c>
      <c r="AP102" t="s">
        <v>192</v>
      </c>
      <c r="AQ102" t="s">
        <v>192</v>
      </c>
      <c r="AZ102" t="s">
        <v>192</v>
      </c>
      <c r="BW102">
        <f t="shared" si="3"/>
        <v>0</v>
      </c>
      <c r="BY102" t="s">
        <v>173</v>
      </c>
      <c r="BZ102" t="s">
        <v>186</v>
      </c>
      <c r="CA102" t="s">
        <v>192</v>
      </c>
      <c r="CC102" t="s">
        <v>192</v>
      </c>
      <c r="CE102" t="s">
        <v>192</v>
      </c>
      <c r="CG102" t="s">
        <v>192</v>
      </c>
      <c r="CI102" t="s">
        <v>192</v>
      </c>
      <c r="CK102" t="s">
        <v>192</v>
      </c>
      <c r="CM102" t="s">
        <v>173</v>
      </c>
      <c r="CN102" t="s">
        <v>186</v>
      </c>
      <c r="CO102" t="s">
        <v>192</v>
      </c>
      <c r="CQ102" t="s">
        <v>192</v>
      </c>
      <c r="CS102" t="s">
        <v>192</v>
      </c>
      <c r="CU102" t="s">
        <v>173</v>
      </c>
      <c r="CV102" t="s">
        <v>187</v>
      </c>
      <c r="CW102" t="s">
        <v>192</v>
      </c>
      <c r="CY102" t="s">
        <v>192</v>
      </c>
      <c r="DA102" t="s">
        <v>192</v>
      </c>
      <c r="DC102" t="s">
        <v>192</v>
      </c>
      <c r="DE102" t="s">
        <v>192</v>
      </c>
      <c r="DH102" t="s">
        <v>173</v>
      </c>
      <c r="DI102" t="s">
        <v>187</v>
      </c>
      <c r="DJ102" t="s">
        <v>192</v>
      </c>
      <c r="DL102" t="s">
        <v>192</v>
      </c>
      <c r="DO102" t="s">
        <v>192</v>
      </c>
      <c r="DR102" t="s">
        <v>192</v>
      </c>
      <c r="DU102" t="s">
        <v>192</v>
      </c>
      <c r="DX102" t="s">
        <v>173</v>
      </c>
      <c r="DY102" t="s">
        <v>192</v>
      </c>
      <c r="EA102" t="s">
        <v>192</v>
      </c>
      <c r="ED102" t="s">
        <v>192</v>
      </c>
      <c r="EG102" t="s">
        <v>192</v>
      </c>
      <c r="EJ102" t="s">
        <v>192</v>
      </c>
      <c r="EM102" t="s">
        <v>192</v>
      </c>
      <c r="EQ102" t="s">
        <v>917</v>
      </c>
      <c r="ER102" t="s">
        <v>918</v>
      </c>
      <c r="ES102" t="s">
        <v>919</v>
      </c>
      <c r="ET102" t="s">
        <v>192</v>
      </c>
      <c r="EU102" t="s">
        <v>192</v>
      </c>
      <c r="EV102" t="s">
        <v>452</v>
      </c>
      <c r="EW102">
        <v>0</v>
      </c>
      <c r="EX102">
        <v>1</v>
      </c>
      <c r="EY102">
        <v>0</v>
      </c>
      <c r="EZ102">
        <v>0</v>
      </c>
      <c r="FA102">
        <v>1</v>
      </c>
      <c r="FB102">
        <v>0</v>
      </c>
      <c r="FC102">
        <v>0</v>
      </c>
      <c r="FD102">
        <v>0</v>
      </c>
      <c r="FE102">
        <v>0</v>
      </c>
      <c r="FH102">
        <v>83718052</v>
      </c>
      <c r="FI102" t="s">
        <v>920</v>
      </c>
      <c r="FJ102" s="1">
        <v>45761.72384259259</v>
      </c>
      <c r="FM102" t="s">
        <v>193</v>
      </c>
      <c r="FO102" t="s">
        <v>469</v>
      </c>
      <c r="FQ102">
        <v>102</v>
      </c>
    </row>
    <row r="103" spans="1:173" x14ac:dyDescent="0.25">
      <c r="A103" s="1">
        <v>45761.513057743046</v>
      </c>
      <c r="B103" s="1">
        <v>45761.516368101853</v>
      </c>
      <c r="C103" t="s">
        <v>334</v>
      </c>
      <c r="D103">
        <v>32</v>
      </c>
      <c r="E103" s="1">
        <v>45739</v>
      </c>
      <c r="F103">
        <v>1</v>
      </c>
      <c r="G103" t="s">
        <v>438</v>
      </c>
      <c r="H103" t="s">
        <v>171</v>
      </c>
      <c r="I103" t="s">
        <v>430</v>
      </c>
      <c r="J103" t="s">
        <v>921</v>
      </c>
      <c r="K103" t="s">
        <v>173</v>
      </c>
      <c r="L103">
        <v>12</v>
      </c>
      <c r="M103" t="s">
        <v>174</v>
      </c>
      <c r="N103">
        <v>0</v>
      </c>
      <c r="O103">
        <v>0</v>
      </c>
      <c r="P103">
        <v>0</v>
      </c>
      <c r="Q103">
        <v>0</v>
      </c>
      <c r="R103" t="s">
        <v>175</v>
      </c>
      <c r="S103">
        <v>33</v>
      </c>
      <c r="T103" t="str">
        <f t="shared" si="2"/>
        <v>26 a 40</v>
      </c>
      <c r="U103" t="s">
        <v>173</v>
      </c>
      <c r="W103" t="s">
        <v>176</v>
      </c>
      <c r="Y103" t="s">
        <v>214</v>
      </c>
      <c r="Z103" t="s">
        <v>178</v>
      </c>
      <c r="AA103" t="s">
        <v>179</v>
      </c>
      <c r="AB103" t="s">
        <v>189</v>
      </c>
      <c r="AC103" t="s">
        <v>202</v>
      </c>
      <c r="AD103" t="s">
        <v>737</v>
      </c>
      <c r="AG103" t="s">
        <v>216</v>
      </c>
      <c r="AH103" t="s">
        <v>232</v>
      </c>
      <c r="AI103">
        <v>0</v>
      </c>
      <c r="AJ103">
        <v>0</v>
      </c>
      <c r="AK103">
        <v>1</v>
      </c>
      <c r="AL103">
        <v>0</v>
      </c>
      <c r="AM103">
        <v>0</v>
      </c>
      <c r="AN103" t="s">
        <v>205</v>
      </c>
      <c r="AO103" t="s">
        <v>192</v>
      </c>
      <c r="AP103" t="s">
        <v>173</v>
      </c>
      <c r="AQ103" t="s">
        <v>192</v>
      </c>
      <c r="AZ103" t="s">
        <v>192</v>
      </c>
      <c r="BW103">
        <f t="shared" si="3"/>
        <v>0</v>
      </c>
      <c r="BY103" t="s">
        <v>173</v>
      </c>
      <c r="BZ103" t="s">
        <v>185</v>
      </c>
      <c r="CA103" t="s">
        <v>173</v>
      </c>
      <c r="CB103" t="s">
        <v>185</v>
      </c>
      <c r="CC103" t="s">
        <v>173</v>
      </c>
      <c r="CD103" t="s">
        <v>187</v>
      </c>
      <c r="CE103" t="s">
        <v>173</v>
      </c>
      <c r="CF103" t="s">
        <v>186</v>
      </c>
      <c r="CG103" t="s">
        <v>173</v>
      </c>
      <c r="CH103" t="s">
        <v>186</v>
      </c>
      <c r="CI103" t="s">
        <v>173</v>
      </c>
      <c r="CJ103" t="s">
        <v>185</v>
      </c>
      <c r="CK103" t="s">
        <v>173</v>
      </c>
      <c r="CL103" t="s">
        <v>186</v>
      </c>
      <c r="CM103" t="s">
        <v>192</v>
      </c>
      <c r="CO103" t="s">
        <v>192</v>
      </c>
      <c r="CQ103" t="s">
        <v>173</v>
      </c>
      <c r="CR103" t="s">
        <v>186</v>
      </c>
      <c r="CS103" t="s">
        <v>173</v>
      </c>
      <c r="CT103" t="s">
        <v>186</v>
      </c>
      <c r="CU103" t="s">
        <v>173</v>
      </c>
      <c r="CV103" t="s">
        <v>186</v>
      </c>
      <c r="CW103" t="s">
        <v>192</v>
      </c>
      <c r="CY103" t="s">
        <v>173</v>
      </c>
      <c r="CZ103" t="s">
        <v>187</v>
      </c>
      <c r="DA103" t="s">
        <v>192</v>
      </c>
      <c r="DC103" t="s">
        <v>173</v>
      </c>
      <c r="DD103" t="s">
        <v>187</v>
      </c>
      <c r="DE103" t="s">
        <v>192</v>
      </c>
      <c r="DH103" t="s">
        <v>173</v>
      </c>
      <c r="DI103" t="s">
        <v>187</v>
      </c>
      <c r="DJ103" t="s">
        <v>192</v>
      </c>
      <c r="DL103" t="s">
        <v>173</v>
      </c>
      <c r="DM103" t="s">
        <v>173</v>
      </c>
      <c r="DN103" t="s">
        <v>191</v>
      </c>
      <c r="DO103" t="s">
        <v>173</v>
      </c>
      <c r="DP103" t="s">
        <v>192</v>
      </c>
      <c r="DR103" t="s">
        <v>192</v>
      </c>
      <c r="DU103" t="s">
        <v>173</v>
      </c>
      <c r="DV103" t="s">
        <v>173</v>
      </c>
      <c r="DW103" t="s">
        <v>191</v>
      </c>
      <c r="DX103" t="s">
        <v>192</v>
      </c>
      <c r="EA103" t="s">
        <v>192</v>
      </c>
      <c r="ED103" t="s">
        <v>173</v>
      </c>
      <c r="EE103" t="s">
        <v>173</v>
      </c>
      <c r="EF103" t="s">
        <v>191</v>
      </c>
      <c r="EG103" t="s">
        <v>173</v>
      </c>
      <c r="EH103" t="s">
        <v>192</v>
      </c>
      <c r="EJ103" t="s">
        <v>173</v>
      </c>
      <c r="EK103" t="s">
        <v>192</v>
      </c>
      <c r="EM103" t="s">
        <v>192</v>
      </c>
      <c r="EQ103" t="s">
        <v>922</v>
      </c>
      <c r="ET103" t="s">
        <v>173</v>
      </c>
      <c r="EU103" t="s">
        <v>173</v>
      </c>
      <c r="EV103" t="s">
        <v>223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1</v>
      </c>
      <c r="FF103" t="s">
        <v>923</v>
      </c>
      <c r="FH103">
        <v>83718072</v>
      </c>
      <c r="FI103" t="s">
        <v>924</v>
      </c>
      <c r="FJ103" s="1">
        <v>45761.724710648137</v>
      </c>
      <c r="FM103" t="s">
        <v>193</v>
      </c>
      <c r="FO103" t="s">
        <v>469</v>
      </c>
      <c r="FQ103">
        <v>103</v>
      </c>
    </row>
    <row r="104" spans="1:173" x14ac:dyDescent="0.25">
      <c r="A104" s="1">
        <v>45761.515507094897</v>
      </c>
      <c r="B104" s="1">
        <v>45761.518657430563</v>
      </c>
      <c r="C104" t="s">
        <v>171</v>
      </c>
      <c r="D104">
        <v>3</v>
      </c>
      <c r="E104" s="1">
        <v>45738</v>
      </c>
      <c r="F104">
        <v>2</v>
      </c>
      <c r="G104" t="s">
        <v>385</v>
      </c>
      <c r="H104" t="s">
        <v>336</v>
      </c>
      <c r="I104" t="s">
        <v>925</v>
      </c>
      <c r="J104" t="s">
        <v>926</v>
      </c>
      <c r="K104" t="s">
        <v>173</v>
      </c>
      <c r="L104">
        <v>37</v>
      </c>
      <c r="M104" t="s">
        <v>174</v>
      </c>
      <c r="N104">
        <v>0</v>
      </c>
      <c r="O104">
        <v>0</v>
      </c>
      <c r="P104">
        <v>0</v>
      </c>
      <c r="Q104">
        <v>0</v>
      </c>
      <c r="R104" t="s">
        <v>251</v>
      </c>
      <c r="S104">
        <v>83</v>
      </c>
      <c r="T104" t="str">
        <f t="shared" si="2"/>
        <v>56 a más</v>
      </c>
      <c r="U104" t="s">
        <v>173</v>
      </c>
      <c r="W104" t="s">
        <v>176</v>
      </c>
      <c r="Y104" t="s">
        <v>263</v>
      </c>
      <c r="Z104" t="s">
        <v>239</v>
      </c>
      <c r="AA104" t="s">
        <v>240</v>
      </c>
      <c r="AB104" t="s">
        <v>201</v>
      </c>
      <c r="AC104" t="s">
        <v>202</v>
      </c>
      <c r="AD104" t="s">
        <v>738</v>
      </c>
      <c r="AE104" t="s">
        <v>927</v>
      </c>
      <c r="AF104" t="s">
        <v>737</v>
      </c>
      <c r="AG104" t="s">
        <v>202</v>
      </c>
      <c r="AH104" t="s">
        <v>244</v>
      </c>
      <c r="AI104">
        <v>0</v>
      </c>
      <c r="AJ104">
        <v>1</v>
      </c>
      <c r="AK104">
        <v>1</v>
      </c>
      <c r="AL104">
        <v>0</v>
      </c>
      <c r="AM104">
        <v>0</v>
      </c>
      <c r="AN104" t="s">
        <v>183</v>
      </c>
      <c r="AO104" t="s">
        <v>192</v>
      </c>
      <c r="AP104" t="s">
        <v>192</v>
      </c>
      <c r="AQ104" t="s">
        <v>173</v>
      </c>
      <c r="AR104" t="s">
        <v>206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Z104" t="s">
        <v>173</v>
      </c>
      <c r="BA104" t="s">
        <v>254</v>
      </c>
      <c r="BB104">
        <v>0</v>
      </c>
      <c r="BC104">
        <v>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L104">
        <v>0</v>
      </c>
      <c r="BP104" t="s">
        <v>192</v>
      </c>
      <c r="BW104">
        <f t="shared" si="3"/>
        <v>1</v>
      </c>
      <c r="BY104" t="s">
        <v>192</v>
      </c>
      <c r="CA104" t="s">
        <v>173</v>
      </c>
      <c r="CB104" t="s">
        <v>185</v>
      </c>
      <c r="CC104" t="s">
        <v>173</v>
      </c>
      <c r="CD104" t="s">
        <v>187</v>
      </c>
      <c r="CE104" t="s">
        <v>173</v>
      </c>
      <c r="CF104" t="s">
        <v>185</v>
      </c>
      <c r="CG104" t="s">
        <v>173</v>
      </c>
      <c r="CH104" t="s">
        <v>186</v>
      </c>
      <c r="CI104" t="s">
        <v>192</v>
      </c>
      <c r="CK104" t="s">
        <v>173</v>
      </c>
      <c r="CL104" t="s">
        <v>185</v>
      </c>
      <c r="CM104" t="s">
        <v>192</v>
      </c>
      <c r="CO104" t="s">
        <v>192</v>
      </c>
      <c r="CQ104" t="s">
        <v>173</v>
      </c>
      <c r="CR104" t="s">
        <v>187</v>
      </c>
      <c r="CS104" t="s">
        <v>173</v>
      </c>
      <c r="CT104" t="s">
        <v>187</v>
      </c>
      <c r="CU104" t="s">
        <v>192</v>
      </c>
      <c r="CW104" t="s">
        <v>173</v>
      </c>
      <c r="CX104" t="s">
        <v>185</v>
      </c>
      <c r="CY104" t="s">
        <v>192</v>
      </c>
      <c r="DA104" t="s">
        <v>192</v>
      </c>
      <c r="DC104" t="s">
        <v>192</v>
      </c>
      <c r="DE104" t="s">
        <v>192</v>
      </c>
      <c r="DH104" t="s">
        <v>173</v>
      </c>
      <c r="DI104" t="s">
        <v>187</v>
      </c>
      <c r="DJ104" t="s">
        <v>192</v>
      </c>
      <c r="DL104" t="s">
        <v>192</v>
      </c>
      <c r="DO104" t="s">
        <v>192</v>
      </c>
      <c r="DR104" t="s">
        <v>192</v>
      </c>
      <c r="DU104" t="s">
        <v>192</v>
      </c>
      <c r="DX104" t="s">
        <v>192</v>
      </c>
      <c r="EA104" t="s">
        <v>173</v>
      </c>
      <c r="EB104" t="s">
        <v>192</v>
      </c>
      <c r="ED104" t="s">
        <v>173</v>
      </c>
      <c r="EE104" t="s">
        <v>192</v>
      </c>
      <c r="EG104" t="s">
        <v>173</v>
      </c>
      <c r="EH104" t="s">
        <v>173</v>
      </c>
      <c r="EI104" t="s">
        <v>191</v>
      </c>
      <c r="EJ104" t="s">
        <v>192</v>
      </c>
      <c r="EM104" t="s">
        <v>192</v>
      </c>
      <c r="EQ104" t="s">
        <v>221</v>
      </c>
      <c r="ER104" t="s">
        <v>833</v>
      </c>
      <c r="ES104" t="s">
        <v>349</v>
      </c>
      <c r="ET104" t="s">
        <v>173</v>
      </c>
      <c r="EU104" t="s">
        <v>173</v>
      </c>
      <c r="EV104" t="s">
        <v>208</v>
      </c>
      <c r="EW104">
        <v>0</v>
      </c>
      <c r="EX104">
        <v>0</v>
      </c>
      <c r="EY104">
        <v>0</v>
      </c>
      <c r="EZ104">
        <v>0</v>
      </c>
      <c r="FA104">
        <v>1</v>
      </c>
      <c r="FB104">
        <v>0</v>
      </c>
      <c r="FC104">
        <v>0</v>
      </c>
      <c r="FD104">
        <v>0</v>
      </c>
      <c r="FE104">
        <v>0</v>
      </c>
      <c r="FH104">
        <v>83718195</v>
      </c>
      <c r="FI104" t="s">
        <v>928</v>
      </c>
      <c r="FJ104" s="1">
        <v>45761.726990740739</v>
      </c>
      <c r="FM104" t="s">
        <v>193</v>
      </c>
      <c r="FO104" t="s">
        <v>469</v>
      </c>
      <c r="FQ104">
        <v>104</v>
      </c>
    </row>
    <row r="105" spans="1:173" x14ac:dyDescent="0.25">
      <c r="A105" s="1">
        <v>45761.516368715267</v>
      </c>
      <c r="B105" s="1">
        <v>45761.519908738417</v>
      </c>
      <c r="C105" t="s">
        <v>334</v>
      </c>
      <c r="D105">
        <v>30</v>
      </c>
      <c r="E105" s="1">
        <v>45739</v>
      </c>
      <c r="F105">
        <v>1</v>
      </c>
      <c r="G105" t="s">
        <v>429</v>
      </c>
      <c r="H105" t="s">
        <v>171</v>
      </c>
      <c r="I105" t="s">
        <v>929</v>
      </c>
      <c r="J105" t="s">
        <v>930</v>
      </c>
      <c r="K105" t="s">
        <v>173</v>
      </c>
      <c r="L105">
        <v>25</v>
      </c>
      <c r="M105" t="s">
        <v>174</v>
      </c>
      <c r="N105">
        <v>0</v>
      </c>
      <c r="O105">
        <v>0</v>
      </c>
      <c r="P105">
        <v>0</v>
      </c>
      <c r="Q105">
        <v>0</v>
      </c>
      <c r="R105" t="s">
        <v>175</v>
      </c>
      <c r="S105">
        <v>52</v>
      </c>
      <c r="T105" t="str">
        <f t="shared" si="2"/>
        <v>41 a 55</v>
      </c>
      <c r="U105" t="s">
        <v>173</v>
      </c>
      <c r="W105" t="s">
        <v>176</v>
      </c>
      <c r="Y105" t="s">
        <v>214</v>
      </c>
      <c r="Z105" t="s">
        <v>239</v>
      </c>
      <c r="AA105" t="s">
        <v>179</v>
      </c>
      <c r="AB105" t="s">
        <v>189</v>
      </c>
      <c r="AC105" t="s">
        <v>216</v>
      </c>
      <c r="AD105" t="s">
        <v>931</v>
      </c>
      <c r="AE105" t="s">
        <v>932</v>
      </c>
      <c r="AG105" t="s">
        <v>216</v>
      </c>
      <c r="AH105" t="s">
        <v>933</v>
      </c>
      <c r="AI105">
        <v>1</v>
      </c>
      <c r="AJ105">
        <v>1</v>
      </c>
      <c r="AK105">
        <v>0</v>
      </c>
      <c r="AL105">
        <v>1</v>
      </c>
      <c r="AM105">
        <v>0</v>
      </c>
      <c r="AN105" t="s">
        <v>297</v>
      </c>
      <c r="AO105" t="s">
        <v>192</v>
      </c>
      <c r="AP105" t="s">
        <v>173</v>
      </c>
      <c r="AQ105" t="s">
        <v>173</v>
      </c>
      <c r="AR105" t="s">
        <v>298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</v>
      </c>
      <c r="AY105" t="s">
        <v>934</v>
      </c>
      <c r="AZ105" t="s">
        <v>192</v>
      </c>
      <c r="BW105">
        <f t="shared" si="3"/>
        <v>0</v>
      </c>
      <c r="BY105" t="s">
        <v>192</v>
      </c>
      <c r="CA105" t="s">
        <v>192</v>
      </c>
      <c r="CC105" t="s">
        <v>173</v>
      </c>
      <c r="CD105" t="s">
        <v>185</v>
      </c>
      <c r="CE105" t="s">
        <v>173</v>
      </c>
      <c r="CF105" t="s">
        <v>186</v>
      </c>
      <c r="CG105" t="s">
        <v>173</v>
      </c>
      <c r="CH105" t="s">
        <v>187</v>
      </c>
      <c r="CI105" t="s">
        <v>192</v>
      </c>
      <c r="CK105" t="s">
        <v>173</v>
      </c>
      <c r="CL105" t="s">
        <v>186</v>
      </c>
      <c r="CM105" t="s">
        <v>192</v>
      </c>
      <c r="CO105" t="s">
        <v>192</v>
      </c>
      <c r="CQ105" t="s">
        <v>192</v>
      </c>
      <c r="CS105" t="s">
        <v>192</v>
      </c>
      <c r="CU105" t="s">
        <v>192</v>
      </c>
      <c r="CW105" t="s">
        <v>192</v>
      </c>
      <c r="CY105" t="s">
        <v>192</v>
      </c>
      <c r="DA105" t="s">
        <v>192</v>
      </c>
      <c r="DC105" t="s">
        <v>192</v>
      </c>
      <c r="DE105" t="s">
        <v>192</v>
      </c>
      <c r="DH105" t="s">
        <v>173</v>
      </c>
      <c r="DI105" t="s">
        <v>186</v>
      </c>
      <c r="DJ105" t="s">
        <v>192</v>
      </c>
      <c r="DL105" t="s">
        <v>192</v>
      </c>
      <c r="DO105" t="s">
        <v>192</v>
      </c>
      <c r="DR105" t="s">
        <v>192</v>
      </c>
      <c r="DU105" t="s">
        <v>173</v>
      </c>
      <c r="DV105" t="s">
        <v>173</v>
      </c>
      <c r="DW105" t="s">
        <v>191</v>
      </c>
      <c r="DX105" t="s">
        <v>173</v>
      </c>
      <c r="DY105" t="s">
        <v>173</v>
      </c>
      <c r="DZ105" t="s">
        <v>191</v>
      </c>
      <c r="EA105" t="s">
        <v>192</v>
      </c>
      <c r="ED105" t="s">
        <v>173</v>
      </c>
      <c r="EE105" t="s">
        <v>173</v>
      </c>
      <c r="EF105" t="s">
        <v>188</v>
      </c>
      <c r="EG105" t="s">
        <v>173</v>
      </c>
      <c r="EH105" t="s">
        <v>173</v>
      </c>
      <c r="EI105" t="s">
        <v>191</v>
      </c>
      <c r="EJ105" t="s">
        <v>192</v>
      </c>
      <c r="EM105" t="s">
        <v>192</v>
      </c>
      <c r="EQ105" t="s">
        <v>626</v>
      </c>
      <c r="ER105" t="s">
        <v>935</v>
      </c>
      <c r="ES105" t="s">
        <v>936</v>
      </c>
      <c r="ET105" t="s">
        <v>173</v>
      </c>
      <c r="EU105" t="s">
        <v>173</v>
      </c>
      <c r="EV105" t="s">
        <v>223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1</v>
      </c>
      <c r="FF105" t="s">
        <v>937</v>
      </c>
      <c r="FH105">
        <v>83718212</v>
      </c>
      <c r="FI105" t="s">
        <v>938</v>
      </c>
      <c r="FJ105" s="1">
        <v>45761.728263888886</v>
      </c>
      <c r="FM105" t="s">
        <v>193</v>
      </c>
      <c r="FO105" t="s">
        <v>469</v>
      </c>
      <c r="FQ105">
        <v>105</v>
      </c>
    </row>
    <row r="106" spans="1:173" x14ac:dyDescent="0.25">
      <c r="A106" s="1">
        <v>45761.519909166673</v>
      </c>
      <c r="B106" s="1">
        <v>45761.522241145831</v>
      </c>
      <c r="C106" t="s">
        <v>334</v>
      </c>
      <c r="D106">
        <v>28</v>
      </c>
      <c r="E106" s="1">
        <v>45739</v>
      </c>
      <c r="F106">
        <v>1</v>
      </c>
      <c r="G106" t="s">
        <v>462</v>
      </c>
      <c r="H106" t="s">
        <v>171</v>
      </c>
      <c r="I106" t="s">
        <v>939</v>
      </c>
      <c r="J106" t="s">
        <v>940</v>
      </c>
      <c r="K106" t="s">
        <v>173</v>
      </c>
      <c r="L106">
        <v>20</v>
      </c>
      <c r="M106" t="s">
        <v>174</v>
      </c>
      <c r="N106">
        <v>0</v>
      </c>
      <c r="O106">
        <v>0</v>
      </c>
      <c r="P106">
        <v>0</v>
      </c>
      <c r="Q106">
        <v>0</v>
      </c>
      <c r="R106" t="s">
        <v>251</v>
      </c>
      <c r="S106">
        <v>60</v>
      </c>
      <c r="T106" t="str">
        <f t="shared" si="2"/>
        <v>56 a más</v>
      </c>
      <c r="U106" t="s">
        <v>173</v>
      </c>
      <c r="W106" t="s">
        <v>238</v>
      </c>
      <c r="Y106" t="s">
        <v>177</v>
      </c>
      <c r="Z106" t="s">
        <v>465</v>
      </c>
      <c r="AB106" t="s">
        <v>201</v>
      </c>
      <c r="AC106" t="s">
        <v>202</v>
      </c>
      <c r="AD106" t="s">
        <v>737</v>
      </c>
      <c r="AG106" t="s">
        <v>202</v>
      </c>
      <c r="AH106" t="s">
        <v>287</v>
      </c>
      <c r="AI106">
        <v>0</v>
      </c>
      <c r="AJ106">
        <v>0</v>
      </c>
      <c r="AK106">
        <v>0</v>
      </c>
      <c r="AL106">
        <v>0</v>
      </c>
      <c r="AM106">
        <v>1</v>
      </c>
      <c r="AN106" t="s">
        <v>297</v>
      </c>
      <c r="AO106" t="s">
        <v>192</v>
      </c>
      <c r="AP106" t="s">
        <v>192</v>
      </c>
      <c r="AQ106" t="s">
        <v>192</v>
      </c>
      <c r="AZ106" t="s">
        <v>192</v>
      </c>
      <c r="BW106">
        <f t="shared" si="3"/>
        <v>0</v>
      </c>
      <c r="BY106" t="s">
        <v>192</v>
      </c>
      <c r="CA106" t="s">
        <v>192</v>
      </c>
      <c r="CC106" t="s">
        <v>173</v>
      </c>
      <c r="CD106" t="s">
        <v>187</v>
      </c>
      <c r="CE106" t="s">
        <v>173</v>
      </c>
      <c r="CF106" t="s">
        <v>186</v>
      </c>
      <c r="CG106" t="s">
        <v>192</v>
      </c>
      <c r="CI106" t="s">
        <v>192</v>
      </c>
      <c r="CK106" t="s">
        <v>173</v>
      </c>
      <c r="CL106" t="s">
        <v>185</v>
      </c>
      <c r="CM106" t="s">
        <v>173</v>
      </c>
      <c r="CN106" t="s">
        <v>186</v>
      </c>
      <c r="CO106" t="s">
        <v>192</v>
      </c>
      <c r="CQ106" t="s">
        <v>192</v>
      </c>
      <c r="CS106" t="s">
        <v>192</v>
      </c>
      <c r="CU106" t="s">
        <v>192</v>
      </c>
      <c r="CW106" t="s">
        <v>192</v>
      </c>
      <c r="CY106" t="s">
        <v>192</v>
      </c>
      <c r="DA106" t="s">
        <v>192</v>
      </c>
      <c r="DC106" t="s">
        <v>192</v>
      </c>
      <c r="DE106" t="s">
        <v>192</v>
      </c>
      <c r="DH106" t="s">
        <v>173</v>
      </c>
      <c r="DI106" t="s">
        <v>187</v>
      </c>
      <c r="DJ106" t="s">
        <v>192</v>
      </c>
      <c r="DL106" t="s">
        <v>192</v>
      </c>
      <c r="DO106" t="s">
        <v>192</v>
      </c>
      <c r="DR106" t="s">
        <v>192</v>
      </c>
      <c r="DU106" t="s">
        <v>173</v>
      </c>
      <c r="DV106" t="s">
        <v>192</v>
      </c>
      <c r="DX106" t="s">
        <v>192</v>
      </c>
      <c r="EA106" t="s">
        <v>192</v>
      </c>
      <c r="ED106" t="s">
        <v>173</v>
      </c>
      <c r="EE106" t="s">
        <v>173</v>
      </c>
      <c r="EF106" t="s">
        <v>188</v>
      </c>
      <c r="EG106" t="s">
        <v>173</v>
      </c>
      <c r="EH106" t="s">
        <v>192</v>
      </c>
      <c r="EJ106" t="s">
        <v>192</v>
      </c>
      <c r="EM106" t="s">
        <v>192</v>
      </c>
      <c r="EQ106" t="s">
        <v>349</v>
      </c>
      <c r="ET106" t="s">
        <v>173</v>
      </c>
      <c r="EU106" t="s">
        <v>173</v>
      </c>
      <c r="EV106" t="s">
        <v>208</v>
      </c>
      <c r="EW106">
        <v>0</v>
      </c>
      <c r="EX106">
        <v>0</v>
      </c>
      <c r="EY106">
        <v>0</v>
      </c>
      <c r="EZ106">
        <v>0</v>
      </c>
      <c r="FA106">
        <v>1</v>
      </c>
      <c r="FB106">
        <v>0</v>
      </c>
      <c r="FC106">
        <v>0</v>
      </c>
      <c r="FD106">
        <v>0</v>
      </c>
      <c r="FE106">
        <v>0</v>
      </c>
      <c r="FH106">
        <v>83718380</v>
      </c>
      <c r="FI106" t="s">
        <v>941</v>
      </c>
      <c r="FJ106" s="1">
        <v>45761.730590277781</v>
      </c>
      <c r="FM106" t="s">
        <v>193</v>
      </c>
      <c r="FO106" t="s">
        <v>469</v>
      </c>
      <c r="FQ106">
        <v>106</v>
      </c>
    </row>
    <row r="107" spans="1:173" x14ac:dyDescent="0.25">
      <c r="A107" s="1">
        <v>45761.518657939807</v>
      </c>
      <c r="B107" s="1">
        <v>45761.524037800933</v>
      </c>
      <c r="C107" t="s">
        <v>171</v>
      </c>
      <c r="D107">
        <v>5</v>
      </c>
      <c r="E107" s="1">
        <v>45738</v>
      </c>
      <c r="F107">
        <v>2</v>
      </c>
      <c r="G107" t="s">
        <v>379</v>
      </c>
      <c r="H107" t="s">
        <v>336</v>
      </c>
      <c r="I107" t="s">
        <v>942</v>
      </c>
      <c r="J107" t="s">
        <v>943</v>
      </c>
      <c r="K107" t="s">
        <v>173</v>
      </c>
      <c r="L107">
        <v>30</v>
      </c>
      <c r="M107" t="s">
        <v>174</v>
      </c>
      <c r="N107">
        <v>0</v>
      </c>
      <c r="O107">
        <v>0</v>
      </c>
      <c r="P107">
        <v>0</v>
      </c>
      <c r="Q107">
        <v>0</v>
      </c>
      <c r="R107" t="s">
        <v>175</v>
      </c>
      <c r="S107">
        <v>61</v>
      </c>
      <c r="T107" t="str">
        <f t="shared" si="2"/>
        <v>56 a más</v>
      </c>
      <c r="U107" t="s">
        <v>173</v>
      </c>
      <c r="W107" t="s">
        <v>742</v>
      </c>
      <c r="Y107" t="s">
        <v>200</v>
      </c>
      <c r="Z107" t="s">
        <v>239</v>
      </c>
      <c r="AA107" t="s">
        <v>179</v>
      </c>
      <c r="AB107" t="s">
        <v>180</v>
      </c>
      <c r="AC107" t="s">
        <v>202</v>
      </c>
      <c r="AD107" t="s">
        <v>944</v>
      </c>
      <c r="AE107" t="s">
        <v>945</v>
      </c>
      <c r="AG107" t="s">
        <v>202</v>
      </c>
      <c r="AH107" t="s">
        <v>232</v>
      </c>
      <c r="AI107">
        <v>0</v>
      </c>
      <c r="AJ107">
        <v>0</v>
      </c>
      <c r="AK107">
        <v>1</v>
      </c>
      <c r="AL107">
        <v>0</v>
      </c>
      <c r="AM107">
        <v>0</v>
      </c>
      <c r="AN107" t="s">
        <v>205</v>
      </c>
      <c r="AO107" t="s">
        <v>192</v>
      </c>
      <c r="AP107" t="s">
        <v>173</v>
      </c>
      <c r="AQ107" t="s">
        <v>192</v>
      </c>
      <c r="AZ107" t="s">
        <v>192</v>
      </c>
      <c r="BW107">
        <f t="shared" si="3"/>
        <v>0</v>
      </c>
      <c r="BY107" t="s">
        <v>192</v>
      </c>
      <c r="CA107" t="s">
        <v>192</v>
      </c>
      <c r="CC107" t="s">
        <v>173</v>
      </c>
      <c r="CD107" t="s">
        <v>186</v>
      </c>
      <c r="CE107" t="s">
        <v>192</v>
      </c>
      <c r="CG107" t="s">
        <v>192</v>
      </c>
      <c r="CI107" t="s">
        <v>192</v>
      </c>
      <c r="CK107" t="s">
        <v>192</v>
      </c>
      <c r="CM107" t="s">
        <v>192</v>
      </c>
      <c r="CO107" t="s">
        <v>192</v>
      </c>
      <c r="CQ107" t="s">
        <v>192</v>
      </c>
      <c r="CS107" t="s">
        <v>192</v>
      </c>
      <c r="CU107" t="s">
        <v>192</v>
      </c>
      <c r="CW107" t="s">
        <v>192</v>
      </c>
      <c r="CY107" t="s">
        <v>173</v>
      </c>
      <c r="CZ107" t="s">
        <v>186</v>
      </c>
      <c r="DA107" t="s">
        <v>192</v>
      </c>
      <c r="DC107" t="s">
        <v>173</v>
      </c>
      <c r="DD107" t="s">
        <v>186</v>
      </c>
      <c r="DE107" t="s">
        <v>192</v>
      </c>
      <c r="DH107" t="s">
        <v>173</v>
      </c>
      <c r="DI107" t="s">
        <v>187</v>
      </c>
      <c r="DJ107" t="s">
        <v>173</v>
      </c>
      <c r="DL107" t="s">
        <v>173</v>
      </c>
      <c r="DM107" t="s">
        <v>192</v>
      </c>
      <c r="DO107" t="s">
        <v>173</v>
      </c>
      <c r="DP107" t="s">
        <v>192</v>
      </c>
      <c r="DR107" t="s">
        <v>192</v>
      </c>
      <c r="DU107" t="s">
        <v>173</v>
      </c>
      <c r="DV107" t="s">
        <v>192</v>
      </c>
      <c r="DX107" t="s">
        <v>173</v>
      </c>
      <c r="DY107" t="s">
        <v>192</v>
      </c>
      <c r="EA107" t="s">
        <v>192</v>
      </c>
      <c r="ED107" t="s">
        <v>173</v>
      </c>
      <c r="EE107" t="s">
        <v>192</v>
      </c>
      <c r="EG107" t="s">
        <v>173</v>
      </c>
      <c r="EH107" t="s">
        <v>173</v>
      </c>
      <c r="EI107" t="s">
        <v>191</v>
      </c>
      <c r="EJ107" t="s">
        <v>192</v>
      </c>
      <c r="EM107" t="s">
        <v>192</v>
      </c>
      <c r="EQ107" t="s">
        <v>946</v>
      </c>
      <c r="ER107" t="s">
        <v>947</v>
      </c>
      <c r="ET107" t="s">
        <v>173</v>
      </c>
      <c r="EU107" t="s">
        <v>192</v>
      </c>
      <c r="EV107" t="s">
        <v>208</v>
      </c>
      <c r="EW107">
        <v>0</v>
      </c>
      <c r="EX107">
        <v>0</v>
      </c>
      <c r="EY107">
        <v>0</v>
      </c>
      <c r="EZ107">
        <v>0</v>
      </c>
      <c r="FA107">
        <v>1</v>
      </c>
      <c r="FB107">
        <v>0</v>
      </c>
      <c r="FC107">
        <v>0</v>
      </c>
      <c r="FD107">
        <v>0</v>
      </c>
      <c r="FE107">
        <v>0</v>
      </c>
      <c r="FH107">
        <v>83718451</v>
      </c>
      <c r="FI107" t="s">
        <v>948</v>
      </c>
      <c r="FJ107" s="1">
        <v>45761.73238425926</v>
      </c>
      <c r="FM107" t="s">
        <v>193</v>
      </c>
      <c r="FO107" t="s">
        <v>469</v>
      </c>
      <c r="FQ107">
        <v>107</v>
      </c>
    </row>
    <row r="108" spans="1:173" x14ac:dyDescent="0.25">
      <c r="A108" s="1">
        <v>45761.522241597217</v>
      </c>
      <c r="B108" s="1">
        <v>45761.524826736109</v>
      </c>
      <c r="C108" t="s">
        <v>334</v>
      </c>
      <c r="D108">
        <v>27</v>
      </c>
      <c r="E108" s="1">
        <v>45739</v>
      </c>
      <c r="F108">
        <v>1</v>
      </c>
      <c r="G108" t="s">
        <v>438</v>
      </c>
      <c r="H108" t="s">
        <v>171</v>
      </c>
      <c r="I108" t="s">
        <v>949</v>
      </c>
      <c r="J108" t="s">
        <v>950</v>
      </c>
      <c r="K108" t="s">
        <v>173</v>
      </c>
      <c r="L108">
        <v>35</v>
      </c>
      <c r="M108" t="s">
        <v>174</v>
      </c>
      <c r="N108">
        <v>0</v>
      </c>
      <c r="O108">
        <v>0</v>
      </c>
      <c r="P108">
        <v>0</v>
      </c>
      <c r="Q108">
        <v>0</v>
      </c>
      <c r="R108" t="s">
        <v>251</v>
      </c>
      <c r="S108">
        <v>55</v>
      </c>
      <c r="T108" t="str">
        <f t="shared" si="2"/>
        <v>41 a 55</v>
      </c>
      <c r="U108" t="s">
        <v>173</v>
      </c>
      <c r="W108" t="s">
        <v>238</v>
      </c>
      <c r="Y108" t="s">
        <v>214</v>
      </c>
      <c r="Z108" t="s">
        <v>239</v>
      </c>
      <c r="AA108" t="s">
        <v>179</v>
      </c>
      <c r="AB108" t="s">
        <v>189</v>
      </c>
      <c r="AC108" t="s">
        <v>202</v>
      </c>
      <c r="AD108" t="s">
        <v>951</v>
      </c>
      <c r="AG108" t="s">
        <v>181</v>
      </c>
      <c r="AH108" t="s">
        <v>232</v>
      </c>
      <c r="AI108">
        <v>0</v>
      </c>
      <c r="AJ108">
        <v>0</v>
      </c>
      <c r="AK108">
        <v>1</v>
      </c>
      <c r="AL108">
        <v>0</v>
      </c>
      <c r="AM108">
        <v>0</v>
      </c>
      <c r="AN108" t="s">
        <v>297</v>
      </c>
      <c r="AO108" t="s">
        <v>173</v>
      </c>
      <c r="AP108" t="s">
        <v>173</v>
      </c>
      <c r="AQ108" t="s">
        <v>192</v>
      </c>
      <c r="AZ108" t="s">
        <v>192</v>
      </c>
      <c r="BW108">
        <f t="shared" si="3"/>
        <v>0</v>
      </c>
      <c r="BY108" t="s">
        <v>173</v>
      </c>
      <c r="BZ108" t="s">
        <v>185</v>
      </c>
      <c r="CA108" t="s">
        <v>192</v>
      </c>
      <c r="CC108" t="s">
        <v>192</v>
      </c>
      <c r="CE108" t="s">
        <v>173</v>
      </c>
      <c r="CF108" t="s">
        <v>185</v>
      </c>
      <c r="CG108" t="s">
        <v>173</v>
      </c>
      <c r="CH108" t="s">
        <v>185</v>
      </c>
      <c r="CI108" t="s">
        <v>192</v>
      </c>
      <c r="CK108" t="s">
        <v>173</v>
      </c>
      <c r="CL108" t="s">
        <v>185</v>
      </c>
      <c r="CM108" t="s">
        <v>192</v>
      </c>
      <c r="CO108" t="s">
        <v>192</v>
      </c>
      <c r="CQ108" t="s">
        <v>192</v>
      </c>
      <c r="CS108" t="s">
        <v>192</v>
      </c>
      <c r="CU108" t="s">
        <v>192</v>
      </c>
      <c r="CW108" t="s">
        <v>192</v>
      </c>
      <c r="CY108" t="s">
        <v>192</v>
      </c>
      <c r="DA108" t="s">
        <v>192</v>
      </c>
      <c r="DC108" t="s">
        <v>173</v>
      </c>
      <c r="DD108" t="s">
        <v>187</v>
      </c>
      <c r="DE108" t="s">
        <v>192</v>
      </c>
      <c r="DH108" t="s">
        <v>192</v>
      </c>
      <c r="DL108" t="s">
        <v>173</v>
      </c>
      <c r="DM108" t="s">
        <v>192</v>
      </c>
      <c r="DO108" t="s">
        <v>173</v>
      </c>
      <c r="DP108" t="s">
        <v>192</v>
      </c>
      <c r="DR108" t="s">
        <v>192</v>
      </c>
      <c r="DU108" t="s">
        <v>173</v>
      </c>
      <c r="DV108" t="s">
        <v>173</v>
      </c>
      <c r="DW108" t="s">
        <v>191</v>
      </c>
      <c r="DX108" t="s">
        <v>192</v>
      </c>
      <c r="EA108" t="s">
        <v>173</v>
      </c>
      <c r="EB108" t="s">
        <v>192</v>
      </c>
      <c r="ED108" t="s">
        <v>173</v>
      </c>
      <c r="EE108" t="s">
        <v>173</v>
      </c>
      <c r="EF108" t="s">
        <v>188</v>
      </c>
      <c r="EG108" t="s">
        <v>173</v>
      </c>
      <c r="EH108" t="s">
        <v>192</v>
      </c>
      <c r="EJ108" t="s">
        <v>192</v>
      </c>
      <c r="EM108" t="s">
        <v>192</v>
      </c>
      <c r="EQ108" t="s">
        <v>349</v>
      </c>
      <c r="ET108" t="s">
        <v>173</v>
      </c>
      <c r="EU108" t="s">
        <v>173</v>
      </c>
      <c r="EV108" t="s">
        <v>223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1</v>
      </c>
      <c r="FF108" t="s">
        <v>952</v>
      </c>
      <c r="FH108">
        <v>83718504</v>
      </c>
      <c r="FI108" t="s">
        <v>953</v>
      </c>
      <c r="FJ108" s="1">
        <v>45761.733171296299</v>
      </c>
      <c r="FM108" t="s">
        <v>193</v>
      </c>
      <c r="FO108" t="s">
        <v>469</v>
      </c>
      <c r="FQ108">
        <v>108</v>
      </c>
    </row>
    <row r="109" spans="1:173" x14ac:dyDescent="0.25">
      <c r="A109" s="1">
        <v>45761.524038217591</v>
      </c>
      <c r="B109" s="1">
        <v>45761.5274928125</v>
      </c>
      <c r="C109" t="s">
        <v>171</v>
      </c>
      <c r="D109">
        <v>6</v>
      </c>
      <c r="E109" s="1">
        <v>45738</v>
      </c>
      <c r="F109">
        <v>2</v>
      </c>
      <c r="G109" t="s">
        <v>385</v>
      </c>
      <c r="H109" t="s">
        <v>336</v>
      </c>
      <c r="I109" t="s">
        <v>954</v>
      </c>
      <c r="J109" t="s">
        <v>955</v>
      </c>
      <c r="K109" t="s">
        <v>173</v>
      </c>
      <c r="L109">
        <v>20</v>
      </c>
      <c r="M109" t="s">
        <v>174</v>
      </c>
      <c r="N109">
        <v>0</v>
      </c>
      <c r="O109">
        <v>0</v>
      </c>
      <c r="P109">
        <v>0</v>
      </c>
      <c r="Q109">
        <v>0</v>
      </c>
      <c r="R109" t="s">
        <v>251</v>
      </c>
      <c r="S109">
        <v>40</v>
      </c>
      <c r="T109" t="str">
        <f t="shared" si="2"/>
        <v>26 a 40</v>
      </c>
      <c r="U109" t="s">
        <v>173</v>
      </c>
      <c r="W109" t="s">
        <v>176</v>
      </c>
      <c r="Y109" t="s">
        <v>200</v>
      </c>
      <c r="Z109" t="s">
        <v>178</v>
      </c>
      <c r="AA109" t="s">
        <v>240</v>
      </c>
      <c r="AB109" t="s">
        <v>215</v>
      </c>
      <c r="AC109" t="s">
        <v>202</v>
      </c>
      <c r="AD109" t="s">
        <v>956</v>
      </c>
      <c r="AE109" t="s">
        <v>737</v>
      </c>
      <c r="AG109" t="s">
        <v>216</v>
      </c>
      <c r="AH109" t="s">
        <v>933</v>
      </c>
      <c r="AI109">
        <v>1</v>
      </c>
      <c r="AJ109">
        <v>1</v>
      </c>
      <c r="AK109">
        <v>0</v>
      </c>
      <c r="AL109">
        <v>1</v>
      </c>
      <c r="AM109">
        <v>0</v>
      </c>
      <c r="AN109" t="s">
        <v>205</v>
      </c>
      <c r="AO109" t="s">
        <v>192</v>
      </c>
      <c r="AP109" t="s">
        <v>173</v>
      </c>
      <c r="AQ109" t="s">
        <v>173</v>
      </c>
      <c r="AR109" t="s">
        <v>184</v>
      </c>
      <c r="AS109">
        <v>0</v>
      </c>
      <c r="AT109">
        <v>1</v>
      </c>
      <c r="AU109">
        <v>0</v>
      </c>
      <c r="AV109">
        <v>0</v>
      </c>
      <c r="AW109">
        <v>0</v>
      </c>
      <c r="AX109">
        <v>0</v>
      </c>
      <c r="AZ109" t="s">
        <v>192</v>
      </c>
      <c r="BW109">
        <f t="shared" si="3"/>
        <v>0</v>
      </c>
      <c r="BY109" t="s">
        <v>192</v>
      </c>
      <c r="CA109" t="s">
        <v>192</v>
      </c>
      <c r="CC109" t="s">
        <v>173</v>
      </c>
      <c r="CD109" t="s">
        <v>187</v>
      </c>
      <c r="CE109" t="s">
        <v>173</v>
      </c>
      <c r="CF109" t="s">
        <v>187</v>
      </c>
      <c r="CG109" t="s">
        <v>173</v>
      </c>
      <c r="CH109" t="s">
        <v>185</v>
      </c>
      <c r="CI109" t="s">
        <v>192</v>
      </c>
      <c r="CK109" t="s">
        <v>173</v>
      </c>
      <c r="CL109" t="s">
        <v>185</v>
      </c>
      <c r="CM109" t="s">
        <v>192</v>
      </c>
      <c r="CO109" t="s">
        <v>192</v>
      </c>
      <c r="CQ109" t="s">
        <v>192</v>
      </c>
      <c r="CS109" t="s">
        <v>192</v>
      </c>
      <c r="CU109" t="s">
        <v>192</v>
      </c>
      <c r="CW109" t="s">
        <v>173</v>
      </c>
      <c r="CX109" t="s">
        <v>186</v>
      </c>
      <c r="CY109" t="s">
        <v>173</v>
      </c>
      <c r="CZ109" t="s">
        <v>187</v>
      </c>
      <c r="DA109" t="s">
        <v>192</v>
      </c>
      <c r="DC109" t="s">
        <v>192</v>
      </c>
      <c r="DE109" t="s">
        <v>192</v>
      </c>
      <c r="DH109" t="s">
        <v>173</v>
      </c>
      <c r="DI109" t="s">
        <v>187</v>
      </c>
      <c r="DJ109" t="s">
        <v>173</v>
      </c>
      <c r="DL109" t="s">
        <v>173</v>
      </c>
      <c r="DM109" t="s">
        <v>192</v>
      </c>
      <c r="DO109" t="s">
        <v>192</v>
      </c>
      <c r="DR109" t="s">
        <v>192</v>
      </c>
      <c r="DU109" t="s">
        <v>173</v>
      </c>
      <c r="DV109" t="s">
        <v>173</v>
      </c>
      <c r="DW109" t="s">
        <v>191</v>
      </c>
      <c r="DX109" t="s">
        <v>192</v>
      </c>
      <c r="EA109" t="s">
        <v>192</v>
      </c>
      <c r="ED109" t="s">
        <v>173</v>
      </c>
      <c r="EE109" t="s">
        <v>173</v>
      </c>
      <c r="EF109" t="s">
        <v>191</v>
      </c>
      <c r="EG109" t="s">
        <v>173</v>
      </c>
      <c r="EH109" t="s">
        <v>173</v>
      </c>
      <c r="EI109" t="s">
        <v>191</v>
      </c>
      <c r="EJ109" t="s">
        <v>192</v>
      </c>
      <c r="EM109" t="s">
        <v>192</v>
      </c>
      <c r="EQ109" t="s">
        <v>957</v>
      </c>
      <c r="ER109" t="s">
        <v>958</v>
      </c>
      <c r="ET109" t="s">
        <v>173</v>
      </c>
      <c r="EU109" t="s">
        <v>173</v>
      </c>
      <c r="EV109" t="s">
        <v>452</v>
      </c>
      <c r="EW109">
        <v>0</v>
      </c>
      <c r="EX109">
        <v>1</v>
      </c>
      <c r="EY109">
        <v>0</v>
      </c>
      <c r="EZ109">
        <v>0</v>
      </c>
      <c r="FA109">
        <v>1</v>
      </c>
      <c r="FB109">
        <v>0</v>
      </c>
      <c r="FC109">
        <v>0</v>
      </c>
      <c r="FD109">
        <v>0</v>
      </c>
      <c r="FE109">
        <v>0</v>
      </c>
      <c r="FG109" t="s">
        <v>959</v>
      </c>
      <c r="FH109">
        <v>83718608</v>
      </c>
      <c r="FI109" t="s">
        <v>960</v>
      </c>
      <c r="FJ109" s="1">
        <v>45761.735833333332</v>
      </c>
      <c r="FM109" t="s">
        <v>193</v>
      </c>
      <c r="FO109" t="s">
        <v>469</v>
      </c>
      <c r="FQ109">
        <v>109</v>
      </c>
    </row>
    <row r="110" spans="1:173" x14ac:dyDescent="0.25">
      <c r="A110" s="1">
        <v>45761.524827326393</v>
      </c>
      <c r="B110" s="1">
        <v>45761.527842152776</v>
      </c>
      <c r="C110" t="s">
        <v>334</v>
      </c>
      <c r="D110">
        <v>26</v>
      </c>
      <c r="E110" s="1">
        <v>45739</v>
      </c>
      <c r="F110">
        <v>1</v>
      </c>
      <c r="G110" t="s">
        <v>429</v>
      </c>
      <c r="H110" t="s">
        <v>171</v>
      </c>
      <c r="I110" t="s">
        <v>961</v>
      </c>
      <c r="J110" t="s">
        <v>962</v>
      </c>
      <c r="K110" t="s">
        <v>173</v>
      </c>
      <c r="L110">
        <v>20</v>
      </c>
      <c r="M110" t="s">
        <v>174</v>
      </c>
      <c r="N110">
        <v>0</v>
      </c>
      <c r="O110">
        <v>0</v>
      </c>
      <c r="P110">
        <v>0</v>
      </c>
      <c r="Q110">
        <v>0</v>
      </c>
      <c r="R110" t="s">
        <v>175</v>
      </c>
      <c r="S110">
        <v>25</v>
      </c>
      <c r="T110" t="str">
        <f t="shared" si="2"/>
        <v>18 a 25</v>
      </c>
      <c r="U110" t="s">
        <v>173</v>
      </c>
      <c r="W110" t="s">
        <v>176</v>
      </c>
      <c r="Y110" t="s">
        <v>200</v>
      </c>
      <c r="Z110" t="s">
        <v>178</v>
      </c>
      <c r="AA110" t="s">
        <v>179</v>
      </c>
      <c r="AB110" t="s">
        <v>189</v>
      </c>
      <c r="AC110" t="s">
        <v>202</v>
      </c>
      <c r="AD110" t="s">
        <v>963</v>
      </c>
      <c r="AE110" t="s">
        <v>964</v>
      </c>
      <c r="AF110" t="s">
        <v>965</v>
      </c>
      <c r="AG110" t="s">
        <v>202</v>
      </c>
      <c r="AH110" t="s">
        <v>266</v>
      </c>
      <c r="AI110">
        <v>0</v>
      </c>
      <c r="AJ110">
        <v>0</v>
      </c>
      <c r="AK110">
        <v>0</v>
      </c>
      <c r="AL110">
        <v>1</v>
      </c>
      <c r="AM110">
        <v>0</v>
      </c>
      <c r="AN110" t="s">
        <v>297</v>
      </c>
      <c r="AO110" t="s">
        <v>192</v>
      </c>
      <c r="AP110" t="s">
        <v>173</v>
      </c>
      <c r="AQ110" t="s">
        <v>173</v>
      </c>
      <c r="AR110" t="s">
        <v>298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 t="s">
        <v>966</v>
      </c>
      <c r="AZ110" t="s">
        <v>192</v>
      </c>
      <c r="BW110">
        <f t="shared" si="3"/>
        <v>0</v>
      </c>
      <c r="BY110" t="s">
        <v>192</v>
      </c>
      <c r="CA110" t="s">
        <v>173</v>
      </c>
      <c r="CB110" t="s">
        <v>185</v>
      </c>
      <c r="CC110" t="s">
        <v>173</v>
      </c>
      <c r="CD110" t="s">
        <v>186</v>
      </c>
      <c r="CE110" t="s">
        <v>192</v>
      </c>
      <c r="CG110" t="s">
        <v>189</v>
      </c>
      <c r="CI110" t="s">
        <v>192</v>
      </c>
      <c r="CK110" t="s">
        <v>173</v>
      </c>
      <c r="CL110" t="s">
        <v>186</v>
      </c>
      <c r="CM110" t="s">
        <v>173</v>
      </c>
      <c r="CN110" t="s">
        <v>185</v>
      </c>
      <c r="CO110" t="s">
        <v>192</v>
      </c>
      <c r="CQ110" t="s">
        <v>173</v>
      </c>
      <c r="CR110" t="s">
        <v>186</v>
      </c>
      <c r="CS110" t="s">
        <v>192</v>
      </c>
      <c r="CU110" t="s">
        <v>173</v>
      </c>
      <c r="CV110" t="s">
        <v>185</v>
      </c>
      <c r="CW110" t="s">
        <v>192</v>
      </c>
      <c r="CY110" t="s">
        <v>192</v>
      </c>
      <c r="DA110" t="s">
        <v>192</v>
      </c>
      <c r="DC110" t="s">
        <v>192</v>
      </c>
      <c r="DE110" t="s">
        <v>192</v>
      </c>
      <c r="DH110" t="s">
        <v>173</v>
      </c>
      <c r="DI110" t="s">
        <v>187</v>
      </c>
      <c r="DJ110" t="s">
        <v>192</v>
      </c>
      <c r="DL110" t="s">
        <v>173</v>
      </c>
      <c r="DM110" t="s">
        <v>192</v>
      </c>
      <c r="DO110" t="s">
        <v>192</v>
      </c>
      <c r="DR110" t="s">
        <v>192</v>
      </c>
      <c r="DU110" t="s">
        <v>173</v>
      </c>
      <c r="DV110" t="s">
        <v>173</v>
      </c>
      <c r="DW110" t="s">
        <v>191</v>
      </c>
      <c r="DX110" t="s">
        <v>173</v>
      </c>
      <c r="DY110" t="s">
        <v>173</v>
      </c>
      <c r="DZ110" t="s">
        <v>191</v>
      </c>
      <c r="EA110" t="s">
        <v>192</v>
      </c>
      <c r="ED110" t="s">
        <v>173</v>
      </c>
      <c r="EE110" t="s">
        <v>173</v>
      </c>
      <c r="EF110" t="s">
        <v>191</v>
      </c>
      <c r="EG110" t="s">
        <v>173</v>
      </c>
      <c r="EH110" t="s">
        <v>173</v>
      </c>
      <c r="EI110" t="s">
        <v>191</v>
      </c>
      <c r="EJ110" t="s">
        <v>192</v>
      </c>
      <c r="EM110" t="s">
        <v>192</v>
      </c>
      <c r="EQ110" t="s">
        <v>967</v>
      </c>
      <c r="ER110" t="s">
        <v>968</v>
      </c>
      <c r="ES110" t="s">
        <v>690</v>
      </c>
      <c r="ET110" t="s">
        <v>173</v>
      </c>
      <c r="EU110" t="s">
        <v>173</v>
      </c>
      <c r="EV110" t="s">
        <v>208</v>
      </c>
      <c r="EW110">
        <v>0</v>
      </c>
      <c r="EX110">
        <v>0</v>
      </c>
      <c r="EY110">
        <v>0</v>
      </c>
      <c r="EZ110">
        <v>0</v>
      </c>
      <c r="FA110">
        <v>1</v>
      </c>
      <c r="FB110">
        <v>0</v>
      </c>
      <c r="FC110">
        <v>0</v>
      </c>
      <c r="FD110">
        <v>0</v>
      </c>
      <c r="FE110">
        <v>0</v>
      </c>
      <c r="FH110">
        <v>83718614</v>
      </c>
      <c r="FI110" t="s">
        <v>969</v>
      </c>
      <c r="FJ110" s="1">
        <v>45761.736180555563</v>
      </c>
      <c r="FM110" t="s">
        <v>193</v>
      </c>
      <c r="FO110" t="s">
        <v>469</v>
      </c>
      <c r="FQ110">
        <v>110</v>
      </c>
    </row>
    <row r="111" spans="1:173" x14ac:dyDescent="0.25">
      <c r="A111" s="1">
        <v>45761.527842592594</v>
      </c>
      <c r="B111" s="1">
        <v>45761.530204456023</v>
      </c>
      <c r="C111" t="s">
        <v>334</v>
      </c>
      <c r="D111">
        <v>24</v>
      </c>
      <c r="E111" s="1">
        <v>45739</v>
      </c>
      <c r="F111">
        <v>1</v>
      </c>
      <c r="G111" t="s">
        <v>462</v>
      </c>
      <c r="H111" t="s">
        <v>171</v>
      </c>
      <c r="I111" t="s">
        <v>970</v>
      </c>
      <c r="J111" t="s">
        <v>410</v>
      </c>
      <c r="K111" t="s">
        <v>173</v>
      </c>
      <c r="L111">
        <v>12</v>
      </c>
      <c r="M111" t="s">
        <v>174</v>
      </c>
      <c r="N111">
        <v>0</v>
      </c>
      <c r="O111">
        <v>0</v>
      </c>
      <c r="P111">
        <v>0</v>
      </c>
      <c r="Q111">
        <v>0</v>
      </c>
      <c r="R111" t="s">
        <v>251</v>
      </c>
      <c r="S111">
        <v>60</v>
      </c>
      <c r="T111" t="str">
        <f t="shared" si="2"/>
        <v>56 a más</v>
      </c>
      <c r="U111" t="s">
        <v>173</v>
      </c>
      <c r="W111" t="s">
        <v>176</v>
      </c>
      <c r="Y111" t="s">
        <v>318</v>
      </c>
      <c r="Z111" t="s">
        <v>239</v>
      </c>
      <c r="AA111" t="s">
        <v>179</v>
      </c>
      <c r="AB111" t="s">
        <v>201</v>
      </c>
      <c r="AC111" t="s">
        <v>202</v>
      </c>
      <c r="AD111" t="s">
        <v>971</v>
      </c>
      <c r="AG111" t="s">
        <v>202</v>
      </c>
      <c r="AH111" t="s">
        <v>232</v>
      </c>
      <c r="AI111">
        <v>0</v>
      </c>
      <c r="AJ111">
        <v>0</v>
      </c>
      <c r="AK111">
        <v>1</v>
      </c>
      <c r="AL111">
        <v>0</v>
      </c>
      <c r="AM111">
        <v>0</v>
      </c>
      <c r="AN111" t="s">
        <v>205</v>
      </c>
      <c r="AO111" t="s">
        <v>192</v>
      </c>
      <c r="AP111" t="s">
        <v>192</v>
      </c>
      <c r="AQ111" t="s">
        <v>192</v>
      </c>
      <c r="AZ111" t="s">
        <v>192</v>
      </c>
      <c r="BW111">
        <f t="shared" si="3"/>
        <v>0</v>
      </c>
      <c r="BY111" t="s">
        <v>192</v>
      </c>
      <c r="CA111" t="s">
        <v>192</v>
      </c>
      <c r="CC111" t="s">
        <v>173</v>
      </c>
      <c r="CD111" t="s">
        <v>186</v>
      </c>
      <c r="CE111" t="s">
        <v>173</v>
      </c>
      <c r="CF111" t="s">
        <v>185</v>
      </c>
      <c r="CG111" t="s">
        <v>192</v>
      </c>
      <c r="CI111" t="s">
        <v>173</v>
      </c>
      <c r="CJ111" t="s">
        <v>185</v>
      </c>
      <c r="CK111" t="s">
        <v>173</v>
      </c>
      <c r="CL111" t="s">
        <v>186</v>
      </c>
      <c r="CM111" t="s">
        <v>173</v>
      </c>
      <c r="CN111" t="s">
        <v>185</v>
      </c>
      <c r="CO111" t="s">
        <v>192</v>
      </c>
      <c r="CQ111" t="s">
        <v>173</v>
      </c>
      <c r="CR111" t="s">
        <v>186</v>
      </c>
      <c r="CS111" t="s">
        <v>192</v>
      </c>
      <c r="CU111" t="s">
        <v>192</v>
      </c>
      <c r="CW111" t="s">
        <v>192</v>
      </c>
      <c r="CY111" t="s">
        <v>192</v>
      </c>
      <c r="DA111" t="s">
        <v>192</v>
      </c>
      <c r="DC111" t="s">
        <v>173</v>
      </c>
      <c r="DD111" t="s">
        <v>185</v>
      </c>
      <c r="DE111" t="s">
        <v>192</v>
      </c>
      <c r="DH111" t="s">
        <v>173</v>
      </c>
      <c r="DI111" t="s">
        <v>187</v>
      </c>
      <c r="DJ111" t="s">
        <v>192</v>
      </c>
      <c r="DL111" t="s">
        <v>192</v>
      </c>
      <c r="DO111" t="s">
        <v>173</v>
      </c>
      <c r="DP111" t="s">
        <v>192</v>
      </c>
      <c r="DR111" t="s">
        <v>192</v>
      </c>
      <c r="DU111" t="s">
        <v>173</v>
      </c>
      <c r="DV111" t="s">
        <v>173</v>
      </c>
      <c r="DW111" t="s">
        <v>191</v>
      </c>
      <c r="DX111" t="s">
        <v>192</v>
      </c>
      <c r="EA111" t="s">
        <v>173</v>
      </c>
      <c r="EB111" t="s">
        <v>173</v>
      </c>
      <c r="EC111" t="s">
        <v>191</v>
      </c>
      <c r="ED111" t="s">
        <v>173</v>
      </c>
      <c r="EE111" t="s">
        <v>173</v>
      </c>
      <c r="EF111" t="s">
        <v>188</v>
      </c>
      <c r="EG111" t="s">
        <v>173</v>
      </c>
      <c r="EH111" t="s">
        <v>192</v>
      </c>
      <c r="EJ111" t="s">
        <v>173</v>
      </c>
      <c r="EK111" t="s">
        <v>192</v>
      </c>
      <c r="EM111" t="s">
        <v>192</v>
      </c>
      <c r="EQ111" t="s">
        <v>972</v>
      </c>
      <c r="ET111" t="s">
        <v>173</v>
      </c>
      <c r="EU111" t="s">
        <v>173</v>
      </c>
      <c r="EV111" t="s">
        <v>208</v>
      </c>
      <c r="EW111">
        <v>0</v>
      </c>
      <c r="EX111">
        <v>0</v>
      </c>
      <c r="EY111">
        <v>0</v>
      </c>
      <c r="EZ111">
        <v>0</v>
      </c>
      <c r="FA111">
        <v>1</v>
      </c>
      <c r="FB111">
        <v>0</v>
      </c>
      <c r="FC111">
        <v>0</v>
      </c>
      <c r="FD111">
        <v>0</v>
      </c>
      <c r="FE111">
        <v>0</v>
      </c>
      <c r="FG111" t="s">
        <v>973</v>
      </c>
      <c r="FH111">
        <v>83718725</v>
      </c>
      <c r="FI111" t="s">
        <v>974</v>
      </c>
      <c r="FJ111" s="1">
        <v>45761.738541666673</v>
      </c>
      <c r="FM111" t="s">
        <v>193</v>
      </c>
      <c r="FO111" t="s">
        <v>469</v>
      </c>
      <c r="FQ111">
        <v>111</v>
      </c>
    </row>
    <row r="112" spans="1:173" x14ac:dyDescent="0.25">
      <c r="A112" s="1">
        <v>45761.527493252317</v>
      </c>
      <c r="B112" s="1">
        <v>45761.531232256937</v>
      </c>
      <c r="C112" t="s">
        <v>171</v>
      </c>
      <c r="D112">
        <v>7</v>
      </c>
      <c r="E112" s="1">
        <v>45738</v>
      </c>
      <c r="F112">
        <v>2</v>
      </c>
      <c r="G112" t="s">
        <v>228</v>
      </c>
      <c r="H112" t="s">
        <v>336</v>
      </c>
      <c r="I112" t="s">
        <v>975</v>
      </c>
      <c r="J112" t="s">
        <v>416</v>
      </c>
      <c r="K112" t="s">
        <v>173</v>
      </c>
      <c r="L112">
        <v>15</v>
      </c>
      <c r="M112" t="s">
        <v>174</v>
      </c>
      <c r="N112">
        <v>0</v>
      </c>
      <c r="O112">
        <v>0</v>
      </c>
      <c r="P112">
        <v>0</v>
      </c>
      <c r="Q112">
        <v>0</v>
      </c>
      <c r="R112" t="s">
        <v>175</v>
      </c>
      <c r="S112">
        <v>39</v>
      </c>
      <c r="T112" t="str">
        <f t="shared" si="2"/>
        <v>26 a 40</v>
      </c>
      <c r="U112" t="s">
        <v>192</v>
      </c>
      <c r="V112" t="s">
        <v>976</v>
      </c>
      <c r="W112" t="s">
        <v>176</v>
      </c>
      <c r="Y112" t="s">
        <v>318</v>
      </c>
      <c r="Z112" t="s">
        <v>178</v>
      </c>
      <c r="AA112" t="s">
        <v>179</v>
      </c>
      <c r="AB112" t="s">
        <v>215</v>
      </c>
      <c r="AC112" t="s">
        <v>202</v>
      </c>
      <c r="AD112" t="s">
        <v>977</v>
      </c>
      <c r="AE112" t="s">
        <v>978</v>
      </c>
      <c r="AG112" t="s">
        <v>181</v>
      </c>
      <c r="AH112" t="s">
        <v>204</v>
      </c>
      <c r="AI112">
        <v>0</v>
      </c>
      <c r="AJ112">
        <v>1</v>
      </c>
      <c r="AK112">
        <v>0</v>
      </c>
      <c r="AL112">
        <v>0</v>
      </c>
      <c r="AM112">
        <v>0</v>
      </c>
      <c r="AN112" t="s">
        <v>297</v>
      </c>
      <c r="AO112" t="s">
        <v>192</v>
      </c>
      <c r="AP112" t="s">
        <v>192</v>
      </c>
      <c r="AQ112" t="s">
        <v>192</v>
      </c>
      <c r="AZ112" t="s">
        <v>192</v>
      </c>
      <c r="BW112">
        <f t="shared" si="3"/>
        <v>0</v>
      </c>
      <c r="BY112" t="s">
        <v>192</v>
      </c>
      <c r="CA112" t="s">
        <v>192</v>
      </c>
      <c r="CC112" t="s">
        <v>192</v>
      </c>
      <c r="CE112" t="s">
        <v>173</v>
      </c>
      <c r="CF112" t="s">
        <v>185</v>
      </c>
      <c r="CG112" t="s">
        <v>192</v>
      </c>
      <c r="CI112" t="s">
        <v>192</v>
      </c>
      <c r="CK112" t="s">
        <v>173</v>
      </c>
      <c r="CL112" t="s">
        <v>185</v>
      </c>
      <c r="CM112" t="s">
        <v>192</v>
      </c>
      <c r="CO112" t="s">
        <v>192</v>
      </c>
      <c r="CQ112" t="s">
        <v>192</v>
      </c>
      <c r="CS112" t="s">
        <v>192</v>
      </c>
      <c r="CU112" t="s">
        <v>192</v>
      </c>
      <c r="CW112" t="s">
        <v>173</v>
      </c>
      <c r="CX112" t="s">
        <v>187</v>
      </c>
      <c r="CY112" t="s">
        <v>173</v>
      </c>
      <c r="CZ112" t="s">
        <v>186</v>
      </c>
      <c r="DA112" t="s">
        <v>192</v>
      </c>
      <c r="DC112" t="s">
        <v>192</v>
      </c>
      <c r="DE112" t="s">
        <v>192</v>
      </c>
      <c r="DH112" t="s">
        <v>173</v>
      </c>
      <c r="DI112" t="s">
        <v>185</v>
      </c>
      <c r="DJ112" t="s">
        <v>192</v>
      </c>
      <c r="DL112" t="s">
        <v>192</v>
      </c>
      <c r="DO112" t="s">
        <v>192</v>
      </c>
      <c r="DR112" t="s">
        <v>192</v>
      </c>
      <c r="DU112" t="s">
        <v>192</v>
      </c>
      <c r="DX112" t="s">
        <v>192</v>
      </c>
      <c r="EA112" t="s">
        <v>192</v>
      </c>
      <c r="ED112" t="s">
        <v>173</v>
      </c>
      <c r="EE112" t="s">
        <v>173</v>
      </c>
      <c r="EF112" t="s">
        <v>191</v>
      </c>
      <c r="EG112" t="s">
        <v>173</v>
      </c>
      <c r="EH112" t="s">
        <v>192</v>
      </c>
      <c r="EJ112" t="s">
        <v>192</v>
      </c>
      <c r="EM112" t="s">
        <v>192</v>
      </c>
      <c r="EQ112" t="s">
        <v>979</v>
      </c>
      <c r="ER112" t="s">
        <v>980</v>
      </c>
      <c r="ET112" t="s">
        <v>173</v>
      </c>
      <c r="EU112" t="s">
        <v>173</v>
      </c>
      <c r="EV112" t="s">
        <v>223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1</v>
      </c>
      <c r="FF112" t="s">
        <v>981</v>
      </c>
      <c r="FH112">
        <v>83718754</v>
      </c>
      <c r="FI112" t="s">
        <v>982</v>
      </c>
      <c r="FJ112" s="1">
        <v>45761.739571759259</v>
      </c>
      <c r="FM112" t="s">
        <v>193</v>
      </c>
      <c r="FO112" t="s">
        <v>469</v>
      </c>
      <c r="FQ112">
        <v>112</v>
      </c>
    </row>
    <row r="113" spans="1:173" x14ac:dyDescent="0.25">
      <c r="A113" s="1">
        <v>45761.530204895833</v>
      </c>
      <c r="B113" s="1">
        <v>45761.533167766203</v>
      </c>
      <c r="C113" t="s">
        <v>334</v>
      </c>
      <c r="D113">
        <v>23</v>
      </c>
      <c r="E113" s="1">
        <v>45739</v>
      </c>
      <c r="F113">
        <v>1</v>
      </c>
      <c r="G113" t="s">
        <v>438</v>
      </c>
      <c r="H113" t="s">
        <v>171</v>
      </c>
      <c r="I113" t="s">
        <v>983</v>
      </c>
      <c r="J113" t="s">
        <v>984</v>
      </c>
      <c r="K113" t="s">
        <v>173</v>
      </c>
      <c r="L113">
        <v>10</v>
      </c>
      <c r="M113" t="s">
        <v>174</v>
      </c>
      <c r="N113">
        <v>0</v>
      </c>
      <c r="O113">
        <v>0</v>
      </c>
      <c r="P113">
        <v>0</v>
      </c>
      <c r="Q113">
        <v>0</v>
      </c>
      <c r="R113" t="s">
        <v>251</v>
      </c>
      <c r="S113">
        <v>51</v>
      </c>
      <c r="T113" t="str">
        <f t="shared" si="2"/>
        <v>41 a 55</v>
      </c>
      <c r="U113" t="s">
        <v>173</v>
      </c>
      <c r="W113" t="s">
        <v>176</v>
      </c>
      <c r="Y113" t="s">
        <v>214</v>
      </c>
      <c r="Z113" t="s">
        <v>178</v>
      </c>
      <c r="AA113" t="s">
        <v>179</v>
      </c>
      <c r="AB113" t="s">
        <v>189</v>
      </c>
      <c r="AC113" t="s">
        <v>202</v>
      </c>
      <c r="AD113" t="s">
        <v>738</v>
      </c>
      <c r="AG113" t="s">
        <v>202</v>
      </c>
      <c r="AH113" t="s">
        <v>232</v>
      </c>
      <c r="AI113">
        <v>0</v>
      </c>
      <c r="AJ113">
        <v>0</v>
      </c>
      <c r="AK113">
        <v>1</v>
      </c>
      <c r="AL113">
        <v>0</v>
      </c>
      <c r="AM113">
        <v>0</v>
      </c>
      <c r="AN113" t="s">
        <v>183</v>
      </c>
      <c r="AO113" t="s">
        <v>192</v>
      </c>
      <c r="AP113" t="s">
        <v>173</v>
      </c>
      <c r="AQ113" t="s">
        <v>173</v>
      </c>
      <c r="AR113" t="s">
        <v>298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</v>
      </c>
      <c r="AY113" t="s">
        <v>374</v>
      </c>
      <c r="AZ113" t="s">
        <v>192</v>
      </c>
      <c r="BW113">
        <f t="shared" si="3"/>
        <v>0</v>
      </c>
      <c r="BY113" t="s">
        <v>173</v>
      </c>
      <c r="BZ113" t="s">
        <v>185</v>
      </c>
      <c r="CA113" t="s">
        <v>192</v>
      </c>
      <c r="CC113" t="s">
        <v>192</v>
      </c>
      <c r="CE113" t="s">
        <v>192</v>
      </c>
      <c r="CG113" t="s">
        <v>192</v>
      </c>
      <c r="CI113" t="s">
        <v>173</v>
      </c>
      <c r="CJ113" t="s">
        <v>185</v>
      </c>
      <c r="CK113" t="s">
        <v>173</v>
      </c>
      <c r="CL113" t="s">
        <v>187</v>
      </c>
      <c r="CM113" t="s">
        <v>192</v>
      </c>
      <c r="CO113" t="s">
        <v>192</v>
      </c>
      <c r="CQ113" t="s">
        <v>173</v>
      </c>
      <c r="CR113" t="s">
        <v>185</v>
      </c>
      <c r="CS113" t="s">
        <v>192</v>
      </c>
      <c r="CU113" t="s">
        <v>192</v>
      </c>
      <c r="CW113" t="s">
        <v>173</v>
      </c>
      <c r="CX113" t="s">
        <v>185</v>
      </c>
      <c r="CY113" t="s">
        <v>173</v>
      </c>
      <c r="CZ113" t="s">
        <v>185</v>
      </c>
      <c r="DA113" t="s">
        <v>192</v>
      </c>
      <c r="DC113" t="s">
        <v>173</v>
      </c>
      <c r="DD113" t="s">
        <v>187</v>
      </c>
      <c r="DE113" t="s">
        <v>192</v>
      </c>
      <c r="DH113" t="s">
        <v>192</v>
      </c>
      <c r="DL113" t="s">
        <v>173</v>
      </c>
      <c r="DM113" t="s">
        <v>192</v>
      </c>
      <c r="DO113" t="s">
        <v>173</v>
      </c>
      <c r="DP113" t="s">
        <v>192</v>
      </c>
      <c r="DR113" t="s">
        <v>192</v>
      </c>
      <c r="DU113" t="s">
        <v>173</v>
      </c>
      <c r="DV113" t="s">
        <v>192</v>
      </c>
      <c r="DX113" t="s">
        <v>192</v>
      </c>
      <c r="EA113" t="s">
        <v>173</v>
      </c>
      <c r="EB113" t="s">
        <v>192</v>
      </c>
      <c r="ED113" t="s">
        <v>173</v>
      </c>
      <c r="EE113" t="s">
        <v>173</v>
      </c>
      <c r="EF113" t="s">
        <v>191</v>
      </c>
      <c r="EG113" t="s">
        <v>173</v>
      </c>
      <c r="EH113" t="s">
        <v>192</v>
      </c>
      <c r="EJ113" t="s">
        <v>173</v>
      </c>
      <c r="EK113" t="s">
        <v>192</v>
      </c>
      <c r="EM113" t="s">
        <v>192</v>
      </c>
      <c r="EQ113" t="s">
        <v>349</v>
      </c>
      <c r="ET113" t="s">
        <v>173</v>
      </c>
      <c r="EU113" t="s">
        <v>173</v>
      </c>
      <c r="EV113" t="s">
        <v>208</v>
      </c>
      <c r="EW113">
        <v>0</v>
      </c>
      <c r="EX113">
        <v>0</v>
      </c>
      <c r="EY113">
        <v>0</v>
      </c>
      <c r="EZ113">
        <v>0</v>
      </c>
      <c r="FA113">
        <v>1</v>
      </c>
      <c r="FB113">
        <v>0</v>
      </c>
      <c r="FC113">
        <v>0</v>
      </c>
      <c r="FD113">
        <v>0</v>
      </c>
      <c r="FE113">
        <v>0</v>
      </c>
      <c r="FH113">
        <v>83718840</v>
      </c>
      <c r="FI113" t="s">
        <v>985</v>
      </c>
      <c r="FJ113" s="1">
        <v>45761.74150462963</v>
      </c>
      <c r="FM113" t="s">
        <v>193</v>
      </c>
      <c r="FO113" t="s">
        <v>469</v>
      </c>
      <c r="FQ113">
        <v>113</v>
      </c>
    </row>
    <row r="114" spans="1:173" x14ac:dyDescent="0.25">
      <c r="A114" s="1">
        <v>45761.533168310183</v>
      </c>
      <c r="B114" s="1">
        <v>45761.536598587962</v>
      </c>
      <c r="C114" t="s">
        <v>334</v>
      </c>
      <c r="D114">
        <v>22</v>
      </c>
      <c r="E114" s="1">
        <v>45739</v>
      </c>
      <c r="F114">
        <v>1</v>
      </c>
      <c r="G114" t="s">
        <v>882</v>
      </c>
      <c r="H114" t="s">
        <v>171</v>
      </c>
      <c r="I114" t="s">
        <v>986</v>
      </c>
      <c r="J114" t="s">
        <v>987</v>
      </c>
      <c r="K114" t="s">
        <v>173</v>
      </c>
      <c r="L114">
        <v>37</v>
      </c>
      <c r="M114" t="s">
        <v>174</v>
      </c>
      <c r="N114">
        <v>0</v>
      </c>
      <c r="O114">
        <v>0</v>
      </c>
      <c r="P114">
        <v>0</v>
      </c>
      <c r="Q114">
        <v>0</v>
      </c>
      <c r="R114" t="s">
        <v>251</v>
      </c>
      <c r="S114">
        <v>74</v>
      </c>
      <c r="T114" t="str">
        <f t="shared" si="2"/>
        <v>56 a más</v>
      </c>
      <c r="U114" t="s">
        <v>173</v>
      </c>
      <c r="W114" t="s">
        <v>176</v>
      </c>
      <c r="Y114" t="s">
        <v>214</v>
      </c>
      <c r="Z114" t="s">
        <v>178</v>
      </c>
      <c r="AA114" t="s">
        <v>179</v>
      </c>
      <c r="AB114" t="s">
        <v>201</v>
      </c>
      <c r="AC114" t="s">
        <v>216</v>
      </c>
      <c r="AD114" t="s">
        <v>988</v>
      </c>
      <c r="AE114" t="s">
        <v>989</v>
      </c>
      <c r="AG114" t="s">
        <v>339</v>
      </c>
      <c r="AH114" t="s">
        <v>287</v>
      </c>
      <c r="AI114">
        <v>0</v>
      </c>
      <c r="AJ114">
        <v>0</v>
      </c>
      <c r="AK114">
        <v>0</v>
      </c>
      <c r="AL114">
        <v>0</v>
      </c>
      <c r="AM114">
        <v>1</v>
      </c>
      <c r="AN114" t="s">
        <v>183</v>
      </c>
      <c r="AO114" t="s">
        <v>173</v>
      </c>
      <c r="AP114" t="s">
        <v>173</v>
      </c>
      <c r="AQ114" t="s">
        <v>192</v>
      </c>
      <c r="AZ114" t="s">
        <v>192</v>
      </c>
      <c r="BW114">
        <f t="shared" si="3"/>
        <v>0</v>
      </c>
      <c r="BY114" t="s">
        <v>173</v>
      </c>
      <c r="BZ114" t="s">
        <v>186</v>
      </c>
      <c r="CA114" t="s">
        <v>192</v>
      </c>
      <c r="CC114" t="s">
        <v>173</v>
      </c>
      <c r="CD114" t="s">
        <v>185</v>
      </c>
      <c r="CE114" t="s">
        <v>192</v>
      </c>
      <c r="CG114" t="s">
        <v>192</v>
      </c>
      <c r="CI114" t="s">
        <v>173</v>
      </c>
      <c r="CJ114" t="s">
        <v>186</v>
      </c>
      <c r="CK114" t="s">
        <v>173</v>
      </c>
      <c r="CL114" t="s">
        <v>187</v>
      </c>
      <c r="CM114" t="s">
        <v>173</v>
      </c>
      <c r="CN114" t="s">
        <v>186</v>
      </c>
      <c r="CO114" t="s">
        <v>192</v>
      </c>
      <c r="CQ114" t="s">
        <v>173</v>
      </c>
      <c r="CR114" t="s">
        <v>187</v>
      </c>
      <c r="CS114" t="s">
        <v>173</v>
      </c>
      <c r="CT114" t="s">
        <v>187</v>
      </c>
      <c r="CU114" t="s">
        <v>192</v>
      </c>
      <c r="CW114" t="s">
        <v>192</v>
      </c>
      <c r="CY114" t="s">
        <v>173</v>
      </c>
      <c r="CZ114" t="s">
        <v>186</v>
      </c>
      <c r="DA114" t="s">
        <v>192</v>
      </c>
      <c r="DC114" t="s">
        <v>192</v>
      </c>
      <c r="DE114" t="s">
        <v>192</v>
      </c>
      <c r="DH114" t="s">
        <v>173</v>
      </c>
      <c r="DI114" t="s">
        <v>187</v>
      </c>
      <c r="DJ114" t="s">
        <v>192</v>
      </c>
      <c r="DL114" t="s">
        <v>192</v>
      </c>
      <c r="DO114" t="s">
        <v>192</v>
      </c>
      <c r="DR114" t="s">
        <v>192</v>
      </c>
      <c r="DU114" t="s">
        <v>192</v>
      </c>
      <c r="DX114" t="s">
        <v>192</v>
      </c>
      <c r="EA114" t="s">
        <v>192</v>
      </c>
      <c r="ED114" t="s">
        <v>173</v>
      </c>
      <c r="EE114" t="s">
        <v>173</v>
      </c>
      <c r="EF114" t="s">
        <v>191</v>
      </c>
      <c r="EG114" t="s">
        <v>173</v>
      </c>
      <c r="EH114" t="s">
        <v>173</v>
      </c>
      <c r="EI114" t="s">
        <v>191</v>
      </c>
      <c r="EJ114" t="s">
        <v>173</v>
      </c>
      <c r="EK114" t="s">
        <v>173</v>
      </c>
      <c r="EL114" t="s">
        <v>188</v>
      </c>
      <c r="EM114" t="s">
        <v>192</v>
      </c>
      <c r="EQ114" t="s">
        <v>388</v>
      </c>
      <c r="ER114" t="s">
        <v>389</v>
      </c>
      <c r="ET114" t="s">
        <v>173</v>
      </c>
      <c r="EU114" t="s">
        <v>173</v>
      </c>
      <c r="EV114" t="s">
        <v>247</v>
      </c>
      <c r="EW114">
        <v>0</v>
      </c>
      <c r="EX114">
        <v>1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H114">
        <v>83718962</v>
      </c>
      <c r="FI114" t="s">
        <v>990</v>
      </c>
      <c r="FJ114" s="1">
        <v>45761.744942129633</v>
      </c>
      <c r="FM114" t="s">
        <v>193</v>
      </c>
      <c r="FO114" t="s">
        <v>469</v>
      </c>
      <c r="FQ114">
        <v>114</v>
      </c>
    </row>
    <row r="115" spans="1:173" x14ac:dyDescent="0.25">
      <c r="A115" s="1">
        <v>45761.531232696761</v>
      </c>
      <c r="B115" s="1">
        <v>45761.537199259263</v>
      </c>
      <c r="C115" t="s">
        <v>171</v>
      </c>
      <c r="D115">
        <v>8</v>
      </c>
      <c r="E115" s="1">
        <v>45738</v>
      </c>
      <c r="F115">
        <v>2</v>
      </c>
      <c r="G115" t="s">
        <v>379</v>
      </c>
      <c r="H115" t="s">
        <v>336</v>
      </c>
      <c r="I115" t="s">
        <v>991</v>
      </c>
      <c r="J115" t="s">
        <v>992</v>
      </c>
      <c r="K115" t="s">
        <v>173</v>
      </c>
      <c r="L115">
        <v>25</v>
      </c>
      <c r="M115" t="s">
        <v>174</v>
      </c>
      <c r="N115">
        <v>0</v>
      </c>
      <c r="O115">
        <v>0</v>
      </c>
      <c r="P115">
        <v>0</v>
      </c>
      <c r="Q115">
        <v>0</v>
      </c>
      <c r="R115" t="s">
        <v>175</v>
      </c>
      <c r="S115">
        <v>73</v>
      </c>
      <c r="T115" t="str">
        <f t="shared" si="2"/>
        <v>56 a más</v>
      </c>
      <c r="U115" t="s">
        <v>173</v>
      </c>
      <c r="W115" t="s">
        <v>176</v>
      </c>
      <c r="Y115" t="s">
        <v>214</v>
      </c>
      <c r="Z115" t="s">
        <v>239</v>
      </c>
      <c r="AA115" t="s">
        <v>179</v>
      </c>
      <c r="AB115" t="s">
        <v>201</v>
      </c>
      <c r="AC115" t="s">
        <v>216</v>
      </c>
      <c r="AD115" t="s">
        <v>865</v>
      </c>
      <c r="AE115" t="s">
        <v>993</v>
      </c>
      <c r="AG115" t="s">
        <v>202</v>
      </c>
      <c r="AH115" t="s">
        <v>204</v>
      </c>
      <c r="AI115">
        <v>0</v>
      </c>
      <c r="AJ115">
        <v>1</v>
      </c>
      <c r="AK115">
        <v>0</v>
      </c>
      <c r="AL115">
        <v>0</v>
      </c>
      <c r="AM115">
        <v>0</v>
      </c>
      <c r="AN115" t="s">
        <v>297</v>
      </c>
      <c r="AO115" t="s">
        <v>192</v>
      </c>
      <c r="AP115" t="s">
        <v>192</v>
      </c>
      <c r="AQ115" t="s">
        <v>192</v>
      </c>
      <c r="AZ115" t="s">
        <v>192</v>
      </c>
      <c r="BW115">
        <f t="shared" si="3"/>
        <v>0</v>
      </c>
      <c r="BY115" t="s">
        <v>192</v>
      </c>
      <c r="CA115" t="s">
        <v>192</v>
      </c>
      <c r="CC115" t="s">
        <v>173</v>
      </c>
      <c r="CD115" t="s">
        <v>187</v>
      </c>
      <c r="CE115" t="s">
        <v>173</v>
      </c>
      <c r="CF115" t="s">
        <v>187</v>
      </c>
      <c r="CG115" t="s">
        <v>192</v>
      </c>
      <c r="CI115" t="s">
        <v>192</v>
      </c>
      <c r="CK115" t="s">
        <v>192</v>
      </c>
      <c r="CM115" t="s">
        <v>173</v>
      </c>
      <c r="CN115" t="s">
        <v>187</v>
      </c>
      <c r="CO115" t="s">
        <v>192</v>
      </c>
      <c r="CQ115" t="s">
        <v>173</v>
      </c>
      <c r="CR115" t="s">
        <v>187</v>
      </c>
      <c r="CS115" t="s">
        <v>192</v>
      </c>
      <c r="CU115" t="s">
        <v>192</v>
      </c>
      <c r="CW115" t="s">
        <v>192</v>
      </c>
      <c r="CY115" t="s">
        <v>173</v>
      </c>
      <c r="CZ115" t="s">
        <v>186</v>
      </c>
      <c r="DA115" t="s">
        <v>192</v>
      </c>
      <c r="DC115" t="s">
        <v>192</v>
      </c>
      <c r="DE115" t="s">
        <v>192</v>
      </c>
      <c r="DH115" t="s">
        <v>173</v>
      </c>
      <c r="DI115" t="s">
        <v>187</v>
      </c>
      <c r="DJ115" t="s">
        <v>192</v>
      </c>
      <c r="DL115" t="s">
        <v>192</v>
      </c>
      <c r="DO115" t="s">
        <v>192</v>
      </c>
      <c r="DR115" t="s">
        <v>192</v>
      </c>
      <c r="DU115" t="s">
        <v>192</v>
      </c>
      <c r="DX115" t="s">
        <v>192</v>
      </c>
      <c r="EA115" t="s">
        <v>192</v>
      </c>
      <c r="ED115" t="s">
        <v>173</v>
      </c>
      <c r="EE115" t="s">
        <v>192</v>
      </c>
      <c r="EG115" t="s">
        <v>173</v>
      </c>
      <c r="EH115" t="s">
        <v>192</v>
      </c>
      <c r="EJ115" t="s">
        <v>192</v>
      </c>
      <c r="EM115" t="s">
        <v>192</v>
      </c>
      <c r="EQ115" t="s">
        <v>994</v>
      </c>
      <c r="ER115" t="s">
        <v>995</v>
      </c>
      <c r="ET115" t="s">
        <v>173</v>
      </c>
      <c r="EU115" t="s">
        <v>173</v>
      </c>
      <c r="EV115" t="s">
        <v>208</v>
      </c>
      <c r="EW115">
        <v>0</v>
      </c>
      <c r="EX115">
        <v>0</v>
      </c>
      <c r="EY115">
        <v>0</v>
      </c>
      <c r="EZ115">
        <v>0</v>
      </c>
      <c r="FA115">
        <v>1</v>
      </c>
      <c r="FB115">
        <v>0</v>
      </c>
      <c r="FC115">
        <v>0</v>
      </c>
      <c r="FD115">
        <v>0</v>
      </c>
      <c r="FE115">
        <v>0</v>
      </c>
      <c r="FH115">
        <v>83718967</v>
      </c>
      <c r="FI115" t="s">
        <v>996</v>
      </c>
      <c r="FJ115" s="1">
        <v>45761.74554398148</v>
      </c>
      <c r="FM115" t="s">
        <v>193</v>
      </c>
      <c r="FO115" t="s">
        <v>469</v>
      </c>
      <c r="FQ115">
        <v>115</v>
      </c>
    </row>
    <row r="116" spans="1:173" x14ac:dyDescent="0.25">
      <c r="A116" s="1">
        <v>45761.537199687496</v>
      </c>
      <c r="B116" s="1">
        <v>45761.575672418992</v>
      </c>
      <c r="C116" t="s">
        <v>171</v>
      </c>
      <c r="D116">
        <v>9</v>
      </c>
      <c r="E116" s="1">
        <v>45738</v>
      </c>
      <c r="F116">
        <v>2</v>
      </c>
      <c r="G116" t="s">
        <v>385</v>
      </c>
      <c r="H116" t="s">
        <v>336</v>
      </c>
      <c r="I116" t="s">
        <v>997</v>
      </c>
      <c r="J116" t="s">
        <v>998</v>
      </c>
      <c r="K116" t="s">
        <v>173</v>
      </c>
      <c r="L116">
        <v>20</v>
      </c>
      <c r="M116" t="s">
        <v>174</v>
      </c>
      <c r="N116">
        <v>0</v>
      </c>
      <c r="O116">
        <v>0</v>
      </c>
      <c r="P116">
        <v>0</v>
      </c>
      <c r="Q116">
        <v>0</v>
      </c>
      <c r="R116" t="s">
        <v>251</v>
      </c>
      <c r="S116">
        <v>46</v>
      </c>
      <c r="T116" t="str">
        <f t="shared" si="2"/>
        <v>41 a 55</v>
      </c>
      <c r="U116" t="s">
        <v>173</v>
      </c>
      <c r="W116" t="s">
        <v>176</v>
      </c>
      <c r="Y116" t="s">
        <v>214</v>
      </c>
      <c r="Z116" t="s">
        <v>178</v>
      </c>
      <c r="AA116" t="s">
        <v>179</v>
      </c>
      <c r="AB116" t="s">
        <v>201</v>
      </c>
      <c r="AC116" t="s">
        <v>202</v>
      </c>
      <c r="AD116" t="s">
        <v>999</v>
      </c>
      <c r="AE116" t="s">
        <v>738</v>
      </c>
      <c r="AF116" t="s">
        <v>1000</v>
      </c>
      <c r="AG116" t="s">
        <v>202</v>
      </c>
      <c r="AH116" t="s">
        <v>244</v>
      </c>
      <c r="AI116">
        <v>0</v>
      </c>
      <c r="AJ116">
        <v>1</v>
      </c>
      <c r="AK116">
        <v>1</v>
      </c>
      <c r="AL116">
        <v>0</v>
      </c>
      <c r="AM116">
        <v>0</v>
      </c>
      <c r="AN116" t="s">
        <v>297</v>
      </c>
      <c r="AO116" t="s">
        <v>192</v>
      </c>
      <c r="AP116" t="s">
        <v>192</v>
      </c>
      <c r="AQ116" t="s">
        <v>173</v>
      </c>
      <c r="AR116" t="s">
        <v>206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Z116" t="s">
        <v>173</v>
      </c>
      <c r="BA116" t="s">
        <v>254</v>
      </c>
      <c r="BB116">
        <v>0</v>
      </c>
      <c r="BC116">
        <v>1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L116">
        <v>0</v>
      </c>
      <c r="BP116" t="s">
        <v>192</v>
      </c>
      <c r="BW116">
        <f t="shared" si="3"/>
        <v>1</v>
      </c>
      <c r="BY116" t="s">
        <v>192</v>
      </c>
      <c r="CA116" t="s">
        <v>192</v>
      </c>
      <c r="CC116" t="s">
        <v>173</v>
      </c>
      <c r="CD116" t="s">
        <v>187</v>
      </c>
      <c r="CE116" t="s">
        <v>173</v>
      </c>
      <c r="CF116" t="s">
        <v>186</v>
      </c>
      <c r="CG116" t="s">
        <v>173</v>
      </c>
      <c r="CH116" t="s">
        <v>185</v>
      </c>
      <c r="CI116" t="s">
        <v>173</v>
      </c>
      <c r="CJ116" t="s">
        <v>186</v>
      </c>
      <c r="CK116" t="s">
        <v>173</v>
      </c>
      <c r="CL116" t="s">
        <v>187</v>
      </c>
      <c r="CM116" t="s">
        <v>173</v>
      </c>
      <c r="CN116" t="s">
        <v>185</v>
      </c>
      <c r="CO116" t="s">
        <v>192</v>
      </c>
      <c r="CQ116" t="s">
        <v>173</v>
      </c>
      <c r="CR116" t="s">
        <v>187</v>
      </c>
      <c r="CS116" t="s">
        <v>173</v>
      </c>
      <c r="CT116" t="s">
        <v>187</v>
      </c>
      <c r="CU116" t="s">
        <v>192</v>
      </c>
      <c r="CW116" t="s">
        <v>173</v>
      </c>
      <c r="CX116" t="s">
        <v>187</v>
      </c>
      <c r="CY116" t="s">
        <v>192</v>
      </c>
      <c r="DA116" t="s">
        <v>192</v>
      </c>
      <c r="DC116" t="s">
        <v>192</v>
      </c>
      <c r="DE116" t="s">
        <v>192</v>
      </c>
      <c r="DH116" t="s">
        <v>173</v>
      </c>
      <c r="DI116" t="s">
        <v>187</v>
      </c>
      <c r="DJ116" t="s">
        <v>192</v>
      </c>
      <c r="DL116" t="s">
        <v>173</v>
      </c>
      <c r="DM116" t="s">
        <v>192</v>
      </c>
      <c r="DO116" t="s">
        <v>173</v>
      </c>
      <c r="DP116" t="s">
        <v>192</v>
      </c>
      <c r="DR116" t="s">
        <v>173</v>
      </c>
      <c r="DS116" t="s">
        <v>192</v>
      </c>
      <c r="DU116" t="s">
        <v>173</v>
      </c>
      <c r="DV116" t="s">
        <v>173</v>
      </c>
      <c r="DW116" t="s">
        <v>188</v>
      </c>
      <c r="DX116" t="s">
        <v>192</v>
      </c>
      <c r="EA116" t="s">
        <v>173</v>
      </c>
      <c r="EB116" t="s">
        <v>173</v>
      </c>
      <c r="EC116" t="s">
        <v>188</v>
      </c>
      <c r="ED116" t="s">
        <v>173</v>
      </c>
      <c r="EE116" t="s">
        <v>173</v>
      </c>
      <c r="EF116" t="s">
        <v>188</v>
      </c>
      <c r="EG116" t="s">
        <v>173</v>
      </c>
      <c r="EH116" t="s">
        <v>173</v>
      </c>
      <c r="EI116" t="s">
        <v>188</v>
      </c>
      <c r="EJ116" t="s">
        <v>192</v>
      </c>
      <c r="EM116" t="s">
        <v>192</v>
      </c>
      <c r="EQ116" t="s">
        <v>967</v>
      </c>
      <c r="ER116" t="s">
        <v>1001</v>
      </c>
      <c r="ES116" t="s">
        <v>1002</v>
      </c>
      <c r="ET116" t="s">
        <v>173</v>
      </c>
      <c r="EU116" t="s">
        <v>173</v>
      </c>
      <c r="EV116" t="s">
        <v>208</v>
      </c>
      <c r="EW116">
        <v>0</v>
      </c>
      <c r="EX116">
        <v>0</v>
      </c>
      <c r="EY116">
        <v>0</v>
      </c>
      <c r="EZ116">
        <v>0</v>
      </c>
      <c r="FA116">
        <v>1</v>
      </c>
      <c r="FB116">
        <v>0</v>
      </c>
      <c r="FC116">
        <v>0</v>
      </c>
      <c r="FD116">
        <v>0</v>
      </c>
      <c r="FE116">
        <v>0</v>
      </c>
      <c r="FG116" t="s">
        <v>1003</v>
      </c>
      <c r="FH116">
        <v>83720351</v>
      </c>
      <c r="FI116" t="s">
        <v>1004</v>
      </c>
      <c r="FJ116" s="1">
        <v>45761.784016203703</v>
      </c>
      <c r="FM116" t="s">
        <v>193</v>
      </c>
      <c r="FO116" t="s">
        <v>469</v>
      </c>
      <c r="FQ116">
        <v>116</v>
      </c>
    </row>
    <row r="117" spans="1:173" x14ac:dyDescent="0.25">
      <c r="A117" s="1">
        <v>45761.536599016203</v>
      </c>
      <c r="B117" s="1">
        <v>45761.586111990742</v>
      </c>
      <c r="C117" t="s">
        <v>334</v>
      </c>
      <c r="D117">
        <v>21</v>
      </c>
      <c r="E117" s="1">
        <v>45739</v>
      </c>
      <c r="F117">
        <v>1</v>
      </c>
      <c r="G117" t="s">
        <v>462</v>
      </c>
      <c r="H117" t="s">
        <v>171</v>
      </c>
      <c r="I117" t="s">
        <v>439</v>
      </c>
      <c r="J117" t="s">
        <v>987</v>
      </c>
      <c r="K117" t="s">
        <v>173</v>
      </c>
      <c r="L117">
        <v>20</v>
      </c>
      <c r="M117" t="s">
        <v>174</v>
      </c>
      <c r="N117">
        <v>0</v>
      </c>
      <c r="O117">
        <v>0</v>
      </c>
      <c r="P117">
        <v>0</v>
      </c>
      <c r="Q117">
        <v>0</v>
      </c>
      <c r="R117" t="s">
        <v>175</v>
      </c>
      <c r="S117">
        <v>37</v>
      </c>
      <c r="T117" t="str">
        <f t="shared" si="2"/>
        <v>26 a 40</v>
      </c>
      <c r="U117" t="s">
        <v>173</v>
      </c>
      <c r="W117" t="s">
        <v>176</v>
      </c>
      <c r="Y117" t="s">
        <v>200</v>
      </c>
      <c r="Z117" t="s">
        <v>355</v>
      </c>
      <c r="AA117" t="s">
        <v>179</v>
      </c>
      <c r="AB117" t="s">
        <v>180</v>
      </c>
      <c r="AC117" t="s">
        <v>216</v>
      </c>
      <c r="AD117" t="s">
        <v>1005</v>
      </c>
      <c r="AE117" t="s">
        <v>1006</v>
      </c>
      <c r="AF117" t="s">
        <v>1007</v>
      </c>
      <c r="AG117" t="s">
        <v>216</v>
      </c>
      <c r="AH117" t="s">
        <v>556</v>
      </c>
      <c r="AI117">
        <v>0</v>
      </c>
      <c r="AJ117">
        <v>0</v>
      </c>
      <c r="AK117">
        <v>1</v>
      </c>
      <c r="AL117">
        <v>1</v>
      </c>
      <c r="AM117">
        <v>0</v>
      </c>
      <c r="AN117" t="s">
        <v>183</v>
      </c>
      <c r="AO117" t="s">
        <v>173</v>
      </c>
      <c r="AP117" t="s">
        <v>173</v>
      </c>
      <c r="AQ117" t="s">
        <v>173</v>
      </c>
      <c r="AR117" t="s">
        <v>1008</v>
      </c>
      <c r="AS117">
        <v>0</v>
      </c>
      <c r="AT117">
        <v>1</v>
      </c>
      <c r="AU117">
        <v>0</v>
      </c>
      <c r="AV117">
        <v>0</v>
      </c>
      <c r="AW117">
        <v>0</v>
      </c>
      <c r="AX117">
        <v>1</v>
      </c>
      <c r="AY117" t="s">
        <v>1009</v>
      </c>
      <c r="AZ117" t="s">
        <v>192</v>
      </c>
      <c r="BW117">
        <f t="shared" si="3"/>
        <v>0</v>
      </c>
      <c r="BY117" t="s">
        <v>173</v>
      </c>
      <c r="BZ117" t="s">
        <v>185</v>
      </c>
      <c r="CA117" t="s">
        <v>173</v>
      </c>
      <c r="CB117" t="s">
        <v>185</v>
      </c>
      <c r="CC117" t="s">
        <v>173</v>
      </c>
      <c r="CD117" t="s">
        <v>186</v>
      </c>
      <c r="CE117" t="s">
        <v>192</v>
      </c>
      <c r="CG117" t="s">
        <v>173</v>
      </c>
      <c r="CH117" t="s">
        <v>185</v>
      </c>
      <c r="CI117" t="s">
        <v>173</v>
      </c>
      <c r="CJ117" t="s">
        <v>186</v>
      </c>
      <c r="CK117" t="s">
        <v>173</v>
      </c>
      <c r="CL117" t="s">
        <v>185</v>
      </c>
      <c r="CM117" t="s">
        <v>173</v>
      </c>
      <c r="CN117" t="s">
        <v>185</v>
      </c>
      <c r="CO117" t="s">
        <v>192</v>
      </c>
      <c r="CQ117" t="s">
        <v>173</v>
      </c>
      <c r="CR117" t="s">
        <v>186</v>
      </c>
      <c r="CS117" t="s">
        <v>173</v>
      </c>
      <c r="CT117" t="s">
        <v>186</v>
      </c>
      <c r="CU117" t="s">
        <v>173</v>
      </c>
      <c r="CV117" t="s">
        <v>185</v>
      </c>
      <c r="CW117" t="s">
        <v>192</v>
      </c>
      <c r="CY117" t="s">
        <v>173</v>
      </c>
      <c r="CZ117" t="s">
        <v>186</v>
      </c>
      <c r="DA117" t="s">
        <v>192</v>
      </c>
      <c r="DC117" t="s">
        <v>173</v>
      </c>
      <c r="DD117" t="s">
        <v>185</v>
      </c>
      <c r="DE117" t="s">
        <v>192</v>
      </c>
      <c r="DH117" t="s">
        <v>173</v>
      </c>
      <c r="DI117" t="s">
        <v>187</v>
      </c>
      <c r="DJ117" t="s">
        <v>192</v>
      </c>
      <c r="DL117" t="s">
        <v>192</v>
      </c>
      <c r="DO117" t="s">
        <v>192</v>
      </c>
      <c r="DR117" t="s">
        <v>192</v>
      </c>
      <c r="DU117" t="s">
        <v>173</v>
      </c>
      <c r="DV117" t="s">
        <v>192</v>
      </c>
      <c r="DX117" t="s">
        <v>192</v>
      </c>
      <c r="EA117" t="s">
        <v>173</v>
      </c>
      <c r="EB117" t="s">
        <v>173</v>
      </c>
      <c r="EC117" t="s">
        <v>191</v>
      </c>
      <c r="ED117" t="s">
        <v>173</v>
      </c>
      <c r="EE117" t="s">
        <v>173</v>
      </c>
      <c r="EF117" t="s">
        <v>188</v>
      </c>
      <c r="EG117" t="s">
        <v>173</v>
      </c>
      <c r="EH117" t="s">
        <v>192</v>
      </c>
      <c r="EJ117" t="s">
        <v>173</v>
      </c>
      <c r="EK117" t="s">
        <v>192</v>
      </c>
      <c r="EM117" t="s">
        <v>192</v>
      </c>
      <c r="EQ117" t="s">
        <v>1010</v>
      </c>
      <c r="ER117" t="s">
        <v>255</v>
      </c>
      <c r="ES117" t="s">
        <v>1011</v>
      </c>
      <c r="ET117" t="s">
        <v>173</v>
      </c>
      <c r="EU117" t="s">
        <v>173</v>
      </c>
      <c r="EV117" t="s">
        <v>208</v>
      </c>
      <c r="EW117">
        <v>0</v>
      </c>
      <c r="EX117">
        <v>0</v>
      </c>
      <c r="EY117">
        <v>0</v>
      </c>
      <c r="EZ117">
        <v>0</v>
      </c>
      <c r="FA117">
        <v>1</v>
      </c>
      <c r="FB117">
        <v>0</v>
      </c>
      <c r="FC117">
        <v>0</v>
      </c>
      <c r="FD117">
        <v>0</v>
      </c>
      <c r="FE117">
        <v>0</v>
      </c>
      <c r="FG117" t="s">
        <v>1012</v>
      </c>
      <c r="FH117">
        <v>83720881</v>
      </c>
      <c r="FI117" t="s">
        <v>1013</v>
      </c>
      <c r="FJ117" s="1">
        <v>45761.794456018521</v>
      </c>
      <c r="FM117" t="s">
        <v>193</v>
      </c>
      <c r="FO117" t="s">
        <v>469</v>
      </c>
      <c r="FQ117">
        <v>117</v>
      </c>
    </row>
    <row r="118" spans="1:173" x14ac:dyDescent="0.25">
      <c r="A118" s="1">
        <v>45761.586112604156</v>
      </c>
      <c r="B118" s="1">
        <v>45761.593158958327</v>
      </c>
      <c r="C118" t="s">
        <v>334</v>
      </c>
      <c r="D118">
        <v>20</v>
      </c>
      <c r="E118" s="1">
        <v>45738</v>
      </c>
      <c r="F118">
        <v>2</v>
      </c>
      <c r="G118" t="s">
        <v>1014</v>
      </c>
      <c r="H118" t="s">
        <v>336</v>
      </c>
      <c r="I118" t="s">
        <v>1015</v>
      </c>
      <c r="J118" t="s">
        <v>250</v>
      </c>
      <c r="K118" t="s">
        <v>173</v>
      </c>
      <c r="L118">
        <v>20</v>
      </c>
      <c r="M118" t="s">
        <v>174</v>
      </c>
      <c r="N118">
        <v>0</v>
      </c>
      <c r="O118">
        <v>0</v>
      </c>
      <c r="P118">
        <v>0</v>
      </c>
      <c r="Q118">
        <v>0</v>
      </c>
      <c r="R118" t="s">
        <v>251</v>
      </c>
      <c r="S118">
        <v>37</v>
      </c>
      <c r="T118" t="str">
        <f t="shared" si="2"/>
        <v>26 a 40</v>
      </c>
      <c r="U118" t="s">
        <v>173</v>
      </c>
      <c r="W118" t="s">
        <v>238</v>
      </c>
      <c r="Y118" t="s">
        <v>214</v>
      </c>
      <c r="Z118" t="s">
        <v>355</v>
      </c>
      <c r="AA118" t="s">
        <v>179</v>
      </c>
      <c r="AB118" t="s">
        <v>215</v>
      </c>
      <c r="AC118" t="s">
        <v>202</v>
      </c>
      <c r="AD118" t="s">
        <v>737</v>
      </c>
      <c r="AE118" t="s">
        <v>1016</v>
      </c>
      <c r="AG118" t="s">
        <v>202</v>
      </c>
      <c r="AH118" t="s">
        <v>244</v>
      </c>
      <c r="AI118">
        <v>0</v>
      </c>
      <c r="AJ118">
        <v>1</v>
      </c>
      <c r="AK118">
        <v>1</v>
      </c>
      <c r="AL118">
        <v>0</v>
      </c>
      <c r="AM118">
        <v>0</v>
      </c>
      <c r="AN118" t="s">
        <v>205</v>
      </c>
      <c r="AO118" t="s">
        <v>192</v>
      </c>
      <c r="AP118" t="s">
        <v>192</v>
      </c>
      <c r="AQ118" t="s">
        <v>192</v>
      </c>
      <c r="AZ118" t="s">
        <v>192</v>
      </c>
      <c r="BW118">
        <f t="shared" si="3"/>
        <v>0</v>
      </c>
      <c r="BY118" t="s">
        <v>173</v>
      </c>
      <c r="BZ118" t="s">
        <v>186</v>
      </c>
      <c r="CA118" t="s">
        <v>192</v>
      </c>
      <c r="CC118" t="s">
        <v>173</v>
      </c>
      <c r="CD118" t="s">
        <v>186</v>
      </c>
      <c r="CE118" t="s">
        <v>173</v>
      </c>
      <c r="CF118" t="s">
        <v>186</v>
      </c>
      <c r="CG118" t="s">
        <v>173</v>
      </c>
      <c r="CH118" t="s">
        <v>187</v>
      </c>
      <c r="CI118" t="s">
        <v>192</v>
      </c>
      <c r="CK118" t="s">
        <v>173</v>
      </c>
      <c r="CL118" t="s">
        <v>186</v>
      </c>
      <c r="CM118" t="s">
        <v>192</v>
      </c>
      <c r="CO118" t="s">
        <v>192</v>
      </c>
      <c r="CQ118" t="s">
        <v>173</v>
      </c>
      <c r="CR118" t="s">
        <v>186</v>
      </c>
      <c r="CS118" t="s">
        <v>192</v>
      </c>
      <c r="CU118" t="s">
        <v>192</v>
      </c>
      <c r="CW118" t="s">
        <v>192</v>
      </c>
      <c r="CY118" t="s">
        <v>173</v>
      </c>
      <c r="CZ118" t="s">
        <v>186</v>
      </c>
      <c r="DA118" t="s">
        <v>192</v>
      </c>
      <c r="DC118" t="s">
        <v>192</v>
      </c>
      <c r="DE118" t="s">
        <v>192</v>
      </c>
      <c r="DH118" t="s">
        <v>173</v>
      </c>
      <c r="DI118" t="s">
        <v>187</v>
      </c>
      <c r="DJ118" t="s">
        <v>192</v>
      </c>
      <c r="DL118" t="s">
        <v>192</v>
      </c>
      <c r="DO118" t="s">
        <v>192</v>
      </c>
      <c r="DR118" t="s">
        <v>192</v>
      </c>
      <c r="DU118" t="s">
        <v>192</v>
      </c>
      <c r="DX118" t="s">
        <v>192</v>
      </c>
      <c r="EA118" t="s">
        <v>192</v>
      </c>
      <c r="ED118" t="s">
        <v>173</v>
      </c>
      <c r="EE118" t="s">
        <v>173</v>
      </c>
      <c r="EF118" t="s">
        <v>188</v>
      </c>
      <c r="EG118" t="s">
        <v>173</v>
      </c>
      <c r="EH118" t="s">
        <v>192</v>
      </c>
      <c r="EJ118" t="s">
        <v>192</v>
      </c>
      <c r="EM118" t="s">
        <v>192</v>
      </c>
      <c r="EQ118" t="s">
        <v>1017</v>
      </c>
      <c r="ER118" t="s">
        <v>221</v>
      </c>
      <c r="ES118" t="s">
        <v>349</v>
      </c>
      <c r="ET118" t="s">
        <v>173</v>
      </c>
      <c r="EU118" t="s">
        <v>173</v>
      </c>
      <c r="EV118" t="s">
        <v>208</v>
      </c>
      <c r="EW118">
        <v>0</v>
      </c>
      <c r="EX118">
        <v>0</v>
      </c>
      <c r="EY118">
        <v>0</v>
      </c>
      <c r="EZ118">
        <v>0</v>
      </c>
      <c r="FA118">
        <v>1</v>
      </c>
      <c r="FB118">
        <v>0</v>
      </c>
      <c r="FC118">
        <v>0</v>
      </c>
      <c r="FD118">
        <v>0</v>
      </c>
      <c r="FE118">
        <v>0</v>
      </c>
      <c r="FH118">
        <v>83721779</v>
      </c>
      <c r="FI118" t="s">
        <v>1018</v>
      </c>
      <c r="FJ118" s="1">
        <v>45761.801504629628</v>
      </c>
      <c r="FM118" t="s">
        <v>193</v>
      </c>
      <c r="FO118" t="s">
        <v>469</v>
      </c>
      <c r="FQ118">
        <v>118</v>
      </c>
    </row>
    <row r="119" spans="1:173" x14ac:dyDescent="0.25">
      <c r="A119" s="1">
        <v>45761.593159618053</v>
      </c>
      <c r="B119" s="1">
        <v>45761.596963368058</v>
      </c>
      <c r="C119" t="s">
        <v>334</v>
      </c>
      <c r="D119">
        <v>19</v>
      </c>
      <c r="E119" s="1">
        <v>45738</v>
      </c>
      <c r="F119">
        <v>2</v>
      </c>
      <c r="G119" t="s">
        <v>1019</v>
      </c>
      <c r="H119" t="s">
        <v>336</v>
      </c>
      <c r="I119" t="s">
        <v>1020</v>
      </c>
      <c r="J119" t="s">
        <v>1021</v>
      </c>
      <c r="K119" t="s">
        <v>173</v>
      </c>
      <c r="L119">
        <v>25</v>
      </c>
      <c r="M119" t="s">
        <v>174</v>
      </c>
      <c r="N119">
        <v>0</v>
      </c>
      <c r="O119">
        <v>0</v>
      </c>
      <c r="P119">
        <v>0</v>
      </c>
      <c r="Q119">
        <v>0</v>
      </c>
      <c r="R119" t="s">
        <v>175</v>
      </c>
      <c r="S119">
        <v>27</v>
      </c>
      <c r="T119" t="str">
        <f t="shared" si="2"/>
        <v>26 a 40</v>
      </c>
      <c r="U119" t="s">
        <v>173</v>
      </c>
      <c r="W119" t="s">
        <v>176</v>
      </c>
      <c r="Y119" t="s">
        <v>200</v>
      </c>
      <c r="Z119" t="s">
        <v>178</v>
      </c>
      <c r="AA119" t="s">
        <v>179</v>
      </c>
      <c r="AB119" t="s">
        <v>215</v>
      </c>
      <c r="AC119" t="s">
        <v>202</v>
      </c>
      <c r="AD119" t="s">
        <v>1022</v>
      </c>
      <c r="AE119" t="s">
        <v>1023</v>
      </c>
      <c r="AG119" t="s">
        <v>202</v>
      </c>
      <c r="AH119" t="s">
        <v>244</v>
      </c>
      <c r="AI119">
        <v>0</v>
      </c>
      <c r="AJ119">
        <v>1</v>
      </c>
      <c r="AK119">
        <v>1</v>
      </c>
      <c r="AL119">
        <v>0</v>
      </c>
      <c r="AM119">
        <v>0</v>
      </c>
      <c r="AN119" t="s">
        <v>297</v>
      </c>
      <c r="AO119" t="s">
        <v>192</v>
      </c>
      <c r="AP119" t="s">
        <v>192</v>
      </c>
      <c r="AQ119" t="s">
        <v>192</v>
      </c>
      <c r="AZ119" t="s">
        <v>192</v>
      </c>
      <c r="BW119">
        <f t="shared" si="3"/>
        <v>0</v>
      </c>
      <c r="BY119" t="s">
        <v>192</v>
      </c>
      <c r="CA119" t="s">
        <v>192</v>
      </c>
      <c r="CC119" t="s">
        <v>173</v>
      </c>
      <c r="CD119" t="s">
        <v>185</v>
      </c>
      <c r="CE119" t="s">
        <v>173</v>
      </c>
      <c r="CF119" t="s">
        <v>187</v>
      </c>
      <c r="CG119" t="s">
        <v>192</v>
      </c>
      <c r="CI119" t="s">
        <v>192</v>
      </c>
      <c r="CK119" t="s">
        <v>173</v>
      </c>
      <c r="CL119" t="s">
        <v>186</v>
      </c>
      <c r="CM119" t="s">
        <v>173</v>
      </c>
      <c r="CN119" t="s">
        <v>185</v>
      </c>
      <c r="CO119" t="s">
        <v>192</v>
      </c>
      <c r="CQ119" t="s">
        <v>192</v>
      </c>
      <c r="CS119" t="s">
        <v>192</v>
      </c>
      <c r="CU119" t="s">
        <v>192</v>
      </c>
      <c r="CW119" t="s">
        <v>173</v>
      </c>
      <c r="CX119" t="s">
        <v>186</v>
      </c>
      <c r="CY119" t="s">
        <v>192</v>
      </c>
      <c r="DA119" t="s">
        <v>192</v>
      </c>
      <c r="DC119" t="s">
        <v>192</v>
      </c>
      <c r="DE119" t="s">
        <v>192</v>
      </c>
      <c r="DH119" t="s">
        <v>173</v>
      </c>
      <c r="DI119" t="s">
        <v>185</v>
      </c>
      <c r="DJ119" t="s">
        <v>192</v>
      </c>
      <c r="DL119" t="s">
        <v>173</v>
      </c>
      <c r="DM119" t="s">
        <v>192</v>
      </c>
      <c r="DO119" t="s">
        <v>192</v>
      </c>
      <c r="DR119" t="s">
        <v>192</v>
      </c>
      <c r="DU119" t="s">
        <v>173</v>
      </c>
      <c r="DV119" t="s">
        <v>192</v>
      </c>
      <c r="DX119" t="s">
        <v>173</v>
      </c>
      <c r="DY119" t="s">
        <v>192</v>
      </c>
      <c r="EA119" t="s">
        <v>173</v>
      </c>
      <c r="EB119" t="s">
        <v>192</v>
      </c>
      <c r="ED119" t="s">
        <v>173</v>
      </c>
      <c r="EE119" t="s">
        <v>192</v>
      </c>
      <c r="EG119" t="s">
        <v>173</v>
      </c>
      <c r="EH119" t="s">
        <v>192</v>
      </c>
      <c r="EJ119" t="s">
        <v>173</v>
      </c>
      <c r="EK119" t="s">
        <v>192</v>
      </c>
      <c r="EM119" t="s">
        <v>192</v>
      </c>
      <c r="EQ119" t="s">
        <v>626</v>
      </c>
      <c r="ER119" t="s">
        <v>1024</v>
      </c>
      <c r="ET119" t="s">
        <v>173</v>
      </c>
      <c r="EU119" t="s">
        <v>173</v>
      </c>
      <c r="EV119" t="s">
        <v>223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1</v>
      </c>
      <c r="FF119" t="s">
        <v>952</v>
      </c>
      <c r="FH119">
        <v>83721976</v>
      </c>
      <c r="FI119" t="s">
        <v>1025</v>
      </c>
      <c r="FJ119" s="1">
        <v>45761.805300925917</v>
      </c>
      <c r="FM119" t="s">
        <v>193</v>
      </c>
      <c r="FO119" t="s">
        <v>469</v>
      </c>
      <c r="FQ119">
        <v>119</v>
      </c>
    </row>
    <row r="120" spans="1:173" x14ac:dyDescent="0.25">
      <c r="A120" s="1">
        <v>45761.596963807868</v>
      </c>
      <c r="B120" s="1">
        <v>45761.599409363429</v>
      </c>
      <c r="C120" t="s">
        <v>334</v>
      </c>
      <c r="D120">
        <v>17</v>
      </c>
      <c r="E120" s="1">
        <v>45738</v>
      </c>
      <c r="F120">
        <v>2</v>
      </c>
      <c r="G120" t="s">
        <v>1014</v>
      </c>
      <c r="H120" t="s">
        <v>336</v>
      </c>
      <c r="I120" t="s">
        <v>1026</v>
      </c>
      <c r="J120" t="s">
        <v>1027</v>
      </c>
      <c r="K120" t="s">
        <v>173</v>
      </c>
      <c r="L120">
        <v>6</v>
      </c>
      <c r="M120" t="s">
        <v>174</v>
      </c>
      <c r="N120">
        <v>0</v>
      </c>
      <c r="O120">
        <v>0</v>
      </c>
      <c r="P120">
        <v>0</v>
      </c>
      <c r="Q120">
        <v>0</v>
      </c>
      <c r="R120" t="s">
        <v>175</v>
      </c>
      <c r="S120">
        <v>30</v>
      </c>
      <c r="T120" t="str">
        <f t="shared" si="2"/>
        <v>26 a 40</v>
      </c>
      <c r="U120" t="s">
        <v>173</v>
      </c>
      <c r="W120" t="s">
        <v>176</v>
      </c>
      <c r="Y120" t="s">
        <v>200</v>
      </c>
      <c r="Z120" t="s">
        <v>364</v>
      </c>
      <c r="AA120" t="s">
        <v>179</v>
      </c>
      <c r="AB120" t="s">
        <v>215</v>
      </c>
      <c r="AC120" t="s">
        <v>202</v>
      </c>
      <c r="AD120" t="s">
        <v>1028</v>
      </c>
      <c r="AE120" t="s">
        <v>1029</v>
      </c>
      <c r="AG120" t="s">
        <v>181</v>
      </c>
      <c r="AH120" t="s">
        <v>244</v>
      </c>
      <c r="AI120">
        <v>0</v>
      </c>
      <c r="AJ120">
        <v>1</v>
      </c>
      <c r="AK120">
        <v>1</v>
      </c>
      <c r="AL120">
        <v>0</v>
      </c>
      <c r="AM120">
        <v>0</v>
      </c>
      <c r="AN120" t="s">
        <v>297</v>
      </c>
      <c r="AO120" t="s">
        <v>192</v>
      </c>
      <c r="AP120" t="s">
        <v>192</v>
      </c>
      <c r="AQ120" t="s">
        <v>192</v>
      </c>
      <c r="AZ120" t="s">
        <v>192</v>
      </c>
      <c r="BW120">
        <f t="shared" si="3"/>
        <v>0</v>
      </c>
      <c r="BY120" t="s">
        <v>192</v>
      </c>
      <c r="CA120" t="s">
        <v>192</v>
      </c>
      <c r="CC120" t="s">
        <v>173</v>
      </c>
      <c r="CD120" t="s">
        <v>185</v>
      </c>
      <c r="CE120" t="s">
        <v>173</v>
      </c>
      <c r="CF120" t="s">
        <v>187</v>
      </c>
      <c r="CG120" t="s">
        <v>173</v>
      </c>
      <c r="CH120" t="s">
        <v>186</v>
      </c>
      <c r="CI120" t="s">
        <v>192</v>
      </c>
      <c r="CK120" t="s">
        <v>173</v>
      </c>
      <c r="CL120" t="s">
        <v>186</v>
      </c>
      <c r="CM120" t="s">
        <v>192</v>
      </c>
      <c r="CO120" t="s">
        <v>192</v>
      </c>
      <c r="CQ120" t="s">
        <v>192</v>
      </c>
      <c r="CS120" t="s">
        <v>192</v>
      </c>
      <c r="CU120" t="s">
        <v>192</v>
      </c>
      <c r="CW120" t="s">
        <v>192</v>
      </c>
      <c r="CY120" t="s">
        <v>173</v>
      </c>
      <c r="CZ120" t="s">
        <v>186</v>
      </c>
      <c r="DA120" t="s">
        <v>192</v>
      </c>
      <c r="DC120" t="s">
        <v>173</v>
      </c>
      <c r="DD120" t="s">
        <v>187</v>
      </c>
      <c r="DE120" t="s">
        <v>192</v>
      </c>
      <c r="DH120" t="s">
        <v>173</v>
      </c>
      <c r="DI120" t="s">
        <v>186</v>
      </c>
      <c r="DJ120" t="s">
        <v>192</v>
      </c>
      <c r="DL120" t="s">
        <v>173</v>
      </c>
      <c r="DM120" t="s">
        <v>192</v>
      </c>
      <c r="DO120" t="s">
        <v>192</v>
      </c>
      <c r="DR120" t="s">
        <v>192</v>
      </c>
      <c r="DU120" t="s">
        <v>173</v>
      </c>
      <c r="DV120" t="s">
        <v>192</v>
      </c>
      <c r="DX120" t="s">
        <v>192</v>
      </c>
      <c r="EA120" t="s">
        <v>192</v>
      </c>
      <c r="ED120" t="s">
        <v>192</v>
      </c>
      <c r="EG120" t="s">
        <v>173</v>
      </c>
      <c r="EH120" t="s">
        <v>192</v>
      </c>
      <c r="EJ120" t="s">
        <v>173</v>
      </c>
      <c r="EK120" t="s">
        <v>192</v>
      </c>
      <c r="EM120" t="s">
        <v>192</v>
      </c>
      <c r="EQ120" t="s">
        <v>1030</v>
      </c>
      <c r="ER120" t="s">
        <v>1031</v>
      </c>
      <c r="ES120" t="s">
        <v>1032</v>
      </c>
      <c r="ET120" t="s">
        <v>173</v>
      </c>
      <c r="EU120" t="s">
        <v>192</v>
      </c>
      <c r="EV120" t="s">
        <v>208</v>
      </c>
      <c r="EW120">
        <v>0</v>
      </c>
      <c r="EX120">
        <v>0</v>
      </c>
      <c r="EY120">
        <v>0</v>
      </c>
      <c r="EZ120">
        <v>0</v>
      </c>
      <c r="FA120">
        <v>1</v>
      </c>
      <c r="FB120">
        <v>0</v>
      </c>
      <c r="FC120">
        <v>0</v>
      </c>
      <c r="FD120">
        <v>0</v>
      </c>
      <c r="FE120">
        <v>0</v>
      </c>
      <c r="FH120">
        <v>83722089</v>
      </c>
      <c r="FI120" t="s">
        <v>1033</v>
      </c>
      <c r="FJ120" s="1">
        <v>45761.807743055557</v>
      </c>
      <c r="FM120" t="s">
        <v>193</v>
      </c>
      <c r="FO120" t="s">
        <v>469</v>
      </c>
      <c r="FQ120">
        <v>120</v>
      </c>
    </row>
    <row r="121" spans="1:173" x14ac:dyDescent="0.25">
      <c r="A121" s="1">
        <v>45761.575672881947</v>
      </c>
      <c r="B121" s="1">
        <v>45761.616121979168</v>
      </c>
      <c r="C121" t="s">
        <v>171</v>
      </c>
      <c r="D121">
        <v>10</v>
      </c>
      <c r="E121" s="1">
        <v>45738</v>
      </c>
      <c r="F121">
        <v>2</v>
      </c>
      <c r="G121" t="s">
        <v>1034</v>
      </c>
      <c r="H121" t="s">
        <v>336</v>
      </c>
      <c r="I121" t="s">
        <v>1035</v>
      </c>
      <c r="J121" t="s">
        <v>1036</v>
      </c>
      <c r="K121" t="s">
        <v>173</v>
      </c>
      <c r="L121">
        <v>10</v>
      </c>
      <c r="M121" t="s">
        <v>174</v>
      </c>
      <c r="N121">
        <v>0</v>
      </c>
      <c r="O121">
        <v>0</v>
      </c>
      <c r="P121">
        <v>0</v>
      </c>
      <c r="Q121">
        <v>0</v>
      </c>
      <c r="R121" t="s">
        <v>175</v>
      </c>
      <c r="S121">
        <v>31</v>
      </c>
      <c r="T121" t="str">
        <f t="shared" si="2"/>
        <v>26 a 40</v>
      </c>
      <c r="U121" t="s">
        <v>173</v>
      </c>
      <c r="W121" t="s">
        <v>238</v>
      </c>
      <c r="Y121" t="s">
        <v>214</v>
      </c>
      <c r="Z121" t="s">
        <v>178</v>
      </c>
      <c r="AA121" t="s">
        <v>179</v>
      </c>
      <c r="AB121" t="s">
        <v>201</v>
      </c>
      <c r="AC121" t="s">
        <v>202</v>
      </c>
      <c r="AD121" t="s">
        <v>1037</v>
      </c>
      <c r="AE121" t="s">
        <v>1038</v>
      </c>
      <c r="AG121" t="s">
        <v>202</v>
      </c>
      <c r="AH121" t="s">
        <v>556</v>
      </c>
      <c r="AI121">
        <v>0</v>
      </c>
      <c r="AJ121">
        <v>0</v>
      </c>
      <c r="AK121">
        <v>1</v>
      </c>
      <c r="AL121">
        <v>1</v>
      </c>
      <c r="AM121">
        <v>0</v>
      </c>
      <c r="AN121" t="s">
        <v>297</v>
      </c>
      <c r="AO121" t="s">
        <v>173</v>
      </c>
      <c r="AP121" t="s">
        <v>173</v>
      </c>
      <c r="AQ121" t="s">
        <v>192</v>
      </c>
      <c r="AZ121" t="s">
        <v>192</v>
      </c>
      <c r="BW121">
        <f t="shared" si="3"/>
        <v>0</v>
      </c>
      <c r="BY121" t="s">
        <v>173</v>
      </c>
      <c r="BZ121" t="s">
        <v>185</v>
      </c>
      <c r="CA121" t="s">
        <v>192</v>
      </c>
      <c r="CC121" t="s">
        <v>173</v>
      </c>
      <c r="CD121" t="s">
        <v>185</v>
      </c>
      <c r="CE121" t="s">
        <v>173</v>
      </c>
      <c r="CF121" t="s">
        <v>186</v>
      </c>
      <c r="CG121" t="s">
        <v>173</v>
      </c>
      <c r="CH121" t="s">
        <v>187</v>
      </c>
      <c r="CI121" t="s">
        <v>192</v>
      </c>
      <c r="CK121" t="s">
        <v>192</v>
      </c>
      <c r="CM121" t="s">
        <v>192</v>
      </c>
      <c r="CO121" t="s">
        <v>192</v>
      </c>
      <c r="CQ121" t="s">
        <v>173</v>
      </c>
      <c r="CR121" t="s">
        <v>186</v>
      </c>
      <c r="CS121" t="s">
        <v>192</v>
      </c>
      <c r="CU121" t="s">
        <v>192</v>
      </c>
      <c r="CW121" t="s">
        <v>192</v>
      </c>
      <c r="CY121" t="s">
        <v>173</v>
      </c>
      <c r="CZ121" t="s">
        <v>185</v>
      </c>
      <c r="DA121" t="s">
        <v>192</v>
      </c>
      <c r="DC121" t="s">
        <v>192</v>
      </c>
      <c r="DE121" t="s">
        <v>192</v>
      </c>
      <c r="DH121" t="s">
        <v>173</v>
      </c>
      <c r="DI121" t="s">
        <v>186</v>
      </c>
      <c r="DJ121" t="s">
        <v>192</v>
      </c>
      <c r="DL121" t="s">
        <v>173</v>
      </c>
      <c r="DM121" t="s">
        <v>173</v>
      </c>
      <c r="DN121" t="s">
        <v>191</v>
      </c>
      <c r="DO121" t="s">
        <v>173</v>
      </c>
      <c r="DP121" t="s">
        <v>173</v>
      </c>
      <c r="DQ121" t="s">
        <v>191</v>
      </c>
      <c r="DR121" t="s">
        <v>192</v>
      </c>
      <c r="DU121" t="s">
        <v>173</v>
      </c>
      <c r="DV121" t="s">
        <v>173</v>
      </c>
      <c r="DW121" t="s">
        <v>191</v>
      </c>
      <c r="DX121" t="s">
        <v>173</v>
      </c>
      <c r="DY121" t="s">
        <v>192</v>
      </c>
      <c r="EA121" t="s">
        <v>173</v>
      </c>
      <c r="EB121" t="s">
        <v>192</v>
      </c>
      <c r="ED121" t="s">
        <v>173</v>
      </c>
      <c r="EE121" t="s">
        <v>173</v>
      </c>
      <c r="EF121" t="s">
        <v>188</v>
      </c>
      <c r="EG121" t="s">
        <v>173</v>
      </c>
      <c r="EH121" t="s">
        <v>192</v>
      </c>
      <c r="EJ121" t="s">
        <v>192</v>
      </c>
      <c r="EM121" t="s">
        <v>192</v>
      </c>
      <c r="EQ121" t="s">
        <v>1039</v>
      </c>
      <c r="ER121" t="s">
        <v>1040</v>
      </c>
      <c r="ET121" t="s">
        <v>173</v>
      </c>
      <c r="EU121" t="s">
        <v>173</v>
      </c>
      <c r="EV121" t="s">
        <v>223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1</v>
      </c>
      <c r="FF121" t="s">
        <v>1041</v>
      </c>
      <c r="FH121">
        <v>83722927</v>
      </c>
      <c r="FI121" t="s">
        <v>1042</v>
      </c>
      <c r="FJ121" s="1">
        <v>45761.824467592603</v>
      </c>
      <c r="FM121" t="s">
        <v>193</v>
      </c>
      <c r="FO121" t="s">
        <v>469</v>
      </c>
      <c r="FQ121">
        <v>121</v>
      </c>
    </row>
    <row r="122" spans="1:173" x14ac:dyDescent="0.25">
      <c r="A122" s="1">
        <v>45761.616122430547</v>
      </c>
      <c r="B122" s="1">
        <v>45761.619333333343</v>
      </c>
      <c r="C122" t="s">
        <v>171</v>
      </c>
      <c r="D122">
        <v>11</v>
      </c>
      <c r="E122" s="1">
        <v>45738</v>
      </c>
      <c r="F122">
        <v>2</v>
      </c>
      <c r="G122" t="s">
        <v>228</v>
      </c>
      <c r="H122" t="s">
        <v>336</v>
      </c>
      <c r="I122" t="s">
        <v>1043</v>
      </c>
      <c r="J122" t="s">
        <v>1044</v>
      </c>
      <c r="K122" t="s">
        <v>173</v>
      </c>
      <c r="L122">
        <v>25</v>
      </c>
      <c r="M122" t="s">
        <v>174</v>
      </c>
      <c r="N122">
        <v>0</v>
      </c>
      <c r="O122">
        <v>0</v>
      </c>
      <c r="P122">
        <v>0</v>
      </c>
      <c r="Q122">
        <v>0</v>
      </c>
      <c r="R122" t="s">
        <v>175</v>
      </c>
      <c r="S122">
        <v>40</v>
      </c>
      <c r="T122" t="str">
        <f t="shared" si="2"/>
        <v>26 a 40</v>
      </c>
      <c r="U122" t="s">
        <v>173</v>
      </c>
      <c r="W122" t="s">
        <v>238</v>
      </c>
      <c r="Y122" t="s">
        <v>214</v>
      </c>
      <c r="Z122" t="s">
        <v>178</v>
      </c>
      <c r="AA122" t="s">
        <v>179</v>
      </c>
      <c r="AB122" t="s">
        <v>215</v>
      </c>
      <c r="AC122" t="s">
        <v>202</v>
      </c>
      <c r="AD122" t="s">
        <v>1045</v>
      </c>
      <c r="AE122" t="s">
        <v>1046</v>
      </c>
      <c r="AG122" t="s">
        <v>202</v>
      </c>
      <c r="AH122" t="s">
        <v>244</v>
      </c>
      <c r="AI122">
        <v>0</v>
      </c>
      <c r="AJ122">
        <v>1</v>
      </c>
      <c r="AK122">
        <v>1</v>
      </c>
      <c r="AL122">
        <v>0</v>
      </c>
      <c r="AM122">
        <v>0</v>
      </c>
      <c r="AN122" t="s">
        <v>183</v>
      </c>
      <c r="AO122" t="s">
        <v>192</v>
      </c>
      <c r="AP122" t="s">
        <v>173</v>
      </c>
      <c r="AQ122" t="s">
        <v>192</v>
      </c>
      <c r="AZ122" t="s">
        <v>192</v>
      </c>
      <c r="BW122">
        <f t="shared" si="3"/>
        <v>0</v>
      </c>
      <c r="BY122" t="s">
        <v>192</v>
      </c>
      <c r="CA122" t="s">
        <v>192</v>
      </c>
      <c r="CC122" t="s">
        <v>173</v>
      </c>
      <c r="CD122" t="s">
        <v>187</v>
      </c>
      <c r="CE122" t="s">
        <v>173</v>
      </c>
      <c r="CF122" t="s">
        <v>187</v>
      </c>
      <c r="CG122" t="s">
        <v>173</v>
      </c>
      <c r="CH122" t="s">
        <v>186</v>
      </c>
      <c r="CI122" t="s">
        <v>192</v>
      </c>
      <c r="CK122" t="s">
        <v>173</v>
      </c>
      <c r="CL122" t="s">
        <v>185</v>
      </c>
      <c r="CM122" t="s">
        <v>192</v>
      </c>
      <c r="CO122" t="s">
        <v>192</v>
      </c>
      <c r="CQ122" t="s">
        <v>192</v>
      </c>
      <c r="CS122" t="s">
        <v>192</v>
      </c>
      <c r="CU122" t="s">
        <v>192</v>
      </c>
      <c r="CW122" t="s">
        <v>192</v>
      </c>
      <c r="CY122" t="s">
        <v>192</v>
      </c>
      <c r="DA122" t="s">
        <v>192</v>
      </c>
      <c r="DC122" t="s">
        <v>192</v>
      </c>
      <c r="DE122" t="s">
        <v>192</v>
      </c>
      <c r="DH122" t="s">
        <v>173</v>
      </c>
      <c r="DI122" t="s">
        <v>186</v>
      </c>
      <c r="DJ122" t="s">
        <v>192</v>
      </c>
      <c r="DL122" t="s">
        <v>173</v>
      </c>
      <c r="DM122" t="s">
        <v>192</v>
      </c>
      <c r="DO122" t="s">
        <v>192</v>
      </c>
      <c r="DR122" t="s">
        <v>192</v>
      </c>
      <c r="DU122" t="s">
        <v>192</v>
      </c>
      <c r="DX122" t="s">
        <v>192</v>
      </c>
      <c r="EA122" t="s">
        <v>173</v>
      </c>
      <c r="EB122" t="s">
        <v>192</v>
      </c>
      <c r="ED122" t="s">
        <v>173</v>
      </c>
      <c r="EE122" t="s">
        <v>173</v>
      </c>
      <c r="EF122" t="s">
        <v>188</v>
      </c>
      <c r="EG122" t="s">
        <v>192</v>
      </c>
      <c r="EJ122" t="s">
        <v>192</v>
      </c>
      <c r="EM122" t="s">
        <v>192</v>
      </c>
      <c r="EQ122" t="s">
        <v>1047</v>
      </c>
      <c r="ER122" t="s">
        <v>1048</v>
      </c>
      <c r="ES122" t="s">
        <v>1049</v>
      </c>
      <c r="ET122" t="s">
        <v>173</v>
      </c>
      <c r="EU122" t="s">
        <v>173</v>
      </c>
      <c r="EV122" t="s">
        <v>223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1</v>
      </c>
      <c r="FF122" t="s">
        <v>1050</v>
      </c>
      <c r="FH122">
        <v>83723035</v>
      </c>
      <c r="FI122" t="s">
        <v>1051</v>
      </c>
      <c r="FJ122" s="1">
        <v>45761.827673611107</v>
      </c>
      <c r="FM122" t="s">
        <v>193</v>
      </c>
      <c r="FO122" t="s">
        <v>469</v>
      </c>
      <c r="FQ122">
        <v>122</v>
      </c>
    </row>
    <row r="123" spans="1:173" x14ac:dyDescent="0.25">
      <c r="A123" s="1">
        <v>45761.619333750001</v>
      </c>
      <c r="B123" s="1">
        <v>45761.624746828697</v>
      </c>
      <c r="C123" t="s">
        <v>171</v>
      </c>
      <c r="D123">
        <v>12</v>
      </c>
      <c r="E123" s="1">
        <v>45738</v>
      </c>
      <c r="F123">
        <v>2</v>
      </c>
      <c r="G123" t="s">
        <v>1052</v>
      </c>
      <c r="H123" t="s">
        <v>336</v>
      </c>
      <c r="I123" t="s">
        <v>1053</v>
      </c>
      <c r="J123" t="s">
        <v>1054</v>
      </c>
      <c r="K123" t="s">
        <v>173</v>
      </c>
      <c r="L123">
        <v>12</v>
      </c>
      <c r="M123" t="s">
        <v>174</v>
      </c>
      <c r="N123">
        <v>0</v>
      </c>
      <c r="O123">
        <v>0</v>
      </c>
      <c r="P123">
        <v>0</v>
      </c>
      <c r="Q123">
        <v>0</v>
      </c>
      <c r="R123" t="s">
        <v>251</v>
      </c>
      <c r="S123">
        <v>30</v>
      </c>
      <c r="T123" t="str">
        <f t="shared" si="2"/>
        <v>26 a 40</v>
      </c>
      <c r="U123" t="s">
        <v>173</v>
      </c>
      <c r="W123" t="s">
        <v>176</v>
      </c>
      <c r="Y123" t="s">
        <v>200</v>
      </c>
      <c r="Z123" t="s">
        <v>355</v>
      </c>
      <c r="AA123" t="s">
        <v>179</v>
      </c>
      <c r="AB123" t="s">
        <v>201</v>
      </c>
      <c r="AC123" t="s">
        <v>216</v>
      </c>
      <c r="AD123" t="s">
        <v>1055</v>
      </c>
      <c r="AE123" t="s">
        <v>1056</v>
      </c>
      <c r="AF123" t="s">
        <v>217</v>
      </c>
      <c r="AG123" t="s">
        <v>216</v>
      </c>
      <c r="AH123" t="s">
        <v>244</v>
      </c>
      <c r="AI123">
        <v>0</v>
      </c>
      <c r="AJ123">
        <v>1</v>
      </c>
      <c r="AK123">
        <v>1</v>
      </c>
      <c r="AL123">
        <v>0</v>
      </c>
      <c r="AM123">
        <v>0</v>
      </c>
      <c r="AN123" t="s">
        <v>297</v>
      </c>
      <c r="AO123" t="s">
        <v>192</v>
      </c>
      <c r="AP123" t="s">
        <v>173</v>
      </c>
      <c r="AQ123" t="s">
        <v>173</v>
      </c>
      <c r="AR123" t="s">
        <v>308</v>
      </c>
      <c r="AS123">
        <v>0</v>
      </c>
      <c r="AT123">
        <v>0</v>
      </c>
      <c r="AU123">
        <v>1</v>
      </c>
      <c r="AV123">
        <v>0</v>
      </c>
      <c r="AW123">
        <v>0</v>
      </c>
      <c r="AX123">
        <v>0</v>
      </c>
      <c r="AZ123" t="s">
        <v>173</v>
      </c>
      <c r="BA123" t="s">
        <v>254</v>
      </c>
      <c r="BB123">
        <v>0</v>
      </c>
      <c r="BC123">
        <v>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L123">
        <v>0</v>
      </c>
      <c r="BP123" t="s">
        <v>192</v>
      </c>
      <c r="BW123">
        <f t="shared" si="3"/>
        <v>1</v>
      </c>
      <c r="BY123" t="s">
        <v>192</v>
      </c>
      <c r="CA123" t="s">
        <v>192</v>
      </c>
      <c r="CC123" t="s">
        <v>173</v>
      </c>
      <c r="CD123" t="s">
        <v>185</v>
      </c>
      <c r="CE123" t="s">
        <v>173</v>
      </c>
      <c r="CF123" t="s">
        <v>185</v>
      </c>
      <c r="CG123" t="s">
        <v>173</v>
      </c>
      <c r="CH123" t="s">
        <v>186</v>
      </c>
      <c r="CI123" t="s">
        <v>173</v>
      </c>
      <c r="CJ123" t="s">
        <v>185</v>
      </c>
      <c r="CK123" t="s">
        <v>173</v>
      </c>
      <c r="CL123" t="s">
        <v>185</v>
      </c>
      <c r="CM123" t="s">
        <v>192</v>
      </c>
      <c r="CO123" t="s">
        <v>192</v>
      </c>
      <c r="CQ123" t="s">
        <v>192</v>
      </c>
      <c r="CS123" t="s">
        <v>192</v>
      </c>
      <c r="CU123" t="s">
        <v>192</v>
      </c>
      <c r="CW123" t="s">
        <v>173</v>
      </c>
      <c r="CX123" t="s">
        <v>186</v>
      </c>
      <c r="CY123" t="s">
        <v>173</v>
      </c>
      <c r="CZ123" t="s">
        <v>187</v>
      </c>
      <c r="DA123" t="s">
        <v>192</v>
      </c>
      <c r="DC123" t="s">
        <v>192</v>
      </c>
      <c r="DE123" t="s">
        <v>192</v>
      </c>
      <c r="DH123" t="s">
        <v>173</v>
      </c>
      <c r="DI123" t="s">
        <v>187</v>
      </c>
      <c r="DJ123" t="s">
        <v>173</v>
      </c>
      <c r="DL123" t="s">
        <v>173</v>
      </c>
      <c r="DM123" t="s">
        <v>192</v>
      </c>
      <c r="DO123" t="s">
        <v>192</v>
      </c>
      <c r="DR123" t="s">
        <v>192</v>
      </c>
      <c r="DU123" t="s">
        <v>173</v>
      </c>
      <c r="DV123" t="s">
        <v>192</v>
      </c>
      <c r="DX123" t="s">
        <v>192</v>
      </c>
      <c r="EA123" t="s">
        <v>192</v>
      </c>
      <c r="ED123" t="s">
        <v>173</v>
      </c>
      <c r="EE123" t="s">
        <v>173</v>
      </c>
      <c r="EF123" t="s">
        <v>188</v>
      </c>
      <c r="EG123" t="s">
        <v>173</v>
      </c>
      <c r="EH123" t="s">
        <v>192</v>
      </c>
      <c r="EJ123" t="s">
        <v>192</v>
      </c>
      <c r="EM123" t="s">
        <v>192</v>
      </c>
      <c r="EQ123" t="s">
        <v>1057</v>
      </c>
      <c r="ER123" t="s">
        <v>368</v>
      </c>
      <c r="ES123" t="s">
        <v>1058</v>
      </c>
      <c r="ET123" t="s">
        <v>173</v>
      </c>
      <c r="EU123" t="s">
        <v>173</v>
      </c>
      <c r="EV123" t="s">
        <v>550</v>
      </c>
      <c r="EW123">
        <v>0</v>
      </c>
      <c r="EX123">
        <v>0</v>
      </c>
      <c r="EY123">
        <v>0</v>
      </c>
      <c r="EZ123">
        <v>0</v>
      </c>
      <c r="FA123">
        <v>1</v>
      </c>
      <c r="FB123">
        <v>0</v>
      </c>
      <c r="FC123">
        <v>0</v>
      </c>
      <c r="FD123">
        <v>0</v>
      </c>
      <c r="FE123">
        <v>1</v>
      </c>
      <c r="FF123" t="s">
        <v>406</v>
      </c>
      <c r="FG123" t="s">
        <v>1059</v>
      </c>
      <c r="FH123">
        <v>83723255</v>
      </c>
      <c r="FI123" t="s">
        <v>1060</v>
      </c>
      <c r="FJ123" s="1">
        <v>45761.833101851851</v>
      </c>
      <c r="FM123" t="s">
        <v>193</v>
      </c>
      <c r="FO123" t="s">
        <v>469</v>
      </c>
      <c r="FQ123">
        <v>123</v>
      </c>
    </row>
    <row r="124" spans="1:173" x14ac:dyDescent="0.25">
      <c r="A124" s="1">
        <v>45761.624747453701</v>
      </c>
      <c r="B124" s="1">
        <v>45761.628876944444</v>
      </c>
      <c r="C124" t="s">
        <v>171</v>
      </c>
      <c r="D124">
        <v>13</v>
      </c>
      <c r="E124" s="1">
        <v>45738</v>
      </c>
      <c r="F124">
        <v>2</v>
      </c>
      <c r="G124" t="s">
        <v>379</v>
      </c>
      <c r="H124" t="s">
        <v>336</v>
      </c>
      <c r="I124" t="s">
        <v>1061</v>
      </c>
      <c r="J124" t="s">
        <v>1062</v>
      </c>
      <c r="K124" t="s">
        <v>173</v>
      </c>
      <c r="L124">
        <v>40</v>
      </c>
      <c r="M124" t="s">
        <v>174</v>
      </c>
      <c r="N124">
        <v>0</v>
      </c>
      <c r="O124">
        <v>0</v>
      </c>
      <c r="P124">
        <v>0</v>
      </c>
      <c r="Q124">
        <v>0</v>
      </c>
      <c r="R124" t="s">
        <v>251</v>
      </c>
      <c r="S124">
        <v>68</v>
      </c>
      <c r="T124" t="str">
        <f t="shared" si="2"/>
        <v>56 a más</v>
      </c>
      <c r="U124" t="s">
        <v>173</v>
      </c>
      <c r="W124" t="s">
        <v>675</v>
      </c>
      <c r="Y124" t="s">
        <v>263</v>
      </c>
      <c r="Z124" t="s">
        <v>178</v>
      </c>
      <c r="AA124" t="s">
        <v>179</v>
      </c>
      <c r="AB124" t="s">
        <v>201</v>
      </c>
      <c r="AC124" t="s">
        <v>216</v>
      </c>
      <c r="AD124" t="s">
        <v>1063</v>
      </c>
      <c r="AE124" t="s">
        <v>1064</v>
      </c>
      <c r="AG124" t="s">
        <v>202</v>
      </c>
      <c r="AH124" t="s">
        <v>244</v>
      </c>
      <c r="AI124">
        <v>0</v>
      </c>
      <c r="AJ124">
        <v>1</v>
      </c>
      <c r="AK124">
        <v>1</v>
      </c>
      <c r="AL124">
        <v>0</v>
      </c>
      <c r="AM124">
        <v>0</v>
      </c>
      <c r="AN124" t="s">
        <v>205</v>
      </c>
      <c r="AO124" t="s">
        <v>192</v>
      </c>
      <c r="AP124" t="s">
        <v>192</v>
      </c>
      <c r="AQ124" t="s">
        <v>192</v>
      </c>
      <c r="AZ124" t="s">
        <v>192</v>
      </c>
      <c r="BW124">
        <f t="shared" si="3"/>
        <v>0</v>
      </c>
      <c r="BY124" t="s">
        <v>173</v>
      </c>
      <c r="BZ124" t="s">
        <v>186</v>
      </c>
      <c r="CA124" t="s">
        <v>192</v>
      </c>
      <c r="CC124" t="s">
        <v>192</v>
      </c>
      <c r="CE124" t="s">
        <v>192</v>
      </c>
      <c r="CG124" t="s">
        <v>192</v>
      </c>
      <c r="CI124" t="s">
        <v>192</v>
      </c>
      <c r="CK124" t="s">
        <v>192</v>
      </c>
      <c r="CM124" t="s">
        <v>192</v>
      </c>
      <c r="CO124" t="s">
        <v>192</v>
      </c>
      <c r="CQ124" t="s">
        <v>173</v>
      </c>
      <c r="CR124" t="s">
        <v>187</v>
      </c>
      <c r="CS124" t="s">
        <v>192</v>
      </c>
      <c r="CU124" t="s">
        <v>192</v>
      </c>
      <c r="CW124" t="s">
        <v>192</v>
      </c>
      <c r="CY124" t="s">
        <v>173</v>
      </c>
      <c r="CZ124" t="s">
        <v>186</v>
      </c>
      <c r="DA124" t="s">
        <v>192</v>
      </c>
      <c r="DC124" t="s">
        <v>192</v>
      </c>
      <c r="DE124" t="s">
        <v>192</v>
      </c>
      <c r="DH124" t="s">
        <v>173</v>
      </c>
      <c r="DI124" t="s">
        <v>187</v>
      </c>
      <c r="DJ124" t="s">
        <v>192</v>
      </c>
      <c r="DL124" t="s">
        <v>173</v>
      </c>
      <c r="DM124" t="s">
        <v>192</v>
      </c>
      <c r="DO124" t="s">
        <v>192</v>
      </c>
      <c r="DR124" t="s">
        <v>192</v>
      </c>
      <c r="DU124" t="s">
        <v>173</v>
      </c>
      <c r="DV124" t="s">
        <v>192</v>
      </c>
      <c r="DX124" t="s">
        <v>192</v>
      </c>
      <c r="EA124" t="s">
        <v>192</v>
      </c>
      <c r="ED124" t="s">
        <v>192</v>
      </c>
      <c r="EG124" t="s">
        <v>173</v>
      </c>
      <c r="EH124" t="s">
        <v>192</v>
      </c>
      <c r="EJ124" t="s">
        <v>173</v>
      </c>
      <c r="EK124" t="s">
        <v>192</v>
      </c>
      <c r="EM124" t="s">
        <v>192</v>
      </c>
      <c r="EQ124" t="s">
        <v>1065</v>
      </c>
      <c r="ER124" t="s">
        <v>1066</v>
      </c>
      <c r="ET124" t="s">
        <v>173</v>
      </c>
      <c r="EU124" t="s">
        <v>173</v>
      </c>
      <c r="EV124" t="s">
        <v>247</v>
      </c>
      <c r="EW124">
        <v>0</v>
      </c>
      <c r="EX124">
        <v>1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H124">
        <v>83723497</v>
      </c>
      <c r="FI124" t="s">
        <v>1067</v>
      </c>
      <c r="FJ124" s="1">
        <v>45761.837222222217</v>
      </c>
      <c r="FM124" t="s">
        <v>193</v>
      </c>
      <c r="FO124" t="s">
        <v>469</v>
      </c>
      <c r="FQ124">
        <v>124</v>
      </c>
    </row>
    <row r="125" spans="1:173" x14ac:dyDescent="0.25">
      <c r="A125" s="1">
        <v>45761.628877384261</v>
      </c>
      <c r="B125" s="1">
        <v>45761.63625116898</v>
      </c>
      <c r="C125" t="s">
        <v>171</v>
      </c>
      <c r="D125">
        <v>14</v>
      </c>
      <c r="E125" s="1">
        <v>45738</v>
      </c>
      <c r="F125">
        <v>2</v>
      </c>
      <c r="G125" t="s">
        <v>228</v>
      </c>
      <c r="H125" t="s">
        <v>336</v>
      </c>
      <c r="I125" t="s">
        <v>1068</v>
      </c>
      <c r="J125" t="s">
        <v>1069</v>
      </c>
      <c r="K125" t="s">
        <v>173</v>
      </c>
      <c r="L125">
        <v>25</v>
      </c>
      <c r="M125" t="s">
        <v>174</v>
      </c>
      <c r="N125">
        <v>0</v>
      </c>
      <c r="O125">
        <v>0</v>
      </c>
      <c r="P125">
        <v>0</v>
      </c>
      <c r="Q125">
        <v>0</v>
      </c>
      <c r="R125" t="s">
        <v>175</v>
      </c>
      <c r="S125">
        <v>76</v>
      </c>
      <c r="T125" t="str">
        <f t="shared" si="2"/>
        <v>56 a más</v>
      </c>
      <c r="U125" t="s">
        <v>173</v>
      </c>
      <c r="W125" t="s">
        <v>176</v>
      </c>
      <c r="Y125" t="s">
        <v>263</v>
      </c>
      <c r="Z125" t="s">
        <v>178</v>
      </c>
      <c r="AA125" t="s">
        <v>179</v>
      </c>
      <c r="AB125" t="s">
        <v>215</v>
      </c>
      <c r="AC125" t="s">
        <v>216</v>
      </c>
      <c r="AD125" t="s">
        <v>1070</v>
      </c>
      <c r="AE125" t="s">
        <v>1071</v>
      </c>
      <c r="AG125" t="s">
        <v>202</v>
      </c>
      <c r="AH125" t="s">
        <v>244</v>
      </c>
      <c r="AI125">
        <v>0</v>
      </c>
      <c r="AJ125">
        <v>1</v>
      </c>
      <c r="AK125">
        <v>1</v>
      </c>
      <c r="AL125">
        <v>0</v>
      </c>
      <c r="AM125">
        <v>0</v>
      </c>
      <c r="AN125" t="s">
        <v>183</v>
      </c>
      <c r="AO125" t="s">
        <v>192</v>
      </c>
      <c r="AP125" t="s">
        <v>192</v>
      </c>
      <c r="AQ125" t="s">
        <v>192</v>
      </c>
      <c r="AZ125" t="s">
        <v>192</v>
      </c>
      <c r="BW125">
        <f t="shared" si="3"/>
        <v>0</v>
      </c>
      <c r="BY125" t="s">
        <v>173</v>
      </c>
      <c r="BZ125" t="s">
        <v>186</v>
      </c>
      <c r="CA125" t="s">
        <v>192</v>
      </c>
      <c r="CC125" t="s">
        <v>192</v>
      </c>
      <c r="CE125" t="s">
        <v>192</v>
      </c>
      <c r="CG125" t="s">
        <v>192</v>
      </c>
      <c r="CI125" t="s">
        <v>192</v>
      </c>
      <c r="CK125" t="s">
        <v>173</v>
      </c>
      <c r="CL125" t="s">
        <v>185</v>
      </c>
      <c r="CM125" t="s">
        <v>192</v>
      </c>
      <c r="CO125" t="s">
        <v>192</v>
      </c>
      <c r="CQ125" t="s">
        <v>192</v>
      </c>
      <c r="CS125" t="s">
        <v>192</v>
      </c>
      <c r="CU125" t="s">
        <v>192</v>
      </c>
      <c r="CW125" t="s">
        <v>192</v>
      </c>
      <c r="CY125" t="s">
        <v>173</v>
      </c>
      <c r="CZ125" t="s">
        <v>185</v>
      </c>
      <c r="DA125" t="s">
        <v>192</v>
      </c>
      <c r="DC125" t="s">
        <v>192</v>
      </c>
      <c r="DE125" t="s">
        <v>192</v>
      </c>
      <c r="DH125" t="s">
        <v>173</v>
      </c>
      <c r="DI125" t="s">
        <v>187</v>
      </c>
      <c r="DJ125" t="s">
        <v>192</v>
      </c>
      <c r="DL125" t="s">
        <v>173</v>
      </c>
      <c r="DM125" t="s">
        <v>173</v>
      </c>
      <c r="DN125" t="s">
        <v>191</v>
      </c>
      <c r="DO125" t="s">
        <v>192</v>
      </c>
      <c r="DR125" t="s">
        <v>173</v>
      </c>
      <c r="DS125" t="s">
        <v>192</v>
      </c>
      <c r="DU125" t="s">
        <v>173</v>
      </c>
      <c r="DV125" t="s">
        <v>173</v>
      </c>
      <c r="DW125" t="s">
        <v>191</v>
      </c>
      <c r="DX125" t="s">
        <v>192</v>
      </c>
      <c r="EA125" t="s">
        <v>173</v>
      </c>
      <c r="EB125" t="s">
        <v>192</v>
      </c>
      <c r="ED125" t="s">
        <v>173</v>
      </c>
      <c r="EE125" t="s">
        <v>173</v>
      </c>
      <c r="EF125" t="s">
        <v>188</v>
      </c>
      <c r="EG125" t="s">
        <v>173</v>
      </c>
      <c r="EH125" t="s">
        <v>192</v>
      </c>
      <c r="EJ125" t="s">
        <v>173</v>
      </c>
      <c r="EK125" t="s">
        <v>192</v>
      </c>
      <c r="EM125" t="s">
        <v>192</v>
      </c>
      <c r="EQ125" t="s">
        <v>245</v>
      </c>
      <c r="ER125" t="s">
        <v>1072</v>
      </c>
      <c r="ES125" t="s">
        <v>1073</v>
      </c>
      <c r="ET125" t="s">
        <v>173</v>
      </c>
      <c r="EU125" t="s">
        <v>192</v>
      </c>
      <c r="EV125" t="s">
        <v>223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1</v>
      </c>
      <c r="FF125" t="s">
        <v>1074</v>
      </c>
      <c r="FH125">
        <v>83723743</v>
      </c>
      <c r="FI125" t="s">
        <v>1075</v>
      </c>
      <c r="FJ125" s="1">
        <v>45761.844594907408</v>
      </c>
      <c r="FM125" t="s">
        <v>193</v>
      </c>
      <c r="FO125" t="s">
        <v>469</v>
      </c>
      <c r="FQ125">
        <v>125</v>
      </c>
    </row>
    <row r="126" spans="1:173" x14ac:dyDescent="0.25">
      <c r="A126" s="1">
        <v>45762.35708548611</v>
      </c>
      <c r="B126" s="1">
        <v>45762.364634814818</v>
      </c>
      <c r="C126" t="s">
        <v>171</v>
      </c>
      <c r="D126">
        <v>4</v>
      </c>
      <c r="E126" s="1">
        <v>45738</v>
      </c>
      <c r="F126">
        <v>2</v>
      </c>
      <c r="G126" t="s">
        <v>228</v>
      </c>
      <c r="H126" t="s">
        <v>336</v>
      </c>
      <c r="I126" t="s">
        <v>1076</v>
      </c>
      <c r="J126" t="s">
        <v>1077</v>
      </c>
      <c r="K126" t="s">
        <v>173</v>
      </c>
      <c r="L126">
        <v>21</v>
      </c>
      <c r="M126" t="s">
        <v>174</v>
      </c>
      <c r="N126">
        <v>0</v>
      </c>
      <c r="O126">
        <v>0</v>
      </c>
      <c r="P126">
        <v>0</v>
      </c>
      <c r="Q126">
        <v>0</v>
      </c>
      <c r="R126" t="s">
        <v>251</v>
      </c>
      <c r="S126">
        <v>52</v>
      </c>
      <c r="T126" t="str">
        <f t="shared" si="2"/>
        <v>41 a 55</v>
      </c>
      <c r="U126" t="s">
        <v>173</v>
      </c>
      <c r="W126" t="s">
        <v>238</v>
      </c>
      <c r="Y126" t="s">
        <v>214</v>
      </c>
      <c r="Z126" t="s">
        <v>178</v>
      </c>
      <c r="AA126" t="s">
        <v>179</v>
      </c>
      <c r="AB126" t="s">
        <v>215</v>
      </c>
      <c r="AC126" t="s">
        <v>202</v>
      </c>
      <c r="AD126" t="s">
        <v>1078</v>
      </c>
      <c r="AG126" t="s">
        <v>202</v>
      </c>
      <c r="AH126" t="s">
        <v>244</v>
      </c>
      <c r="AI126">
        <v>0</v>
      </c>
      <c r="AJ126">
        <v>1</v>
      </c>
      <c r="AK126">
        <v>1</v>
      </c>
      <c r="AL126">
        <v>0</v>
      </c>
      <c r="AM126">
        <v>0</v>
      </c>
      <c r="AN126" t="s">
        <v>297</v>
      </c>
      <c r="AO126" t="s">
        <v>192</v>
      </c>
      <c r="AP126" t="s">
        <v>192</v>
      </c>
      <c r="AQ126" t="s">
        <v>173</v>
      </c>
      <c r="AR126" t="s">
        <v>308</v>
      </c>
      <c r="AS126">
        <v>0</v>
      </c>
      <c r="AT126">
        <v>0</v>
      </c>
      <c r="AU126">
        <v>1</v>
      </c>
      <c r="AV126">
        <v>0</v>
      </c>
      <c r="AW126">
        <v>0</v>
      </c>
      <c r="AX126">
        <v>0</v>
      </c>
      <c r="AZ126" t="s">
        <v>192</v>
      </c>
      <c r="BW126">
        <f t="shared" si="3"/>
        <v>0</v>
      </c>
      <c r="BY126" t="s">
        <v>192</v>
      </c>
      <c r="CA126" t="s">
        <v>192</v>
      </c>
      <c r="CC126" t="s">
        <v>173</v>
      </c>
      <c r="CD126" t="s">
        <v>186</v>
      </c>
      <c r="CE126" t="s">
        <v>173</v>
      </c>
      <c r="CF126" t="s">
        <v>186</v>
      </c>
      <c r="CG126" t="s">
        <v>192</v>
      </c>
      <c r="CI126" t="s">
        <v>173</v>
      </c>
      <c r="CJ126" t="s">
        <v>185</v>
      </c>
      <c r="CK126" t="s">
        <v>173</v>
      </c>
      <c r="CL126" t="s">
        <v>185</v>
      </c>
      <c r="CM126" t="s">
        <v>173</v>
      </c>
      <c r="CN126" t="s">
        <v>185</v>
      </c>
      <c r="CO126" t="s">
        <v>192</v>
      </c>
      <c r="CQ126" t="s">
        <v>173</v>
      </c>
      <c r="CR126" t="s">
        <v>186</v>
      </c>
      <c r="CS126" t="s">
        <v>192</v>
      </c>
      <c r="CU126" t="s">
        <v>173</v>
      </c>
      <c r="CV126" t="s">
        <v>185</v>
      </c>
      <c r="CW126" t="s">
        <v>173</v>
      </c>
      <c r="CX126" t="s">
        <v>186</v>
      </c>
      <c r="CY126" t="s">
        <v>173</v>
      </c>
      <c r="CZ126" t="s">
        <v>185</v>
      </c>
      <c r="DA126" t="s">
        <v>192</v>
      </c>
      <c r="DC126" t="s">
        <v>173</v>
      </c>
      <c r="DD126" t="s">
        <v>185</v>
      </c>
      <c r="DE126" t="s">
        <v>192</v>
      </c>
      <c r="DH126" t="s">
        <v>173</v>
      </c>
      <c r="DI126" t="s">
        <v>187</v>
      </c>
      <c r="DJ126" t="s">
        <v>192</v>
      </c>
      <c r="DL126" t="s">
        <v>173</v>
      </c>
      <c r="DM126" t="s">
        <v>192</v>
      </c>
      <c r="DO126" t="s">
        <v>173</v>
      </c>
      <c r="DP126" t="s">
        <v>173</v>
      </c>
      <c r="DQ126" t="s">
        <v>191</v>
      </c>
      <c r="DR126" t="s">
        <v>192</v>
      </c>
      <c r="DU126" t="s">
        <v>173</v>
      </c>
      <c r="DV126" t="s">
        <v>192</v>
      </c>
      <c r="DX126" t="s">
        <v>173</v>
      </c>
      <c r="DY126" t="s">
        <v>192</v>
      </c>
      <c r="EA126" t="s">
        <v>192</v>
      </c>
      <c r="ED126" t="s">
        <v>173</v>
      </c>
      <c r="EE126" t="s">
        <v>173</v>
      </c>
      <c r="EF126" t="s">
        <v>188</v>
      </c>
      <c r="EG126" t="s">
        <v>173</v>
      </c>
      <c r="EH126" t="s">
        <v>173</v>
      </c>
      <c r="EI126" t="s">
        <v>191</v>
      </c>
      <c r="EJ126" t="s">
        <v>173</v>
      </c>
      <c r="EK126" t="s">
        <v>192</v>
      </c>
      <c r="EM126" t="s">
        <v>192</v>
      </c>
      <c r="EQ126" t="s">
        <v>349</v>
      </c>
      <c r="ER126" t="s">
        <v>1079</v>
      </c>
      <c r="ET126" t="s">
        <v>173</v>
      </c>
      <c r="EU126" t="s">
        <v>173</v>
      </c>
      <c r="EV126" t="s">
        <v>223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1</v>
      </c>
      <c r="FF126" t="s">
        <v>1080</v>
      </c>
      <c r="FH126">
        <v>83797462</v>
      </c>
      <c r="FI126" t="s">
        <v>1081</v>
      </c>
      <c r="FJ126" s="1">
        <v>45762.57298611111</v>
      </c>
      <c r="FM126" t="s">
        <v>193</v>
      </c>
      <c r="FO126" t="s">
        <v>1082</v>
      </c>
      <c r="FQ126">
        <v>126</v>
      </c>
    </row>
    <row r="127" spans="1:173" x14ac:dyDescent="0.25">
      <c r="A127" s="1">
        <v>45762.364635266204</v>
      </c>
      <c r="B127" s="1">
        <v>45762.370599502312</v>
      </c>
      <c r="C127" t="s">
        <v>171</v>
      </c>
      <c r="D127">
        <v>15</v>
      </c>
      <c r="E127" s="1">
        <v>45738</v>
      </c>
      <c r="F127">
        <v>2</v>
      </c>
      <c r="G127" t="s">
        <v>379</v>
      </c>
      <c r="H127" t="s">
        <v>336</v>
      </c>
      <c r="I127" t="s">
        <v>1083</v>
      </c>
      <c r="J127" t="s">
        <v>813</v>
      </c>
      <c r="K127" t="s">
        <v>173</v>
      </c>
      <c r="L127">
        <v>20</v>
      </c>
      <c r="M127" t="s">
        <v>174</v>
      </c>
      <c r="N127">
        <v>0</v>
      </c>
      <c r="O127">
        <v>0</v>
      </c>
      <c r="P127">
        <v>0</v>
      </c>
      <c r="Q127">
        <v>0</v>
      </c>
      <c r="R127" t="s">
        <v>251</v>
      </c>
      <c r="S127">
        <v>43</v>
      </c>
      <c r="T127" t="str">
        <f t="shared" si="2"/>
        <v>41 a 55</v>
      </c>
      <c r="U127" t="s">
        <v>173</v>
      </c>
      <c r="W127" t="s">
        <v>176</v>
      </c>
      <c r="Y127" t="s">
        <v>200</v>
      </c>
      <c r="Z127" t="s">
        <v>178</v>
      </c>
      <c r="AA127" t="s">
        <v>179</v>
      </c>
      <c r="AB127" t="s">
        <v>201</v>
      </c>
      <c r="AC127" t="s">
        <v>216</v>
      </c>
      <c r="AD127" t="s">
        <v>777</v>
      </c>
      <c r="AE127" t="s">
        <v>1084</v>
      </c>
      <c r="AG127" t="s">
        <v>202</v>
      </c>
      <c r="AH127" t="s">
        <v>1085</v>
      </c>
      <c r="AI127">
        <v>1</v>
      </c>
      <c r="AJ127">
        <v>1</v>
      </c>
      <c r="AK127">
        <v>1</v>
      </c>
      <c r="AL127">
        <v>0</v>
      </c>
      <c r="AM127">
        <v>0</v>
      </c>
      <c r="AN127" t="s">
        <v>183</v>
      </c>
      <c r="AO127" t="s">
        <v>173</v>
      </c>
      <c r="AP127" t="s">
        <v>173</v>
      </c>
      <c r="AQ127" t="s">
        <v>173</v>
      </c>
      <c r="AR127" t="s">
        <v>184</v>
      </c>
      <c r="AS127">
        <v>0</v>
      </c>
      <c r="AT127">
        <v>1</v>
      </c>
      <c r="AU127">
        <v>0</v>
      </c>
      <c r="AV127">
        <v>0</v>
      </c>
      <c r="AW127">
        <v>0</v>
      </c>
      <c r="AX127">
        <v>0</v>
      </c>
      <c r="AZ127" t="s">
        <v>173</v>
      </c>
      <c r="BA127" t="s">
        <v>418</v>
      </c>
      <c r="BB127">
        <v>1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O127" t="s">
        <v>173</v>
      </c>
      <c r="BW127">
        <f t="shared" si="3"/>
        <v>0</v>
      </c>
      <c r="BY127" t="s">
        <v>173</v>
      </c>
      <c r="BZ127" t="s">
        <v>186</v>
      </c>
      <c r="CA127" t="s">
        <v>192</v>
      </c>
      <c r="CC127" t="s">
        <v>192</v>
      </c>
      <c r="CE127" t="s">
        <v>173</v>
      </c>
      <c r="CF127" t="s">
        <v>186</v>
      </c>
      <c r="CG127" t="s">
        <v>192</v>
      </c>
      <c r="CI127" t="s">
        <v>192</v>
      </c>
      <c r="CK127" t="s">
        <v>173</v>
      </c>
      <c r="CL127" t="s">
        <v>186</v>
      </c>
      <c r="CM127" t="s">
        <v>173</v>
      </c>
      <c r="CN127" t="s">
        <v>186</v>
      </c>
      <c r="CO127" t="s">
        <v>192</v>
      </c>
      <c r="CQ127" t="s">
        <v>173</v>
      </c>
      <c r="CR127" t="s">
        <v>186</v>
      </c>
      <c r="CS127" t="s">
        <v>192</v>
      </c>
      <c r="CU127" t="s">
        <v>192</v>
      </c>
      <c r="CW127" t="s">
        <v>192</v>
      </c>
      <c r="CY127" t="s">
        <v>192</v>
      </c>
      <c r="DA127" t="s">
        <v>192</v>
      </c>
      <c r="DC127" t="s">
        <v>192</v>
      </c>
      <c r="DE127" t="s">
        <v>192</v>
      </c>
      <c r="DH127" t="s">
        <v>173</v>
      </c>
      <c r="DI127" t="s">
        <v>187</v>
      </c>
      <c r="DJ127" t="s">
        <v>173</v>
      </c>
      <c r="DL127" t="s">
        <v>192</v>
      </c>
      <c r="DO127" t="s">
        <v>192</v>
      </c>
      <c r="DR127" t="s">
        <v>192</v>
      </c>
      <c r="DU127" t="s">
        <v>192</v>
      </c>
      <c r="DX127" t="s">
        <v>192</v>
      </c>
      <c r="EA127" t="s">
        <v>173</v>
      </c>
      <c r="EB127" t="s">
        <v>192</v>
      </c>
      <c r="ED127" t="s">
        <v>173</v>
      </c>
      <c r="EE127" t="s">
        <v>192</v>
      </c>
      <c r="EG127" t="s">
        <v>192</v>
      </c>
      <c r="EJ127" t="s">
        <v>192</v>
      </c>
      <c r="EM127" t="s">
        <v>192</v>
      </c>
      <c r="EQ127" t="s">
        <v>548</v>
      </c>
      <c r="ER127" t="s">
        <v>1086</v>
      </c>
      <c r="ET127" t="s">
        <v>173</v>
      </c>
      <c r="EU127" t="s">
        <v>173</v>
      </c>
      <c r="EV127" t="s">
        <v>208</v>
      </c>
      <c r="EW127">
        <v>0</v>
      </c>
      <c r="EX127">
        <v>0</v>
      </c>
      <c r="EY127">
        <v>0</v>
      </c>
      <c r="EZ127">
        <v>0</v>
      </c>
      <c r="FA127">
        <v>1</v>
      </c>
      <c r="FB127">
        <v>0</v>
      </c>
      <c r="FC127">
        <v>0</v>
      </c>
      <c r="FD127">
        <v>0</v>
      </c>
      <c r="FE127">
        <v>0</v>
      </c>
      <c r="FH127">
        <v>83798058</v>
      </c>
      <c r="FI127" t="s">
        <v>1087</v>
      </c>
      <c r="FJ127" s="1">
        <v>45762.578946759262</v>
      </c>
      <c r="FM127" t="s">
        <v>193</v>
      </c>
      <c r="FO127" t="s">
        <v>1082</v>
      </c>
      <c r="FQ127">
        <v>127</v>
      </c>
    </row>
    <row r="128" spans="1:173" x14ac:dyDescent="0.25">
      <c r="A128" s="1">
        <v>45762.370599942129</v>
      </c>
      <c r="B128" s="1">
        <v>45762.375625578701</v>
      </c>
      <c r="C128" t="s">
        <v>171</v>
      </c>
      <c r="D128">
        <v>29</v>
      </c>
      <c r="E128" s="1">
        <v>45739</v>
      </c>
      <c r="F128">
        <v>1</v>
      </c>
      <c r="G128" t="s">
        <v>462</v>
      </c>
      <c r="H128" t="s">
        <v>171</v>
      </c>
      <c r="I128" t="s">
        <v>471</v>
      </c>
      <c r="J128" t="s">
        <v>1088</v>
      </c>
      <c r="K128" t="s">
        <v>173</v>
      </c>
      <c r="L128">
        <v>45</v>
      </c>
      <c r="M128" t="s">
        <v>174</v>
      </c>
      <c r="N128">
        <v>0</v>
      </c>
      <c r="O128">
        <v>0</v>
      </c>
      <c r="P128">
        <v>0</v>
      </c>
      <c r="Q128">
        <v>0</v>
      </c>
      <c r="R128" t="s">
        <v>251</v>
      </c>
      <c r="S128">
        <v>70</v>
      </c>
      <c r="T128" t="str">
        <f t="shared" si="2"/>
        <v>56 a más</v>
      </c>
      <c r="U128" t="s">
        <v>173</v>
      </c>
      <c r="W128" t="s">
        <v>176</v>
      </c>
      <c r="Y128" t="s">
        <v>214</v>
      </c>
      <c r="Z128" t="s">
        <v>239</v>
      </c>
      <c r="AA128" t="s">
        <v>179</v>
      </c>
      <c r="AB128" t="s">
        <v>201</v>
      </c>
      <c r="AC128" t="s">
        <v>216</v>
      </c>
      <c r="AD128" t="s">
        <v>305</v>
      </c>
      <c r="AG128" t="s">
        <v>202</v>
      </c>
      <c r="AH128" t="s">
        <v>204</v>
      </c>
      <c r="AI128">
        <v>0</v>
      </c>
      <c r="AJ128">
        <v>1</v>
      </c>
      <c r="AK128">
        <v>0</v>
      </c>
      <c r="AL128">
        <v>0</v>
      </c>
      <c r="AM128">
        <v>0</v>
      </c>
      <c r="AN128" t="s">
        <v>297</v>
      </c>
      <c r="AO128" t="s">
        <v>192</v>
      </c>
      <c r="AP128" t="s">
        <v>192</v>
      </c>
      <c r="AQ128" t="s">
        <v>192</v>
      </c>
      <c r="AZ128" t="s">
        <v>192</v>
      </c>
      <c r="BW128">
        <f t="shared" si="3"/>
        <v>0</v>
      </c>
      <c r="BY128" t="s">
        <v>192</v>
      </c>
      <c r="CA128" t="s">
        <v>192</v>
      </c>
      <c r="CC128" t="s">
        <v>173</v>
      </c>
      <c r="CD128" t="s">
        <v>187</v>
      </c>
      <c r="CE128" t="s">
        <v>173</v>
      </c>
      <c r="CF128" t="s">
        <v>185</v>
      </c>
      <c r="CG128" t="s">
        <v>192</v>
      </c>
      <c r="CI128" t="s">
        <v>192</v>
      </c>
      <c r="CK128" t="s">
        <v>173</v>
      </c>
      <c r="CL128" t="s">
        <v>185</v>
      </c>
      <c r="CM128" t="s">
        <v>192</v>
      </c>
      <c r="CO128" t="s">
        <v>192</v>
      </c>
      <c r="CQ128" t="s">
        <v>192</v>
      </c>
      <c r="CS128" t="s">
        <v>192</v>
      </c>
      <c r="CU128" t="s">
        <v>192</v>
      </c>
      <c r="CW128" t="s">
        <v>173</v>
      </c>
      <c r="CX128" t="s">
        <v>185</v>
      </c>
      <c r="CY128" t="s">
        <v>192</v>
      </c>
      <c r="DA128" t="s">
        <v>192</v>
      </c>
      <c r="DC128" t="s">
        <v>192</v>
      </c>
      <c r="DE128" t="s">
        <v>192</v>
      </c>
      <c r="DH128" t="s">
        <v>173</v>
      </c>
      <c r="DI128" t="s">
        <v>187</v>
      </c>
      <c r="DJ128" t="s">
        <v>192</v>
      </c>
      <c r="DL128" t="s">
        <v>173</v>
      </c>
      <c r="DM128" t="s">
        <v>192</v>
      </c>
      <c r="DO128" t="s">
        <v>173</v>
      </c>
      <c r="DP128" t="s">
        <v>173</v>
      </c>
      <c r="DQ128" t="s">
        <v>191</v>
      </c>
      <c r="DR128" t="s">
        <v>192</v>
      </c>
      <c r="DU128" t="s">
        <v>173</v>
      </c>
      <c r="DV128" t="s">
        <v>192</v>
      </c>
      <c r="DX128" t="s">
        <v>192</v>
      </c>
      <c r="EA128" t="s">
        <v>192</v>
      </c>
      <c r="ED128" t="s">
        <v>173</v>
      </c>
      <c r="EE128" t="s">
        <v>192</v>
      </c>
      <c r="EG128" t="s">
        <v>173</v>
      </c>
      <c r="EH128" t="s">
        <v>192</v>
      </c>
      <c r="EJ128" t="s">
        <v>192</v>
      </c>
      <c r="EM128" t="s">
        <v>192</v>
      </c>
      <c r="EQ128" t="s">
        <v>1089</v>
      </c>
      <c r="ET128" t="s">
        <v>173</v>
      </c>
      <c r="EU128" t="s">
        <v>192</v>
      </c>
      <c r="EV128" t="s">
        <v>208</v>
      </c>
      <c r="EW128">
        <v>0</v>
      </c>
      <c r="EX128">
        <v>0</v>
      </c>
      <c r="EY128">
        <v>0</v>
      </c>
      <c r="EZ128">
        <v>0</v>
      </c>
      <c r="FA128">
        <v>1</v>
      </c>
      <c r="FB128">
        <v>0</v>
      </c>
      <c r="FC128">
        <v>0</v>
      </c>
      <c r="FD128">
        <v>0</v>
      </c>
      <c r="FE128">
        <v>0</v>
      </c>
      <c r="FH128">
        <v>83798579</v>
      </c>
      <c r="FI128" t="s">
        <v>1090</v>
      </c>
      <c r="FJ128" s="1">
        <v>45762.583969907413</v>
      </c>
      <c r="FM128" t="s">
        <v>193</v>
      </c>
      <c r="FO128" t="s">
        <v>1082</v>
      </c>
      <c r="FQ128">
        <v>128</v>
      </c>
    </row>
    <row r="129" spans="1:173" x14ac:dyDescent="0.25">
      <c r="A129" s="1">
        <v>45762.375626006942</v>
      </c>
      <c r="B129" s="1">
        <v>45762.378806608787</v>
      </c>
      <c r="C129" t="s">
        <v>171</v>
      </c>
      <c r="D129">
        <v>35</v>
      </c>
      <c r="E129" s="1">
        <v>45739</v>
      </c>
      <c r="F129">
        <v>1</v>
      </c>
      <c r="G129" t="s">
        <v>438</v>
      </c>
      <c r="H129" t="s">
        <v>171</v>
      </c>
      <c r="I129" t="s">
        <v>1091</v>
      </c>
      <c r="J129" t="s">
        <v>1092</v>
      </c>
      <c r="K129" t="s">
        <v>173</v>
      </c>
      <c r="L129">
        <v>35</v>
      </c>
      <c r="M129" t="s">
        <v>174</v>
      </c>
      <c r="N129">
        <v>0</v>
      </c>
      <c r="O129">
        <v>0</v>
      </c>
      <c r="P129">
        <v>0</v>
      </c>
      <c r="Q129">
        <v>0</v>
      </c>
      <c r="R129" t="s">
        <v>175</v>
      </c>
      <c r="S129">
        <v>75</v>
      </c>
      <c r="T129" t="str">
        <f t="shared" si="2"/>
        <v>56 a más</v>
      </c>
      <c r="U129" t="s">
        <v>173</v>
      </c>
      <c r="W129" t="s">
        <v>176</v>
      </c>
      <c r="Y129" t="s">
        <v>214</v>
      </c>
      <c r="Z129" t="s">
        <v>239</v>
      </c>
      <c r="AA129" t="s">
        <v>179</v>
      </c>
      <c r="AB129" t="s">
        <v>189</v>
      </c>
      <c r="AC129" t="s">
        <v>216</v>
      </c>
      <c r="AD129" t="s">
        <v>1093</v>
      </c>
      <c r="AG129" t="s">
        <v>339</v>
      </c>
      <c r="AH129" t="s">
        <v>232</v>
      </c>
      <c r="AI129">
        <v>0</v>
      </c>
      <c r="AJ129">
        <v>0</v>
      </c>
      <c r="AK129">
        <v>1</v>
      </c>
      <c r="AL129">
        <v>0</v>
      </c>
      <c r="AM129">
        <v>0</v>
      </c>
      <c r="AN129" t="s">
        <v>183</v>
      </c>
      <c r="AO129" t="s">
        <v>192</v>
      </c>
      <c r="AP129" t="s">
        <v>192</v>
      </c>
      <c r="AQ129" t="s">
        <v>192</v>
      </c>
      <c r="AZ129" t="s">
        <v>192</v>
      </c>
      <c r="BW129">
        <f t="shared" si="3"/>
        <v>0</v>
      </c>
      <c r="BY129" t="s">
        <v>173</v>
      </c>
      <c r="BZ129" t="s">
        <v>186</v>
      </c>
      <c r="CA129" t="s">
        <v>192</v>
      </c>
      <c r="CC129" t="s">
        <v>173</v>
      </c>
      <c r="CD129" t="s">
        <v>186</v>
      </c>
      <c r="CE129" t="s">
        <v>192</v>
      </c>
      <c r="CG129" t="s">
        <v>192</v>
      </c>
      <c r="CI129" t="s">
        <v>192</v>
      </c>
      <c r="CK129" t="s">
        <v>173</v>
      </c>
      <c r="CL129" t="s">
        <v>185</v>
      </c>
      <c r="CM129" t="s">
        <v>192</v>
      </c>
      <c r="CO129" t="s">
        <v>192</v>
      </c>
      <c r="CQ129" t="s">
        <v>192</v>
      </c>
      <c r="CS129" t="s">
        <v>192</v>
      </c>
      <c r="CU129" t="s">
        <v>192</v>
      </c>
      <c r="CW129" t="s">
        <v>192</v>
      </c>
      <c r="CY129" t="s">
        <v>173</v>
      </c>
      <c r="CZ129" t="s">
        <v>185</v>
      </c>
      <c r="DA129" t="s">
        <v>192</v>
      </c>
      <c r="DC129" t="s">
        <v>192</v>
      </c>
      <c r="DE129" t="s">
        <v>192</v>
      </c>
      <c r="DH129" t="s">
        <v>173</v>
      </c>
      <c r="DI129" t="s">
        <v>187</v>
      </c>
      <c r="DJ129" t="s">
        <v>173</v>
      </c>
      <c r="DL129" t="s">
        <v>192</v>
      </c>
      <c r="DO129" t="s">
        <v>192</v>
      </c>
      <c r="DR129" t="s">
        <v>192</v>
      </c>
      <c r="DU129" t="s">
        <v>192</v>
      </c>
      <c r="DX129" t="s">
        <v>192</v>
      </c>
      <c r="EA129" t="s">
        <v>192</v>
      </c>
      <c r="ED129" t="s">
        <v>173</v>
      </c>
      <c r="EE129" t="s">
        <v>173</v>
      </c>
      <c r="EF129" t="s">
        <v>191</v>
      </c>
      <c r="EG129" t="s">
        <v>173</v>
      </c>
      <c r="EH129" t="s">
        <v>173</v>
      </c>
      <c r="EI129" t="s">
        <v>191</v>
      </c>
      <c r="EJ129" t="s">
        <v>173</v>
      </c>
      <c r="EK129" t="s">
        <v>192</v>
      </c>
      <c r="EM129" t="s">
        <v>192</v>
      </c>
      <c r="EQ129" t="s">
        <v>548</v>
      </c>
      <c r="ET129" t="s">
        <v>173</v>
      </c>
      <c r="EU129" t="s">
        <v>173</v>
      </c>
      <c r="EV129" t="s">
        <v>223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1</v>
      </c>
      <c r="FF129" t="s">
        <v>332</v>
      </c>
      <c r="FH129">
        <v>83798983</v>
      </c>
      <c r="FI129" t="s">
        <v>1094</v>
      </c>
      <c r="FJ129" s="1">
        <v>45762.587152777778</v>
      </c>
      <c r="FM129" t="s">
        <v>193</v>
      </c>
      <c r="FO129" t="s">
        <v>1082</v>
      </c>
      <c r="FQ129">
        <v>129</v>
      </c>
    </row>
    <row r="130" spans="1:173" x14ac:dyDescent="0.25">
      <c r="A130" s="1">
        <v>45762.378807037043</v>
      </c>
      <c r="B130" s="1">
        <v>45762.381842129631</v>
      </c>
      <c r="C130" t="s">
        <v>171</v>
      </c>
      <c r="D130">
        <v>33</v>
      </c>
      <c r="E130" s="1">
        <v>45739</v>
      </c>
      <c r="F130">
        <v>1</v>
      </c>
      <c r="G130" t="s">
        <v>882</v>
      </c>
      <c r="H130" t="s">
        <v>171</v>
      </c>
      <c r="I130" t="s">
        <v>1095</v>
      </c>
      <c r="J130" t="s">
        <v>1096</v>
      </c>
      <c r="K130" t="s">
        <v>173</v>
      </c>
      <c r="L130">
        <v>50</v>
      </c>
      <c r="M130" t="s">
        <v>174</v>
      </c>
      <c r="N130">
        <v>0</v>
      </c>
      <c r="O130">
        <v>0</v>
      </c>
      <c r="P130">
        <v>0</v>
      </c>
      <c r="Q130">
        <v>0</v>
      </c>
      <c r="R130" t="s">
        <v>251</v>
      </c>
      <c r="S130">
        <v>74</v>
      </c>
      <c r="T130" t="str">
        <f t="shared" si="2"/>
        <v>56 a más</v>
      </c>
      <c r="U130" t="s">
        <v>173</v>
      </c>
      <c r="W130" t="s">
        <v>238</v>
      </c>
      <c r="Y130" t="s">
        <v>200</v>
      </c>
      <c r="Z130" t="s">
        <v>239</v>
      </c>
      <c r="AA130" t="s">
        <v>240</v>
      </c>
      <c r="AB130" t="s">
        <v>215</v>
      </c>
      <c r="AC130" t="s">
        <v>202</v>
      </c>
      <c r="AD130" t="s">
        <v>1097</v>
      </c>
      <c r="AE130" t="s">
        <v>738</v>
      </c>
      <c r="AG130" t="s">
        <v>202</v>
      </c>
      <c r="AH130" t="s">
        <v>232</v>
      </c>
      <c r="AI130">
        <v>0</v>
      </c>
      <c r="AJ130">
        <v>0</v>
      </c>
      <c r="AK130">
        <v>1</v>
      </c>
      <c r="AL130">
        <v>0</v>
      </c>
      <c r="AM130">
        <v>0</v>
      </c>
      <c r="AN130" t="s">
        <v>297</v>
      </c>
      <c r="AO130" t="s">
        <v>192</v>
      </c>
      <c r="AP130" t="s">
        <v>192</v>
      </c>
      <c r="AQ130" t="s">
        <v>192</v>
      </c>
      <c r="AZ130" t="s">
        <v>192</v>
      </c>
      <c r="BW130">
        <f t="shared" si="3"/>
        <v>0</v>
      </c>
      <c r="BY130" t="s">
        <v>192</v>
      </c>
      <c r="CA130" t="s">
        <v>173</v>
      </c>
      <c r="CB130" t="s">
        <v>185</v>
      </c>
      <c r="CC130" t="s">
        <v>173</v>
      </c>
      <c r="CD130" t="s">
        <v>185</v>
      </c>
      <c r="CE130" t="s">
        <v>192</v>
      </c>
      <c r="CG130" t="s">
        <v>192</v>
      </c>
      <c r="CI130" t="s">
        <v>173</v>
      </c>
      <c r="CJ130" t="s">
        <v>185</v>
      </c>
      <c r="CK130" t="s">
        <v>173</v>
      </c>
      <c r="CL130" t="s">
        <v>185</v>
      </c>
      <c r="CM130" t="s">
        <v>173</v>
      </c>
      <c r="CN130" t="s">
        <v>185</v>
      </c>
      <c r="CO130" t="s">
        <v>192</v>
      </c>
      <c r="CQ130" t="s">
        <v>192</v>
      </c>
      <c r="CS130" t="s">
        <v>192</v>
      </c>
      <c r="CU130" t="s">
        <v>192</v>
      </c>
      <c r="CW130" t="s">
        <v>173</v>
      </c>
      <c r="CX130" t="s">
        <v>185</v>
      </c>
      <c r="CY130" t="s">
        <v>192</v>
      </c>
      <c r="DA130" t="s">
        <v>192</v>
      </c>
      <c r="DC130" t="s">
        <v>192</v>
      </c>
      <c r="DE130" t="s">
        <v>192</v>
      </c>
      <c r="DH130" t="s">
        <v>173</v>
      </c>
      <c r="DI130" t="s">
        <v>187</v>
      </c>
      <c r="DJ130" t="s">
        <v>192</v>
      </c>
      <c r="DL130" t="s">
        <v>192</v>
      </c>
      <c r="DO130" t="s">
        <v>192</v>
      </c>
      <c r="DR130" t="s">
        <v>192</v>
      </c>
      <c r="DU130" t="s">
        <v>192</v>
      </c>
      <c r="DX130" t="s">
        <v>173</v>
      </c>
      <c r="DY130" t="s">
        <v>173</v>
      </c>
      <c r="DZ130" t="s">
        <v>191</v>
      </c>
      <c r="EA130" t="s">
        <v>173</v>
      </c>
      <c r="EB130" t="s">
        <v>173</v>
      </c>
      <c r="EC130" t="s">
        <v>191</v>
      </c>
      <c r="ED130" t="s">
        <v>173</v>
      </c>
      <c r="EE130" t="s">
        <v>173</v>
      </c>
      <c r="EF130" t="s">
        <v>191</v>
      </c>
      <c r="EG130" t="s">
        <v>173</v>
      </c>
      <c r="EH130" t="s">
        <v>173</v>
      </c>
      <c r="EI130" t="s">
        <v>191</v>
      </c>
      <c r="EJ130" t="s">
        <v>173</v>
      </c>
      <c r="EK130" t="s">
        <v>192</v>
      </c>
      <c r="EM130" t="s">
        <v>192</v>
      </c>
      <c r="EQ130" t="s">
        <v>309</v>
      </c>
      <c r="ER130" t="s">
        <v>460</v>
      </c>
      <c r="ET130" t="s">
        <v>173</v>
      </c>
      <c r="EU130" t="s">
        <v>173</v>
      </c>
      <c r="EV130" t="s">
        <v>247</v>
      </c>
      <c r="EW130">
        <v>0</v>
      </c>
      <c r="EX130">
        <v>1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H130">
        <v>83799478</v>
      </c>
      <c r="FI130" t="s">
        <v>1098</v>
      </c>
      <c r="FJ130" s="1">
        <v>45762.590185185189</v>
      </c>
      <c r="FM130" t="s">
        <v>193</v>
      </c>
      <c r="FO130" t="s">
        <v>1082</v>
      </c>
      <c r="FQ130">
        <v>130</v>
      </c>
    </row>
    <row r="131" spans="1:173" x14ac:dyDescent="0.25">
      <c r="A131" s="1">
        <v>45762.381842523151</v>
      </c>
      <c r="B131" s="1">
        <v>45762.387160671293</v>
      </c>
      <c r="C131" t="s">
        <v>171</v>
      </c>
      <c r="D131">
        <v>31</v>
      </c>
      <c r="E131" s="1">
        <v>45739</v>
      </c>
      <c r="F131">
        <v>1</v>
      </c>
      <c r="G131" t="s">
        <v>882</v>
      </c>
      <c r="H131" t="s">
        <v>171</v>
      </c>
      <c r="I131" t="s">
        <v>1099</v>
      </c>
      <c r="J131" t="s">
        <v>1100</v>
      </c>
      <c r="K131" t="s">
        <v>173</v>
      </c>
      <c r="L131">
        <v>35</v>
      </c>
      <c r="M131" t="s">
        <v>174</v>
      </c>
      <c r="N131">
        <v>0</v>
      </c>
      <c r="O131">
        <v>0</v>
      </c>
      <c r="P131">
        <v>0</v>
      </c>
      <c r="Q131">
        <v>0</v>
      </c>
      <c r="R131" t="s">
        <v>175</v>
      </c>
      <c r="S131">
        <v>69</v>
      </c>
      <c r="T131" t="str">
        <f t="shared" ref="T131:T167" si="4">IF(S131&lt;=25,"18 a 25",IF(S131&lt;=40,"26 a 40",IF(S131&lt;=55,"41 a 55","56 a más")))</f>
        <v>56 a más</v>
      </c>
      <c r="U131" t="s">
        <v>173</v>
      </c>
      <c r="W131" t="s">
        <v>238</v>
      </c>
      <c r="Y131" t="s">
        <v>214</v>
      </c>
      <c r="Z131" t="s">
        <v>239</v>
      </c>
      <c r="AA131" t="s">
        <v>179</v>
      </c>
      <c r="AB131" t="s">
        <v>201</v>
      </c>
      <c r="AC131" t="s">
        <v>202</v>
      </c>
      <c r="AD131" t="s">
        <v>1101</v>
      </c>
      <c r="AE131" t="s">
        <v>321</v>
      </c>
      <c r="AF131" t="s">
        <v>1102</v>
      </c>
      <c r="AG131" t="s">
        <v>202</v>
      </c>
      <c r="AH131" t="s">
        <v>287</v>
      </c>
      <c r="AI131">
        <v>0</v>
      </c>
      <c r="AJ131">
        <v>0</v>
      </c>
      <c r="AK131">
        <v>0</v>
      </c>
      <c r="AL131">
        <v>0</v>
      </c>
      <c r="AM131">
        <v>1</v>
      </c>
      <c r="AN131" t="s">
        <v>205</v>
      </c>
      <c r="AO131" t="s">
        <v>192</v>
      </c>
      <c r="AP131" t="s">
        <v>192</v>
      </c>
      <c r="AQ131" t="s">
        <v>192</v>
      </c>
      <c r="AZ131" t="s">
        <v>192</v>
      </c>
      <c r="BW131">
        <f t="shared" ref="BW131:BW167" si="5">IF(OR(BN131="2. No",BO131="2. No",BP131="2. No",BQ131="2. No",BR131="2. No",BS131="2. No",BT131="2. No",BU131="2. No",BV131="2. No"),1,0)</f>
        <v>0</v>
      </c>
      <c r="BY131" t="s">
        <v>173</v>
      </c>
      <c r="BZ131" t="s">
        <v>185</v>
      </c>
      <c r="CA131" t="s">
        <v>192</v>
      </c>
      <c r="CC131" t="s">
        <v>192</v>
      </c>
      <c r="CE131" t="s">
        <v>173</v>
      </c>
      <c r="CF131" t="s">
        <v>185</v>
      </c>
      <c r="CG131" t="s">
        <v>192</v>
      </c>
      <c r="CI131" t="s">
        <v>173</v>
      </c>
      <c r="CJ131" t="s">
        <v>186</v>
      </c>
      <c r="CK131" t="s">
        <v>192</v>
      </c>
      <c r="CM131" t="s">
        <v>192</v>
      </c>
      <c r="CO131" t="s">
        <v>192</v>
      </c>
      <c r="CQ131" t="s">
        <v>192</v>
      </c>
      <c r="CS131" t="s">
        <v>192</v>
      </c>
      <c r="CU131" t="s">
        <v>192</v>
      </c>
      <c r="CW131" t="s">
        <v>192</v>
      </c>
      <c r="CY131" t="s">
        <v>173</v>
      </c>
      <c r="CZ131" t="s">
        <v>185</v>
      </c>
      <c r="DA131" t="s">
        <v>192</v>
      </c>
      <c r="DC131" t="s">
        <v>192</v>
      </c>
      <c r="DE131" t="s">
        <v>192</v>
      </c>
      <c r="DH131" t="s">
        <v>173</v>
      </c>
      <c r="DI131" t="s">
        <v>187</v>
      </c>
      <c r="DJ131" t="s">
        <v>192</v>
      </c>
      <c r="DL131" t="s">
        <v>192</v>
      </c>
      <c r="DO131" t="s">
        <v>192</v>
      </c>
      <c r="DR131" t="s">
        <v>192</v>
      </c>
      <c r="DU131" t="s">
        <v>173</v>
      </c>
      <c r="DV131" t="s">
        <v>173</v>
      </c>
      <c r="DW131" t="s">
        <v>191</v>
      </c>
      <c r="DX131" t="s">
        <v>192</v>
      </c>
      <c r="EA131" t="s">
        <v>173</v>
      </c>
      <c r="EB131" t="s">
        <v>173</v>
      </c>
      <c r="EC131" t="s">
        <v>191</v>
      </c>
      <c r="ED131" t="s">
        <v>173</v>
      </c>
      <c r="EE131" t="s">
        <v>173</v>
      </c>
      <c r="EF131" t="s">
        <v>191</v>
      </c>
      <c r="EG131" t="s">
        <v>173</v>
      </c>
      <c r="EH131" t="s">
        <v>173</v>
      </c>
      <c r="EI131" t="s">
        <v>188</v>
      </c>
      <c r="EJ131" t="s">
        <v>173</v>
      </c>
      <c r="EK131" t="s">
        <v>173</v>
      </c>
      <c r="EL131" t="s">
        <v>188</v>
      </c>
      <c r="EM131" t="s">
        <v>192</v>
      </c>
      <c r="EQ131" t="s">
        <v>322</v>
      </c>
      <c r="ER131" t="s">
        <v>1103</v>
      </c>
      <c r="ET131" t="s">
        <v>173</v>
      </c>
      <c r="EU131" t="s">
        <v>173</v>
      </c>
      <c r="EV131" t="s">
        <v>208</v>
      </c>
      <c r="EW131">
        <v>0</v>
      </c>
      <c r="EX131">
        <v>0</v>
      </c>
      <c r="EY131">
        <v>0</v>
      </c>
      <c r="EZ131">
        <v>0</v>
      </c>
      <c r="FA131">
        <v>1</v>
      </c>
      <c r="FB131">
        <v>0</v>
      </c>
      <c r="FC131">
        <v>0</v>
      </c>
      <c r="FD131">
        <v>0</v>
      </c>
      <c r="FE131">
        <v>0</v>
      </c>
      <c r="FH131">
        <v>83799860</v>
      </c>
      <c r="FI131" t="s">
        <v>1104</v>
      </c>
      <c r="FJ131" s="1">
        <v>45762.595497685194</v>
      </c>
      <c r="FM131" t="s">
        <v>193</v>
      </c>
      <c r="FO131" t="s">
        <v>1082</v>
      </c>
      <c r="FQ131">
        <v>131</v>
      </c>
    </row>
    <row r="132" spans="1:173" x14ac:dyDescent="0.25">
      <c r="A132" s="1">
        <v>45762.387161099527</v>
      </c>
      <c r="B132" s="1">
        <v>45762.390711458327</v>
      </c>
      <c r="C132" t="s">
        <v>171</v>
      </c>
      <c r="D132">
        <v>25</v>
      </c>
      <c r="E132" s="1">
        <v>45739</v>
      </c>
      <c r="F132">
        <v>1</v>
      </c>
      <c r="G132" t="s">
        <v>882</v>
      </c>
      <c r="H132" t="s">
        <v>171</v>
      </c>
      <c r="I132" t="s">
        <v>471</v>
      </c>
      <c r="J132" t="s">
        <v>1105</v>
      </c>
      <c r="K132" t="s">
        <v>173</v>
      </c>
      <c r="L132">
        <v>10</v>
      </c>
      <c r="M132" t="s">
        <v>174</v>
      </c>
      <c r="N132">
        <v>0</v>
      </c>
      <c r="O132">
        <v>0</v>
      </c>
      <c r="P132">
        <v>0</v>
      </c>
      <c r="Q132">
        <v>0</v>
      </c>
      <c r="R132" t="s">
        <v>175</v>
      </c>
      <c r="S132">
        <v>46</v>
      </c>
      <c r="T132" t="str">
        <f t="shared" si="4"/>
        <v>41 a 55</v>
      </c>
      <c r="U132" t="s">
        <v>173</v>
      </c>
      <c r="W132" t="s">
        <v>238</v>
      </c>
      <c r="Y132" t="s">
        <v>214</v>
      </c>
      <c r="Z132" t="s">
        <v>239</v>
      </c>
      <c r="AA132" t="s">
        <v>179</v>
      </c>
      <c r="AB132" t="s">
        <v>215</v>
      </c>
      <c r="AC132" t="s">
        <v>339</v>
      </c>
      <c r="AD132" t="s">
        <v>217</v>
      </c>
      <c r="AE132" t="s">
        <v>1106</v>
      </c>
      <c r="AG132" t="s">
        <v>202</v>
      </c>
      <c r="AH132" t="s">
        <v>287</v>
      </c>
      <c r="AI132">
        <v>0</v>
      </c>
      <c r="AJ132">
        <v>0</v>
      </c>
      <c r="AK132">
        <v>0</v>
      </c>
      <c r="AL132">
        <v>0</v>
      </c>
      <c r="AM132">
        <v>1</v>
      </c>
      <c r="AN132" t="s">
        <v>183</v>
      </c>
      <c r="AO132" t="s">
        <v>192</v>
      </c>
      <c r="AP132" t="s">
        <v>192</v>
      </c>
      <c r="AQ132" t="s">
        <v>192</v>
      </c>
      <c r="AZ132" t="s">
        <v>192</v>
      </c>
      <c r="BW132">
        <f t="shared" si="5"/>
        <v>0</v>
      </c>
      <c r="BY132" t="s">
        <v>173</v>
      </c>
      <c r="BZ132" t="s">
        <v>186</v>
      </c>
      <c r="CA132" t="s">
        <v>192</v>
      </c>
      <c r="CC132" t="s">
        <v>173</v>
      </c>
      <c r="CD132" t="s">
        <v>186</v>
      </c>
      <c r="CE132" t="s">
        <v>173</v>
      </c>
      <c r="CF132" t="s">
        <v>186</v>
      </c>
      <c r="CG132" t="s">
        <v>173</v>
      </c>
      <c r="CH132" t="s">
        <v>185</v>
      </c>
      <c r="CI132" t="s">
        <v>173</v>
      </c>
      <c r="CJ132" t="s">
        <v>185</v>
      </c>
      <c r="CK132" t="s">
        <v>173</v>
      </c>
      <c r="CL132" t="s">
        <v>186</v>
      </c>
      <c r="CM132" t="s">
        <v>173</v>
      </c>
      <c r="CN132" t="s">
        <v>186</v>
      </c>
      <c r="CO132" t="s">
        <v>173</v>
      </c>
      <c r="CP132" t="s">
        <v>185</v>
      </c>
      <c r="CQ132" t="s">
        <v>173</v>
      </c>
      <c r="CR132" t="s">
        <v>187</v>
      </c>
      <c r="CS132" t="s">
        <v>173</v>
      </c>
      <c r="CT132" t="s">
        <v>187</v>
      </c>
      <c r="CU132" t="s">
        <v>192</v>
      </c>
      <c r="CW132" t="s">
        <v>192</v>
      </c>
      <c r="CY132" t="s">
        <v>173</v>
      </c>
      <c r="CZ132" t="s">
        <v>185</v>
      </c>
      <c r="DA132" t="s">
        <v>192</v>
      </c>
      <c r="DC132" t="s">
        <v>192</v>
      </c>
      <c r="DE132" t="s">
        <v>192</v>
      </c>
      <c r="DH132" t="s">
        <v>173</v>
      </c>
      <c r="DI132" t="s">
        <v>187</v>
      </c>
      <c r="DJ132" t="s">
        <v>192</v>
      </c>
      <c r="DL132" t="s">
        <v>192</v>
      </c>
      <c r="DO132" t="s">
        <v>192</v>
      </c>
      <c r="DR132" t="s">
        <v>192</v>
      </c>
      <c r="DU132" t="s">
        <v>173</v>
      </c>
      <c r="DV132" t="s">
        <v>173</v>
      </c>
      <c r="DW132" t="s">
        <v>191</v>
      </c>
      <c r="DX132" t="s">
        <v>192</v>
      </c>
      <c r="EA132" t="s">
        <v>173</v>
      </c>
      <c r="EB132" t="s">
        <v>173</v>
      </c>
      <c r="EC132" t="s">
        <v>188</v>
      </c>
      <c r="ED132" t="s">
        <v>173</v>
      </c>
      <c r="EE132" t="s">
        <v>173</v>
      </c>
      <c r="EF132" t="s">
        <v>191</v>
      </c>
      <c r="EG132" t="s">
        <v>192</v>
      </c>
      <c r="EJ132" t="s">
        <v>192</v>
      </c>
      <c r="EM132" t="s">
        <v>192</v>
      </c>
      <c r="EQ132" t="s">
        <v>323</v>
      </c>
      <c r="ER132" t="s">
        <v>309</v>
      </c>
      <c r="ET132" t="s">
        <v>173</v>
      </c>
      <c r="EU132" t="s">
        <v>173</v>
      </c>
      <c r="EV132" t="s">
        <v>208</v>
      </c>
      <c r="EW132">
        <v>0</v>
      </c>
      <c r="EX132">
        <v>0</v>
      </c>
      <c r="EY132">
        <v>0</v>
      </c>
      <c r="EZ132">
        <v>0</v>
      </c>
      <c r="FA132">
        <v>1</v>
      </c>
      <c r="FB132">
        <v>0</v>
      </c>
      <c r="FC132">
        <v>0</v>
      </c>
      <c r="FD132">
        <v>0</v>
      </c>
      <c r="FE132">
        <v>0</v>
      </c>
      <c r="FH132">
        <v>83800198</v>
      </c>
      <c r="FI132" t="s">
        <v>1107</v>
      </c>
      <c r="FJ132" s="1">
        <v>45762.599062499998</v>
      </c>
      <c r="FM132" t="s">
        <v>193</v>
      </c>
      <c r="FO132" t="s">
        <v>1082</v>
      </c>
      <c r="FQ132">
        <v>132</v>
      </c>
    </row>
    <row r="133" spans="1:173" x14ac:dyDescent="0.25">
      <c r="A133" s="1">
        <v>45762.390711932872</v>
      </c>
      <c r="B133" s="1">
        <v>45762.40841246528</v>
      </c>
      <c r="C133" t="s">
        <v>171</v>
      </c>
      <c r="D133">
        <v>42</v>
      </c>
      <c r="E133" s="1">
        <v>45739</v>
      </c>
      <c r="F133">
        <v>1</v>
      </c>
      <c r="G133" t="s">
        <v>882</v>
      </c>
      <c r="H133" t="s">
        <v>171</v>
      </c>
      <c r="I133" t="s">
        <v>1108</v>
      </c>
      <c r="J133" t="s">
        <v>1109</v>
      </c>
      <c r="K133" t="s">
        <v>173</v>
      </c>
      <c r="L133">
        <v>10</v>
      </c>
      <c r="M133" t="s">
        <v>174</v>
      </c>
      <c r="N133">
        <v>0</v>
      </c>
      <c r="O133">
        <v>0</v>
      </c>
      <c r="P133">
        <v>0</v>
      </c>
      <c r="Q133">
        <v>0</v>
      </c>
      <c r="R133" t="s">
        <v>175</v>
      </c>
      <c r="S133">
        <v>52</v>
      </c>
      <c r="T133" t="str">
        <f t="shared" si="4"/>
        <v>41 a 55</v>
      </c>
      <c r="U133" t="s">
        <v>173</v>
      </c>
      <c r="W133" t="s">
        <v>238</v>
      </c>
      <c r="Y133" t="s">
        <v>214</v>
      </c>
      <c r="Z133" t="s">
        <v>239</v>
      </c>
      <c r="AA133" t="s">
        <v>240</v>
      </c>
      <c r="AB133" t="s">
        <v>215</v>
      </c>
      <c r="AC133" t="s">
        <v>202</v>
      </c>
      <c r="AD133" t="s">
        <v>1097</v>
      </c>
      <c r="AE133" t="s">
        <v>321</v>
      </c>
      <c r="AG133" t="s">
        <v>202</v>
      </c>
      <c r="AH133" t="s">
        <v>244</v>
      </c>
      <c r="AI133">
        <v>0</v>
      </c>
      <c r="AJ133">
        <v>1</v>
      </c>
      <c r="AK133">
        <v>1</v>
      </c>
      <c r="AL133">
        <v>0</v>
      </c>
      <c r="AM133">
        <v>0</v>
      </c>
      <c r="AN133" t="s">
        <v>183</v>
      </c>
      <c r="AO133" t="s">
        <v>192</v>
      </c>
      <c r="AP133" t="s">
        <v>173</v>
      </c>
      <c r="AQ133" t="s">
        <v>173</v>
      </c>
      <c r="AR133" t="s">
        <v>184</v>
      </c>
      <c r="AS133">
        <v>0</v>
      </c>
      <c r="AT133">
        <v>1</v>
      </c>
      <c r="AU133">
        <v>0</v>
      </c>
      <c r="AV133">
        <v>0</v>
      </c>
      <c r="AW133">
        <v>0</v>
      </c>
      <c r="AX133">
        <v>0</v>
      </c>
      <c r="AZ133" t="s">
        <v>192</v>
      </c>
      <c r="BW133">
        <f t="shared" si="5"/>
        <v>0</v>
      </c>
      <c r="BY133" t="s">
        <v>192</v>
      </c>
      <c r="CA133" t="s">
        <v>173</v>
      </c>
      <c r="CB133" t="s">
        <v>185</v>
      </c>
      <c r="CC133" t="s">
        <v>192</v>
      </c>
      <c r="CE133" t="s">
        <v>173</v>
      </c>
      <c r="CF133" t="s">
        <v>185</v>
      </c>
      <c r="CG133" t="s">
        <v>192</v>
      </c>
      <c r="CI133" t="s">
        <v>192</v>
      </c>
      <c r="CK133" t="s">
        <v>192</v>
      </c>
      <c r="CM133" t="s">
        <v>192</v>
      </c>
      <c r="CO133" t="s">
        <v>192</v>
      </c>
      <c r="CQ133" t="s">
        <v>192</v>
      </c>
      <c r="CS133" t="s">
        <v>192</v>
      </c>
      <c r="CU133" t="s">
        <v>192</v>
      </c>
      <c r="CW133" t="s">
        <v>173</v>
      </c>
      <c r="CX133" t="s">
        <v>185</v>
      </c>
      <c r="CY133" t="s">
        <v>192</v>
      </c>
      <c r="DA133" t="s">
        <v>173</v>
      </c>
      <c r="DB133" t="s">
        <v>185</v>
      </c>
      <c r="DC133" t="s">
        <v>173</v>
      </c>
      <c r="DD133" t="s">
        <v>186</v>
      </c>
      <c r="DE133" t="s">
        <v>192</v>
      </c>
      <c r="DH133" t="s">
        <v>173</v>
      </c>
      <c r="DI133" t="s">
        <v>186</v>
      </c>
      <c r="DJ133" t="s">
        <v>192</v>
      </c>
      <c r="DL133" t="s">
        <v>173</v>
      </c>
      <c r="DM133" t="s">
        <v>173</v>
      </c>
      <c r="DN133" t="s">
        <v>191</v>
      </c>
      <c r="DO133" t="s">
        <v>192</v>
      </c>
      <c r="DR133" t="s">
        <v>192</v>
      </c>
      <c r="DU133" t="s">
        <v>192</v>
      </c>
      <c r="DX133" t="s">
        <v>173</v>
      </c>
      <c r="DY133" t="s">
        <v>173</v>
      </c>
      <c r="DZ133" t="s">
        <v>191</v>
      </c>
      <c r="EA133" t="s">
        <v>173</v>
      </c>
      <c r="EB133" t="s">
        <v>173</v>
      </c>
      <c r="EC133" t="s">
        <v>191</v>
      </c>
      <c r="ED133" t="s">
        <v>192</v>
      </c>
      <c r="EG133" t="s">
        <v>173</v>
      </c>
      <c r="EH133" t="s">
        <v>173</v>
      </c>
      <c r="EI133" t="s">
        <v>188</v>
      </c>
      <c r="EJ133" t="s">
        <v>173</v>
      </c>
      <c r="EK133" t="s">
        <v>173</v>
      </c>
      <c r="EL133" t="s">
        <v>188</v>
      </c>
      <c r="EM133" t="s">
        <v>192</v>
      </c>
      <c r="EQ133" t="s">
        <v>309</v>
      </c>
      <c r="ER133" t="s">
        <v>389</v>
      </c>
      <c r="ET133" t="s">
        <v>173</v>
      </c>
      <c r="EU133" t="s">
        <v>173</v>
      </c>
      <c r="EV133" t="s">
        <v>247</v>
      </c>
      <c r="EW133">
        <v>0</v>
      </c>
      <c r="EX133">
        <v>1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H133">
        <v>83802537</v>
      </c>
      <c r="FI133" t="s">
        <v>1110</v>
      </c>
      <c r="FJ133" s="1">
        <v>45762.616759259261</v>
      </c>
      <c r="FM133" t="s">
        <v>193</v>
      </c>
      <c r="FO133" t="s">
        <v>1082</v>
      </c>
      <c r="FQ133">
        <v>133</v>
      </c>
    </row>
    <row r="134" spans="1:173" x14ac:dyDescent="0.25">
      <c r="A134" s="1">
        <v>45762.408413043981</v>
      </c>
      <c r="B134" s="1">
        <v>45762.411739525473</v>
      </c>
      <c r="C134" t="s">
        <v>171</v>
      </c>
      <c r="D134">
        <v>78</v>
      </c>
      <c r="E134" s="1">
        <v>45738</v>
      </c>
      <c r="F134">
        <v>3</v>
      </c>
      <c r="G134" t="s">
        <v>280</v>
      </c>
      <c r="H134" t="s">
        <v>228</v>
      </c>
      <c r="I134" t="s">
        <v>1111</v>
      </c>
      <c r="J134" t="s">
        <v>1112</v>
      </c>
      <c r="K134" t="s">
        <v>173</v>
      </c>
      <c r="L134">
        <v>7</v>
      </c>
      <c r="M134" t="s">
        <v>174</v>
      </c>
      <c r="N134">
        <v>0</v>
      </c>
      <c r="O134">
        <v>0</v>
      </c>
      <c r="P134">
        <v>0</v>
      </c>
      <c r="Q134">
        <v>0</v>
      </c>
      <c r="R134" t="s">
        <v>251</v>
      </c>
      <c r="S134">
        <v>52</v>
      </c>
      <c r="T134" t="str">
        <f t="shared" si="4"/>
        <v>41 a 55</v>
      </c>
      <c r="U134" t="s">
        <v>173</v>
      </c>
      <c r="W134" t="s">
        <v>176</v>
      </c>
      <c r="Y134" t="s">
        <v>200</v>
      </c>
      <c r="Z134" t="s">
        <v>178</v>
      </c>
      <c r="AA134" t="s">
        <v>179</v>
      </c>
      <c r="AB134" t="s">
        <v>201</v>
      </c>
      <c r="AC134" t="s">
        <v>202</v>
      </c>
      <c r="AD134" t="s">
        <v>1113</v>
      </c>
      <c r="AE134" t="s">
        <v>296</v>
      </c>
      <c r="AF134" t="s">
        <v>1114</v>
      </c>
      <c r="AG134" t="s">
        <v>216</v>
      </c>
      <c r="AH134" t="s">
        <v>266</v>
      </c>
      <c r="AI134">
        <v>0</v>
      </c>
      <c r="AJ134">
        <v>0</v>
      </c>
      <c r="AK134">
        <v>0</v>
      </c>
      <c r="AL134">
        <v>1</v>
      </c>
      <c r="AM134">
        <v>0</v>
      </c>
      <c r="AN134" t="s">
        <v>297</v>
      </c>
      <c r="AO134" t="s">
        <v>192</v>
      </c>
      <c r="AP134" t="s">
        <v>192</v>
      </c>
      <c r="AQ134" t="s">
        <v>192</v>
      </c>
      <c r="AZ134" t="s">
        <v>192</v>
      </c>
      <c r="BW134">
        <f t="shared" si="5"/>
        <v>0</v>
      </c>
      <c r="BY134" t="s">
        <v>192</v>
      </c>
      <c r="CA134" t="s">
        <v>173</v>
      </c>
      <c r="CB134" t="s">
        <v>185</v>
      </c>
      <c r="CC134" t="s">
        <v>173</v>
      </c>
      <c r="CD134" t="s">
        <v>185</v>
      </c>
      <c r="CE134" t="s">
        <v>173</v>
      </c>
      <c r="CF134" t="s">
        <v>185</v>
      </c>
      <c r="CG134" t="s">
        <v>192</v>
      </c>
      <c r="CI134" t="s">
        <v>192</v>
      </c>
      <c r="CK134" t="s">
        <v>173</v>
      </c>
      <c r="CL134" t="s">
        <v>185</v>
      </c>
      <c r="CM134" t="s">
        <v>173</v>
      </c>
      <c r="CN134" t="s">
        <v>185</v>
      </c>
      <c r="CO134" t="s">
        <v>192</v>
      </c>
      <c r="CQ134" t="s">
        <v>173</v>
      </c>
      <c r="CR134" t="s">
        <v>185</v>
      </c>
      <c r="CS134" t="s">
        <v>173</v>
      </c>
      <c r="CT134" t="s">
        <v>185</v>
      </c>
      <c r="CU134" t="s">
        <v>173</v>
      </c>
      <c r="CV134" t="s">
        <v>185</v>
      </c>
      <c r="CW134" t="s">
        <v>192</v>
      </c>
      <c r="CY134" t="s">
        <v>192</v>
      </c>
      <c r="DA134" t="s">
        <v>192</v>
      </c>
      <c r="DC134" t="s">
        <v>192</v>
      </c>
      <c r="DE134" t="s">
        <v>192</v>
      </c>
      <c r="DH134" t="s">
        <v>173</v>
      </c>
      <c r="DI134" t="s">
        <v>186</v>
      </c>
      <c r="DJ134" t="s">
        <v>173</v>
      </c>
      <c r="DL134" t="s">
        <v>192</v>
      </c>
      <c r="DO134" t="s">
        <v>192</v>
      </c>
      <c r="DR134" t="s">
        <v>192</v>
      </c>
      <c r="DU134" t="s">
        <v>173</v>
      </c>
      <c r="DV134" t="s">
        <v>192</v>
      </c>
      <c r="DX134" t="s">
        <v>173</v>
      </c>
      <c r="DY134" t="s">
        <v>192</v>
      </c>
      <c r="EA134" t="s">
        <v>192</v>
      </c>
      <c r="ED134" t="s">
        <v>173</v>
      </c>
      <c r="EE134" t="s">
        <v>192</v>
      </c>
      <c r="EG134" t="s">
        <v>173</v>
      </c>
      <c r="EH134" t="s">
        <v>192</v>
      </c>
      <c r="EJ134" t="s">
        <v>173</v>
      </c>
      <c r="EK134" t="s">
        <v>192</v>
      </c>
      <c r="EM134" t="s">
        <v>192</v>
      </c>
      <c r="EQ134" t="s">
        <v>330</v>
      </c>
      <c r="ER134" t="s">
        <v>1115</v>
      </c>
      <c r="ET134" t="s">
        <v>192</v>
      </c>
      <c r="EU134" t="s">
        <v>192</v>
      </c>
      <c r="EV134" t="s">
        <v>223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1</v>
      </c>
      <c r="FF134" t="s">
        <v>1116</v>
      </c>
      <c r="FH134">
        <v>83802848</v>
      </c>
      <c r="FI134" t="s">
        <v>1117</v>
      </c>
      <c r="FJ134" s="1">
        <v>45762.620081018518</v>
      </c>
      <c r="FM134" t="s">
        <v>193</v>
      </c>
      <c r="FO134" t="s">
        <v>1082</v>
      </c>
      <c r="FQ134">
        <v>134</v>
      </c>
    </row>
    <row r="135" spans="1:173" x14ac:dyDescent="0.25">
      <c r="A135" s="1">
        <v>45762.41173994213</v>
      </c>
      <c r="B135" s="1">
        <v>45762.414461203713</v>
      </c>
      <c r="C135" t="s">
        <v>171</v>
      </c>
      <c r="D135">
        <v>77</v>
      </c>
      <c r="E135" s="1">
        <v>45738</v>
      </c>
      <c r="F135">
        <v>3</v>
      </c>
      <c r="G135" t="s">
        <v>352</v>
      </c>
      <c r="H135" t="s">
        <v>228</v>
      </c>
      <c r="I135" t="s">
        <v>1118</v>
      </c>
      <c r="J135" t="s">
        <v>987</v>
      </c>
      <c r="K135" t="s">
        <v>173</v>
      </c>
      <c r="L135">
        <v>20</v>
      </c>
      <c r="M135" t="s">
        <v>174</v>
      </c>
      <c r="N135">
        <v>0</v>
      </c>
      <c r="O135">
        <v>0</v>
      </c>
      <c r="P135">
        <v>0</v>
      </c>
      <c r="Q135">
        <v>0</v>
      </c>
      <c r="R135" t="s">
        <v>251</v>
      </c>
      <c r="S135">
        <v>52</v>
      </c>
      <c r="T135" t="str">
        <f t="shared" si="4"/>
        <v>41 a 55</v>
      </c>
      <c r="U135" t="s">
        <v>173</v>
      </c>
      <c r="W135" t="s">
        <v>176</v>
      </c>
      <c r="Y135" t="s">
        <v>214</v>
      </c>
      <c r="Z135" t="s">
        <v>239</v>
      </c>
      <c r="AA135" t="s">
        <v>179</v>
      </c>
      <c r="AB135" t="s">
        <v>215</v>
      </c>
      <c r="AC135" t="s">
        <v>216</v>
      </c>
      <c r="AD135" t="s">
        <v>1119</v>
      </c>
      <c r="AE135" t="s">
        <v>217</v>
      </c>
      <c r="AF135" t="s">
        <v>306</v>
      </c>
      <c r="AG135" t="s">
        <v>216</v>
      </c>
      <c r="AH135" t="s">
        <v>232</v>
      </c>
      <c r="AI135">
        <v>0</v>
      </c>
      <c r="AJ135">
        <v>0</v>
      </c>
      <c r="AK135">
        <v>1</v>
      </c>
      <c r="AL135">
        <v>0</v>
      </c>
      <c r="AM135">
        <v>0</v>
      </c>
      <c r="AN135" t="s">
        <v>183</v>
      </c>
      <c r="AO135" t="s">
        <v>173</v>
      </c>
      <c r="AP135" t="s">
        <v>173</v>
      </c>
      <c r="AQ135" t="s">
        <v>192</v>
      </c>
      <c r="AZ135" t="s">
        <v>192</v>
      </c>
      <c r="BW135">
        <f t="shared" si="5"/>
        <v>0</v>
      </c>
      <c r="BY135" t="s">
        <v>192</v>
      </c>
      <c r="CA135" t="s">
        <v>192</v>
      </c>
      <c r="CC135" t="s">
        <v>173</v>
      </c>
      <c r="CD135" t="s">
        <v>186</v>
      </c>
      <c r="CE135" t="s">
        <v>192</v>
      </c>
      <c r="CG135" t="s">
        <v>192</v>
      </c>
      <c r="CI135" t="s">
        <v>173</v>
      </c>
      <c r="CJ135" t="s">
        <v>185</v>
      </c>
      <c r="CK135" t="s">
        <v>173</v>
      </c>
      <c r="CL135" t="s">
        <v>187</v>
      </c>
      <c r="CM135" t="s">
        <v>192</v>
      </c>
      <c r="CO135" t="s">
        <v>192</v>
      </c>
      <c r="CQ135" t="s">
        <v>173</v>
      </c>
      <c r="CR135" t="s">
        <v>185</v>
      </c>
      <c r="CS135" t="s">
        <v>192</v>
      </c>
      <c r="CU135" t="s">
        <v>192</v>
      </c>
      <c r="CW135" t="s">
        <v>173</v>
      </c>
      <c r="CX135" t="s">
        <v>185</v>
      </c>
      <c r="CY135" t="s">
        <v>173</v>
      </c>
      <c r="CZ135" t="s">
        <v>186</v>
      </c>
      <c r="DA135" t="s">
        <v>192</v>
      </c>
      <c r="DC135" t="s">
        <v>192</v>
      </c>
      <c r="DE135" t="s">
        <v>192</v>
      </c>
      <c r="DH135" t="s">
        <v>173</v>
      </c>
      <c r="DI135" t="s">
        <v>186</v>
      </c>
      <c r="DJ135" t="s">
        <v>192</v>
      </c>
      <c r="DL135" t="s">
        <v>173</v>
      </c>
      <c r="DM135" t="s">
        <v>192</v>
      </c>
      <c r="DO135" t="s">
        <v>173</v>
      </c>
      <c r="DP135" t="s">
        <v>192</v>
      </c>
      <c r="DR135" t="s">
        <v>192</v>
      </c>
      <c r="DU135" t="s">
        <v>192</v>
      </c>
      <c r="DX135" t="s">
        <v>192</v>
      </c>
      <c r="EA135" t="s">
        <v>173</v>
      </c>
      <c r="EB135" t="s">
        <v>192</v>
      </c>
      <c r="ED135" t="s">
        <v>173</v>
      </c>
      <c r="EE135" t="s">
        <v>173</v>
      </c>
      <c r="EF135" t="s">
        <v>191</v>
      </c>
      <c r="EG135" t="s">
        <v>192</v>
      </c>
      <c r="EJ135" t="s">
        <v>173</v>
      </c>
      <c r="EK135" t="s">
        <v>173</v>
      </c>
      <c r="EL135" t="s">
        <v>191</v>
      </c>
      <c r="EM135" t="s">
        <v>192</v>
      </c>
      <c r="EQ135" t="s">
        <v>360</v>
      </c>
      <c r="ER135" t="s">
        <v>1120</v>
      </c>
      <c r="ES135" t="s">
        <v>348</v>
      </c>
      <c r="ET135" t="s">
        <v>173</v>
      </c>
      <c r="EU135" t="s">
        <v>173</v>
      </c>
      <c r="EV135" t="s">
        <v>223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1</v>
      </c>
      <c r="FF135" t="s">
        <v>1121</v>
      </c>
      <c r="FH135">
        <v>83803256</v>
      </c>
      <c r="FI135" t="s">
        <v>1122</v>
      </c>
      <c r="FJ135" s="1">
        <v>45762.622800925928</v>
      </c>
      <c r="FM135" t="s">
        <v>193</v>
      </c>
      <c r="FO135" t="s">
        <v>1082</v>
      </c>
      <c r="FQ135">
        <v>135</v>
      </c>
    </row>
    <row r="136" spans="1:173" x14ac:dyDescent="0.25">
      <c r="A136" s="1">
        <v>45762.414461643522</v>
      </c>
      <c r="B136" s="1">
        <v>45762.416558715267</v>
      </c>
      <c r="C136" t="s">
        <v>171</v>
      </c>
      <c r="D136">
        <v>79</v>
      </c>
      <c r="E136" s="1">
        <v>45738</v>
      </c>
      <c r="F136">
        <v>3</v>
      </c>
      <c r="G136" t="s">
        <v>352</v>
      </c>
      <c r="H136" t="s">
        <v>228</v>
      </c>
      <c r="I136" t="s">
        <v>1123</v>
      </c>
      <c r="J136" t="s">
        <v>1124</v>
      </c>
      <c r="K136" t="s">
        <v>173</v>
      </c>
      <c r="L136">
        <v>8</v>
      </c>
      <c r="M136" t="s">
        <v>174</v>
      </c>
      <c r="N136">
        <v>0</v>
      </c>
      <c r="O136">
        <v>0</v>
      </c>
      <c r="P136">
        <v>0</v>
      </c>
      <c r="Q136">
        <v>0</v>
      </c>
      <c r="R136" t="s">
        <v>251</v>
      </c>
      <c r="S136">
        <v>52</v>
      </c>
      <c r="T136" t="str">
        <f t="shared" si="4"/>
        <v>41 a 55</v>
      </c>
      <c r="U136" t="s">
        <v>173</v>
      </c>
      <c r="W136" t="s">
        <v>176</v>
      </c>
      <c r="Y136" t="s">
        <v>318</v>
      </c>
      <c r="Z136" t="s">
        <v>178</v>
      </c>
      <c r="AA136" t="s">
        <v>179</v>
      </c>
      <c r="AB136" t="s">
        <v>215</v>
      </c>
      <c r="AC136" t="s">
        <v>216</v>
      </c>
      <c r="AD136" t="s">
        <v>1125</v>
      </c>
      <c r="AE136" t="s">
        <v>1126</v>
      </c>
      <c r="AF136" t="s">
        <v>1127</v>
      </c>
      <c r="AG136" t="s">
        <v>202</v>
      </c>
      <c r="AH136" t="s">
        <v>287</v>
      </c>
      <c r="AI136">
        <v>0</v>
      </c>
      <c r="AJ136">
        <v>0</v>
      </c>
      <c r="AK136">
        <v>0</v>
      </c>
      <c r="AL136">
        <v>0</v>
      </c>
      <c r="AM136">
        <v>1</v>
      </c>
      <c r="AN136" t="s">
        <v>297</v>
      </c>
      <c r="AO136" t="s">
        <v>192</v>
      </c>
      <c r="AP136" t="s">
        <v>192</v>
      </c>
      <c r="AQ136" t="s">
        <v>192</v>
      </c>
      <c r="AZ136" t="s">
        <v>192</v>
      </c>
      <c r="BW136">
        <f t="shared" si="5"/>
        <v>0</v>
      </c>
      <c r="BY136" t="s">
        <v>192</v>
      </c>
      <c r="CA136" t="s">
        <v>192</v>
      </c>
      <c r="CC136" t="s">
        <v>192</v>
      </c>
      <c r="CE136" t="s">
        <v>192</v>
      </c>
      <c r="CG136" t="s">
        <v>192</v>
      </c>
      <c r="CI136" t="s">
        <v>192</v>
      </c>
      <c r="CK136" t="s">
        <v>192</v>
      </c>
      <c r="CM136" t="s">
        <v>192</v>
      </c>
      <c r="CO136" t="s">
        <v>192</v>
      </c>
      <c r="CQ136" t="s">
        <v>192</v>
      </c>
      <c r="CS136" t="s">
        <v>192</v>
      </c>
      <c r="CU136" t="s">
        <v>192</v>
      </c>
      <c r="CW136" t="s">
        <v>192</v>
      </c>
      <c r="CY136" t="s">
        <v>192</v>
      </c>
      <c r="DA136" t="s">
        <v>192</v>
      </c>
      <c r="DC136" t="s">
        <v>192</v>
      </c>
      <c r="DE136" t="s">
        <v>192</v>
      </c>
      <c r="DH136" t="s">
        <v>173</v>
      </c>
      <c r="DI136" t="s">
        <v>186</v>
      </c>
      <c r="DJ136" t="s">
        <v>173</v>
      </c>
      <c r="DL136" t="s">
        <v>173</v>
      </c>
      <c r="DM136" t="s">
        <v>192</v>
      </c>
      <c r="DO136" t="s">
        <v>173</v>
      </c>
      <c r="DP136" t="s">
        <v>192</v>
      </c>
      <c r="DR136" t="s">
        <v>192</v>
      </c>
      <c r="DU136" t="s">
        <v>192</v>
      </c>
      <c r="DX136" t="s">
        <v>192</v>
      </c>
      <c r="EA136" t="s">
        <v>192</v>
      </c>
      <c r="ED136" t="s">
        <v>173</v>
      </c>
      <c r="EE136" t="s">
        <v>192</v>
      </c>
      <c r="EG136" t="s">
        <v>173</v>
      </c>
      <c r="EH136" t="s">
        <v>192</v>
      </c>
      <c r="EJ136" t="s">
        <v>192</v>
      </c>
      <c r="EM136" t="s">
        <v>192</v>
      </c>
      <c r="EQ136" t="s">
        <v>348</v>
      </c>
      <c r="ER136" t="s">
        <v>360</v>
      </c>
      <c r="ES136" t="s">
        <v>514</v>
      </c>
      <c r="ET136" t="s">
        <v>173</v>
      </c>
      <c r="EU136" t="s">
        <v>173</v>
      </c>
      <c r="EV136" t="s">
        <v>452</v>
      </c>
      <c r="EW136">
        <v>0</v>
      </c>
      <c r="EX136">
        <v>1</v>
      </c>
      <c r="EY136">
        <v>0</v>
      </c>
      <c r="EZ136">
        <v>0</v>
      </c>
      <c r="FA136">
        <v>1</v>
      </c>
      <c r="FB136">
        <v>0</v>
      </c>
      <c r="FC136">
        <v>0</v>
      </c>
      <c r="FD136">
        <v>0</v>
      </c>
      <c r="FE136">
        <v>0</v>
      </c>
      <c r="FH136">
        <v>83803438</v>
      </c>
      <c r="FI136" t="s">
        <v>1128</v>
      </c>
      <c r="FJ136" s="1">
        <v>45762.624895833331</v>
      </c>
      <c r="FM136" t="s">
        <v>193</v>
      </c>
      <c r="FO136" t="s">
        <v>1082</v>
      </c>
      <c r="FQ136">
        <v>136</v>
      </c>
    </row>
    <row r="137" spans="1:173" x14ac:dyDescent="0.25">
      <c r="A137" s="1">
        <v>45762.416559131947</v>
      </c>
      <c r="B137" s="1">
        <v>45762.419547199082</v>
      </c>
      <c r="C137" t="s">
        <v>171</v>
      </c>
      <c r="D137">
        <v>81</v>
      </c>
      <c r="E137" s="1">
        <v>45738</v>
      </c>
      <c r="F137">
        <v>3</v>
      </c>
      <c r="G137" t="s">
        <v>1129</v>
      </c>
      <c r="H137" t="s">
        <v>228</v>
      </c>
      <c r="I137" t="s">
        <v>711</v>
      </c>
      <c r="J137" t="s">
        <v>1130</v>
      </c>
      <c r="K137" t="s">
        <v>173</v>
      </c>
      <c r="L137">
        <v>20</v>
      </c>
      <c r="M137" t="s">
        <v>174</v>
      </c>
      <c r="N137">
        <v>0</v>
      </c>
      <c r="O137">
        <v>0</v>
      </c>
      <c r="P137">
        <v>0</v>
      </c>
      <c r="Q137">
        <v>0</v>
      </c>
      <c r="R137" t="s">
        <v>175</v>
      </c>
      <c r="S137">
        <v>52</v>
      </c>
      <c r="T137" t="str">
        <f t="shared" si="4"/>
        <v>41 a 55</v>
      </c>
      <c r="U137" t="s">
        <v>173</v>
      </c>
      <c r="W137" t="s">
        <v>176</v>
      </c>
      <c r="Y137" t="s">
        <v>214</v>
      </c>
      <c r="Z137" t="s">
        <v>178</v>
      </c>
      <c r="AA137" t="s">
        <v>179</v>
      </c>
      <c r="AB137" t="s">
        <v>201</v>
      </c>
      <c r="AC137" t="s">
        <v>202</v>
      </c>
      <c r="AD137" t="s">
        <v>737</v>
      </c>
      <c r="AE137" t="s">
        <v>1131</v>
      </c>
      <c r="AG137" t="s">
        <v>202</v>
      </c>
      <c r="AH137" t="s">
        <v>244</v>
      </c>
      <c r="AI137">
        <v>0</v>
      </c>
      <c r="AJ137">
        <v>1</v>
      </c>
      <c r="AK137">
        <v>1</v>
      </c>
      <c r="AL137">
        <v>0</v>
      </c>
      <c r="AM137">
        <v>0</v>
      </c>
      <c r="AN137" t="s">
        <v>297</v>
      </c>
      <c r="AO137" t="s">
        <v>192</v>
      </c>
      <c r="AP137" t="s">
        <v>192</v>
      </c>
      <c r="AQ137" t="s">
        <v>192</v>
      </c>
      <c r="AZ137" t="s">
        <v>192</v>
      </c>
      <c r="BW137">
        <f t="shared" si="5"/>
        <v>0</v>
      </c>
      <c r="BY137" t="s">
        <v>173</v>
      </c>
      <c r="BZ137" t="s">
        <v>185</v>
      </c>
      <c r="CA137" t="s">
        <v>173</v>
      </c>
      <c r="CB137" t="s">
        <v>185</v>
      </c>
      <c r="CC137" t="s">
        <v>173</v>
      </c>
      <c r="CD137" t="s">
        <v>186</v>
      </c>
      <c r="CE137" t="s">
        <v>173</v>
      </c>
      <c r="CF137" t="s">
        <v>187</v>
      </c>
      <c r="CG137" t="s">
        <v>173</v>
      </c>
      <c r="CH137" t="s">
        <v>187</v>
      </c>
      <c r="CI137" t="s">
        <v>192</v>
      </c>
      <c r="CK137" t="s">
        <v>173</v>
      </c>
      <c r="CL137" t="s">
        <v>187</v>
      </c>
      <c r="CM137" t="s">
        <v>173</v>
      </c>
      <c r="CN137" t="s">
        <v>186</v>
      </c>
      <c r="CO137" t="s">
        <v>192</v>
      </c>
      <c r="CQ137" t="s">
        <v>173</v>
      </c>
      <c r="CR137" t="s">
        <v>187</v>
      </c>
      <c r="CS137" t="s">
        <v>192</v>
      </c>
      <c r="CU137" t="s">
        <v>173</v>
      </c>
      <c r="CV137" t="s">
        <v>185</v>
      </c>
      <c r="CW137" t="s">
        <v>192</v>
      </c>
      <c r="CY137" t="s">
        <v>192</v>
      </c>
      <c r="DA137" t="s">
        <v>192</v>
      </c>
      <c r="DC137" t="s">
        <v>192</v>
      </c>
      <c r="DE137" t="s">
        <v>192</v>
      </c>
      <c r="DH137" t="s">
        <v>173</v>
      </c>
      <c r="DI137" t="s">
        <v>187</v>
      </c>
      <c r="DJ137" t="s">
        <v>192</v>
      </c>
      <c r="DL137" t="s">
        <v>192</v>
      </c>
      <c r="DO137" t="s">
        <v>173</v>
      </c>
      <c r="DP137" t="s">
        <v>192</v>
      </c>
      <c r="DR137" t="s">
        <v>192</v>
      </c>
      <c r="DU137" t="s">
        <v>192</v>
      </c>
      <c r="DX137" t="s">
        <v>192</v>
      </c>
      <c r="EA137" t="s">
        <v>173</v>
      </c>
      <c r="EB137" t="s">
        <v>192</v>
      </c>
      <c r="ED137" t="s">
        <v>173</v>
      </c>
      <c r="EE137" t="s">
        <v>173</v>
      </c>
      <c r="EF137" t="s">
        <v>191</v>
      </c>
      <c r="EG137" t="s">
        <v>173</v>
      </c>
      <c r="EH137" t="s">
        <v>173</v>
      </c>
      <c r="EI137" t="s">
        <v>191</v>
      </c>
      <c r="EJ137" t="s">
        <v>173</v>
      </c>
      <c r="EK137" t="s">
        <v>192</v>
      </c>
      <c r="EM137" t="s">
        <v>192</v>
      </c>
      <c r="EQ137" t="s">
        <v>309</v>
      </c>
      <c r="ER137" t="s">
        <v>221</v>
      </c>
      <c r="ES137" t="s">
        <v>1132</v>
      </c>
      <c r="ET137" t="s">
        <v>192</v>
      </c>
      <c r="EU137" t="s">
        <v>173</v>
      </c>
      <c r="EV137" t="s">
        <v>223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1</v>
      </c>
      <c r="FF137" t="s">
        <v>1133</v>
      </c>
      <c r="FH137">
        <v>83803788</v>
      </c>
      <c r="FI137" t="s">
        <v>1134</v>
      </c>
      <c r="FJ137" s="1">
        <v>45762.627893518518</v>
      </c>
      <c r="FM137" t="s">
        <v>193</v>
      </c>
      <c r="FO137" t="s">
        <v>1082</v>
      </c>
      <c r="FQ137">
        <v>137</v>
      </c>
    </row>
    <row r="138" spans="1:173" x14ac:dyDescent="0.25">
      <c r="A138" s="1">
        <v>45762.416174363418</v>
      </c>
      <c r="B138" s="1">
        <v>45762.420401793977</v>
      </c>
      <c r="C138" t="s">
        <v>334</v>
      </c>
      <c r="D138">
        <v>93</v>
      </c>
      <c r="E138" s="1">
        <v>45738</v>
      </c>
      <c r="F138">
        <v>1</v>
      </c>
      <c r="G138" t="s">
        <v>438</v>
      </c>
      <c r="H138" t="s">
        <v>171</v>
      </c>
      <c r="I138" t="s">
        <v>1135</v>
      </c>
      <c r="J138" t="s">
        <v>1136</v>
      </c>
      <c r="K138" t="s">
        <v>173</v>
      </c>
      <c r="L138">
        <v>32</v>
      </c>
      <c r="M138" t="s">
        <v>174</v>
      </c>
      <c r="N138">
        <v>0</v>
      </c>
      <c r="O138">
        <v>0</v>
      </c>
      <c r="P138">
        <v>0</v>
      </c>
      <c r="Q138">
        <v>0</v>
      </c>
      <c r="R138" t="s">
        <v>175</v>
      </c>
      <c r="S138">
        <v>68</v>
      </c>
      <c r="T138" t="str">
        <f t="shared" si="4"/>
        <v>56 a más</v>
      </c>
      <c r="U138" t="s">
        <v>173</v>
      </c>
      <c r="W138" t="s">
        <v>176</v>
      </c>
      <c r="Y138" t="s">
        <v>177</v>
      </c>
      <c r="Z138" t="s">
        <v>239</v>
      </c>
      <c r="AA138" t="s">
        <v>179</v>
      </c>
      <c r="AB138" t="s">
        <v>189</v>
      </c>
      <c r="AC138" t="s">
        <v>216</v>
      </c>
      <c r="AD138" t="s">
        <v>1137</v>
      </c>
      <c r="AG138" t="s">
        <v>216</v>
      </c>
      <c r="AH138" t="s">
        <v>287</v>
      </c>
      <c r="AI138">
        <v>0</v>
      </c>
      <c r="AJ138">
        <v>0</v>
      </c>
      <c r="AK138">
        <v>0</v>
      </c>
      <c r="AL138">
        <v>0</v>
      </c>
      <c r="AM138">
        <v>1</v>
      </c>
      <c r="AN138" t="s">
        <v>297</v>
      </c>
      <c r="AO138" t="s">
        <v>192</v>
      </c>
      <c r="AP138" t="s">
        <v>192</v>
      </c>
      <c r="AQ138" t="s">
        <v>192</v>
      </c>
      <c r="AZ138" t="s">
        <v>192</v>
      </c>
      <c r="BW138">
        <f t="shared" si="5"/>
        <v>0</v>
      </c>
      <c r="BY138" t="s">
        <v>192</v>
      </c>
      <c r="CA138" t="s">
        <v>192</v>
      </c>
      <c r="CC138" t="s">
        <v>192</v>
      </c>
      <c r="CE138" t="s">
        <v>173</v>
      </c>
      <c r="CF138" t="s">
        <v>186</v>
      </c>
      <c r="CG138" t="s">
        <v>192</v>
      </c>
      <c r="CI138" t="s">
        <v>173</v>
      </c>
      <c r="CJ138" t="s">
        <v>185</v>
      </c>
      <c r="CK138" t="s">
        <v>173</v>
      </c>
      <c r="CL138" t="s">
        <v>186</v>
      </c>
      <c r="CM138" t="s">
        <v>192</v>
      </c>
      <c r="CO138" t="s">
        <v>192</v>
      </c>
      <c r="CQ138" t="s">
        <v>192</v>
      </c>
      <c r="CS138" t="s">
        <v>192</v>
      </c>
      <c r="CU138" t="s">
        <v>192</v>
      </c>
      <c r="CW138" t="s">
        <v>192</v>
      </c>
      <c r="CY138" t="s">
        <v>192</v>
      </c>
      <c r="DA138" t="s">
        <v>192</v>
      </c>
      <c r="DC138" t="s">
        <v>173</v>
      </c>
      <c r="DD138" t="s">
        <v>185</v>
      </c>
      <c r="DE138" t="s">
        <v>192</v>
      </c>
      <c r="DH138" t="s">
        <v>173</v>
      </c>
      <c r="DI138" t="s">
        <v>187</v>
      </c>
      <c r="DJ138" t="s">
        <v>192</v>
      </c>
      <c r="DL138" t="s">
        <v>173</v>
      </c>
      <c r="DM138" t="s">
        <v>173</v>
      </c>
      <c r="DN138" t="s">
        <v>190</v>
      </c>
      <c r="DO138" t="s">
        <v>173</v>
      </c>
      <c r="DP138" t="s">
        <v>173</v>
      </c>
      <c r="DQ138" t="s">
        <v>191</v>
      </c>
      <c r="DR138" t="s">
        <v>192</v>
      </c>
      <c r="DU138" t="s">
        <v>173</v>
      </c>
      <c r="DV138" t="s">
        <v>173</v>
      </c>
      <c r="DW138" t="s">
        <v>191</v>
      </c>
      <c r="DX138" t="s">
        <v>173</v>
      </c>
      <c r="DY138" t="s">
        <v>173</v>
      </c>
      <c r="DZ138" t="s">
        <v>191</v>
      </c>
      <c r="EA138" t="s">
        <v>173</v>
      </c>
      <c r="EB138" t="s">
        <v>173</v>
      </c>
      <c r="EC138" t="s">
        <v>191</v>
      </c>
      <c r="ED138" t="s">
        <v>173</v>
      </c>
      <c r="EE138" t="s">
        <v>173</v>
      </c>
      <c r="EF138" t="s">
        <v>191</v>
      </c>
      <c r="EG138" t="s">
        <v>173</v>
      </c>
      <c r="EH138" t="s">
        <v>173</v>
      </c>
      <c r="EI138" t="s">
        <v>188</v>
      </c>
      <c r="EJ138" t="s">
        <v>173</v>
      </c>
      <c r="EK138" t="s">
        <v>173</v>
      </c>
      <c r="EL138" t="s">
        <v>188</v>
      </c>
      <c r="EM138" t="s">
        <v>192</v>
      </c>
      <c r="EQ138" t="s">
        <v>349</v>
      </c>
      <c r="ET138" t="s">
        <v>173</v>
      </c>
      <c r="EU138" t="s">
        <v>173</v>
      </c>
      <c r="EV138" t="s">
        <v>208</v>
      </c>
      <c r="EW138">
        <v>0</v>
      </c>
      <c r="EX138">
        <v>0</v>
      </c>
      <c r="EY138">
        <v>0</v>
      </c>
      <c r="EZ138">
        <v>0</v>
      </c>
      <c r="FA138">
        <v>1</v>
      </c>
      <c r="FB138">
        <v>0</v>
      </c>
      <c r="FC138">
        <v>0</v>
      </c>
      <c r="FD138">
        <v>0</v>
      </c>
      <c r="FE138">
        <v>0</v>
      </c>
      <c r="FH138">
        <v>83803934</v>
      </c>
      <c r="FI138" t="s">
        <v>1138</v>
      </c>
      <c r="FJ138" s="1">
        <v>45762.628750000003</v>
      </c>
      <c r="FM138" t="s">
        <v>193</v>
      </c>
      <c r="FO138" t="s">
        <v>1082</v>
      </c>
      <c r="FQ138">
        <v>138</v>
      </c>
    </row>
    <row r="139" spans="1:173" x14ac:dyDescent="0.25">
      <c r="A139" s="1">
        <v>45762.420402175929</v>
      </c>
      <c r="B139" s="1">
        <v>45762.423284328703</v>
      </c>
      <c r="C139" t="s">
        <v>334</v>
      </c>
      <c r="D139">
        <v>90</v>
      </c>
      <c r="E139" s="1">
        <v>45738</v>
      </c>
      <c r="F139">
        <v>1</v>
      </c>
      <c r="G139" t="s">
        <v>462</v>
      </c>
      <c r="H139" t="s">
        <v>171</v>
      </c>
      <c r="I139" t="s">
        <v>1139</v>
      </c>
      <c r="J139" t="s">
        <v>729</v>
      </c>
      <c r="K139" t="s">
        <v>173</v>
      </c>
      <c r="L139">
        <v>32</v>
      </c>
      <c r="M139" t="s">
        <v>174</v>
      </c>
      <c r="N139">
        <v>0</v>
      </c>
      <c r="O139">
        <v>0</v>
      </c>
      <c r="P139">
        <v>0</v>
      </c>
      <c r="Q139">
        <v>0</v>
      </c>
      <c r="R139" t="s">
        <v>251</v>
      </c>
      <c r="S139">
        <v>44</v>
      </c>
      <c r="T139" t="str">
        <f t="shared" si="4"/>
        <v>41 a 55</v>
      </c>
      <c r="U139" t="s">
        <v>173</v>
      </c>
      <c r="W139" t="s">
        <v>176</v>
      </c>
      <c r="Y139" t="s">
        <v>177</v>
      </c>
      <c r="Z139" t="s">
        <v>364</v>
      </c>
      <c r="AA139" t="s">
        <v>179</v>
      </c>
      <c r="AB139" t="s">
        <v>215</v>
      </c>
      <c r="AC139" t="s">
        <v>202</v>
      </c>
      <c r="AD139" t="s">
        <v>770</v>
      </c>
      <c r="AG139" t="s">
        <v>202</v>
      </c>
      <c r="AH139" t="s">
        <v>244</v>
      </c>
      <c r="AI139">
        <v>0</v>
      </c>
      <c r="AJ139">
        <v>1</v>
      </c>
      <c r="AK139">
        <v>1</v>
      </c>
      <c r="AL139">
        <v>0</v>
      </c>
      <c r="AM139">
        <v>0</v>
      </c>
      <c r="AN139" t="s">
        <v>297</v>
      </c>
      <c r="AO139" t="s">
        <v>192</v>
      </c>
      <c r="AP139" t="s">
        <v>173</v>
      </c>
      <c r="AQ139" t="s">
        <v>192</v>
      </c>
      <c r="AZ139" t="s">
        <v>192</v>
      </c>
      <c r="BW139">
        <f t="shared" si="5"/>
        <v>0</v>
      </c>
      <c r="BY139" t="s">
        <v>192</v>
      </c>
      <c r="CA139" t="s">
        <v>192</v>
      </c>
      <c r="CC139" t="s">
        <v>192</v>
      </c>
      <c r="CE139" t="s">
        <v>192</v>
      </c>
      <c r="CG139" t="s">
        <v>192</v>
      </c>
      <c r="CI139" t="s">
        <v>192</v>
      </c>
      <c r="CK139" t="s">
        <v>173</v>
      </c>
      <c r="CL139" t="s">
        <v>186</v>
      </c>
      <c r="CM139" t="s">
        <v>192</v>
      </c>
      <c r="CO139" t="s">
        <v>192</v>
      </c>
      <c r="CQ139" t="s">
        <v>173</v>
      </c>
      <c r="CR139" t="s">
        <v>186</v>
      </c>
      <c r="CS139" t="s">
        <v>192</v>
      </c>
      <c r="CU139" t="s">
        <v>192</v>
      </c>
      <c r="CW139" t="s">
        <v>192</v>
      </c>
      <c r="CY139" t="s">
        <v>192</v>
      </c>
      <c r="DA139" t="s">
        <v>192</v>
      </c>
      <c r="DC139" t="s">
        <v>192</v>
      </c>
      <c r="DE139" t="s">
        <v>192</v>
      </c>
      <c r="DH139" t="s">
        <v>173</v>
      </c>
      <c r="DI139" t="s">
        <v>187</v>
      </c>
      <c r="DJ139" t="s">
        <v>192</v>
      </c>
      <c r="DL139" t="s">
        <v>173</v>
      </c>
      <c r="DM139" t="s">
        <v>192</v>
      </c>
      <c r="DO139" t="s">
        <v>173</v>
      </c>
      <c r="DP139" t="s">
        <v>192</v>
      </c>
      <c r="DR139" t="s">
        <v>173</v>
      </c>
      <c r="DS139" t="s">
        <v>192</v>
      </c>
      <c r="DU139" t="s">
        <v>173</v>
      </c>
      <c r="DV139" t="s">
        <v>192</v>
      </c>
      <c r="DX139" t="s">
        <v>173</v>
      </c>
      <c r="DY139" t="s">
        <v>192</v>
      </c>
      <c r="EA139" t="s">
        <v>173</v>
      </c>
      <c r="EB139" t="s">
        <v>192</v>
      </c>
      <c r="ED139" t="s">
        <v>173</v>
      </c>
      <c r="EE139" t="s">
        <v>192</v>
      </c>
      <c r="EG139" t="s">
        <v>173</v>
      </c>
      <c r="EH139" t="s">
        <v>192</v>
      </c>
      <c r="EJ139" t="s">
        <v>173</v>
      </c>
      <c r="EK139" t="s">
        <v>192</v>
      </c>
      <c r="EM139" t="s">
        <v>173</v>
      </c>
      <c r="EN139" t="s">
        <v>192</v>
      </c>
      <c r="EQ139" t="s">
        <v>1140</v>
      </c>
      <c r="ET139" t="s">
        <v>173</v>
      </c>
      <c r="EU139" t="s">
        <v>173</v>
      </c>
      <c r="EV139" t="s">
        <v>223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1</v>
      </c>
      <c r="FF139" t="s">
        <v>1141</v>
      </c>
      <c r="FH139">
        <v>83804303</v>
      </c>
      <c r="FI139" t="s">
        <v>1142</v>
      </c>
      <c r="FJ139" s="1">
        <v>45762.631631944438</v>
      </c>
      <c r="FM139" t="s">
        <v>193</v>
      </c>
      <c r="FO139" t="s">
        <v>1082</v>
      </c>
      <c r="FQ139">
        <v>139</v>
      </c>
    </row>
    <row r="140" spans="1:173" x14ac:dyDescent="0.25">
      <c r="A140" s="1">
        <v>45762.423284849538</v>
      </c>
      <c r="B140" s="1">
        <v>45762.425984710651</v>
      </c>
      <c r="C140" t="s">
        <v>334</v>
      </c>
      <c r="D140">
        <v>88</v>
      </c>
      <c r="E140" s="1">
        <v>45738</v>
      </c>
      <c r="F140">
        <v>1</v>
      </c>
      <c r="G140" t="s">
        <v>462</v>
      </c>
      <c r="H140" t="s">
        <v>171</v>
      </c>
      <c r="I140" t="s">
        <v>1143</v>
      </c>
      <c r="J140" t="s">
        <v>1144</v>
      </c>
      <c r="K140" t="s">
        <v>173</v>
      </c>
      <c r="L140">
        <v>10</v>
      </c>
      <c r="M140" t="s">
        <v>174</v>
      </c>
      <c r="N140">
        <v>0</v>
      </c>
      <c r="O140">
        <v>0</v>
      </c>
      <c r="P140">
        <v>0</v>
      </c>
      <c r="Q140">
        <v>0</v>
      </c>
      <c r="R140" t="s">
        <v>175</v>
      </c>
      <c r="S140">
        <v>32</v>
      </c>
      <c r="T140" t="str">
        <f t="shared" si="4"/>
        <v>26 a 40</v>
      </c>
      <c r="U140" t="s">
        <v>173</v>
      </c>
      <c r="W140" t="s">
        <v>176</v>
      </c>
      <c r="Y140" t="s">
        <v>200</v>
      </c>
      <c r="Z140" t="s">
        <v>364</v>
      </c>
      <c r="AA140" t="s">
        <v>240</v>
      </c>
      <c r="AB140" t="s">
        <v>215</v>
      </c>
      <c r="AC140" t="s">
        <v>216</v>
      </c>
      <c r="AD140" t="s">
        <v>1145</v>
      </c>
      <c r="AE140" t="s">
        <v>988</v>
      </c>
      <c r="AG140" t="s">
        <v>216</v>
      </c>
      <c r="AH140" t="s">
        <v>204</v>
      </c>
      <c r="AI140">
        <v>0</v>
      </c>
      <c r="AJ140">
        <v>1</v>
      </c>
      <c r="AK140">
        <v>0</v>
      </c>
      <c r="AL140">
        <v>0</v>
      </c>
      <c r="AM140">
        <v>0</v>
      </c>
      <c r="AN140" t="s">
        <v>297</v>
      </c>
      <c r="AO140" t="s">
        <v>192</v>
      </c>
      <c r="AP140" t="s">
        <v>173</v>
      </c>
      <c r="AQ140" t="s">
        <v>192</v>
      </c>
      <c r="AZ140" t="s">
        <v>192</v>
      </c>
      <c r="BW140">
        <f t="shared" si="5"/>
        <v>0</v>
      </c>
      <c r="BY140" t="s">
        <v>173</v>
      </c>
      <c r="BZ140" t="s">
        <v>186</v>
      </c>
      <c r="CA140" t="s">
        <v>192</v>
      </c>
      <c r="CC140" t="s">
        <v>192</v>
      </c>
      <c r="CE140" t="s">
        <v>173</v>
      </c>
      <c r="CF140" t="s">
        <v>185</v>
      </c>
      <c r="CG140" t="s">
        <v>173</v>
      </c>
      <c r="CH140" t="s">
        <v>186</v>
      </c>
      <c r="CI140" t="s">
        <v>173</v>
      </c>
      <c r="CJ140" t="s">
        <v>186</v>
      </c>
      <c r="CK140" t="s">
        <v>192</v>
      </c>
      <c r="CM140" t="s">
        <v>173</v>
      </c>
      <c r="CN140" t="s">
        <v>185</v>
      </c>
      <c r="CO140" t="s">
        <v>192</v>
      </c>
      <c r="CQ140" t="s">
        <v>173</v>
      </c>
      <c r="CR140" t="s">
        <v>185</v>
      </c>
      <c r="CS140" t="s">
        <v>173</v>
      </c>
      <c r="CT140" t="s">
        <v>186</v>
      </c>
      <c r="CU140" t="s">
        <v>192</v>
      </c>
      <c r="CW140" t="s">
        <v>192</v>
      </c>
      <c r="CY140" t="s">
        <v>173</v>
      </c>
      <c r="CZ140" t="s">
        <v>185</v>
      </c>
      <c r="DA140" t="s">
        <v>192</v>
      </c>
      <c r="DC140" t="s">
        <v>173</v>
      </c>
      <c r="DD140" t="s">
        <v>185</v>
      </c>
      <c r="DE140" t="s">
        <v>192</v>
      </c>
      <c r="DH140" t="s">
        <v>173</v>
      </c>
      <c r="DI140" t="s">
        <v>187</v>
      </c>
      <c r="DJ140" t="s">
        <v>192</v>
      </c>
      <c r="DL140" t="s">
        <v>173</v>
      </c>
      <c r="DM140" t="s">
        <v>192</v>
      </c>
      <c r="DO140" t="s">
        <v>173</v>
      </c>
      <c r="DP140" t="s">
        <v>192</v>
      </c>
      <c r="DR140" t="s">
        <v>192</v>
      </c>
      <c r="DU140" t="s">
        <v>173</v>
      </c>
      <c r="DV140" t="s">
        <v>192</v>
      </c>
      <c r="DX140" t="s">
        <v>192</v>
      </c>
      <c r="EA140" t="s">
        <v>192</v>
      </c>
      <c r="ED140" t="s">
        <v>173</v>
      </c>
      <c r="EE140" t="s">
        <v>173</v>
      </c>
      <c r="EF140" t="s">
        <v>191</v>
      </c>
      <c r="EG140" t="s">
        <v>173</v>
      </c>
      <c r="EH140" t="s">
        <v>192</v>
      </c>
      <c r="EJ140" t="s">
        <v>173</v>
      </c>
      <c r="EK140" t="s">
        <v>192</v>
      </c>
      <c r="EM140" t="s">
        <v>192</v>
      </c>
      <c r="EQ140" t="s">
        <v>548</v>
      </c>
      <c r="ER140" t="s">
        <v>1146</v>
      </c>
      <c r="ET140" t="s">
        <v>173</v>
      </c>
      <c r="EU140" t="s">
        <v>173</v>
      </c>
      <c r="EV140" t="s">
        <v>223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1</v>
      </c>
      <c r="FF140" t="s">
        <v>406</v>
      </c>
      <c r="FH140">
        <v>83804818</v>
      </c>
      <c r="FI140" t="s">
        <v>1147</v>
      </c>
      <c r="FJ140" s="1">
        <v>45762.634317129632</v>
      </c>
      <c r="FM140" t="s">
        <v>193</v>
      </c>
      <c r="FO140" t="s">
        <v>1082</v>
      </c>
      <c r="FQ140">
        <v>140</v>
      </c>
    </row>
    <row r="141" spans="1:173" x14ac:dyDescent="0.25">
      <c r="A141" s="1">
        <v>45762.425985104157</v>
      </c>
      <c r="B141" s="1">
        <v>45762.428593136567</v>
      </c>
      <c r="C141" t="s">
        <v>334</v>
      </c>
      <c r="D141">
        <v>56</v>
      </c>
      <c r="E141" s="1">
        <v>45739</v>
      </c>
      <c r="F141">
        <v>1</v>
      </c>
      <c r="G141" t="s">
        <v>429</v>
      </c>
      <c r="H141" t="s">
        <v>171</v>
      </c>
      <c r="I141" t="s">
        <v>716</v>
      </c>
      <c r="J141" t="s">
        <v>1148</v>
      </c>
      <c r="K141" t="s">
        <v>173</v>
      </c>
      <c r="L141">
        <v>12</v>
      </c>
      <c r="M141" t="s">
        <v>174</v>
      </c>
      <c r="N141">
        <v>0</v>
      </c>
      <c r="O141">
        <v>0</v>
      </c>
      <c r="P141">
        <v>0</v>
      </c>
      <c r="Q141">
        <v>0</v>
      </c>
      <c r="R141" t="s">
        <v>251</v>
      </c>
      <c r="S141">
        <v>52</v>
      </c>
      <c r="T141" t="str">
        <f t="shared" si="4"/>
        <v>41 a 55</v>
      </c>
      <c r="U141" t="s">
        <v>173</v>
      </c>
      <c r="W141" t="s">
        <v>238</v>
      </c>
      <c r="Y141" t="s">
        <v>263</v>
      </c>
      <c r="Z141" t="s">
        <v>239</v>
      </c>
      <c r="AA141" t="s">
        <v>240</v>
      </c>
      <c r="AB141" t="s">
        <v>189</v>
      </c>
      <c r="AC141" t="s">
        <v>202</v>
      </c>
      <c r="AD141" t="s">
        <v>1149</v>
      </c>
      <c r="AE141" t="s">
        <v>1150</v>
      </c>
      <c r="AG141" t="s">
        <v>202</v>
      </c>
      <c r="AH141" t="s">
        <v>232</v>
      </c>
      <c r="AI141">
        <v>0</v>
      </c>
      <c r="AJ141">
        <v>0</v>
      </c>
      <c r="AK141">
        <v>1</v>
      </c>
      <c r="AL141">
        <v>0</v>
      </c>
      <c r="AM141">
        <v>0</v>
      </c>
      <c r="AN141" t="s">
        <v>183</v>
      </c>
      <c r="AO141" t="s">
        <v>192</v>
      </c>
      <c r="AP141" t="s">
        <v>192</v>
      </c>
      <c r="AQ141" t="s">
        <v>173</v>
      </c>
      <c r="AR141" t="s">
        <v>298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</v>
      </c>
      <c r="AY141" t="s">
        <v>1151</v>
      </c>
      <c r="AZ141" t="s">
        <v>192</v>
      </c>
      <c r="BW141">
        <f t="shared" si="5"/>
        <v>0</v>
      </c>
      <c r="BY141" t="s">
        <v>192</v>
      </c>
      <c r="CA141" t="s">
        <v>192</v>
      </c>
      <c r="CC141" t="s">
        <v>192</v>
      </c>
      <c r="CE141" t="s">
        <v>192</v>
      </c>
      <c r="CG141" t="s">
        <v>192</v>
      </c>
      <c r="CI141" t="s">
        <v>192</v>
      </c>
      <c r="CK141" t="s">
        <v>192</v>
      </c>
      <c r="CM141" t="s">
        <v>192</v>
      </c>
      <c r="CO141" t="s">
        <v>192</v>
      </c>
      <c r="CQ141" t="s">
        <v>192</v>
      </c>
      <c r="CS141" t="s">
        <v>192</v>
      </c>
      <c r="CU141" t="s">
        <v>192</v>
      </c>
      <c r="CW141" t="s">
        <v>192</v>
      </c>
      <c r="CY141" t="s">
        <v>192</v>
      </c>
      <c r="DA141" t="s">
        <v>192</v>
      </c>
      <c r="DC141" t="s">
        <v>192</v>
      </c>
      <c r="DE141" t="s">
        <v>192</v>
      </c>
      <c r="DH141" t="s">
        <v>173</v>
      </c>
      <c r="DI141" t="s">
        <v>187</v>
      </c>
      <c r="DJ141" t="s">
        <v>173</v>
      </c>
      <c r="DL141" t="s">
        <v>192</v>
      </c>
      <c r="DO141" t="s">
        <v>192</v>
      </c>
      <c r="DR141" t="s">
        <v>173</v>
      </c>
      <c r="DS141" t="s">
        <v>173</v>
      </c>
      <c r="DT141" t="s">
        <v>191</v>
      </c>
      <c r="DU141" t="s">
        <v>173</v>
      </c>
      <c r="DV141" t="s">
        <v>173</v>
      </c>
      <c r="DW141" t="s">
        <v>191</v>
      </c>
      <c r="DX141" t="s">
        <v>192</v>
      </c>
      <c r="EA141" t="s">
        <v>192</v>
      </c>
      <c r="ED141" t="s">
        <v>173</v>
      </c>
      <c r="EE141" t="s">
        <v>173</v>
      </c>
      <c r="EF141" t="s">
        <v>191</v>
      </c>
      <c r="EG141" t="s">
        <v>173</v>
      </c>
      <c r="EH141" t="s">
        <v>173</v>
      </c>
      <c r="EI141" t="s">
        <v>191</v>
      </c>
      <c r="EJ141" t="s">
        <v>192</v>
      </c>
      <c r="EM141" t="s">
        <v>192</v>
      </c>
      <c r="EQ141" t="s">
        <v>1152</v>
      </c>
      <c r="ER141" t="s">
        <v>1153</v>
      </c>
      <c r="ET141" t="s">
        <v>173</v>
      </c>
      <c r="EU141" t="s">
        <v>173</v>
      </c>
      <c r="EV141" t="s">
        <v>208</v>
      </c>
      <c r="EW141">
        <v>0</v>
      </c>
      <c r="EX141">
        <v>0</v>
      </c>
      <c r="EY141">
        <v>0</v>
      </c>
      <c r="EZ141">
        <v>0</v>
      </c>
      <c r="FA141">
        <v>1</v>
      </c>
      <c r="FB141">
        <v>0</v>
      </c>
      <c r="FC141">
        <v>0</v>
      </c>
      <c r="FD141">
        <v>0</v>
      </c>
      <c r="FE141">
        <v>0</v>
      </c>
      <c r="FH141">
        <v>83805507</v>
      </c>
      <c r="FI141" t="s">
        <v>1154</v>
      </c>
      <c r="FJ141" s="1">
        <v>45762.636932870373</v>
      </c>
      <c r="FM141" t="s">
        <v>193</v>
      </c>
      <c r="FO141" t="s">
        <v>1082</v>
      </c>
      <c r="FQ141">
        <v>141</v>
      </c>
    </row>
    <row r="142" spans="1:173" x14ac:dyDescent="0.25">
      <c r="A142" s="1">
        <v>45762.428593530087</v>
      </c>
      <c r="B142" s="1">
        <v>45762.43073359954</v>
      </c>
      <c r="C142" t="s">
        <v>334</v>
      </c>
      <c r="D142">
        <v>58</v>
      </c>
      <c r="E142" s="1">
        <v>45738</v>
      </c>
      <c r="F142">
        <v>3</v>
      </c>
      <c r="G142" t="s">
        <v>352</v>
      </c>
      <c r="H142" t="s">
        <v>228</v>
      </c>
      <c r="I142" t="s">
        <v>1155</v>
      </c>
      <c r="J142" t="s">
        <v>346</v>
      </c>
      <c r="K142" t="s">
        <v>173</v>
      </c>
      <c r="L142">
        <v>35</v>
      </c>
      <c r="M142" t="s">
        <v>174</v>
      </c>
      <c r="N142">
        <v>0</v>
      </c>
      <c r="O142">
        <v>0</v>
      </c>
      <c r="P142">
        <v>0</v>
      </c>
      <c r="Q142">
        <v>0</v>
      </c>
      <c r="R142" t="s">
        <v>251</v>
      </c>
      <c r="S142">
        <v>52</v>
      </c>
      <c r="T142" t="str">
        <f t="shared" si="4"/>
        <v>41 a 55</v>
      </c>
      <c r="U142" t="s">
        <v>173</v>
      </c>
      <c r="W142" t="s">
        <v>176</v>
      </c>
      <c r="Y142" t="s">
        <v>177</v>
      </c>
      <c r="Z142" t="s">
        <v>239</v>
      </c>
      <c r="AA142" t="s">
        <v>179</v>
      </c>
      <c r="AB142" t="s">
        <v>215</v>
      </c>
      <c r="AC142" t="s">
        <v>216</v>
      </c>
      <c r="AD142" t="s">
        <v>217</v>
      </c>
      <c r="AE142" t="s">
        <v>306</v>
      </c>
      <c r="AF142" t="s">
        <v>512</v>
      </c>
      <c r="AG142" t="s">
        <v>202</v>
      </c>
      <c r="AH142" t="s">
        <v>204</v>
      </c>
      <c r="AI142">
        <v>0</v>
      </c>
      <c r="AJ142">
        <v>1</v>
      </c>
      <c r="AK142">
        <v>0</v>
      </c>
      <c r="AL142">
        <v>0</v>
      </c>
      <c r="AM142">
        <v>0</v>
      </c>
      <c r="AN142" t="s">
        <v>205</v>
      </c>
      <c r="AO142" t="s">
        <v>192</v>
      </c>
      <c r="AP142" t="s">
        <v>192</v>
      </c>
      <c r="AQ142" t="s">
        <v>192</v>
      </c>
      <c r="AZ142" t="s">
        <v>192</v>
      </c>
      <c r="BW142">
        <f t="shared" si="5"/>
        <v>0</v>
      </c>
      <c r="BY142" t="s">
        <v>192</v>
      </c>
      <c r="CA142" t="s">
        <v>192</v>
      </c>
      <c r="CC142" t="s">
        <v>192</v>
      </c>
      <c r="CE142" t="s">
        <v>192</v>
      </c>
      <c r="CG142" t="s">
        <v>192</v>
      </c>
      <c r="CI142" t="s">
        <v>192</v>
      </c>
      <c r="CK142" t="s">
        <v>192</v>
      </c>
      <c r="CM142" t="s">
        <v>173</v>
      </c>
      <c r="CN142" t="s">
        <v>185</v>
      </c>
      <c r="CO142" t="s">
        <v>173</v>
      </c>
      <c r="CP142" t="s">
        <v>185</v>
      </c>
      <c r="CQ142" t="s">
        <v>173</v>
      </c>
      <c r="CR142" t="s">
        <v>185</v>
      </c>
      <c r="CS142" t="s">
        <v>173</v>
      </c>
      <c r="CT142" t="s">
        <v>185</v>
      </c>
      <c r="CU142" t="s">
        <v>192</v>
      </c>
      <c r="CW142" t="s">
        <v>192</v>
      </c>
      <c r="CY142" t="s">
        <v>192</v>
      </c>
      <c r="DA142" t="s">
        <v>192</v>
      </c>
      <c r="DC142" t="s">
        <v>192</v>
      </c>
      <c r="DE142" t="s">
        <v>192</v>
      </c>
      <c r="DH142" t="s">
        <v>173</v>
      </c>
      <c r="DI142" t="s">
        <v>187</v>
      </c>
      <c r="DJ142" t="s">
        <v>173</v>
      </c>
      <c r="DL142" t="s">
        <v>173</v>
      </c>
      <c r="DM142" t="s">
        <v>173</v>
      </c>
      <c r="DN142" t="s">
        <v>191</v>
      </c>
      <c r="DO142" t="s">
        <v>192</v>
      </c>
      <c r="DR142" t="s">
        <v>192</v>
      </c>
      <c r="DU142" t="s">
        <v>173</v>
      </c>
      <c r="DV142" t="s">
        <v>173</v>
      </c>
      <c r="DW142" t="s">
        <v>188</v>
      </c>
      <c r="DX142" t="s">
        <v>192</v>
      </c>
      <c r="EA142" t="s">
        <v>192</v>
      </c>
      <c r="ED142" t="s">
        <v>173</v>
      </c>
      <c r="EE142" t="s">
        <v>173</v>
      </c>
      <c r="EF142" t="s">
        <v>188</v>
      </c>
      <c r="EG142" t="s">
        <v>173</v>
      </c>
      <c r="EH142" t="s">
        <v>173</v>
      </c>
      <c r="EI142" t="s">
        <v>188</v>
      </c>
      <c r="EJ142" t="s">
        <v>173</v>
      </c>
      <c r="EK142" t="s">
        <v>173</v>
      </c>
      <c r="EL142" t="s">
        <v>191</v>
      </c>
      <c r="EM142" t="s">
        <v>192</v>
      </c>
      <c r="EQ142" t="s">
        <v>348</v>
      </c>
      <c r="ER142" t="s">
        <v>514</v>
      </c>
      <c r="ES142" t="s">
        <v>360</v>
      </c>
      <c r="ET142" t="s">
        <v>173</v>
      </c>
      <c r="EU142" t="s">
        <v>173</v>
      </c>
      <c r="EV142" t="s">
        <v>613</v>
      </c>
      <c r="EW142">
        <v>0</v>
      </c>
      <c r="EX142">
        <v>1</v>
      </c>
      <c r="EY142">
        <v>0</v>
      </c>
      <c r="EZ142">
        <v>0</v>
      </c>
      <c r="FA142">
        <v>0</v>
      </c>
      <c r="FB142">
        <v>1</v>
      </c>
      <c r="FC142">
        <v>0</v>
      </c>
      <c r="FD142">
        <v>0</v>
      </c>
      <c r="FE142">
        <v>0</v>
      </c>
      <c r="FH142">
        <v>83806067</v>
      </c>
      <c r="FI142" t="s">
        <v>1156</v>
      </c>
      <c r="FJ142" s="1">
        <v>45762.639074074083</v>
      </c>
      <c r="FM142" t="s">
        <v>193</v>
      </c>
      <c r="FO142" t="s">
        <v>1082</v>
      </c>
      <c r="FQ142">
        <v>142</v>
      </c>
    </row>
    <row r="143" spans="1:173" x14ac:dyDescent="0.25">
      <c r="A143" s="1">
        <v>45762.430734131944</v>
      </c>
      <c r="B143" s="1">
        <v>45762.433587037027</v>
      </c>
      <c r="C143" t="s">
        <v>334</v>
      </c>
      <c r="D143">
        <v>44</v>
      </c>
      <c r="E143" s="1">
        <v>45739</v>
      </c>
      <c r="F143">
        <v>1</v>
      </c>
      <c r="G143" t="s">
        <v>882</v>
      </c>
      <c r="H143" t="s">
        <v>171</v>
      </c>
      <c r="I143" t="s">
        <v>1157</v>
      </c>
      <c r="J143" t="s">
        <v>1158</v>
      </c>
      <c r="K143" t="s">
        <v>173</v>
      </c>
      <c r="L143">
        <v>25</v>
      </c>
      <c r="M143" t="s">
        <v>174</v>
      </c>
      <c r="N143">
        <v>0</v>
      </c>
      <c r="O143">
        <v>0</v>
      </c>
      <c r="P143">
        <v>0</v>
      </c>
      <c r="Q143">
        <v>0</v>
      </c>
      <c r="R143" t="s">
        <v>251</v>
      </c>
      <c r="S143">
        <v>52</v>
      </c>
      <c r="T143" t="str">
        <f t="shared" si="4"/>
        <v>41 a 55</v>
      </c>
      <c r="U143" t="s">
        <v>173</v>
      </c>
      <c r="W143" t="s">
        <v>176</v>
      </c>
      <c r="Y143" t="s">
        <v>177</v>
      </c>
      <c r="Z143" t="s">
        <v>178</v>
      </c>
      <c r="AA143" t="s">
        <v>179</v>
      </c>
      <c r="AB143" t="s">
        <v>215</v>
      </c>
      <c r="AC143" t="s">
        <v>216</v>
      </c>
      <c r="AD143" t="s">
        <v>217</v>
      </c>
      <c r="AE143" t="s">
        <v>252</v>
      </c>
      <c r="AF143" t="s">
        <v>1159</v>
      </c>
      <c r="AG143" t="s">
        <v>202</v>
      </c>
      <c r="AH143" t="s">
        <v>244</v>
      </c>
      <c r="AI143">
        <v>0</v>
      </c>
      <c r="AJ143">
        <v>1</v>
      </c>
      <c r="AK143">
        <v>1</v>
      </c>
      <c r="AL143">
        <v>0</v>
      </c>
      <c r="AM143">
        <v>0</v>
      </c>
      <c r="AN143" t="s">
        <v>297</v>
      </c>
      <c r="AO143" t="s">
        <v>192</v>
      </c>
      <c r="AP143" t="s">
        <v>192</v>
      </c>
      <c r="AQ143" t="s">
        <v>192</v>
      </c>
      <c r="AZ143" t="s">
        <v>192</v>
      </c>
      <c r="BW143">
        <f t="shared" si="5"/>
        <v>0</v>
      </c>
      <c r="BY143" t="s">
        <v>192</v>
      </c>
      <c r="CA143" t="s">
        <v>192</v>
      </c>
      <c r="CC143" t="s">
        <v>173</v>
      </c>
      <c r="CD143" t="s">
        <v>185</v>
      </c>
      <c r="CE143" t="s">
        <v>173</v>
      </c>
      <c r="CF143" t="s">
        <v>185</v>
      </c>
      <c r="CG143" t="s">
        <v>192</v>
      </c>
      <c r="CI143" t="s">
        <v>192</v>
      </c>
      <c r="CK143" t="s">
        <v>173</v>
      </c>
      <c r="CL143" t="s">
        <v>186</v>
      </c>
      <c r="CM143" t="s">
        <v>192</v>
      </c>
      <c r="CO143" t="s">
        <v>192</v>
      </c>
      <c r="CQ143" t="s">
        <v>192</v>
      </c>
      <c r="CS143" t="s">
        <v>192</v>
      </c>
      <c r="CU143" t="s">
        <v>192</v>
      </c>
      <c r="CW143" t="s">
        <v>173</v>
      </c>
      <c r="CX143" t="s">
        <v>185</v>
      </c>
      <c r="CY143" t="s">
        <v>192</v>
      </c>
      <c r="DA143" t="s">
        <v>192</v>
      </c>
      <c r="DC143" t="s">
        <v>192</v>
      </c>
      <c r="DE143" t="s">
        <v>192</v>
      </c>
      <c r="DH143" t="s">
        <v>173</v>
      </c>
      <c r="DI143" t="s">
        <v>186</v>
      </c>
      <c r="DJ143" t="s">
        <v>192</v>
      </c>
      <c r="DL143" t="s">
        <v>192</v>
      </c>
      <c r="DO143" t="s">
        <v>192</v>
      </c>
      <c r="DR143" t="s">
        <v>192</v>
      </c>
      <c r="DU143" t="s">
        <v>192</v>
      </c>
      <c r="DX143" t="s">
        <v>192</v>
      </c>
      <c r="EA143" t="s">
        <v>192</v>
      </c>
      <c r="ED143" t="s">
        <v>173</v>
      </c>
      <c r="EE143" t="s">
        <v>173</v>
      </c>
      <c r="EF143" t="s">
        <v>191</v>
      </c>
      <c r="EG143" t="s">
        <v>173</v>
      </c>
      <c r="EH143" t="s">
        <v>173</v>
      </c>
      <c r="EI143" t="s">
        <v>191</v>
      </c>
      <c r="EJ143" t="s">
        <v>192</v>
      </c>
      <c r="EM143" t="s">
        <v>192</v>
      </c>
      <c r="EQ143" t="s">
        <v>309</v>
      </c>
      <c r="ER143" t="s">
        <v>1160</v>
      </c>
      <c r="ET143" t="s">
        <v>173</v>
      </c>
      <c r="EU143" t="s">
        <v>173</v>
      </c>
      <c r="EV143" t="s">
        <v>208</v>
      </c>
      <c r="EW143">
        <v>0</v>
      </c>
      <c r="EX143">
        <v>0</v>
      </c>
      <c r="EY143">
        <v>0</v>
      </c>
      <c r="EZ143">
        <v>0</v>
      </c>
      <c r="FA143">
        <v>1</v>
      </c>
      <c r="FB143">
        <v>0</v>
      </c>
      <c r="FC143">
        <v>0</v>
      </c>
      <c r="FD143">
        <v>0</v>
      </c>
      <c r="FE143">
        <v>0</v>
      </c>
      <c r="FH143">
        <v>83806353</v>
      </c>
      <c r="FI143" t="s">
        <v>1161</v>
      </c>
      <c r="FJ143" s="1">
        <v>45762.641932870371</v>
      </c>
      <c r="FM143" t="s">
        <v>193</v>
      </c>
      <c r="FO143" t="s">
        <v>1082</v>
      </c>
      <c r="FQ143">
        <v>143</v>
      </c>
    </row>
    <row r="144" spans="1:173" x14ac:dyDescent="0.25">
      <c r="A144" s="1">
        <v>45762.433587430547</v>
      </c>
      <c r="B144" s="1">
        <v>45762.437452488433</v>
      </c>
      <c r="C144" t="s">
        <v>334</v>
      </c>
      <c r="D144">
        <v>18</v>
      </c>
      <c r="E144" s="1">
        <v>45738</v>
      </c>
      <c r="F144">
        <v>2</v>
      </c>
      <c r="G144" t="s">
        <v>1014</v>
      </c>
      <c r="H144" t="s">
        <v>336</v>
      </c>
      <c r="I144" t="s">
        <v>1162</v>
      </c>
      <c r="J144" t="s">
        <v>1163</v>
      </c>
      <c r="K144" t="s">
        <v>173</v>
      </c>
      <c r="L144">
        <v>20</v>
      </c>
      <c r="M144" t="s">
        <v>174</v>
      </c>
      <c r="N144">
        <v>0</v>
      </c>
      <c r="O144">
        <v>0</v>
      </c>
      <c r="P144">
        <v>0</v>
      </c>
      <c r="Q144">
        <v>0</v>
      </c>
      <c r="R144" t="s">
        <v>175</v>
      </c>
      <c r="S144">
        <v>52</v>
      </c>
      <c r="T144" t="str">
        <f t="shared" si="4"/>
        <v>41 a 55</v>
      </c>
      <c r="U144" t="s">
        <v>173</v>
      </c>
      <c r="W144" t="s">
        <v>176</v>
      </c>
      <c r="Y144" t="s">
        <v>263</v>
      </c>
      <c r="Z144" t="s">
        <v>178</v>
      </c>
      <c r="AA144" t="s">
        <v>240</v>
      </c>
      <c r="AB144" t="s">
        <v>215</v>
      </c>
      <c r="AC144" t="s">
        <v>339</v>
      </c>
      <c r="AD144" t="s">
        <v>1164</v>
      </c>
      <c r="AE144" t="s">
        <v>1165</v>
      </c>
      <c r="AG144" t="s">
        <v>216</v>
      </c>
      <c r="AH144" t="s">
        <v>244</v>
      </c>
      <c r="AI144">
        <v>0</v>
      </c>
      <c r="AJ144">
        <v>1</v>
      </c>
      <c r="AK144">
        <v>1</v>
      </c>
      <c r="AL144">
        <v>0</v>
      </c>
      <c r="AM144">
        <v>0</v>
      </c>
      <c r="AN144" t="s">
        <v>183</v>
      </c>
      <c r="AO144" t="s">
        <v>192</v>
      </c>
      <c r="AP144" t="s">
        <v>192</v>
      </c>
      <c r="AQ144" t="s">
        <v>173</v>
      </c>
      <c r="AR144" t="s">
        <v>206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0</v>
      </c>
      <c r="AZ144" t="s">
        <v>173</v>
      </c>
      <c r="BA144" t="s">
        <v>418</v>
      </c>
      <c r="BB144">
        <v>1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O144" t="s">
        <v>173</v>
      </c>
      <c r="BW144">
        <f t="shared" si="5"/>
        <v>0</v>
      </c>
      <c r="BY144" t="s">
        <v>173</v>
      </c>
      <c r="BZ144" t="s">
        <v>187</v>
      </c>
      <c r="CA144" t="s">
        <v>192</v>
      </c>
      <c r="CC144" t="s">
        <v>173</v>
      </c>
      <c r="CD144" t="s">
        <v>186</v>
      </c>
      <c r="CE144" t="s">
        <v>173</v>
      </c>
      <c r="CF144" t="s">
        <v>186</v>
      </c>
      <c r="CG144" t="s">
        <v>173</v>
      </c>
      <c r="CH144" t="s">
        <v>186</v>
      </c>
      <c r="CI144" t="s">
        <v>173</v>
      </c>
      <c r="CJ144" t="s">
        <v>186</v>
      </c>
      <c r="CK144" t="s">
        <v>173</v>
      </c>
      <c r="CL144" t="s">
        <v>186</v>
      </c>
      <c r="CM144" t="s">
        <v>173</v>
      </c>
      <c r="CN144" t="s">
        <v>186</v>
      </c>
      <c r="CO144" t="s">
        <v>173</v>
      </c>
      <c r="CP144" t="s">
        <v>186</v>
      </c>
      <c r="CQ144" t="s">
        <v>173</v>
      </c>
      <c r="CR144" t="s">
        <v>186</v>
      </c>
      <c r="CS144" t="s">
        <v>173</v>
      </c>
      <c r="CT144" t="s">
        <v>186</v>
      </c>
      <c r="CU144" t="s">
        <v>173</v>
      </c>
      <c r="CV144" t="s">
        <v>186</v>
      </c>
      <c r="CW144" t="s">
        <v>192</v>
      </c>
      <c r="CY144" t="s">
        <v>173</v>
      </c>
      <c r="CZ144" t="s">
        <v>186</v>
      </c>
      <c r="DA144" t="s">
        <v>192</v>
      </c>
      <c r="DC144" t="s">
        <v>173</v>
      </c>
      <c r="DD144" t="s">
        <v>186</v>
      </c>
      <c r="DE144" t="s">
        <v>192</v>
      </c>
      <c r="DH144" t="s">
        <v>173</v>
      </c>
      <c r="DI144" t="s">
        <v>187</v>
      </c>
      <c r="DJ144" t="s">
        <v>192</v>
      </c>
      <c r="DL144" t="s">
        <v>192</v>
      </c>
      <c r="DO144" t="s">
        <v>192</v>
      </c>
      <c r="DR144" t="s">
        <v>192</v>
      </c>
      <c r="DU144" t="s">
        <v>192</v>
      </c>
      <c r="DX144" t="s">
        <v>192</v>
      </c>
      <c r="EA144" t="s">
        <v>192</v>
      </c>
      <c r="ED144" t="s">
        <v>173</v>
      </c>
      <c r="EE144" t="s">
        <v>192</v>
      </c>
      <c r="EG144" t="s">
        <v>173</v>
      </c>
      <c r="EH144" t="s">
        <v>192</v>
      </c>
      <c r="EJ144" t="s">
        <v>192</v>
      </c>
      <c r="EM144" t="s">
        <v>192</v>
      </c>
      <c r="EQ144" t="s">
        <v>1166</v>
      </c>
      <c r="ER144" t="s">
        <v>1167</v>
      </c>
      <c r="ET144" t="s">
        <v>173</v>
      </c>
      <c r="EU144" t="s">
        <v>173</v>
      </c>
      <c r="EV144" t="s">
        <v>208</v>
      </c>
      <c r="EW144">
        <v>0</v>
      </c>
      <c r="EX144">
        <v>0</v>
      </c>
      <c r="EY144">
        <v>0</v>
      </c>
      <c r="EZ144">
        <v>0</v>
      </c>
      <c r="FA144">
        <v>1</v>
      </c>
      <c r="FB144">
        <v>0</v>
      </c>
      <c r="FC144">
        <v>0</v>
      </c>
      <c r="FD144">
        <v>0</v>
      </c>
      <c r="FE144">
        <v>0</v>
      </c>
      <c r="FH144">
        <v>83806575</v>
      </c>
      <c r="FI144" t="s">
        <v>1168</v>
      </c>
      <c r="FJ144" s="1">
        <v>45762.645787037043</v>
      </c>
      <c r="FM144" t="s">
        <v>193</v>
      </c>
      <c r="FO144" t="s">
        <v>1082</v>
      </c>
      <c r="FQ144">
        <v>144</v>
      </c>
    </row>
    <row r="145" spans="1:173" x14ac:dyDescent="0.25">
      <c r="A145" s="1">
        <v>45762.437452905091</v>
      </c>
      <c r="B145" s="1">
        <v>45762.440411342592</v>
      </c>
      <c r="C145" t="s">
        <v>334</v>
      </c>
      <c r="D145">
        <v>136</v>
      </c>
      <c r="E145" s="1">
        <v>45739</v>
      </c>
      <c r="F145">
        <v>2</v>
      </c>
      <c r="G145" t="s">
        <v>385</v>
      </c>
      <c r="H145" t="s">
        <v>336</v>
      </c>
      <c r="I145" t="s">
        <v>401</v>
      </c>
      <c r="J145" t="s">
        <v>1169</v>
      </c>
      <c r="K145" t="s">
        <v>173</v>
      </c>
      <c r="L145">
        <v>8</v>
      </c>
      <c r="M145" t="s">
        <v>174</v>
      </c>
      <c r="N145">
        <v>0</v>
      </c>
      <c r="O145">
        <v>0</v>
      </c>
      <c r="P145">
        <v>0</v>
      </c>
      <c r="Q145">
        <v>0</v>
      </c>
      <c r="R145" t="s">
        <v>251</v>
      </c>
      <c r="S145">
        <v>35</v>
      </c>
      <c r="T145" t="str">
        <f t="shared" si="4"/>
        <v>26 a 40</v>
      </c>
      <c r="U145" t="s">
        <v>173</v>
      </c>
      <c r="W145" t="s">
        <v>176</v>
      </c>
      <c r="Y145" t="s">
        <v>214</v>
      </c>
      <c r="Z145" t="s">
        <v>178</v>
      </c>
      <c r="AA145" t="s">
        <v>179</v>
      </c>
      <c r="AB145" t="s">
        <v>201</v>
      </c>
      <c r="AC145" t="s">
        <v>216</v>
      </c>
      <c r="AD145" t="s">
        <v>814</v>
      </c>
      <c r="AE145" t="s">
        <v>858</v>
      </c>
      <c r="AF145" t="s">
        <v>1170</v>
      </c>
      <c r="AG145" t="s">
        <v>202</v>
      </c>
      <c r="AH145" t="s">
        <v>244</v>
      </c>
      <c r="AI145">
        <v>0</v>
      </c>
      <c r="AJ145">
        <v>1</v>
      </c>
      <c r="AK145">
        <v>1</v>
      </c>
      <c r="AL145">
        <v>0</v>
      </c>
      <c r="AM145">
        <v>0</v>
      </c>
      <c r="AN145" t="s">
        <v>183</v>
      </c>
      <c r="AO145" t="s">
        <v>192</v>
      </c>
      <c r="AP145" t="s">
        <v>192</v>
      </c>
      <c r="AQ145" t="s">
        <v>173</v>
      </c>
      <c r="AR145" t="s">
        <v>308</v>
      </c>
      <c r="AS145">
        <v>0</v>
      </c>
      <c r="AT145">
        <v>0</v>
      </c>
      <c r="AU145">
        <v>1</v>
      </c>
      <c r="AV145">
        <v>0</v>
      </c>
      <c r="AW145">
        <v>0</v>
      </c>
      <c r="AX145">
        <v>0</v>
      </c>
      <c r="AZ145" t="s">
        <v>192</v>
      </c>
      <c r="BW145">
        <f t="shared" si="5"/>
        <v>0</v>
      </c>
      <c r="BY145" t="s">
        <v>192</v>
      </c>
      <c r="CA145" t="s">
        <v>192</v>
      </c>
      <c r="CC145" t="s">
        <v>173</v>
      </c>
      <c r="CD145" t="s">
        <v>187</v>
      </c>
      <c r="CE145" t="s">
        <v>173</v>
      </c>
      <c r="CF145" t="s">
        <v>187</v>
      </c>
      <c r="CG145" t="s">
        <v>192</v>
      </c>
      <c r="CI145" t="s">
        <v>173</v>
      </c>
      <c r="CJ145" t="s">
        <v>186</v>
      </c>
      <c r="CK145" t="s">
        <v>173</v>
      </c>
      <c r="CL145" t="s">
        <v>187</v>
      </c>
      <c r="CM145" t="s">
        <v>192</v>
      </c>
      <c r="CO145" t="s">
        <v>192</v>
      </c>
      <c r="CQ145" t="s">
        <v>173</v>
      </c>
      <c r="CR145" t="s">
        <v>185</v>
      </c>
      <c r="CS145" t="s">
        <v>192</v>
      </c>
      <c r="CU145" t="s">
        <v>192</v>
      </c>
      <c r="CW145" t="s">
        <v>192</v>
      </c>
      <c r="CY145" t="s">
        <v>173</v>
      </c>
      <c r="CZ145" t="s">
        <v>186</v>
      </c>
      <c r="DA145" t="s">
        <v>192</v>
      </c>
      <c r="DC145" t="s">
        <v>192</v>
      </c>
      <c r="DE145" t="s">
        <v>192</v>
      </c>
      <c r="DH145" t="s">
        <v>173</v>
      </c>
      <c r="DI145" t="s">
        <v>187</v>
      </c>
      <c r="DJ145" t="s">
        <v>173</v>
      </c>
      <c r="DL145" t="s">
        <v>173</v>
      </c>
      <c r="DM145" t="s">
        <v>192</v>
      </c>
      <c r="DO145" t="s">
        <v>173</v>
      </c>
      <c r="DP145" t="s">
        <v>173</v>
      </c>
      <c r="DR145" t="s">
        <v>173</v>
      </c>
      <c r="DS145" t="s">
        <v>173</v>
      </c>
      <c r="DT145" t="s">
        <v>191</v>
      </c>
      <c r="DU145" t="s">
        <v>173</v>
      </c>
      <c r="DV145" t="s">
        <v>173</v>
      </c>
      <c r="DW145" t="s">
        <v>188</v>
      </c>
      <c r="DX145" t="s">
        <v>192</v>
      </c>
      <c r="EA145" t="s">
        <v>192</v>
      </c>
      <c r="ED145" t="s">
        <v>173</v>
      </c>
      <c r="EE145" t="s">
        <v>173</v>
      </c>
      <c r="EF145" t="s">
        <v>188</v>
      </c>
      <c r="EG145" t="s">
        <v>173</v>
      </c>
      <c r="EH145" t="s">
        <v>192</v>
      </c>
      <c r="EJ145" t="s">
        <v>192</v>
      </c>
      <c r="EM145" t="s">
        <v>192</v>
      </c>
      <c r="EQ145" t="s">
        <v>360</v>
      </c>
      <c r="ER145" t="s">
        <v>405</v>
      </c>
      <c r="ES145" t="s">
        <v>676</v>
      </c>
      <c r="ET145" t="s">
        <v>173</v>
      </c>
      <c r="EU145" t="s">
        <v>173</v>
      </c>
      <c r="EV145" t="s">
        <v>223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1</v>
      </c>
      <c r="FF145" t="s">
        <v>1171</v>
      </c>
      <c r="FG145" t="s">
        <v>1172</v>
      </c>
      <c r="FH145">
        <v>83807047</v>
      </c>
      <c r="FI145" t="s">
        <v>1173</v>
      </c>
      <c r="FJ145" s="1">
        <v>45762.64875</v>
      </c>
      <c r="FM145" t="s">
        <v>193</v>
      </c>
      <c r="FO145" t="s">
        <v>1082</v>
      </c>
      <c r="FQ145">
        <v>145</v>
      </c>
    </row>
    <row r="146" spans="1:173" x14ac:dyDescent="0.25">
      <c r="A146" s="1">
        <v>45762.417222199067</v>
      </c>
      <c r="B146" s="1">
        <v>45762.442177083343</v>
      </c>
      <c r="C146" t="s">
        <v>195</v>
      </c>
      <c r="D146">
        <v>60</v>
      </c>
      <c r="E146" s="1">
        <v>45738</v>
      </c>
      <c r="F146">
        <v>3</v>
      </c>
      <c r="G146" t="s">
        <v>352</v>
      </c>
      <c r="H146" t="s">
        <v>228</v>
      </c>
      <c r="I146" t="s">
        <v>538</v>
      </c>
      <c r="J146" t="s">
        <v>1174</v>
      </c>
      <c r="K146" t="s">
        <v>173</v>
      </c>
      <c r="L146">
        <v>25</v>
      </c>
      <c r="M146" t="s">
        <v>174</v>
      </c>
      <c r="N146">
        <v>0</v>
      </c>
      <c r="O146">
        <v>0</v>
      </c>
      <c r="P146">
        <v>0</v>
      </c>
      <c r="Q146">
        <v>0</v>
      </c>
      <c r="R146" t="s">
        <v>175</v>
      </c>
      <c r="S146">
        <v>52</v>
      </c>
      <c r="T146" t="str">
        <f t="shared" si="4"/>
        <v>41 a 55</v>
      </c>
      <c r="U146" t="s">
        <v>173</v>
      </c>
      <c r="W146" t="s">
        <v>176</v>
      </c>
      <c r="Y146" t="s">
        <v>200</v>
      </c>
      <c r="Z146" t="s">
        <v>178</v>
      </c>
      <c r="AA146" t="s">
        <v>240</v>
      </c>
      <c r="AB146" t="s">
        <v>215</v>
      </c>
      <c r="AC146" t="s">
        <v>216</v>
      </c>
      <c r="AD146" t="s">
        <v>1175</v>
      </c>
      <c r="AE146" t="s">
        <v>1176</v>
      </c>
      <c r="AF146" t="s">
        <v>1177</v>
      </c>
      <c r="AG146" t="s">
        <v>202</v>
      </c>
      <c r="AH146" t="s">
        <v>232</v>
      </c>
      <c r="AI146">
        <v>0</v>
      </c>
      <c r="AJ146">
        <v>0</v>
      </c>
      <c r="AK146">
        <v>1</v>
      </c>
      <c r="AL146">
        <v>0</v>
      </c>
      <c r="AM146">
        <v>0</v>
      </c>
      <c r="AN146" t="s">
        <v>183</v>
      </c>
      <c r="AO146" t="s">
        <v>173</v>
      </c>
      <c r="AP146" t="s">
        <v>173</v>
      </c>
      <c r="AQ146" t="s">
        <v>173</v>
      </c>
      <c r="AR146" t="s">
        <v>308</v>
      </c>
      <c r="AS146">
        <v>0</v>
      </c>
      <c r="AT146">
        <v>0</v>
      </c>
      <c r="AU146">
        <v>1</v>
      </c>
      <c r="AV146">
        <v>0</v>
      </c>
      <c r="AW146">
        <v>0</v>
      </c>
      <c r="AX146">
        <v>0</v>
      </c>
      <c r="AZ146" t="s">
        <v>192</v>
      </c>
      <c r="BW146">
        <f t="shared" si="5"/>
        <v>0</v>
      </c>
      <c r="BY146" t="s">
        <v>192</v>
      </c>
      <c r="CA146" t="s">
        <v>192</v>
      </c>
      <c r="CC146" t="s">
        <v>192</v>
      </c>
      <c r="CE146" t="s">
        <v>192</v>
      </c>
      <c r="CG146" t="s">
        <v>192</v>
      </c>
      <c r="CI146" t="s">
        <v>192</v>
      </c>
      <c r="CK146" t="s">
        <v>192</v>
      </c>
      <c r="CM146" t="s">
        <v>192</v>
      </c>
      <c r="CO146" t="s">
        <v>192</v>
      </c>
      <c r="CQ146" t="s">
        <v>192</v>
      </c>
      <c r="CS146" t="s">
        <v>192</v>
      </c>
      <c r="CU146" t="s">
        <v>192</v>
      </c>
      <c r="CW146" t="s">
        <v>192</v>
      </c>
      <c r="CY146" t="s">
        <v>192</v>
      </c>
      <c r="DA146" t="s">
        <v>192</v>
      </c>
      <c r="DC146" t="s">
        <v>192</v>
      </c>
      <c r="DE146" t="s">
        <v>192</v>
      </c>
      <c r="DH146" t="s">
        <v>173</v>
      </c>
      <c r="DI146" t="s">
        <v>185</v>
      </c>
      <c r="DJ146" t="s">
        <v>192</v>
      </c>
      <c r="DL146" t="s">
        <v>192</v>
      </c>
      <c r="DO146" t="s">
        <v>192</v>
      </c>
      <c r="DR146" t="s">
        <v>192</v>
      </c>
      <c r="DU146" t="s">
        <v>173</v>
      </c>
      <c r="DV146" t="s">
        <v>192</v>
      </c>
      <c r="DX146" t="s">
        <v>192</v>
      </c>
      <c r="EA146" t="s">
        <v>192</v>
      </c>
      <c r="ED146" t="s">
        <v>173</v>
      </c>
      <c r="EE146" t="s">
        <v>192</v>
      </c>
      <c r="EG146" t="s">
        <v>173</v>
      </c>
      <c r="EH146" t="s">
        <v>173</v>
      </c>
      <c r="EI146" t="s">
        <v>191</v>
      </c>
      <c r="EJ146" t="s">
        <v>173</v>
      </c>
      <c r="EK146" t="s">
        <v>173</v>
      </c>
      <c r="EL146" t="s">
        <v>191</v>
      </c>
      <c r="EM146" t="s">
        <v>192</v>
      </c>
      <c r="EQ146" t="s">
        <v>1178</v>
      </c>
      <c r="ER146" t="s">
        <v>705</v>
      </c>
      <c r="ES146" t="s">
        <v>460</v>
      </c>
      <c r="ET146" t="s">
        <v>173</v>
      </c>
      <c r="EU146" t="s">
        <v>173</v>
      </c>
      <c r="EV146" t="s">
        <v>223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1</v>
      </c>
      <c r="FF146" t="s">
        <v>588</v>
      </c>
      <c r="FH146">
        <v>83807331</v>
      </c>
      <c r="FI146" t="s">
        <v>1179</v>
      </c>
      <c r="FJ146" s="1">
        <v>45762.650509259263</v>
      </c>
      <c r="FM146" t="s">
        <v>193</v>
      </c>
      <c r="FO146" t="s">
        <v>1082</v>
      </c>
      <c r="FQ146">
        <v>146</v>
      </c>
    </row>
    <row r="147" spans="1:173" x14ac:dyDescent="0.25">
      <c r="A147" s="1">
        <v>45762.440411875003</v>
      </c>
      <c r="B147" s="1">
        <v>45762.442527604173</v>
      </c>
      <c r="C147" t="s">
        <v>334</v>
      </c>
      <c r="D147">
        <v>129</v>
      </c>
      <c r="E147" s="1">
        <v>45739</v>
      </c>
      <c r="F147">
        <v>2</v>
      </c>
      <c r="G147" t="s">
        <v>379</v>
      </c>
      <c r="H147" t="s">
        <v>336</v>
      </c>
      <c r="I147" t="s">
        <v>1180</v>
      </c>
      <c r="J147" t="s">
        <v>1181</v>
      </c>
      <c r="K147" t="s">
        <v>173</v>
      </c>
      <c r="L147">
        <v>20</v>
      </c>
      <c r="M147" t="s">
        <v>174</v>
      </c>
      <c r="N147">
        <v>0</v>
      </c>
      <c r="O147">
        <v>0</v>
      </c>
      <c r="P147">
        <v>0</v>
      </c>
      <c r="Q147">
        <v>0</v>
      </c>
      <c r="R147" t="s">
        <v>175</v>
      </c>
      <c r="S147">
        <v>52</v>
      </c>
      <c r="T147" t="str">
        <f t="shared" si="4"/>
        <v>41 a 55</v>
      </c>
      <c r="U147" t="s">
        <v>173</v>
      </c>
      <c r="W147" t="s">
        <v>238</v>
      </c>
      <c r="Y147" t="s">
        <v>214</v>
      </c>
      <c r="Z147" t="s">
        <v>178</v>
      </c>
      <c r="AA147" t="s">
        <v>179</v>
      </c>
      <c r="AB147" t="s">
        <v>215</v>
      </c>
      <c r="AC147" t="s">
        <v>202</v>
      </c>
      <c r="AD147" t="s">
        <v>1182</v>
      </c>
      <c r="AE147" t="s">
        <v>1183</v>
      </c>
      <c r="AG147" t="s">
        <v>202</v>
      </c>
      <c r="AH147" t="s">
        <v>244</v>
      </c>
      <c r="AI147">
        <v>0</v>
      </c>
      <c r="AJ147">
        <v>1</v>
      </c>
      <c r="AK147">
        <v>1</v>
      </c>
      <c r="AL147">
        <v>0</v>
      </c>
      <c r="AM147">
        <v>0</v>
      </c>
      <c r="AN147" t="s">
        <v>183</v>
      </c>
      <c r="AO147" t="s">
        <v>192</v>
      </c>
      <c r="AP147" t="s">
        <v>192</v>
      </c>
      <c r="AQ147" t="s">
        <v>192</v>
      </c>
      <c r="AZ147" t="s">
        <v>192</v>
      </c>
      <c r="BW147">
        <f t="shared" si="5"/>
        <v>0</v>
      </c>
      <c r="BY147" t="s">
        <v>192</v>
      </c>
      <c r="CA147" t="s">
        <v>192</v>
      </c>
      <c r="CC147" t="s">
        <v>173</v>
      </c>
      <c r="CD147" t="s">
        <v>187</v>
      </c>
      <c r="CE147" t="s">
        <v>173</v>
      </c>
      <c r="CF147" t="s">
        <v>187</v>
      </c>
      <c r="CG147" t="s">
        <v>192</v>
      </c>
      <c r="CI147" t="s">
        <v>192</v>
      </c>
      <c r="CK147" t="s">
        <v>192</v>
      </c>
      <c r="CM147" t="s">
        <v>192</v>
      </c>
      <c r="CO147" t="s">
        <v>192</v>
      </c>
      <c r="CQ147" t="s">
        <v>192</v>
      </c>
      <c r="CS147" t="s">
        <v>192</v>
      </c>
      <c r="CU147" t="s">
        <v>192</v>
      </c>
      <c r="CW147" t="s">
        <v>192</v>
      </c>
      <c r="CY147" t="s">
        <v>173</v>
      </c>
      <c r="CZ147" t="s">
        <v>185</v>
      </c>
      <c r="DA147" t="s">
        <v>192</v>
      </c>
      <c r="DC147" t="s">
        <v>192</v>
      </c>
      <c r="DE147" t="s">
        <v>192</v>
      </c>
      <c r="DH147" t="s">
        <v>173</v>
      </c>
      <c r="DI147" t="s">
        <v>186</v>
      </c>
      <c r="DJ147" t="s">
        <v>173</v>
      </c>
      <c r="DL147" t="s">
        <v>173</v>
      </c>
      <c r="DM147" t="s">
        <v>192</v>
      </c>
      <c r="DO147" t="s">
        <v>192</v>
      </c>
      <c r="DR147" t="s">
        <v>192</v>
      </c>
      <c r="DU147" t="s">
        <v>173</v>
      </c>
      <c r="DV147" t="s">
        <v>192</v>
      </c>
      <c r="DX147" t="s">
        <v>192</v>
      </c>
      <c r="EA147" t="s">
        <v>173</v>
      </c>
      <c r="EB147" t="s">
        <v>192</v>
      </c>
      <c r="ED147" t="s">
        <v>192</v>
      </c>
      <c r="EG147" t="s">
        <v>173</v>
      </c>
      <c r="EH147" t="s">
        <v>192</v>
      </c>
      <c r="EJ147" t="s">
        <v>192</v>
      </c>
      <c r="EM147" t="s">
        <v>192</v>
      </c>
      <c r="EQ147" t="s">
        <v>626</v>
      </c>
      <c r="ER147" t="s">
        <v>221</v>
      </c>
      <c r="ET147" t="s">
        <v>173</v>
      </c>
      <c r="EU147" t="s">
        <v>173</v>
      </c>
      <c r="EV147" t="s">
        <v>208</v>
      </c>
      <c r="EW147">
        <v>0</v>
      </c>
      <c r="EX147">
        <v>0</v>
      </c>
      <c r="EY147">
        <v>0</v>
      </c>
      <c r="EZ147">
        <v>0</v>
      </c>
      <c r="FA147">
        <v>1</v>
      </c>
      <c r="FB147">
        <v>0</v>
      </c>
      <c r="FC147">
        <v>0</v>
      </c>
      <c r="FD147">
        <v>0</v>
      </c>
      <c r="FE147">
        <v>0</v>
      </c>
      <c r="FH147">
        <v>83807399</v>
      </c>
      <c r="FI147" t="s">
        <v>1184</v>
      </c>
      <c r="FJ147" s="1">
        <v>45762.650879629633</v>
      </c>
      <c r="FM147" t="s">
        <v>193</v>
      </c>
      <c r="FO147" t="s">
        <v>1082</v>
      </c>
      <c r="FQ147">
        <v>147</v>
      </c>
    </row>
    <row r="148" spans="1:173" x14ac:dyDescent="0.25">
      <c r="A148" s="1">
        <v>45762.442528159721</v>
      </c>
      <c r="B148" s="1">
        <v>45762.446149884257</v>
      </c>
      <c r="C148" t="s">
        <v>334</v>
      </c>
      <c r="D148">
        <v>125</v>
      </c>
      <c r="E148" s="1">
        <v>45739</v>
      </c>
      <c r="F148">
        <v>2</v>
      </c>
      <c r="G148" t="s">
        <v>379</v>
      </c>
      <c r="H148" t="s">
        <v>336</v>
      </c>
      <c r="I148" t="s">
        <v>1185</v>
      </c>
      <c r="J148" t="s">
        <v>1186</v>
      </c>
      <c r="K148" t="s">
        <v>173</v>
      </c>
      <c r="L148">
        <v>28</v>
      </c>
      <c r="M148" t="s">
        <v>174</v>
      </c>
      <c r="N148">
        <v>0</v>
      </c>
      <c r="O148">
        <v>0</v>
      </c>
      <c r="P148">
        <v>0</v>
      </c>
      <c r="Q148">
        <v>0</v>
      </c>
      <c r="R148" t="s">
        <v>175</v>
      </c>
      <c r="S148">
        <v>52</v>
      </c>
      <c r="T148" t="str">
        <f t="shared" si="4"/>
        <v>41 a 55</v>
      </c>
      <c r="U148" t="s">
        <v>173</v>
      </c>
      <c r="W148" t="s">
        <v>176</v>
      </c>
      <c r="Y148" t="s">
        <v>214</v>
      </c>
      <c r="Z148" t="s">
        <v>178</v>
      </c>
      <c r="AA148" t="s">
        <v>179</v>
      </c>
      <c r="AB148" t="s">
        <v>201</v>
      </c>
      <c r="AC148" t="s">
        <v>202</v>
      </c>
      <c r="AD148" t="s">
        <v>1187</v>
      </c>
      <c r="AE148" t="s">
        <v>1188</v>
      </c>
      <c r="AG148" t="s">
        <v>202</v>
      </c>
      <c r="AH148" t="s">
        <v>244</v>
      </c>
      <c r="AI148">
        <v>0</v>
      </c>
      <c r="AJ148">
        <v>1</v>
      </c>
      <c r="AK148">
        <v>1</v>
      </c>
      <c r="AL148">
        <v>0</v>
      </c>
      <c r="AM148">
        <v>0</v>
      </c>
      <c r="AN148" t="s">
        <v>205</v>
      </c>
      <c r="AO148" t="s">
        <v>192</v>
      </c>
      <c r="AP148" t="s">
        <v>192</v>
      </c>
      <c r="AQ148" t="s">
        <v>192</v>
      </c>
      <c r="AZ148" t="s">
        <v>192</v>
      </c>
      <c r="BW148">
        <f t="shared" si="5"/>
        <v>0</v>
      </c>
      <c r="BY148" t="s">
        <v>192</v>
      </c>
      <c r="CA148" t="s">
        <v>192</v>
      </c>
      <c r="CC148" t="s">
        <v>192</v>
      </c>
      <c r="CE148" t="s">
        <v>173</v>
      </c>
      <c r="CF148" t="s">
        <v>186</v>
      </c>
      <c r="CG148" t="s">
        <v>192</v>
      </c>
      <c r="CI148" t="s">
        <v>192</v>
      </c>
      <c r="CK148" t="s">
        <v>192</v>
      </c>
      <c r="CM148" t="s">
        <v>192</v>
      </c>
      <c r="CO148" t="s">
        <v>192</v>
      </c>
      <c r="CQ148" t="s">
        <v>192</v>
      </c>
      <c r="CS148" t="s">
        <v>192</v>
      </c>
      <c r="CU148" t="s">
        <v>192</v>
      </c>
      <c r="CW148" t="s">
        <v>192</v>
      </c>
      <c r="CY148" t="s">
        <v>192</v>
      </c>
      <c r="DA148" t="s">
        <v>192</v>
      </c>
      <c r="DC148" t="s">
        <v>192</v>
      </c>
      <c r="DE148" t="s">
        <v>192</v>
      </c>
      <c r="DH148" t="s">
        <v>173</v>
      </c>
      <c r="DI148" t="s">
        <v>187</v>
      </c>
      <c r="DJ148" t="s">
        <v>173</v>
      </c>
      <c r="DL148" t="s">
        <v>173</v>
      </c>
      <c r="DM148" t="s">
        <v>192</v>
      </c>
      <c r="DO148" t="s">
        <v>192</v>
      </c>
      <c r="DR148" t="s">
        <v>192</v>
      </c>
      <c r="DU148" t="s">
        <v>173</v>
      </c>
      <c r="DV148" t="s">
        <v>192</v>
      </c>
      <c r="DX148" t="s">
        <v>192</v>
      </c>
      <c r="EA148" t="s">
        <v>173</v>
      </c>
      <c r="EB148" t="s">
        <v>192</v>
      </c>
      <c r="ED148" t="s">
        <v>173</v>
      </c>
      <c r="EE148" t="s">
        <v>192</v>
      </c>
      <c r="EG148" t="s">
        <v>173</v>
      </c>
      <c r="EH148" t="s">
        <v>192</v>
      </c>
      <c r="EJ148" t="s">
        <v>192</v>
      </c>
      <c r="EM148" t="s">
        <v>192</v>
      </c>
      <c r="EQ148" t="s">
        <v>349</v>
      </c>
      <c r="ER148" t="s">
        <v>221</v>
      </c>
      <c r="ET148" t="s">
        <v>173</v>
      </c>
      <c r="EU148" t="s">
        <v>173</v>
      </c>
      <c r="EV148" t="s">
        <v>223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1</v>
      </c>
      <c r="FF148" t="s">
        <v>1189</v>
      </c>
      <c r="FH148">
        <v>83808357</v>
      </c>
      <c r="FI148" t="s">
        <v>1190</v>
      </c>
      <c r="FJ148" s="1">
        <v>45762.654490740737</v>
      </c>
      <c r="FM148" t="s">
        <v>193</v>
      </c>
      <c r="FO148" t="s">
        <v>1082</v>
      </c>
      <c r="FQ148">
        <v>148</v>
      </c>
    </row>
    <row r="149" spans="1:173" x14ac:dyDescent="0.25">
      <c r="A149" s="1">
        <v>45762.446150312499</v>
      </c>
      <c r="B149" s="1">
        <v>45762.448871076391</v>
      </c>
      <c r="C149" t="s">
        <v>334</v>
      </c>
      <c r="D149">
        <v>116</v>
      </c>
      <c r="E149" s="1">
        <v>45738</v>
      </c>
      <c r="F149">
        <v>1</v>
      </c>
      <c r="G149" t="s">
        <v>462</v>
      </c>
      <c r="H149" t="s">
        <v>171</v>
      </c>
      <c r="I149" t="s">
        <v>1191</v>
      </c>
      <c r="J149" t="s">
        <v>1192</v>
      </c>
      <c r="K149" t="s">
        <v>173</v>
      </c>
      <c r="L149">
        <v>40</v>
      </c>
      <c r="M149" t="s">
        <v>174</v>
      </c>
      <c r="N149">
        <v>0</v>
      </c>
      <c r="O149">
        <v>0</v>
      </c>
      <c r="P149">
        <v>0</v>
      </c>
      <c r="Q149">
        <v>0</v>
      </c>
      <c r="R149" t="s">
        <v>251</v>
      </c>
      <c r="S149">
        <v>52</v>
      </c>
      <c r="T149" t="str">
        <f t="shared" si="4"/>
        <v>41 a 55</v>
      </c>
      <c r="U149" t="s">
        <v>173</v>
      </c>
      <c r="W149" t="s">
        <v>176</v>
      </c>
      <c r="Y149" t="s">
        <v>214</v>
      </c>
      <c r="Z149" t="s">
        <v>178</v>
      </c>
      <c r="AA149" t="s">
        <v>240</v>
      </c>
      <c r="AB149" t="s">
        <v>180</v>
      </c>
      <c r="AC149" t="s">
        <v>216</v>
      </c>
      <c r="AD149" t="s">
        <v>217</v>
      </c>
      <c r="AE149" t="s">
        <v>1193</v>
      </c>
      <c r="AF149" t="s">
        <v>1159</v>
      </c>
      <c r="AG149" t="s">
        <v>216</v>
      </c>
      <c r="AH149" t="s">
        <v>244</v>
      </c>
      <c r="AI149">
        <v>0</v>
      </c>
      <c r="AJ149">
        <v>1</v>
      </c>
      <c r="AK149">
        <v>1</v>
      </c>
      <c r="AL149">
        <v>0</v>
      </c>
      <c r="AM149">
        <v>0</v>
      </c>
      <c r="AN149" t="s">
        <v>183</v>
      </c>
      <c r="AO149" t="s">
        <v>173</v>
      </c>
      <c r="AP149" t="s">
        <v>173</v>
      </c>
      <c r="AQ149" t="s">
        <v>173</v>
      </c>
      <c r="AR149" t="s">
        <v>1008</v>
      </c>
      <c r="AS149">
        <v>0</v>
      </c>
      <c r="AT149">
        <v>1</v>
      </c>
      <c r="AU149">
        <v>0</v>
      </c>
      <c r="AV149">
        <v>0</v>
      </c>
      <c r="AW149">
        <v>0</v>
      </c>
      <c r="AX149">
        <v>1</v>
      </c>
      <c r="AY149" t="s">
        <v>1009</v>
      </c>
      <c r="AZ149" t="s">
        <v>173</v>
      </c>
      <c r="BA149" t="s">
        <v>254</v>
      </c>
      <c r="BB149">
        <v>0</v>
      </c>
      <c r="BC149">
        <v>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P149" t="s">
        <v>173</v>
      </c>
      <c r="BW149">
        <f t="shared" si="5"/>
        <v>0</v>
      </c>
      <c r="BY149" t="s">
        <v>173</v>
      </c>
      <c r="BZ149" t="s">
        <v>185</v>
      </c>
      <c r="CA149" t="s">
        <v>173</v>
      </c>
      <c r="CB149" t="s">
        <v>185</v>
      </c>
      <c r="CC149" t="s">
        <v>173</v>
      </c>
      <c r="CD149" t="s">
        <v>187</v>
      </c>
      <c r="CE149" t="s">
        <v>173</v>
      </c>
      <c r="CF149" t="s">
        <v>185</v>
      </c>
      <c r="CG149" t="s">
        <v>173</v>
      </c>
      <c r="CH149" t="s">
        <v>185</v>
      </c>
      <c r="CI149" t="s">
        <v>173</v>
      </c>
      <c r="CJ149" t="s">
        <v>185</v>
      </c>
      <c r="CK149" t="s">
        <v>173</v>
      </c>
      <c r="CL149" t="s">
        <v>186</v>
      </c>
      <c r="CM149" t="s">
        <v>173</v>
      </c>
      <c r="CN149" t="s">
        <v>186</v>
      </c>
      <c r="CO149" t="s">
        <v>173</v>
      </c>
      <c r="CP149" t="s">
        <v>186</v>
      </c>
      <c r="CQ149" t="s">
        <v>173</v>
      </c>
      <c r="CR149" t="s">
        <v>186</v>
      </c>
      <c r="CS149" t="s">
        <v>173</v>
      </c>
      <c r="CT149" t="s">
        <v>186</v>
      </c>
      <c r="CU149" t="s">
        <v>173</v>
      </c>
      <c r="CV149" t="s">
        <v>185</v>
      </c>
      <c r="CW149" t="s">
        <v>173</v>
      </c>
      <c r="CX149" t="s">
        <v>185</v>
      </c>
      <c r="CY149" t="s">
        <v>173</v>
      </c>
      <c r="CZ149" t="s">
        <v>185</v>
      </c>
      <c r="DA149" t="s">
        <v>192</v>
      </c>
      <c r="DC149" t="s">
        <v>192</v>
      </c>
      <c r="DE149" t="s">
        <v>192</v>
      </c>
      <c r="DH149" t="s">
        <v>173</v>
      </c>
      <c r="DI149" t="s">
        <v>187</v>
      </c>
      <c r="DJ149" t="s">
        <v>192</v>
      </c>
      <c r="DL149" t="s">
        <v>192</v>
      </c>
      <c r="DO149" t="s">
        <v>192</v>
      </c>
      <c r="DR149" t="s">
        <v>192</v>
      </c>
      <c r="DU149" t="s">
        <v>192</v>
      </c>
      <c r="DX149" t="s">
        <v>173</v>
      </c>
      <c r="DY149" t="s">
        <v>192</v>
      </c>
      <c r="EA149" t="s">
        <v>192</v>
      </c>
      <c r="ED149" t="s">
        <v>173</v>
      </c>
      <c r="EE149" t="s">
        <v>173</v>
      </c>
      <c r="EF149" t="s">
        <v>188</v>
      </c>
      <c r="EG149" t="s">
        <v>192</v>
      </c>
      <c r="EJ149" t="s">
        <v>192</v>
      </c>
      <c r="EM149" t="s">
        <v>192</v>
      </c>
      <c r="EQ149" t="s">
        <v>1194</v>
      </c>
      <c r="ER149" t="s">
        <v>548</v>
      </c>
      <c r="ET149" t="s">
        <v>173</v>
      </c>
      <c r="EU149" t="s">
        <v>173</v>
      </c>
      <c r="EV149" t="s">
        <v>208</v>
      </c>
      <c r="EW149">
        <v>0</v>
      </c>
      <c r="EX149">
        <v>0</v>
      </c>
      <c r="EY149">
        <v>0</v>
      </c>
      <c r="EZ149">
        <v>0</v>
      </c>
      <c r="FA149">
        <v>1</v>
      </c>
      <c r="FB149">
        <v>0</v>
      </c>
      <c r="FC149">
        <v>0</v>
      </c>
      <c r="FD149">
        <v>0</v>
      </c>
      <c r="FE149">
        <v>0</v>
      </c>
      <c r="FH149">
        <v>83808847</v>
      </c>
      <c r="FI149" t="s">
        <v>1195</v>
      </c>
      <c r="FJ149" s="1">
        <v>45762.657210648147</v>
      </c>
      <c r="FM149" t="s">
        <v>193</v>
      </c>
      <c r="FO149" t="s">
        <v>1082</v>
      </c>
      <c r="FQ149">
        <v>149</v>
      </c>
    </row>
    <row r="150" spans="1:173" x14ac:dyDescent="0.25">
      <c r="A150" s="1">
        <v>45762.448871631947</v>
      </c>
      <c r="B150" s="1">
        <v>45762.451200856478</v>
      </c>
      <c r="C150" t="s">
        <v>334</v>
      </c>
      <c r="D150">
        <v>107</v>
      </c>
      <c r="E150" s="1">
        <v>45738</v>
      </c>
      <c r="F150">
        <v>1</v>
      </c>
      <c r="G150" t="s">
        <v>470</v>
      </c>
      <c r="H150" t="s">
        <v>171</v>
      </c>
      <c r="I150" t="s">
        <v>471</v>
      </c>
      <c r="J150" t="s">
        <v>472</v>
      </c>
      <c r="K150" t="s">
        <v>173</v>
      </c>
      <c r="L150">
        <v>30</v>
      </c>
      <c r="M150" t="s">
        <v>174</v>
      </c>
      <c r="N150">
        <v>1</v>
      </c>
      <c r="O150">
        <v>0</v>
      </c>
      <c r="P150">
        <v>0</v>
      </c>
      <c r="Q150">
        <v>0</v>
      </c>
      <c r="R150" t="s">
        <v>175</v>
      </c>
      <c r="S150">
        <v>72</v>
      </c>
      <c r="T150" t="str">
        <f t="shared" si="4"/>
        <v>56 a más</v>
      </c>
      <c r="U150" t="s">
        <v>173</v>
      </c>
      <c r="W150" t="s">
        <v>238</v>
      </c>
      <c r="Y150" t="s">
        <v>263</v>
      </c>
      <c r="Z150" t="s">
        <v>465</v>
      </c>
      <c r="AA150" t="s">
        <v>179</v>
      </c>
      <c r="AB150" t="s">
        <v>215</v>
      </c>
      <c r="AC150" t="s">
        <v>202</v>
      </c>
      <c r="AD150" t="s">
        <v>1196</v>
      </c>
      <c r="AG150" t="s">
        <v>181</v>
      </c>
      <c r="AH150" t="s">
        <v>204</v>
      </c>
      <c r="AI150">
        <v>0</v>
      </c>
      <c r="AJ150">
        <v>1</v>
      </c>
      <c r="AK150">
        <v>0</v>
      </c>
      <c r="AL150">
        <v>0</v>
      </c>
      <c r="AM150">
        <v>0</v>
      </c>
      <c r="AN150" t="s">
        <v>205</v>
      </c>
      <c r="AO150" t="s">
        <v>192</v>
      </c>
      <c r="AP150" t="s">
        <v>173</v>
      </c>
      <c r="AQ150" t="s">
        <v>192</v>
      </c>
      <c r="AZ150" t="s">
        <v>192</v>
      </c>
      <c r="BW150">
        <f t="shared" si="5"/>
        <v>0</v>
      </c>
      <c r="BY150" t="s">
        <v>192</v>
      </c>
      <c r="CA150" t="s">
        <v>192</v>
      </c>
      <c r="CC150" t="s">
        <v>192</v>
      </c>
      <c r="CE150" t="s">
        <v>192</v>
      </c>
      <c r="CG150" t="s">
        <v>192</v>
      </c>
      <c r="CI150" t="s">
        <v>192</v>
      </c>
      <c r="CK150" t="s">
        <v>192</v>
      </c>
      <c r="CM150" t="s">
        <v>192</v>
      </c>
      <c r="CO150" t="s">
        <v>192</v>
      </c>
      <c r="CQ150" t="s">
        <v>192</v>
      </c>
      <c r="CS150" t="s">
        <v>192</v>
      </c>
      <c r="CU150" t="s">
        <v>192</v>
      </c>
      <c r="CW150" t="s">
        <v>192</v>
      </c>
      <c r="CY150" t="s">
        <v>192</v>
      </c>
      <c r="DA150" t="s">
        <v>192</v>
      </c>
      <c r="DC150" t="s">
        <v>192</v>
      </c>
      <c r="DE150" t="s">
        <v>192</v>
      </c>
      <c r="DH150" t="s">
        <v>192</v>
      </c>
      <c r="DL150" t="s">
        <v>173</v>
      </c>
      <c r="DM150" t="s">
        <v>173</v>
      </c>
      <c r="DN150" t="s">
        <v>188</v>
      </c>
      <c r="DO150" t="s">
        <v>173</v>
      </c>
      <c r="DP150" t="s">
        <v>173</v>
      </c>
      <c r="DQ150" t="s">
        <v>191</v>
      </c>
      <c r="DR150" t="s">
        <v>173</v>
      </c>
      <c r="DS150" t="s">
        <v>173</v>
      </c>
      <c r="DT150" t="s">
        <v>191</v>
      </c>
      <c r="DU150" t="s">
        <v>173</v>
      </c>
      <c r="DV150" t="s">
        <v>173</v>
      </c>
      <c r="DW150" t="s">
        <v>188</v>
      </c>
      <c r="DX150" t="s">
        <v>173</v>
      </c>
      <c r="DY150" t="s">
        <v>173</v>
      </c>
      <c r="DZ150" t="s">
        <v>191</v>
      </c>
      <c r="EA150" t="s">
        <v>173</v>
      </c>
      <c r="EB150" t="s">
        <v>173</v>
      </c>
      <c r="EC150" t="s">
        <v>188</v>
      </c>
      <c r="ED150" t="s">
        <v>192</v>
      </c>
      <c r="EG150" t="s">
        <v>173</v>
      </c>
      <c r="EH150" t="s">
        <v>192</v>
      </c>
      <c r="EJ150" t="s">
        <v>173</v>
      </c>
      <c r="EK150" t="s">
        <v>173</v>
      </c>
      <c r="EL150" t="s">
        <v>188</v>
      </c>
      <c r="EM150" t="s">
        <v>173</v>
      </c>
      <c r="EN150" t="s">
        <v>173</v>
      </c>
      <c r="EO150" t="s">
        <v>191</v>
      </c>
      <c r="ET150" t="s">
        <v>173</v>
      </c>
      <c r="EU150" t="s">
        <v>173</v>
      </c>
      <c r="EV150" t="s">
        <v>223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1</v>
      </c>
      <c r="FF150" t="s">
        <v>1197</v>
      </c>
      <c r="FH150">
        <v>83809163</v>
      </c>
      <c r="FI150" t="s">
        <v>1198</v>
      </c>
      <c r="FJ150" s="1">
        <v>45762.659537037027</v>
      </c>
      <c r="FM150" t="s">
        <v>193</v>
      </c>
      <c r="FO150" t="s">
        <v>1082</v>
      </c>
      <c r="FQ150">
        <v>150</v>
      </c>
    </row>
    <row r="151" spans="1:173" x14ac:dyDescent="0.25">
      <c r="A151" s="1">
        <v>45762.44217746528</v>
      </c>
      <c r="B151" s="1">
        <v>45762.451529652782</v>
      </c>
      <c r="C151" t="s">
        <v>195</v>
      </c>
      <c r="D151">
        <v>63</v>
      </c>
      <c r="E151" s="1">
        <v>45738</v>
      </c>
      <c r="F151">
        <v>3</v>
      </c>
      <c r="G151" t="s">
        <v>280</v>
      </c>
      <c r="H151" t="s">
        <v>228</v>
      </c>
      <c r="I151" t="s">
        <v>1199</v>
      </c>
      <c r="J151" t="s">
        <v>561</v>
      </c>
      <c r="K151" t="s">
        <v>173</v>
      </c>
      <c r="L151">
        <v>30</v>
      </c>
      <c r="M151" t="s">
        <v>174</v>
      </c>
      <c r="N151">
        <v>0</v>
      </c>
      <c r="O151">
        <v>0</v>
      </c>
      <c r="P151">
        <v>0</v>
      </c>
      <c r="Q151">
        <v>0</v>
      </c>
      <c r="R151" t="s">
        <v>175</v>
      </c>
      <c r="S151">
        <v>52</v>
      </c>
      <c r="T151" t="str">
        <f t="shared" si="4"/>
        <v>41 a 55</v>
      </c>
      <c r="U151" t="s">
        <v>173</v>
      </c>
      <c r="W151" t="s">
        <v>176</v>
      </c>
      <c r="Y151" t="s">
        <v>200</v>
      </c>
      <c r="Z151" t="s">
        <v>178</v>
      </c>
      <c r="AA151" t="s">
        <v>179</v>
      </c>
      <c r="AB151" t="s">
        <v>201</v>
      </c>
      <c r="AC151" t="s">
        <v>216</v>
      </c>
      <c r="AD151" t="s">
        <v>1200</v>
      </c>
      <c r="AE151" t="s">
        <v>532</v>
      </c>
      <c r="AG151" t="s">
        <v>216</v>
      </c>
      <c r="AH151" t="s">
        <v>266</v>
      </c>
      <c r="AI151">
        <v>0</v>
      </c>
      <c r="AJ151">
        <v>0</v>
      </c>
      <c r="AK151">
        <v>0</v>
      </c>
      <c r="AL151">
        <v>1</v>
      </c>
      <c r="AM151">
        <v>0</v>
      </c>
      <c r="AN151" t="s">
        <v>183</v>
      </c>
      <c r="AO151" t="s">
        <v>192</v>
      </c>
      <c r="AP151" t="s">
        <v>192</v>
      </c>
      <c r="AQ151" t="s">
        <v>192</v>
      </c>
      <c r="AZ151" t="s">
        <v>192</v>
      </c>
      <c r="BW151">
        <f t="shared" si="5"/>
        <v>0</v>
      </c>
      <c r="BY151" t="s">
        <v>192</v>
      </c>
      <c r="CA151" t="s">
        <v>192</v>
      </c>
      <c r="CC151" t="s">
        <v>192</v>
      </c>
      <c r="CE151" t="s">
        <v>192</v>
      </c>
      <c r="CG151" t="s">
        <v>192</v>
      </c>
      <c r="CI151" t="s">
        <v>192</v>
      </c>
      <c r="CK151" t="s">
        <v>173</v>
      </c>
      <c r="CL151" t="s">
        <v>185</v>
      </c>
      <c r="CM151" t="s">
        <v>173</v>
      </c>
      <c r="CN151" t="s">
        <v>185</v>
      </c>
      <c r="CO151" t="s">
        <v>192</v>
      </c>
      <c r="CQ151" t="s">
        <v>173</v>
      </c>
      <c r="CR151" t="s">
        <v>185</v>
      </c>
      <c r="CS151" t="s">
        <v>192</v>
      </c>
      <c r="CU151" t="s">
        <v>192</v>
      </c>
      <c r="CW151" t="s">
        <v>173</v>
      </c>
      <c r="CX151" t="s">
        <v>185</v>
      </c>
      <c r="CY151" t="s">
        <v>192</v>
      </c>
      <c r="DA151" t="s">
        <v>192</v>
      </c>
      <c r="DC151" t="s">
        <v>192</v>
      </c>
      <c r="DE151" t="s">
        <v>192</v>
      </c>
      <c r="DH151" t="s">
        <v>173</v>
      </c>
      <c r="DI151" t="s">
        <v>186</v>
      </c>
      <c r="DJ151" t="s">
        <v>173</v>
      </c>
      <c r="DL151" t="s">
        <v>192</v>
      </c>
      <c r="DO151" t="s">
        <v>192</v>
      </c>
      <c r="DR151" t="s">
        <v>192</v>
      </c>
      <c r="DU151" t="s">
        <v>173</v>
      </c>
      <c r="DV151" t="s">
        <v>173</v>
      </c>
      <c r="DW151" t="s">
        <v>191</v>
      </c>
      <c r="DX151" t="s">
        <v>192</v>
      </c>
      <c r="EA151" t="s">
        <v>173</v>
      </c>
      <c r="EB151" t="s">
        <v>192</v>
      </c>
      <c r="ED151" t="s">
        <v>173</v>
      </c>
      <c r="EE151" t="s">
        <v>192</v>
      </c>
      <c r="EG151" t="s">
        <v>173</v>
      </c>
      <c r="EH151" t="s">
        <v>192</v>
      </c>
      <c r="EJ151" t="s">
        <v>173</v>
      </c>
      <c r="EK151" t="s">
        <v>192</v>
      </c>
      <c r="EM151" t="s">
        <v>192</v>
      </c>
      <c r="EQ151" t="s">
        <v>1201</v>
      </c>
      <c r="ER151" t="s">
        <v>1202</v>
      </c>
      <c r="ET151" t="s">
        <v>173</v>
      </c>
      <c r="EU151" t="s">
        <v>173</v>
      </c>
      <c r="EV151" t="s">
        <v>223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1</v>
      </c>
      <c r="FF151" t="s">
        <v>1203</v>
      </c>
      <c r="FH151">
        <v>83809183</v>
      </c>
      <c r="FI151" t="s">
        <v>1204</v>
      </c>
      <c r="FJ151" s="1">
        <v>45762.659872685188</v>
      </c>
      <c r="FM151" t="s">
        <v>193</v>
      </c>
      <c r="FO151" t="s">
        <v>1082</v>
      </c>
      <c r="FQ151">
        <v>151</v>
      </c>
    </row>
    <row r="152" spans="1:173" x14ac:dyDescent="0.25">
      <c r="A152" s="1">
        <v>45762.451201435193</v>
      </c>
      <c r="B152" s="1">
        <v>45762.453797870367</v>
      </c>
      <c r="C152" t="s">
        <v>334</v>
      </c>
      <c r="D152">
        <v>124</v>
      </c>
      <c r="E152" s="1">
        <v>45739</v>
      </c>
      <c r="F152">
        <v>2</v>
      </c>
      <c r="G152" t="s">
        <v>335</v>
      </c>
      <c r="H152" t="s">
        <v>336</v>
      </c>
      <c r="I152" t="s">
        <v>1205</v>
      </c>
      <c r="J152" t="s">
        <v>1206</v>
      </c>
      <c r="K152" t="s">
        <v>173</v>
      </c>
      <c r="L152">
        <v>32</v>
      </c>
      <c r="M152" t="s">
        <v>174</v>
      </c>
      <c r="N152">
        <v>0</v>
      </c>
      <c r="O152">
        <v>0</v>
      </c>
      <c r="P152">
        <v>0</v>
      </c>
      <c r="Q152">
        <v>0</v>
      </c>
      <c r="R152" t="s">
        <v>251</v>
      </c>
      <c r="S152">
        <v>61</v>
      </c>
      <c r="T152" t="str">
        <f t="shared" si="4"/>
        <v>56 a más</v>
      </c>
      <c r="U152" t="s">
        <v>173</v>
      </c>
      <c r="W152" t="s">
        <v>176</v>
      </c>
      <c r="Y152" t="s">
        <v>200</v>
      </c>
      <c r="Z152" t="s">
        <v>364</v>
      </c>
      <c r="AA152" t="s">
        <v>179</v>
      </c>
      <c r="AB152" t="s">
        <v>215</v>
      </c>
      <c r="AC152" t="s">
        <v>339</v>
      </c>
      <c r="AD152" t="s">
        <v>1207</v>
      </c>
      <c r="AE152" t="s">
        <v>1208</v>
      </c>
      <c r="AG152" t="s">
        <v>202</v>
      </c>
      <c r="AH152" t="s">
        <v>244</v>
      </c>
      <c r="AI152">
        <v>0</v>
      </c>
      <c r="AJ152">
        <v>1</v>
      </c>
      <c r="AK152">
        <v>1</v>
      </c>
      <c r="AL152">
        <v>0</v>
      </c>
      <c r="AM152">
        <v>0</v>
      </c>
      <c r="AN152" t="s">
        <v>297</v>
      </c>
      <c r="AO152" t="s">
        <v>192</v>
      </c>
      <c r="AP152" t="s">
        <v>192</v>
      </c>
      <c r="AQ152" t="s">
        <v>192</v>
      </c>
      <c r="AZ152" t="s">
        <v>192</v>
      </c>
      <c r="BW152">
        <f t="shared" si="5"/>
        <v>0</v>
      </c>
      <c r="BY152" t="s">
        <v>173</v>
      </c>
      <c r="BZ152" t="s">
        <v>185</v>
      </c>
      <c r="CA152" t="s">
        <v>173</v>
      </c>
      <c r="CB152" t="s">
        <v>185</v>
      </c>
      <c r="CC152" t="s">
        <v>173</v>
      </c>
      <c r="CD152" t="s">
        <v>186</v>
      </c>
      <c r="CE152" t="s">
        <v>173</v>
      </c>
      <c r="CF152" t="s">
        <v>186</v>
      </c>
      <c r="CG152" t="s">
        <v>192</v>
      </c>
      <c r="CI152" t="s">
        <v>192</v>
      </c>
      <c r="CK152" t="s">
        <v>173</v>
      </c>
      <c r="CL152" t="s">
        <v>185</v>
      </c>
      <c r="CM152" t="s">
        <v>192</v>
      </c>
      <c r="CO152" t="s">
        <v>192</v>
      </c>
      <c r="CQ152" t="s">
        <v>192</v>
      </c>
      <c r="CS152" t="s">
        <v>192</v>
      </c>
      <c r="CU152" t="s">
        <v>173</v>
      </c>
      <c r="CV152" t="s">
        <v>185</v>
      </c>
      <c r="CW152" t="s">
        <v>173</v>
      </c>
      <c r="CX152" t="s">
        <v>186</v>
      </c>
      <c r="CY152" t="s">
        <v>173</v>
      </c>
      <c r="CZ152" t="s">
        <v>186</v>
      </c>
      <c r="DA152" t="s">
        <v>192</v>
      </c>
      <c r="DC152" t="s">
        <v>192</v>
      </c>
      <c r="DE152" t="s">
        <v>192</v>
      </c>
      <c r="DH152" t="s">
        <v>173</v>
      </c>
      <c r="DI152" t="s">
        <v>187</v>
      </c>
      <c r="DJ152" t="s">
        <v>192</v>
      </c>
      <c r="DL152" t="s">
        <v>192</v>
      </c>
      <c r="DO152" t="s">
        <v>192</v>
      </c>
      <c r="DR152" t="s">
        <v>173</v>
      </c>
      <c r="DS152" t="s">
        <v>192</v>
      </c>
      <c r="DU152" t="s">
        <v>192</v>
      </c>
      <c r="DX152" t="s">
        <v>173</v>
      </c>
      <c r="DY152" t="s">
        <v>192</v>
      </c>
      <c r="EA152" t="s">
        <v>192</v>
      </c>
      <c r="ED152" t="s">
        <v>173</v>
      </c>
      <c r="EE152" t="s">
        <v>173</v>
      </c>
      <c r="EF152" t="s">
        <v>188</v>
      </c>
      <c r="EG152" t="s">
        <v>192</v>
      </c>
      <c r="EJ152" t="s">
        <v>173</v>
      </c>
      <c r="EK152" t="s">
        <v>192</v>
      </c>
      <c r="EM152" t="s">
        <v>192</v>
      </c>
      <c r="EQ152" t="s">
        <v>626</v>
      </c>
      <c r="ER152" t="s">
        <v>682</v>
      </c>
      <c r="ES152" t="s">
        <v>1209</v>
      </c>
      <c r="ET152" t="s">
        <v>173</v>
      </c>
      <c r="EU152" t="s">
        <v>173</v>
      </c>
      <c r="EV152" t="s">
        <v>223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1</v>
      </c>
      <c r="FF152" t="s">
        <v>1210</v>
      </c>
      <c r="FH152">
        <v>83809400</v>
      </c>
      <c r="FI152" t="s">
        <v>1211</v>
      </c>
      <c r="FJ152" s="1">
        <v>45762.662141203713</v>
      </c>
      <c r="FM152" t="s">
        <v>193</v>
      </c>
      <c r="FO152" t="s">
        <v>1082</v>
      </c>
      <c r="FQ152">
        <v>152</v>
      </c>
    </row>
    <row r="153" spans="1:173" x14ac:dyDescent="0.25">
      <c r="A153" s="1">
        <v>45762.453798275463</v>
      </c>
      <c r="B153" s="1">
        <v>45762.456363784717</v>
      </c>
      <c r="C153" t="s">
        <v>334</v>
      </c>
      <c r="D153">
        <v>121</v>
      </c>
      <c r="E153" s="1">
        <v>45739</v>
      </c>
      <c r="F153">
        <v>2</v>
      </c>
      <c r="G153" t="s">
        <v>335</v>
      </c>
      <c r="H153" t="s">
        <v>336</v>
      </c>
      <c r="I153" t="s">
        <v>1212</v>
      </c>
      <c r="J153" t="s">
        <v>1192</v>
      </c>
      <c r="K153" t="s">
        <v>173</v>
      </c>
      <c r="L153">
        <v>30</v>
      </c>
      <c r="M153" t="s">
        <v>174</v>
      </c>
      <c r="N153">
        <v>0</v>
      </c>
      <c r="O153">
        <v>0</v>
      </c>
      <c r="P153">
        <v>0</v>
      </c>
      <c r="Q153">
        <v>0</v>
      </c>
      <c r="R153" t="s">
        <v>175</v>
      </c>
      <c r="S153">
        <v>35</v>
      </c>
      <c r="T153" t="str">
        <f t="shared" si="4"/>
        <v>26 a 40</v>
      </c>
      <c r="U153" t="s">
        <v>173</v>
      </c>
      <c r="W153" t="s">
        <v>176</v>
      </c>
      <c r="Y153" t="s">
        <v>318</v>
      </c>
      <c r="Z153" t="s">
        <v>178</v>
      </c>
      <c r="AA153" t="s">
        <v>179</v>
      </c>
      <c r="AB153" t="s">
        <v>215</v>
      </c>
      <c r="AC153" t="s">
        <v>339</v>
      </c>
      <c r="AD153" t="s">
        <v>1145</v>
      </c>
      <c r="AE153" t="s">
        <v>1213</v>
      </c>
      <c r="AF153" t="s">
        <v>1214</v>
      </c>
      <c r="AG153" t="s">
        <v>339</v>
      </c>
      <c r="AH153" t="s">
        <v>244</v>
      </c>
      <c r="AI153">
        <v>0</v>
      </c>
      <c r="AJ153">
        <v>1</v>
      </c>
      <c r="AK153">
        <v>1</v>
      </c>
      <c r="AL153">
        <v>0</v>
      </c>
      <c r="AM153">
        <v>0</v>
      </c>
      <c r="AN153" t="s">
        <v>183</v>
      </c>
      <c r="AO153" t="s">
        <v>173</v>
      </c>
      <c r="AP153" t="s">
        <v>173</v>
      </c>
      <c r="AQ153" t="s">
        <v>173</v>
      </c>
      <c r="AR153" t="s">
        <v>298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</v>
      </c>
      <c r="AY153" t="s">
        <v>1215</v>
      </c>
      <c r="AZ153" t="s">
        <v>192</v>
      </c>
      <c r="BW153">
        <f t="shared" si="5"/>
        <v>0</v>
      </c>
      <c r="BY153" t="s">
        <v>192</v>
      </c>
      <c r="CA153" t="s">
        <v>173</v>
      </c>
      <c r="CB153" t="s">
        <v>185</v>
      </c>
      <c r="CC153" t="s">
        <v>173</v>
      </c>
      <c r="CD153" t="s">
        <v>187</v>
      </c>
      <c r="CE153" t="s">
        <v>173</v>
      </c>
      <c r="CF153" t="s">
        <v>187</v>
      </c>
      <c r="CG153" t="s">
        <v>173</v>
      </c>
      <c r="CH153" t="s">
        <v>185</v>
      </c>
      <c r="CI153" t="s">
        <v>173</v>
      </c>
      <c r="CJ153" t="s">
        <v>186</v>
      </c>
      <c r="CK153" t="s">
        <v>173</v>
      </c>
      <c r="CL153" t="s">
        <v>187</v>
      </c>
      <c r="CM153" t="s">
        <v>173</v>
      </c>
      <c r="CN153" t="s">
        <v>186</v>
      </c>
      <c r="CO153" t="s">
        <v>173</v>
      </c>
      <c r="CP153" t="s">
        <v>185</v>
      </c>
      <c r="CQ153" t="s">
        <v>173</v>
      </c>
      <c r="CR153" t="s">
        <v>187</v>
      </c>
      <c r="CS153" t="s">
        <v>173</v>
      </c>
      <c r="CT153" t="s">
        <v>187</v>
      </c>
      <c r="CU153" t="s">
        <v>173</v>
      </c>
      <c r="CV153" t="s">
        <v>185</v>
      </c>
      <c r="CW153" t="s">
        <v>173</v>
      </c>
      <c r="CX153" t="s">
        <v>186</v>
      </c>
      <c r="CY153" t="s">
        <v>173</v>
      </c>
      <c r="CZ153" t="s">
        <v>187</v>
      </c>
      <c r="DA153" t="s">
        <v>192</v>
      </c>
      <c r="DC153" t="s">
        <v>192</v>
      </c>
      <c r="DE153" t="s">
        <v>192</v>
      </c>
      <c r="DH153" t="s">
        <v>173</v>
      </c>
      <c r="DI153" t="s">
        <v>187</v>
      </c>
      <c r="DJ153" t="s">
        <v>192</v>
      </c>
      <c r="DL153" t="s">
        <v>192</v>
      </c>
      <c r="DO153" t="s">
        <v>192</v>
      </c>
      <c r="DR153" t="s">
        <v>192</v>
      </c>
      <c r="DU153" t="s">
        <v>192</v>
      </c>
      <c r="DX153" t="s">
        <v>192</v>
      </c>
      <c r="EA153" t="s">
        <v>173</v>
      </c>
      <c r="EB153" t="s">
        <v>192</v>
      </c>
      <c r="ED153" t="s">
        <v>173</v>
      </c>
      <c r="EE153" t="s">
        <v>173</v>
      </c>
      <c r="EF153" t="s">
        <v>188</v>
      </c>
      <c r="EG153" t="s">
        <v>173</v>
      </c>
      <c r="EH153" t="s">
        <v>192</v>
      </c>
      <c r="EJ153" t="s">
        <v>173</v>
      </c>
      <c r="EK153" t="s">
        <v>192</v>
      </c>
      <c r="EM153" t="s">
        <v>192</v>
      </c>
      <c r="EQ153" t="s">
        <v>548</v>
      </c>
      <c r="ER153" t="s">
        <v>1216</v>
      </c>
      <c r="ET153" t="s">
        <v>173</v>
      </c>
      <c r="EU153" t="s">
        <v>173</v>
      </c>
      <c r="EV153" t="s">
        <v>223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1</v>
      </c>
      <c r="FF153" t="s">
        <v>1217</v>
      </c>
      <c r="FH153">
        <v>83809783</v>
      </c>
      <c r="FI153" t="s">
        <v>1218</v>
      </c>
      <c r="FJ153" s="1">
        <v>45762.664699074077</v>
      </c>
      <c r="FM153" t="s">
        <v>193</v>
      </c>
      <c r="FO153" t="s">
        <v>1082</v>
      </c>
      <c r="FQ153">
        <v>153</v>
      </c>
    </row>
    <row r="154" spans="1:173" x14ac:dyDescent="0.25">
      <c r="A154" s="1">
        <v>45762.456364328697</v>
      </c>
      <c r="B154" s="1">
        <v>45762.458672280103</v>
      </c>
      <c r="C154" t="s">
        <v>334</v>
      </c>
      <c r="D154">
        <v>114</v>
      </c>
      <c r="G154" t="s">
        <v>470</v>
      </c>
      <c r="I154" t="s">
        <v>1219</v>
      </c>
      <c r="J154" t="s">
        <v>440</v>
      </c>
      <c r="K154" t="s">
        <v>173</v>
      </c>
      <c r="L154">
        <v>22</v>
      </c>
      <c r="M154" t="s">
        <v>174</v>
      </c>
      <c r="N154">
        <v>2</v>
      </c>
      <c r="O154">
        <v>0</v>
      </c>
      <c r="P154">
        <v>0</v>
      </c>
      <c r="Q154">
        <v>0</v>
      </c>
      <c r="R154" t="s">
        <v>175</v>
      </c>
      <c r="S154">
        <v>52</v>
      </c>
      <c r="T154" t="str">
        <f t="shared" si="4"/>
        <v>41 a 55</v>
      </c>
      <c r="U154" t="s">
        <v>173</v>
      </c>
      <c r="W154" t="s">
        <v>176</v>
      </c>
      <c r="Y154" t="s">
        <v>214</v>
      </c>
      <c r="Z154" t="s">
        <v>178</v>
      </c>
      <c r="AA154" t="s">
        <v>179</v>
      </c>
      <c r="AB154" t="s">
        <v>215</v>
      </c>
      <c r="AC154" t="s">
        <v>202</v>
      </c>
      <c r="AD154" t="s">
        <v>1220</v>
      </c>
      <c r="AG154" t="s">
        <v>202</v>
      </c>
      <c r="AH154" t="s">
        <v>204</v>
      </c>
      <c r="AI154">
        <v>0</v>
      </c>
      <c r="AJ154">
        <v>1</v>
      </c>
      <c r="AK154">
        <v>0</v>
      </c>
      <c r="AL154">
        <v>0</v>
      </c>
      <c r="AM154">
        <v>0</v>
      </c>
      <c r="AN154" t="s">
        <v>183</v>
      </c>
      <c r="AO154" t="s">
        <v>173</v>
      </c>
      <c r="AP154" t="s">
        <v>192</v>
      </c>
      <c r="AQ154" t="s">
        <v>192</v>
      </c>
      <c r="AZ154" t="s">
        <v>192</v>
      </c>
      <c r="BW154">
        <f t="shared" si="5"/>
        <v>0</v>
      </c>
      <c r="BY154" t="s">
        <v>173</v>
      </c>
      <c r="BZ154" t="s">
        <v>185</v>
      </c>
      <c r="CA154" t="s">
        <v>192</v>
      </c>
      <c r="CC154" t="s">
        <v>192</v>
      </c>
      <c r="CE154" t="s">
        <v>173</v>
      </c>
      <c r="CF154" t="s">
        <v>186</v>
      </c>
      <c r="CG154" t="s">
        <v>192</v>
      </c>
      <c r="CI154" t="s">
        <v>192</v>
      </c>
      <c r="CK154" t="s">
        <v>192</v>
      </c>
      <c r="CM154" t="s">
        <v>192</v>
      </c>
      <c r="CO154" t="s">
        <v>192</v>
      </c>
      <c r="CQ154" t="s">
        <v>192</v>
      </c>
      <c r="CS154" t="s">
        <v>192</v>
      </c>
      <c r="CU154" t="s">
        <v>192</v>
      </c>
      <c r="CW154" t="s">
        <v>192</v>
      </c>
      <c r="CY154" t="s">
        <v>192</v>
      </c>
      <c r="DA154" t="s">
        <v>192</v>
      </c>
      <c r="DC154" t="s">
        <v>192</v>
      </c>
      <c r="DE154" t="s">
        <v>192</v>
      </c>
      <c r="DH154" t="s">
        <v>192</v>
      </c>
      <c r="DL154" t="s">
        <v>173</v>
      </c>
      <c r="DM154" t="s">
        <v>173</v>
      </c>
      <c r="DN154" t="s">
        <v>188</v>
      </c>
      <c r="DO154" t="s">
        <v>173</v>
      </c>
      <c r="DP154" t="s">
        <v>173</v>
      </c>
      <c r="DQ154" t="s">
        <v>191</v>
      </c>
      <c r="DR154" t="s">
        <v>173</v>
      </c>
      <c r="DS154" t="s">
        <v>173</v>
      </c>
      <c r="DT154" t="s">
        <v>191</v>
      </c>
      <c r="DU154" t="s">
        <v>173</v>
      </c>
      <c r="DV154" t="s">
        <v>173</v>
      </c>
      <c r="DW154" t="s">
        <v>191</v>
      </c>
      <c r="DX154" t="s">
        <v>173</v>
      </c>
      <c r="DY154" t="s">
        <v>173</v>
      </c>
      <c r="DZ154" t="s">
        <v>188</v>
      </c>
      <c r="EA154" t="s">
        <v>192</v>
      </c>
      <c r="ED154" t="s">
        <v>173</v>
      </c>
      <c r="EE154" t="s">
        <v>173</v>
      </c>
      <c r="EF154" t="s">
        <v>188</v>
      </c>
      <c r="EG154" t="s">
        <v>173</v>
      </c>
      <c r="EH154" t="s">
        <v>173</v>
      </c>
      <c r="EI154" t="s">
        <v>188</v>
      </c>
      <c r="EJ154" t="s">
        <v>192</v>
      </c>
      <c r="EM154" t="s">
        <v>192</v>
      </c>
      <c r="EQ154" t="s">
        <v>1221</v>
      </c>
      <c r="ET154" t="s">
        <v>173</v>
      </c>
      <c r="EU154" t="s">
        <v>173</v>
      </c>
      <c r="EV154" t="s">
        <v>208</v>
      </c>
      <c r="EW154">
        <v>0</v>
      </c>
      <c r="EX154">
        <v>0</v>
      </c>
      <c r="EY154">
        <v>0</v>
      </c>
      <c r="EZ154">
        <v>0</v>
      </c>
      <c r="FA154">
        <v>1</v>
      </c>
      <c r="FB154">
        <v>0</v>
      </c>
      <c r="FC154">
        <v>0</v>
      </c>
      <c r="FD154">
        <v>0</v>
      </c>
      <c r="FE154">
        <v>0</v>
      </c>
      <c r="FH154">
        <v>83810132</v>
      </c>
      <c r="FI154" t="s">
        <v>1222</v>
      </c>
      <c r="FJ154" s="1">
        <v>45762.667013888888</v>
      </c>
      <c r="FM154" t="s">
        <v>193</v>
      </c>
      <c r="FO154" t="s">
        <v>1082</v>
      </c>
      <c r="FQ154">
        <v>154</v>
      </c>
    </row>
    <row r="155" spans="1:173" x14ac:dyDescent="0.25">
      <c r="A155" s="1">
        <v>45762.451530092592</v>
      </c>
      <c r="B155" s="1">
        <v>45762.465075405089</v>
      </c>
      <c r="C155" t="s">
        <v>195</v>
      </c>
      <c r="D155">
        <v>65</v>
      </c>
      <c r="E155" s="1">
        <v>45738</v>
      </c>
      <c r="F155">
        <v>3</v>
      </c>
      <c r="G155" t="s">
        <v>280</v>
      </c>
      <c r="H155" t="s">
        <v>228</v>
      </c>
      <c r="I155" t="s">
        <v>1223</v>
      </c>
      <c r="J155" t="s">
        <v>1224</v>
      </c>
      <c r="K155" t="s">
        <v>173</v>
      </c>
      <c r="L155">
        <v>21</v>
      </c>
      <c r="M155" t="s">
        <v>174</v>
      </c>
      <c r="N155">
        <v>0</v>
      </c>
      <c r="O155">
        <v>0</v>
      </c>
      <c r="P155">
        <v>0</v>
      </c>
      <c r="Q155">
        <v>0</v>
      </c>
      <c r="R155" t="s">
        <v>251</v>
      </c>
      <c r="S155">
        <v>52</v>
      </c>
      <c r="T155" t="str">
        <f t="shared" si="4"/>
        <v>41 a 55</v>
      </c>
      <c r="U155" t="s">
        <v>173</v>
      </c>
      <c r="W155" t="s">
        <v>176</v>
      </c>
      <c r="Y155" t="s">
        <v>214</v>
      </c>
      <c r="Z155" t="s">
        <v>239</v>
      </c>
      <c r="AA155" t="s">
        <v>179</v>
      </c>
      <c r="AB155" t="s">
        <v>201</v>
      </c>
      <c r="AC155" t="s">
        <v>216</v>
      </c>
      <c r="AD155" t="s">
        <v>1225</v>
      </c>
      <c r="AE155" t="s">
        <v>1226</v>
      </c>
      <c r="AG155" t="s">
        <v>216</v>
      </c>
      <c r="AH155" t="s">
        <v>266</v>
      </c>
      <c r="AI155">
        <v>0</v>
      </c>
      <c r="AJ155">
        <v>0</v>
      </c>
      <c r="AK155">
        <v>0</v>
      </c>
      <c r="AL155">
        <v>1</v>
      </c>
      <c r="AM155">
        <v>0</v>
      </c>
      <c r="AN155" t="s">
        <v>297</v>
      </c>
      <c r="AO155" t="s">
        <v>192</v>
      </c>
      <c r="AP155" t="s">
        <v>192</v>
      </c>
      <c r="AQ155" t="s">
        <v>192</v>
      </c>
      <c r="AZ155" t="s">
        <v>192</v>
      </c>
      <c r="BW155">
        <f t="shared" si="5"/>
        <v>0</v>
      </c>
      <c r="BY155" t="s">
        <v>192</v>
      </c>
      <c r="CA155" t="s">
        <v>192</v>
      </c>
      <c r="CC155" t="s">
        <v>192</v>
      </c>
      <c r="CE155" t="s">
        <v>173</v>
      </c>
      <c r="CF155" t="s">
        <v>185</v>
      </c>
      <c r="CG155" t="s">
        <v>192</v>
      </c>
      <c r="CI155" t="s">
        <v>192</v>
      </c>
      <c r="CK155" t="s">
        <v>173</v>
      </c>
      <c r="CL155" t="s">
        <v>186</v>
      </c>
      <c r="CM155" t="s">
        <v>173</v>
      </c>
      <c r="CN155" t="s">
        <v>185</v>
      </c>
      <c r="CO155" t="s">
        <v>192</v>
      </c>
      <c r="CQ155" t="s">
        <v>192</v>
      </c>
      <c r="CS155" t="s">
        <v>192</v>
      </c>
      <c r="CU155" t="s">
        <v>192</v>
      </c>
      <c r="CW155" t="s">
        <v>192</v>
      </c>
      <c r="CY155" t="s">
        <v>192</v>
      </c>
      <c r="DA155" t="s">
        <v>192</v>
      </c>
      <c r="DC155" t="s">
        <v>192</v>
      </c>
      <c r="DE155" t="s">
        <v>192</v>
      </c>
      <c r="DH155" t="s">
        <v>173</v>
      </c>
      <c r="DI155" t="s">
        <v>186</v>
      </c>
      <c r="DJ155" t="s">
        <v>192</v>
      </c>
      <c r="DL155" t="s">
        <v>173</v>
      </c>
      <c r="DM155" t="s">
        <v>192</v>
      </c>
      <c r="DO155" t="s">
        <v>192</v>
      </c>
      <c r="DR155" t="s">
        <v>192</v>
      </c>
      <c r="DU155" t="s">
        <v>173</v>
      </c>
      <c r="DV155" t="s">
        <v>192</v>
      </c>
      <c r="DX155" t="s">
        <v>192</v>
      </c>
      <c r="EA155" t="s">
        <v>192</v>
      </c>
      <c r="ED155" t="s">
        <v>192</v>
      </c>
      <c r="EG155" t="s">
        <v>173</v>
      </c>
      <c r="EH155" t="s">
        <v>192</v>
      </c>
      <c r="EJ155" t="s">
        <v>173</v>
      </c>
      <c r="EK155" t="s">
        <v>192</v>
      </c>
      <c r="EM155" t="s">
        <v>192</v>
      </c>
      <c r="EQ155" t="s">
        <v>1227</v>
      </c>
      <c r="ER155" t="s">
        <v>1228</v>
      </c>
      <c r="ES155" t="s">
        <v>1229</v>
      </c>
      <c r="ET155" t="s">
        <v>173</v>
      </c>
      <c r="EU155" t="s">
        <v>173</v>
      </c>
      <c r="EV155" t="s">
        <v>208</v>
      </c>
      <c r="EW155">
        <v>0</v>
      </c>
      <c r="EX155">
        <v>0</v>
      </c>
      <c r="EY155">
        <v>0</v>
      </c>
      <c r="EZ155">
        <v>0</v>
      </c>
      <c r="FA155">
        <v>1</v>
      </c>
      <c r="FB155">
        <v>0</v>
      </c>
      <c r="FC155">
        <v>0</v>
      </c>
      <c r="FD155">
        <v>0</v>
      </c>
      <c r="FE155">
        <v>0</v>
      </c>
      <c r="FH155">
        <v>83810764</v>
      </c>
      <c r="FI155" t="s">
        <v>1230</v>
      </c>
      <c r="FJ155" s="1">
        <v>45762.673414351862</v>
      </c>
      <c r="FM155" t="s">
        <v>193</v>
      </c>
      <c r="FO155" t="s">
        <v>1082</v>
      </c>
      <c r="FQ155">
        <v>155</v>
      </c>
    </row>
    <row r="156" spans="1:173" x14ac:dyDescent="0.25">
      <c r="A156" s="1">
        <v>45762.465075821761</v>
      </c>
      <c r="B156" s="1">
        <v>45762.642934965283</v>
      </c>
      <c r="C156" t="s">
        <v>195</v>
      </c>
      <c r="D156">
        <v>69</v>
      </c>
      <c r="E156" s="1">
        <v>45738</v>
      </c>
      <c r="F156">
        <v>3</v>
      </c>
      <c r="G156" t="s">
        <v>352</v>
      </c>
      <c r="H156" t="s">
        <v>228</v>
      </c>
      <c r="I156" t="s">
        <v>1231</v>
      </c>
      <c r="J156" t="s">
        <v>1232</v>
      </c>
      <c r="K156" t="s">
        <v>173</v>
      </c>
      <c r="L156">
        <v>17</v>
      </c>
      <c r="M156" t="s">
        <v>174</v>
      </c>
      <c r="N156">
        <v>0</v>
      </c>
      <c r="O156">
        <v>0</v>
      </c>
      <c r="P156">
        <v>0</v>
      </c>
      <c r="Q156">
        <v>0</v>
      </c>
      <c r="R156" t="s">
        <v>251</v>
      </c>
      <c r="S156">
        <v>52</v>
      </c>
      <c r="T156" t="str">
        <f t="shared" si="4"/>
        <v>41 a 55</v>
      </c>
      <c r="U156" t="s">
        <v>173</v>
      </c>
      <c r="W156" t="s">
        <v>176</v>
      </c>
      <c r="Y156" t="s">
        <v>177</v>
      </c>
      <c r="Z156" t="s">
        <v>178</v>
      </c>
      <c r="AA156" t="s">
        <v>179</v>
      </c>
      <c r="AB156" t="s">
        <v>215</v>
      </c>
      <c r="AC156" t="s">
        <v>216</v>
      </c>
      <c r="AD156" t="s">
        <v>365</v>
      </c>
      <c r="AE156" t="s">
        <v>1233</v>
      </c>
      <c r="AF156" t="s">
        <v>1234</v>
      </c>
      <c r="AG156" t="s">
        <v>202</v>
      </c>
      <c r="AH156" t="s">
        <v>287</v>
      </c>
      <c r="AI156">
        <v>0</v>
      </c>
      <c r="AJ156">
        <v>0</v>
      </c>
      <c r="AK156">
        <v>0</v>
      </c>
      <c r="AL156">
        <v>0</v>
      </c>
      <c r="AM156">
        <v>1</v>
      </c>
      <c r="AN156" t="s">
        <v>205</v>
      </c>
      <c r="AO156" t="s">
        <v>192</v>
      </c>
      <c r="AP156" t="s">
        <v>192</v>
      </c>
      <c r="AQ156" t="s">
        <v>192</v>
      </c>
      <c r="AZ156" t="s">
        <v>192</v>
      </c>
      <c r="BW156">
        <f t="shared" si="5"/>
        <v>0</v>
      </c>
      <c r="BY156" t="s">
        <v>192</v>
      </c>
      <c r="CA156" t="s">
        <v>192</v>
      </c>
      <c r="CC156" t="s">
        <v>192</v>
      </c>
      <c r="CE156" t="s">
        <v>173</v>
      </c>
      <c r="CF156" t="s">
        <v>187</v>
      </c>
      <c r="CG156" t="s">
        <v>173</v>
      </c>
      <c r="CH156" t="s">
        <v>186</v>
      </c>
      <c r="CI156" t="s">
        <v>192</v>
      </c>
      <c r="CK156" t="s">
        <v>173</v>
      </c>
      <c r="CL156" t="s">
        <v>187</v>
      </c>
      <c r="CM156" t="s">
        <v>192</v>
      </c>
      <c r="CO156" t="s">
        <v>192</v>
      </c>
      <c r="CQ156" t="s">
        <v>192</v>
      </c>
      <c r="CS156" t="s">
        <v>192</v>
      </c>
      <c r="CU156" t="s">
        <v>192</v>
      </c>
      <c r="CW156" t="s">
        <v>173</v>
      </c>
      <c r="CX156" t="s">
        <v>187</v>
      </c>
      <c r="CY156" t="s">
        <v>173</v>
      </c>
      <c r="CZ156" t="s">
        <v>185</v>
      </c>
      <c r="DA156" t="s">
        <v>192</v>
      </c>
      <c r="DC156" t="s">
        <v>173</v>
      </c>
      <c r="DD156" t="s">
        <v>185</v>
      </c>
      <c r="DE156" t="s">
        <v>192</v>
      </c>
      <c r="DH156" t="s">
        <v>173</v>
      </c>
      <c r="DI156" t="s">
        <v>187</v>
      </c>
      <c r="DJ156" t="s">
        <v>173</v>
      </c>
      <c r="DL156" t="s">
        <v>173</v>
      </c>
      <c r="DM156" t="s">
        <v>192</v>
      </c>
      <c r="DO156" t="s">
        <v>173</v>
      </c>
      <c r="DP156" t="s">
        <v>192</v>
      </c>
      <c r="DR156" t="s">
        <v>192</v>
      </c>
      <c r="DU156" t="s">
        <v>173</v>
      </c>
      <c r="DV156" t="s">
        <v>192</v>
      </c>
      <c r="DX156" t="s">
        <v>173</v>
      </c>
      <c r="DY156" t="s">
        <v>192</v>
      </c>
      <c r="EA156" t="s">
        <v>173</v>
      </c>
      <c r="EB156" t="s">
        <v>192</v>
      </c>
      <c r="ED156" t="s">
        <v>173</v>
      </c>
      <c r="EE156" t="s">
        <v>192</v>
      </c>
      <c r="EG156" t="s">
        <v>173</v>
      </c>
      <c r="EH156" t="s">
        <v>192</v>
      </c>
      <c r="EJ156" t="s">
        <v>173</v>
      </c>
      <c r="EK156" t="s">
        <v>192</v>
      </c>
      <c r="EM156" t="s">
        <v>192</v>
      </c>
      <c r="EQ156" t="s">
        <v>705</v>
      </c>
      <c r="ER156" t="s">
        <v>1235</v>
      </c>
      <c r="ES156" t="s">
        <v>1236</v>
      </c>
      <c r="ET156" t="s">
        <v>173</v>
      </c>
      <c r="EU156" t="s">
        <v>173</v>
      </c>
      <c r="EV156" t="s">
        <v>223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1</v>
      </c>
      <c r="FF156" t="s">
        <v>443</v>
      </c>
      <c r="FH156">
        <v>83827916</v>
      </c>
      <c r="FI156" t="s">
        <v>1237</v>
      </c>
      <c r="FJ156" s="1">
        <v>45762.851273148153</v>
      </c>
      <c r="FM156" t="s">
        <v>193</v>
      </c>
      <c r="FO156" t="s">
        <v>1082</v>
      </c>
      <c r="FQ156">
        <v>156</v>
      </c>
    </row>
    <row r="157" spans="1:173" x14ac:dyDescent="0.25">
      <c r="A157" s="1">
        <v>45762.642935439813</v>
      </c>
      <c r="B157" s="1">
        <v>45762.65001759259</v>
      </c>
      <c r="C157" t="s">
        <v>195</v>
      </c>
      <c r="D157">
        <v>70</v>
      </c>
      <c r="E157" s="1">
        <v>45738</v>
      </c>
      <c r="F157">
        <v>3</v>
      </c>
      <c r="G157" t="s">
        <v>352</v>
      </c>
      <c r="H157" t="s">
        <v>1238</v>
      </c>
      <c r="I157" t="s">
        <v>1239</v>
      </c>
      <c r="J157" t="s">
        <v>1240</v>
      </c>
      <c r="K157" t="s">
        <v>173</v>
      </c>
      <c r="L157">
        <v>17</v>
      </c>
      <c r="M157" t="s">
        <v>174</v>
      </c>
      <c r="N157">
        <v>0</v>
      </c>
      <c r="O157">
        <v>0</v>
      </c>
      <c r="P157">
        <v>0</v>
      </c>
      <c r="Q157">
        <v>0</v>
      </c>
      <c r="R157" t="s">
        <v>251</v>
      </c>
      <c r="S157">
        <v>52</v>
      </c>
      <c r="T157" t="str">
        <f t="shared" si="4"/>
        <v>41 a 55</v>
      </c>
      <c r="U157" t="s">
        <v>173</v>
      </c>
      <c r="W157" t="s">
        <v>238</v>
      </c>
      <c r="Y157" t="s">
        <v>214</v>
      </c>
      <c r="Z157" t="s">
        <v>239</v>
      </c>
      <c r="AA157" t="s">
        <v>179</v>
      </c>
      <c r="AB157" t="s">
        <v>215</v>
      </c>
      <c r="AC157" t="s">
        <v>202</v>
      </c>
      <c r="AD157" t="s">
        <v>1241</v>
      </c>
      <c r="AE157" t="s">
        <v>1242</v>
      </c>
      <c r="AF157" t="s">
        <v>1243</v>
      </c>
      <c r="AG157" t="s">
        <v>202</v>
      </c>
      <c r="AH157" t="s">
        <v>287</v>
      </c>
      <c r="AI157">
        <v>0</v>
      </c>
      <c r="AJ157">
        <v>0</v>
      </c>
      <c r="AK157">
        <v>0</v>
      </c>
      <c r="AL157">
        <v>0</v>
      </c>
      <c r="AM157">
        <v>1</v>
      </c>
      <c r="AN157" t="s">
        <v>297</v>
      </c>
      <c r="AO157" t="s">
        <v>192</v>
      </c>
      <c r="AP157" t="s">
        <v>192</v>
      </c>
      <c r="AQ157" t="s">
        <v>192</v>
      </c>
      <c r="AZ157" t="s">
        <v>192</v>
      </c>
      <c r="BW157">
        <f t="shared" si="5"/>
        <v>0</v>
      </c>
      <c r="BY157" t="s">
        <v>192</v>
      </c>
      <c r="CA157" t="s">
        <v>192</v>
      </c>
      <c r="CC157" t="s">
        <v>192</v>
      </c>
      <c r="CE157" t="s">
        <v>192</v>
      </c>
      <c r="CG157" t="s">
        <v>192</v>
      </c>
      <c r="CI157" t="s">
        <v>192</v>
      </c>
      <c r="CK157" t="s">
        <v>192</v>
      </c>
      <c r="CM157" t="s">
        <v>192</v>
      </c>
      <c r="CO157" t="s">
        <v>192</v>
      </c>
      <c r="CQ157" t="s">
        <v>192</v>
      </c>
      <c r="CS157" t="s">
        <v>192</v>
      </c>
      <c r="CU157" t="s">
        <v>192</v>
      </c>
      <c r="CW157" t="s">
        <v>192</v>
      </c>
      <c r="CY157" t="s">
        <v>192</v>
      </c>
      <c r="DA157" t="s">
        <v>192</v>
      </c>
      <c r="DC157" t="s">
        <v>192</v>
      </c>
      <c r="DE157" t="s">
        <v>192</v>
      </c>
      <c r="DH157" t="s">
        <v>173</v>
      </c>
      <c r="DI157" t="s">
        <v>187</v>
      </c>
      <c r="DJ157" t="s">
        <v>192</v>
      </c>
      <c r="DL157" t="s">
        <v>173</v>
      </c>
      <c r="DM157" t="s">
        <v>173</v>
      </c>
      <c r="DN157" t="s">
        <v>191</v>
      </c>
      <c r="DO157" t="s">
        <v>192</v>
      </c>
      <c r="DR157" t="s">
        <v>192</v>
      </c>
      <c r="DU157" t="s">
        <v>173</v>
      </c>
      <c r="DV157" t="s">
        <v>173</v>
      </c>
      <c r="DW157" t="s">
        <v>191</v>
      </c>
      <c r="DX157" t="s">
        <v>192</v>
      </c>
      <c r="EA157" t="s">
        <v>192</v>
      </c>
      <c r="ED157" t="s">
        <v>173</v>
      </c>
      <c r="EE157" t="s">
        <v>173</v>
      </c>
      <c r="EF157" t="s">
        <v>191</v>
      </c>
      <c r="EG157" t="s">
        <v>173</v>
      </c>
      <c r="EH157" t="s">
        <v>192</v>
      </c>
      <c r="EJ157" t="s">
        <v>192</v>
      </c>
      <c r="EM157" t="s">
        <v>192</v>
      </c>
      <c r="EQ157" t="s">
        <v>349</v>
      </c>
      <c r="ER157" t="s">
        <v>221</v>
      </c>
      <c r="ES157" t="s">
        <v>1244</v>
      </c>
      <c r="ET157" t="s">
        <v>173</v>
      </c>
      <c r="EU157" t="s">
        <v>173</v>
      </c>
      <c r="EV157" t="s">
        <v>223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1</v>
      </c>
      <c r="FF157" t="s">
        <v>1245</v>
      </c>
      <c r="FH157">
        <v>83828130</v>
      </c>
      <c r="FI157" t="s">
        <v>1246</v>
      </c>
      <c r="FJ157" s="1">
        <v>45762.858356481483</v>
      </c>
      <c r="FM157" t="s">
        <v>193</v>
      </c>
      <c r="FO157" t="s">
        <v>1082</v>
      </c>
      <c r="FQ157">
        <v>157</v>
      </c>
    </row>
    <row r="158" spans="1:173" x14ac:dyDescent="0.25">
      <c r="A158" s="1">
        <v>45762.650018009263</v>
      </c>
      <c r="B158" s="1">
        <v>45762.657852418983</v>
      </c>
      <c r="C158" t="s">
        <v>195</v>
      </c>
      <c r="D158">
        <v>113</v>
      </c>
      <c r="E158" s="1">
        <v>45738</v>
      </c>
      <c r="F158">
        <v>1</v>
      </c>
      <c r="G158" t="s">
        <v>462</v>
      </c>
      <c r="H158" t="s">
        <v>171</v>
      </c>
      <c r="I158" t="s">
        <v>471</v>
      </c>
      <c r="J158" t="s">
        <v>1247</v>
      </c>
      <c r="K158" t="s">
        <v>173</v>
      </c>
      <c r="L158">
        <v>15</v>
      </c>
      <c r="M158" t="s">
        <v>174</v>
      </c>
      <c r="N158">
        <v>0</v>
      </c>
      <c r="O158">
        <v>0</v>
      </c>
      <c r="P158">
        <v>0</v>
      </c>
      <c r="Q158">
        <v>0</v>
      </c>
      <c r="R158" t="s">
        <v>175</v>
      </c>
      <c r="S158">
        <v>52</v>
      </c>
      <c r="T158" t="str">
        <f t="shared" si="4"/>
        <v>41 a 55</v>
      </c>
      <c r="U158" t="s">
        <v>173</v>
      </c>
      <c r="W158" t="s">
        <v>238</v>
      </c>
      <c r="Y158" t="s">
        <v>214</v>
      </c>
      <c r="Z158" t="s">
        <v>239</v>
      </c>
      <c r="AA158" t="s">
        <v>179</v>
      </c>
      <c r="AB158" t="s">
        <v>201</v>
      </c>
      <c r="AC158" t="s">
        <v>216</v>
      </c>
      <c r="AD158" t="s">
        <v>1248</v>
      </c>
      <c r="AG158" t="s">
        <v>202</v>
      </c>
      <c r="AH158" t="s">
        <v>287</v>
      </c>
      <c r="AI158">
        <v>0</v>
      </c>
      <c r="AJ158">
        <v>0</v>
      </c>
      <c r="AK158">
        <v>0</v>
      </c>
      <c r="AL158">
        <v>0</v>
      </c>
      <c r="AM158">
        <v>1</v>
      </c>
      <c r="AN158" t="s">
        <v>297</v>
      </c>
      <c r="AO158" t="s">
        <v>192</v>
      </c>
      <c r="AP158" t="s">
        <v>192</v>
      </c>
      <c r="AQ158" t="s">
        <v>173</v>
      </c>
      <c r="AR158" t="s">
        <v>206</v>
      </c>
      <c r="AS158">
        <v>1</v>
      </c>
      <c r="AT158">
        <v>0</v>
      </c>
      <c r="AU158">
        <v>0</v>
      </c>
      <c r="AV158">
        <v>0</v>
      </c>
      <c r="AW158">
        <v>0</v>
      </c>
      <c r="AX158">
        <v>0</v>
      </c>
      <c r="AZ158" t="s">
        <v>192</v>
      </c>
      <c r="BW158">
        <f t="shared" si="5"/>
        <v>0</v>
      </c>
      <c r="BY158" t="s">
        <v>173</v>
      </c>
      <c r="BZ158" t="s">
        <v>185</v>
      </c>
      <c r="CA158" t="s">
        <v>192</v>
      </c>
      <c r="CC158" t="s">
        <v>192</v>
      </c>
      <c r="CE158" t="s">
        <v>192</v>
      </c>
      <c r="CG158" t="s">
        <v>192</v>
      </c>
      <c r="CI158" t="s">
        <v>173</v>
      </c>
      <c r="CJ158" t="s">
        <v>185</v>
      </c>
      <c r="CK158" t="s">
        <v>173</v>
      </c>
      <c r="CL158" t="s">
        <v>185</v>
      </c>
      <c r="CM158" t="s">
        <v>173</v>
      </c>
      <c r="CN158" t="s">
        <v>185</v>
      </c>
      <c r="CO158" t="s">
        <v>192</v>
      </c>
      <c r="CQ158" t="s">
        <v>192</v>
      </c>
      <c r="CS158" t="s">
        <v>192</v>
      </c>
      <c r="CU158" t="s">
        <v>192</v>
      </c>
      <c r="CW158" t="s">
        <v>192</v>
      </c>
      <c r="CY158" t="s">
        <v>173</v>
      </c>
      <c r="CZ158" t="s">
        <v>185</v>
      </c>
      <c r="DA158" t="s">
        <v>192</v>
      </c>
      <c r="DC158" t="s">
        <v>173</v>
      </c>
      <c r="DD158" t="s">
        <v>185</v>
      </c>
      <c r="DE158" t="s">
        <v>192</v>
      </c>
      <c r="DH158" t="s">
        <v>173</v>
      </c>
      <c r="DI158" t="s">
        <v>187</v>
      </c>
      <c r="DJ158" t="s">
        <v>192</v>
      </c>
      <c r="DL158" t="s">
        <v>192</v>
      </c>
      <c r="DO158" t="s">
        <v>192</v>
      </c>
      <c r="DR158" t="s">
        <v>192</v>
      </c>
      <c r="DU158" t="s">
        <v>173</v>
      </c>
      <c r="DV158" t="s">
        <v>192</v>
      </c>
      <c r="DX158" t="s">
        <v>192</v>
      </c>
      <c r="EA158" t="s">
        <v>192</v>
      </c>
      <c r="ED158" t="s">
        <v>173</v>
      </c>
      <c r="EE158" t="s">
        <v>173</v>
      </c>
      <c r="EF158" t="s">
        <v>188</v>
      </c>
      <c r="EG158" t="s">
        <v>173</v>
      </c>
      <c r="EH158" t="s">
        <v>192</v>
      </c>
      <c r="EJ158" t="s">
        <v>192</v>
      </c>
      <c r="EM158" t="s">
        <v>192</v>
      </c>
      <c r="EQ158" t="s">
        <v>1249</v>
      </c>
      <c r="ER158" t="s">
        <v>1250</v>
      </c>
      <c r="ET158" t="s">
        <v>173</v>
      </c>
      <c r="EU158" t="s">
        <v>173</v>
      </c>
      <c r="EV158" t="s">
        <v>208</v>
      </c>
      <c r="EW158">
        <v>0</v>
      </c>
      <c r="EX158">
        <v>0</v>
      </c>
      <c r="EY158">
        <v>0</v>
      </c>
      <c r="EZ158">
        <v>0</v>
      </c>
      <c r="FA158">
        <v>1</v>
      </c>
      <c r="FB158">
        <v>0</v>
      </c>
      <c r="FC158">
        <v>0</v>
      </c>
      <c r="FD158">
        <v>0</v>
      </c>
      <c r="FE158">
        <v>0</v>
      </c>
      <c r="FG158" t="s">
        <v>1251</v>
      </c>
      <c r="FH158">
        <v>83828350</v>
      </c>
      <c r="FI158" t="s">
        <v>1252</v>
      </c>
      <c r="FJ158" s="1">
        <v>45762.86619212963</v>
      </c>
      <c r="FM158" t="s">
        <v>193</v>
      </c>
      <c r="FO158" t="s">
        <v>1082</v>
      </c>
      <c r="FQ158">
        <v>158</v>
      </c>
    </row>
    <row r="159" spans="1:173" x14ac:dyDescent="0.25">
      <c r="A159" s="1">
        <v>45762.657852905089</v>
      </c>
      <c r="B159" s="1">
        <v>45762.678827291667</v>
      </c>
      <c r="C159" t="s">
        <v>195</v>
      </c>
      <c r="D159">
        <v>103</v>
      </c>
      <c r="E159" s="1">
        <v>45738</v>
      </c>
      <c r="F159">
        <v>1</v>
      </c>
      <c r="G159" t="s">
        <v>429</v>
      </c>
      <c r="H159" t="s">
        <v>171</v>
      </c>
      <c r="I159" t="s">
        <v>1253</v>
      </c>
      <c r="J159" t="s">
        <v>638</v>
      </c>
      <c r="K159" t="s">
        <v>173</v>
      </c>
      <c r="L159">
        <v>8</v>
      </c>
      <c r="M159" t="s">
        <v>283</v>
      </c>
      <c r="N159">
        <v>0</v>
      </c>
      <c r="O159">
        <v>0</v>
      </c>
      <c r="P159">
        <v>0</v>
      </c>
      <c r="Q159">
        <v>0</v>
      </c>
      <c r="R159" t="s">
        <v>175</v>
      </c>
      <c r="S159">
        <v>52</v>
      </c>
      <c r="T159" t="str">
        <f t="shared" si="4"/>
        <v>41 a 55</v>
      </c>
      <c r="U159" t="s">
        <v>173</v>
      </c>
      <c r="W159" t="s">
        <v>176</v>
      </c>
      <c r="Y159" t="s">
        <v>200</v>
      </c>
      <c r="Z159" t="s">
        <v>178</v>
      </c>
      <c r="AA159" t="s">
        <v>179</v>
      </c>
      <c r="AB159" t="s">
        <v>189</v>
      </c>
      <c r="AC159" t="s">
        <v>202</v>
      </c>
      <c r="AD159" t="s">
        <v>1254</v>
      </c>
      <c r="AE159" t="s">
        <v>1255</v>
      </c>
      <c r="AG159" t="s">
        <v>202</v>
      </c>
      <c r="AH159" t="s">
        <v>266</v>
      </c>
      <c r="AI159">
        <v>0</v>
      </c>
      <c r="AJ159">
        <v>0</v>
      </c>
      <c r="AK159">
        <v>0</v>
      </c>
      <c r="AL159">
        <v>1</v>
      </c>
      <c r="AM159">
        <v>0</v>
      </c>
      <c r="AN159" t="s">
        <v>183</v>
      </c>
      <c r="AO159" t="s">
        <v>192</v>
      </c>
      <c r="AP159" t="s">
        <v>192</v>
      </c>
      <c r="AQ159" t="s">
        <v>173</v>
      </c>
      <c r="AR159" t="s">
        <v>298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  <c r="AY159" t="s">
        <v>1256</v>
      </c>
      <c r="AZ159" t="s">
        <v>192</v>
      </c>
      <c r="BW159">
        <f t="shared" si="5"/>
        <v>0</v>
      </c>
      <c r="BY159" t="s">
        <v>173</v>
      </c>
      <c r="BZ159" t="s">
        <v>185</v>
      </c>
      <c r="CA159" t="s">
        <v>192</v>
      </c>
      <c r="CC159" t="s">
        <v>173</v>
      </c>
      <c r="CD159" t="s">
        <v>185</v>
      </c>
      <c r="CE159" t="s">
        <v>173</v>
      </c>
      <c r="CF159" t="s">
        <v>185</v>
      </c>
      <c r="CG159" t="s">
        <v>189</v>
      </c>
      <c r="CI159" t="s">
        <v>173</v>
      </c>
      <c r="CJ159" t="s">
        <v>185</v>
      </c>
      <c r="CK159" t="s">
        <v>173</v>
      </c>
      <c r="CL159" t="s">
        <v>185</v>
      </c>
      <c r="CM159" t="s">
        <v>173</v>
      </c>
      <c r="CN159" t="s">
        <v>185</v>
      </c>
      <c r="CO159" t="s">
        <v>192</v>
      </c>
      <c r="CQ159" t="s">
        <v>173</v>
      </c>
      <c r="CR159" t="s">
        <v>186</v>
      </c>
      <c r="CS159" t="s">
        <v>173</v>
      </c>
      <c r="CT159" t="s">
        <v>185</v>
      </c>
      <c r="CU159" t="s">
        <v>192</v>
      </c>
      <c r="CW159" t="s">
        <v>192</v>
      </c>
      <c r="CY159" t="s">
        <v>173</v>
      </c>
      <c r="CZ159" t="s">
        <v>185</v>
      </c>
      <c r="DA159" t="s">
        <v>192</v>
      </c>
      <c r="DC159" t="s">
        <v>192</v>
      </c>
      <c r="DE159" t="s">
        <v>192</v>
      </c>
      <c r="DH159" t="s">
        <v>173</v>
      </c>
      <c r="DI159" t="s">
        <v>186</v>
      </c>
      <c r="DJ159" t="s">
        <v>173</v>
      </c>
      <c r="DL159" t="s">
        <v>192</v>
      </c>
      <c r="DO159" t="s">
        <v>192</v>
      </c>
      <c r="DR159" t="s">
        <v>192</v>
      </c>
      <c r="DU159" t="s">
        <v>173</v>
      </c>
      <c r="DV159" t="s">
        <v>173</v>
      </c>
      <c r="DW159" t="s">
        <v>191</v>
      </c>
      <c r="DX159" t="s">
        <v>192</v>
      </c>
      <c r="EA159" t="s">
        <v>192</v>
      </c>
      <c r="ED159" t="s">
        <v>173</v>
      </c>
      <c r="EE159" t="s">
        <v>173</v>
      </c>
      <c r="EF159" t="s">
        <v>188</v>
      </c>
      <c r="EG159" t="s">
        <v>173</v>
      </c>
      <c r="EH159" t="s">
        <v>173</v>
      </c>
      <c r="EI159" t="s">
        <v>191</v>
      </c>
      <c r="EJ159" t="s">
        <v>173</v>
      </c>
      <c r="EK159" t="s">
        <v>173</v>
      </c>
      <c r="EL159" t="s">
        <v>191</v>
      </c>
      <c r="EM159" t="s">
        <v>192</v>
      </c>
      <c r="EQ159" t="s">
        <v>1257</v>
      </c>
      <c r="ET159" t="s">
        <v>173</v>
      </c>
      <c r="EU159" t="s">
        <v>173</v>
      </c>
      <c r="EV159" t="s">
        <v>223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1</v>
      </c>
      <c r="FF159" t="s">
        <v>569</v>
      </c>
      <c r="FH159">
        <v>83828960</v>
      </c>
      <c r="FI159" t="s">
        <v>1258</v>
      </c>
      <c r="FJ159" s="1">
        <v>45762.887164351851</v>
      </c>
      <c r="FM159" t="s">
        <v>193</v>
      </c>
      <c r="FO159" t="s">
        <v>1082</v>
      </c>
      <c r="FQ159">
        <v>159</v>
      </c>
    </row>
    <row r="160" spans="1:173" x14ac:dyDescent="0.25">
      <c r="A160" s="1">
        <v>45763.375400960649</v>
      </c>
      <c r="B160" s="1">
        <v>45763.378484629633</v>
      </c>
      <c r="C160" t="s">
        <v>195</v>
      </c>
      <c r="D160">
        <v>102</v>
      </c>
      <c r="E160" s="1">
        <v>45738</v>
      </c>
      <c r="F160">
        <v>1</v>
      </c>
      <c r="G160" t="s">
        <v>1259</v>
      </c>
      <c r="H160" t="s">
        <v>171</v>
      </c>
      <c r="I160" t="s">
        <v>1260</v>
      </c>
      <c r="J160" t="s">
        <v>1261</v>
      </c>
      <c r="K160" t="s">
        <v>173</v>
      </c>
      <c r="L160">
        <v>20</v>
      </c>
      <c r="M160" t="s">
        <v>174</v>
      </c>
      <c r="N160">
        <v>0</v>
      </c>
      <c r="O160">
        <v>0</v>
      </c>
      <c r="P160">
        <v>0</v>
      </c>
      <c r="Q160">
        <v>0</v>
      </c>
      <c r="R160" t="s">
        <v>251</v>
      </c>
      <c r="S160">
        <v>27</v>
      </c>
      <c r="T160" t="str">
        <f t="shared" si="4"/>
        <v>26 a 40</v>
      </c>
      <c r="U160" t="s">
        <v>173</v>
      </c>
      <c r="W160" t="s">
        <v>176</v>
      </c>
      <c r="Y160" t="s">
        <v>214</v>
      </c>
      <c r="Z160" t="s">
        <v>355</v>
      </c>
      <c r="AA160" t="s">
        <v>179</v>
      </c>
      <c r="AB160" t="s">
        <v>189</v>
      </c>
      <c r="AC160" t="s">
        <v>216</v>
      </c>
      <c r="AD160" t="s">
        <v>814</v>
      </c>
      <c r="AG160" t="s">
        <v>216</v>
      </c>
      <c r="AH160" t="s">
        <v>232</v>
      </c>
      <c r="AI160">
        <v>0</v>
      </c>
      <c r="AJ160">
        <v>0</v>
      </c>
      <c r="AK160">
        <v>1</v>
      </c>
      <c r="AL160">
        <v>0</v>
      </c>
      <c r="AM160">
        <v>0</v>
      </c>
      <c r="AN160" t="s">
        <v>297</v>
      </c>
      <c r="AO160" t="s">
        <v>192</v>
      </c>
      <c r="AP160" t="s">
        <v>173</v>
      </c>
      <c r="AQ160" t="s">
        <v>173</v>
      </c>
      <c r="AR160" t="s">
        <v>298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</v>
      </c>
      <c r="AY160" t="s">
        <v>1262</v>
      </c>
      <c r="AZ160" t="s">
        <v>173</v>
      </c>
      <c r="BA160" t="s">
        <v>254</v>
      </c>
      <c r="BB160">
        <v>0</v>
      </c>
      <c r="BC160">
        <v>1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P160" t="s">
        <v>192</v>
      </c>
      <c r="BW160">
        <f t="shared" si="5"/>
        <v>1</v>
      </c>
      <c r="BY160" t="s">
        <v>173</v>
      </c>
      <c r="BZ160" t="s">
        <v>186</v>
      </c>
      <c r="CA160" t="s">
        <v>192</v>
      </c>
      <c r="CC160" t="s">
        <v>173</v>
      </c>
      <c r="CD160" t="s">
        <v>186</v>
      </c>
      <c r="CE160" t="s">
        <v>173</v>
      </c>
      <c r="CF160" t="s">
        <v>186</v>
      </c>
      <c r="CG160" t="s">
        <v>173</v>
      </c>
      <c r="CH160" t="s">
        <v>186</v>
      </c>
      <c r="CI160" t="s">
        <v>173</v>
      </c>
      <c r="CJ160" t="s">
        <v>186</v>
      </c>
      <c r="CK160" t="s">
        <v>173</v>
      </c>
      <c r="CL160" t="s">
        <v>187</v>
      </c>
      <c r="CM160" t="s">
        <v>192</v>
      </c>
      <c r="CO160" t="s">
        <v>192</v>
      </c>
      <c r="CQ160" t="s">
        <v>173</v>
      </c>
      <c r="CR160" t="s">
        <v>186</v>
      </c>
      <c r="CS160" t="s">
        <v>173</v>
      </c>
      <c r="CT160" t="s">
        <v>186</v>
      </c>
      <c r="CU160" t="s">
        <v>192</v>
      </c>
      <c r="CW160" t="s">
        <v>173</v>
      </c>
      <c r="CX160" t="s">
        <v>186</v>
      </c>
      <c r="CY160" t="s">
        <v>173</v>
      </c>
      <c r="CZ160" t="s">
        <v>186</v>
      </c>
      <c r="DA160" t="s">
        <v>192</v>
      </c>
      <c r="DC160" t="s">
        <v>173</v>
      </c>
      <c r="DD160" t="s">
        <v>186</v>
      </c>
      <c r="DE160" t="s">
        <v>192</v>
      </c>
      <c r="DH160" t="s">
        <v>173</v>
      </c>
      <c r="DI160" t="s">
        <v>187</v>
      </c>
      <c r="DJ160" t="s">
        <v>192</v>
      </c>
      <c r="DL160" t="s">
        <v>173</v>
      </c>
      <c r="DM160" t="s">
        <v>192</v>
      </c>
      <c r="DO160" t="s">
        <v>192</v>
      </c>
      <c r="DR160" t="s">
        <v>192</v>
      </c>
      <c r="DU160" t="s">
        <v>173</v>
      </c>
      <c r="DV160" t="s">
        <v>192</v>
      </c>
      <c r="DX160" t="s">
        <v>173</v>
      </c>
      <c r="DY160" t="s">
        <v>192</v>
      </c>
      <c r="EA160" t="s">
        <v>192</v>
      </c>
      <c r="ED160" t="s">
        <v>173</v>
      </c>
      <c r="EE160" t="s">
        <v>173</v>
      </c>
      <c r="EF160" t="s">
        <v>191</v>
      </c>
      <c r="EG160" t="s">
        <v>173</v>
      </c>
      <c r="EH160" t="s">
        <v>192</v>
      </c>
      <c r="EJ160" t="s">
        <v>173</v>
      </c>
      <c r="EK160" t="s">
        <v>192</v>
      </c>
      <c r="EM160" t="s">
        <v>192</v>
      </c>
      <c r="EQ160" t="s">
        <v>349</v>
      </c>
      <c r="ET160" t="s">
        <v>173</v>
      </c>
      <c r="EU160" t="s">
        <v>173</v>
      </c>
      <c r="EV160" t="s">
        <v>277</v>
      </c>
      <c r="EW160">
        <v>0</v>
      </c>
      <c r="EX160">
        <v>0</v>
      </c>
      <c r="EY160">
        <v>1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H160">
        <v>83916978</v>
      </c>
      <c r="FI160" t="s">
        <v>1263</v>
      </c>
      <c r="FJ160" s="1">
        <v>45763.586828703701</v>
      </c>
      <c r="FM160" t="s">
        <v>193</v>
      </c>
      <c r="FO160" t="s">
        <v>1082</v>
      </c>
      <c r="FQ160">
        <v>160</v>
      </c>
    </row>
    <row r="161" spans="1:173" x14ac:dyDescent="0.25">
      <c r="A161" s="1">
        <v>45763.378485081019</v>
      </c>
      <c r="B161" s="1">
        <v>45763.383866435193</v>
      </c>
      <c r="C161" t="s">
        <v>195</v>
      </c>
      <c r="D161">
        <v>101</v>
      </c>
      <c r="E161" s="1">
        <v>45738</v>
      </c>
      <c r="F161">
        <v>1</v>
      </c>
      <c r="G161" t="s">
        <v>1264</v>
      </c>
      <c r="H161" t="s">
        <v>171</v>
      </c>
      <c r="I161" t="s">
        <v>1265</v>
      </c>
      <c r="J161" t="s">
        <v>1266</v>
      </c>
      <c r="K161" t="s">
        <v>173</v>
      </c>
      <c r="L161">
        <v>26</v>
      </c>
      <c r="M161" t="s">
        <v>174</v>
      </c>
      <c r="N161">
        <v>0</v>
      </c>
      <c r="O161">
        <v>0</v>
      </c>
      <c r="P161">
        <v>0</v>
      </c>
      <c r="Q161">
        <v>0</v>
      </c>
      <c r="R161" t="s">
        <v>251</v>
      </c>
      <c r="S161">
        <v>83</v>
      </c>
      <c r="T161" t="str">
        <f t="shared" si="4"/>
        <v>56 a más</v>
      </c>
      <c r="U161" t="s">
        <v>173</v>
      </c>
      <c r="W161" t="s">
        <v>176</v>
      </c>
      <c r="Y161" t="s">
        <v>200</v>
      </c>
      <c r="Z161" t="s">
        <v>178</v>
      </c>
      <c r="AA161" t="s">
        <v>179</v>
      </c>
      <c r="AB161" t="s">
        <v>215</v>
      </c>
      <c r="AC161" t="s">
        <v>216</v>
      </c>
      <c r="AD161" t="s">
        <v>1267</v>
      </c>
      <c r="AG161" t="s">
        <v>202</v>
      </c>
      <c r="AH161" t="s">
        <v>244</v>
      </c>
      <c r="AI161">
        <v>0</v>
      </c>
      <c r="AJ161">
        <v>1</v>
      </c>
      <c r="AK161">
        <v>1</v>
      </c>
      <c r="AL161">
        <v>0</v>
      </c>
      <c r="AM161">
        <v>0</v>
      </c>
      <c r="AN161" t="s">
        <v>183</v>
      </c>
      <c r="AO161" t="s">
        <v>192</v>
      </c>
      <c r="AP161" t="s">
        <v>173</v>
      </c>
      <c r="AQ161" t="s">
        <v>192</v>
      </c>
      <c r="AZ161" t="s">
        <v>192</v>
      </c>
      <c r="BW161">
        <f t="shared" si="5"/>
        <v>0</v>
      </c>
      <c r="BY161" t="s">
        <v>173</v>
      </c>
      <c r="BZ161" t="s">
        <v>187</v>
      </c>
      <c r="CA161" t="s">
        <v>192</v>
      </c>
      <c r="CC161" t="s">
        <v>173</v>
      </c>
      <c r="CD161" t="s">
        <v>185</v>
      </c>
      <c r="CE161" t="s">
        <v>192</v>
      </c>
      <c r="CG161" t="s">
        <v>192</v>
      </c>
      <c r="CI161" t="s">
        <v>192</v>
      </c>
      <c r="CK161" t="s">
        <v>192</v>
      </c>
      <c r="CM161" t="s">
        <v>192</v>
      </c>
      <c r="CO161" t="s">
        <v>192</v>
      </c>
      <c r="CQ161" t="s">
        <v>192</v>
      </c>
      <c r="CS161" t="s">
        <v>192</v>
      </c>
      <c r="CU161" t="s">
        <v>192</v>
      </c>
      <c r="CW161" t="s">
        <v>173</v>
      </c>
      <c r="CX161" t="s">
        <v>185</v>
      </c>
      <c r="CY161" t="s">
        <v>192</v>
      </c>
      <c r="DA161" t="s">
        <v>192</v>
      </c>
      <c r="DC161" t="s">
        <v>192</v>
      </c>
      <c r="DE161" t="s">
        <v>192</v>
      </c>
      <c r="DH161" t="s">
        <v>173</v>
      </c>
      <c r="DI161" t="s">
        <v>187</v>
      </c>
      <c r="DJ161" t="s">
        <v>192</v>
      </c>
      <c r="DL161" t="s">
        <v>173</v>
      </c>
      <c r="DM161" t="s">
        <v>192</v>
      </c>
      <c r="DO161" t="s">
        <v>173</v>
      </c>
      <c r="DP161" t="s">
        <v>192</v>
      </c>
      <c r="DR161" t="s">
        <v>192</v>
      </c>
      <c r="DU161" t="s">
        <v>192</v>
      </c>
      <c r="DX161" t="s">
        <v>192</v>
      </c>
      <c r="EA161" t="s">
        <v>192</v>
      </c>
      <c r="ED161" t="s">
        <v>173</v>
      </c>
      <c r="EE161" t="s">
        <v>173</v>
      </c>
      <c r="EF161" t="s">
        <v>188</v>
      </c>
      <c r="EG161" t="s">
        <v>192</v>
      </c>
      <c r="EJ161" t="s">
        <v>192</v>
      </c>
      <c r="EM161" t="s">
        <v>192</v>
      </c>
      <c r="EQ161" t="s">
        <v>1268</v>
      </c>
      <c r="ER161" t="s">
        <v>1269</v>
      </c>
      <c r="ET161" t="s">
        <v>173</v>
      </c>
      <c r="EU161" t="s">
        <v>173</v>
      </c>
      <c r="EV161" t="s">
        <v>1270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1</v>
      </c>
      <c r="FD161">
        <v>0</v>
      </c>
      <c r="FE161">
        <v>1</v>
      </c>
      <c r="FF161" t="s">
        <v>406</v>
      </c>
      <c r="FH161">
        <v>83917335</v>
      </c>
      <c r="FI161" t="s">
        <v>1271</v>
      </c>
      <c r="FJ161" s="1">
        <v>45763.592210648138</v>
      </c>
      <c r="FM161" t="s">
        <v>193</v>
      </c>
      <c r="FO161" t="s">
        <v>1082</v>
      </c>
      <c r="FQ161">
        <v>161</v>
      </c>
    </row>
    <row r="162" spans="1:173" x14ac:dyDescent="0.25">
      <c r="A162" s="1">
        <v>45763.38386696759</v>
      </c>
      <c r="B162" s="1">
        <v>45763.38646947917</v>
      </c>
      <c r="C162" t="s">
        <v>195</v>
      </c>
      <c r="D162">
        <v>100</v>
      </c>
      <c r="E162" s="1">
        <v>45738</v>
      </c>
      <c r="F162">
        <v>1</v>
      </c>
      <c r="G162" t="s">
        <v>727</v>
      </c>
      <c r="H162" t="s">
        <v>171</v>
      </c>
      <c r="I162" t="s">
        <v>1272</v>
      </c>
      <c r="J162" t="s">
        <v>1273</v>
      </c>
      <c r="K162" t="s">
        <v>173</v>
      </c>
      <c r="L162">
        <v>32</v>
      </c>
      <c r="M162" t="s">
        <v>174</v>
      </c>
      <c r="N162">
        <v>0</v>
      </c>
      <c r="O162">
        <v>0</v>
      </c>
      <c r="P162">
        <v>0</v>
      </c>
      <c r="Q162">
        <v>0</v>
      </c>
      <c r="R162" t="s">
        <v>175</v>
      </c>
      <c r="S162">
        <v>52</v>
      </c>
      <c r="T162" t="str">
        <f t="shared" si="4"/>
        <v>41 a 55</v>
      </c>
      <c r="U162" t="s">
        <v>173</v>
      </c>
      <c r="W162" t="s">
        <v>176</v>
      </c>
      <c r="Y162" t="s">
        <v>214</v>
      </c>
      <c r="Z162" t="s">
        <v>239</v>
      </c>
      <c r="AA162" t="s">
        <v>179</v>
      </c>
      <c r="AB162" t="s">
        <v>201</v>
      </c>
      <c r="AC162" t="s">
        <v>216</v>
      </c>
      <c r="AD162" t="s">
        <v>1274</v>
      </c>
      <c r="AG162" t="s">
        <v>202</v>
      </c>
      <c r="AH162" t="s">
        <v>449</v>
      </c>
      <c r="AI162">
        <v>0</v>
      </c>
      <c r="AJ162">
        <v>1</v>
      </c>
      <c r="AK162">
        <v>1</v>
      </c>
      <c r="AL162">
        <v>1</v>
      </c>
      <c r="AM162">
        <v>0</v>
      </c>
      <c r="AN162" t="s">
        <v>297</v>
      </c>
      <c r="AO162" t="s">
        <v>192</v>
      </c>
      <c r="AP162" t="s">
        <v>192</v>
      </c>
      <c r="AQ162" t="s">
        <v>192</v>
      </c>
      <c r="AZ162" t="s">
        <v>192</v>
      </c>
      <c r="BW162">
        <f t="shared" si="5"/>
        <v>0</v>
      </c>
      <c r="BY162" t="s">
        <v>173</v>
      </c>
      <c r="BZ162" t="s">
        <v>186</v>
      </c>
      <c r="CA162" t="s">
        <v>192</v>
      </c>
      <c r="CC162" t="s">
        <v>192</v>
      </c>
      <c r="CE162" t="s">
        <v>192</v>
      </c>
      <c r="CG162" t="s">
        <v>173</v>
      </c>
      <c r="CH162" t="s">
        <v>186</v>
      </c>
      <c r="CI162" t="s">
        <v>192</v>
      </c>
      <c r="CK162" t="s">
        <v>173</v>
      </c>
      <c r="CL162" t="s">
        <v>186</v>
      </c>
      <c r="CM162" t="s">
        <v>192</v>
      </c>
      <c r="CO162" t="s">
        <v>192</v>
      </c>
      <c r="CQ162" t="s">
        <v>173</v>
      </c>
      <c r="CR162" t="s">
        <v>186</v>
      </c>
      <c r="CS162" t="s">
        <v>192</v>
      </c>
      <c r="CU162" t="s">
        <v>192</v>
      </c>
      <c r="CW162" t="s">
        <v>192</v>
      </c>
      <c r="CY162" t="s">
        <v>173</v>
      </c>
      <c r="CZ162" t="s">
        <v>186</v>
      </c>
      <c r="DA162" t="s">
        <v>192</v>
      </c>
      <c r="DC162" t="s">
        <v>192</v>
      </c>
      <c r="DE162" t="s">
        <v>192</v>
      </c>
      <c r="DH162" t="s">
        <v>173</v>
      </c>
      <c r="DI162" t="s">
        <v>186</v>
      </c>
      <c r="DJ162" t="s">
        <v>192</v>
      </c>
      <c r="DL162" t="s">
        <v>192</v>
      </c>
      <c r="DO162" t="s">
        <v>192</v>
      </c>
      <c r="DR162" t="s">
        <v>192</v>
      </c>
      <c r="DU162" t="s">
        <v>173</v>
      </c>
      <c r="DV162" t="s">
        <v>192</v>
      </c>
      <c r="DX162" t="s">
        <v>173</v>
      </c>
      <c r="DY162" t="s">
        <v>173</v>
      </c>
      <c r="DZ162" t="s">
        <v>188</v>
      </c>
      <c r="EA162" t="s">
        <v>192</v>
      </c>
      <c r="ED162" t="s">
        <v>173</v>
      </c>
      <c r="EE162" t="s">
        <v>173</v>
      </c>
      <c r="EF162" t="s">
        <v>191</v>
      </c>
      <c r="EG162" t="s">
        <v>173</v>
      </c>
      <c r="EH162" t="s">
        <v>192</v>
      </c>
      <c r="EJ162" t="s">
        <v>173</v>
      </c>
      <c r="EK162" t="s">
        <v>192</v>
      </c>
      <c r="EM162" t="s">
        <v>192</v>
      </c>
      <c r="EQ162" t="s">
        <v>1275</v>
      </c>
      <c r="ET162" t="s">
        <v>173</v>
      </c>
      <c r="EU162" t="s">
        <v>173</v>
      </c>
      <c r="EV162" t="s">
        <v>550</v>
      </c>
      <c r="EW162">
        <v>0</v>
      </c>
      <c r="EX162">
        <v>0</v>
      </c>
      <c r="EY162">
        <v>0</v>
      </c>
      <c r="EZ162">
        <v>0</v>
      </c>
      <c r="FA162">
        <v>1</v>
      </c>
      <c r="FB162">
        <v>0</v>
      </c>
      <c r="FC162">
        <v>0</v>
      </c>
      <c r="FD162">
        <v>0</v>
      </c>
      <c r="FE162">
        <v>1</v>
      </c>
      <c r="FF162" t="s">
        <v>1276</v>
      </c>
      <c r="FH162">
        <v>83917485</v>
      </c>
      <c r="FI162" t="s">
        <v>1277</v>
      </c>
      <c r="FJ162" s="1">
        <v>45763.594814814824</v>
      </c>
      <c r="FM162" t="s">
        <v>193</v>
      </c>
      <c r="FO162" t="s">
        <v>1082</v>
      </c>
      <c r="FQ162">
        <v>162</v>
      </c>
    </row>
    <row r="163" spans="1:173" x14ac:dyDescent="0.25">
      <c r="A163" s="1">
        <v>45763.386469907397</v>
      </c>
      <c r="B163" s="1">
        <v>45763.392265567127</v>
      </c>
      <c r="C163" t="s">
        <v>195</v>
      </c>
      <c r="D163">
        <v>99</v>
      </c>
      <c r="E163" s="1">
        <v>45738</v>
      </c>
      <c r="F163">
        <v>1</v>
      </c>
      <c r="G163" t="s">
        <v>429</v>
      </c>
      <c r="H163" t="s">
        <v>171</v>
      </c>
      <c r="I163" t="s">
        <v>1278</v>
      </c>
      <c r="J163" t="s">
        <v>1279</v>
      </c>
      <c r="K163" t="s">
        <v>173</v>
      </c>
      <c r="L163">
        <v>35</v>
      </c>
      <c r="M163" t="s">
        <v>174</v>
      </c>
      <c r="N163">
        <v>0</v>
      </c>
      <c r="O163">
        <v>0</v>
      </c>
      <c r="P163">
        <v>0</v>
      </c>
      <c r="Q163">
        <v>0</v>
      </c>
      <c r="R163" t="s">
        <v>251</v>
      </c>
      <c r="S163">
        <v>52</v>
      </c>
      <c r="T163" t="str">
        <f t="shared" si="4"/>
        <v>41 a 55</v>
      </c>
      <c r="U163" t="s">
        <v>173</v>
      </c>
      <c r="W163" t="s">
        <v>176</v>
      </c>
      <c r="Y163" t="s">
        <v>214</v>
      </c>
      <c r="Z163" t="s">
        <v>178</v>
      </c>
      <c r="AA163" t="s">
        <v>179</v>
      </c>
      <c r="AB163" t="s">
        <v>189</v>
      </c>
      <c r="AC163" t="s">
        <v>202</v>
      </c>
      <c r="AD163" t="s">
        <v>1280</v>
      </c>
      <c r="AE163" t="s">
        <v>1281</v>
      </c>
      <c r="AF163" t="s">
        <v>1282</v>
      </c>
      <c r="AG163" t="s">
        <v>202</v>
      </c>
      <c r="AH163" t="s">
        <v>556</v>
      </c>
      <c r="AI163">
        <v>0</v>
      </c>
      <c r="AJ163">
        <v>0</v>
      </c>
      <c r="AK163">
        <v>1</v>
      </c>
      <c r="AL163">
        <v>1</v>
      </c>
      <c r="AM163">
        <v>0</v>
      </c>
      <c r="AN163" t="s">
        <v>297</v>
      </c>
      <c r="AO163" t="s">
        <v>192</v>
      </c>
      <c r="AP163" t="s">
        <v>173</v>
      </c>
      <c r="AQ163" t="s">
        <v>173</v>
      </c>
      <c r="AR163" t="s">
        <v>298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</v>
      </c>
      <c r="AY163" t="s">
        <v>1283</v>
      </c>
      <c r="AZ163" t="s">
        <v>192</v>
      </c>
      <c r="BW163">
        <f t="shared" si="5"/>
        <v>0</v>
      </c>
      <c r="BY163" t="s">
        <v>192</v>
      </c>
      <c r="CA163" t="s">
        <v>192</v>
      </c>
      <c r="CC163" t="s">
        <v>173</v>
      </c>
      <c r="CD163" t="s">
        <v>186</v>
      </c>
      <c r="CE163" t="s">
        <v>192</v>
      </c>
      <c r="CG163" t="s">
        <v>189</v>
      </c>
      <c r="CI163" t="s">
        <v>173</v>
      </c>
      <c r="CJ163" t="s">
        <v>185</v>
      </c>
      <c r="CK163" t="s">
        <v>173</v>
      </c>
      <c r="CL163" t="s">
        <v>186</v>
      </c>
      <c r="CM163" t="s">
        <v>192</v>
      </c>
      <c r="CO163" t="s">
        <v>192</v>
      </c>
      <c r="CQ163" t="s">
        <v>173</v>
      </c>
      <c r="CR163" t="s">
        <v>185</v>
      </c>
      <c r="CS163" t="s">
        <v>192</v>
      </c>
      <c r="CU163" t="s">
        <v>192</v>
      </c>
      <c r="CW163" t="s">
        <v>192</v>
      </c>
      <c r="CY163" t="s">
        <v>173</v>
      </c>
      <c r="CZ163" t="s">
        <v>185</v>
      </c>
      <c r="DA163" t="s">
        <v>192</v>
      </c>
      <c r="DC163" t="s">
        <v>192</v>
      </c>
      <c r="DE163" t="s">
        <v>192</v>
      </c>
      <c r="DH163" t="s">
        <v>173</v>
      </c>
      <c r="DI163" t="s">
        <v>186</v>
      </c>
      <c r="DJ163" t="s">
        <v>192</v>
      </c>
      <c r="DL163" t="s">
        <v>173</v>
      </c>
      <c r="DM163" t="s">
        <v>173</v>
      </c>
      <c r="DN163" t="s">
        <v>191</v>
      </c>
      <c r="DO163" t="s">
        <v>192</v>
      </c>
      <c r="DR163" t="s">
        <v>173</v>
      </c>
      <c r="DS163" t="s">
        <v>192</v>
      </c>
      <c r="DU163" t="s">
        <v>173</v>
      </c>
      <c r="DV163" t="s">
        <v>173</v>
      </c>
      <c r="DW163" t="s">
        <v>188</v>
      </c>
      <c r="DX163" t="s">
        <v>173</v>
      </c>
      <c r="DY163" t="s">
        <v>173</v>
      </c>
      <c r="DZ163" t="s">
        <v>188</v>
      </c>
      <c r="EA163" t="s">
        <v>192</v>
      </c>
      <c r="ED163" t="s">
        <v>173</v>
      </c>
      <c r="EE163" t="s">
        <v>173</v>
      </c>
      <c r="EF163" t="s">
        <v>188</v>
      </c>
      <c r="EG163" t="s">
        <v>173</v>
      </c>
      <c r="EH163" t="s">
        <v>173</v>
      </c>
      <c r="EI163" t="s">
        <v>191</v>
      </c>
      <c r="EJ163" t="s">
        <v>192</v>
      </c>
      <c r="EM163" t="s">
        <v>192</v>
      </c>
      <c r="EQ163" t="s">
        <v>1284</v>
      </c>
      <c r="ER163" t="s">
        <v>405</v>
      </c>
      <c r="ET163" t="s">
        <v>173</v>
      </c>
      <c r="EU163" t="s">
        <v>173</v>
      </c>
      <c r="EV163" t="s">
        <v>208</v>
      </c>
      <c r="EW163">
        <v>0</v>
      </c>
      <c r="EX163">
        <v>0</v>
      </c>
      <c r="EY163">
        <v>0</v>
      </c>
      <c r="EZ163">
        <v>0</v>
      </c>
      <c r="FA163">
        <v>1</v>
      </c>
      <c r="FB163">
        <v>0</v>
      </c>
      <c r="FC163">
        <v>0</v>
      </c>
      <c r="FD163">
        <v>0</v>
      </c>
      <c r="FE163">
        <v>0</v>
      </c>
      <c r="FH163">
        <v>83917733</v>
      </c>
      <c r="FI163" t="s">
        <v>1285</v>
      </c>
      <c r="FJ163" s="1">
        <v>45763.600613425922</v>
      </c>
      <c r="FM163" t="s">
        <v>193</v>
      </c>
      <c r="FO163" t="s">
        <v>1082</v>
      </c>
      <c r="FQ163">
        <v>163</v>
      </c>
    </row>
    <row r="164" spans="1:173" x14ac:dyDescent="0.25">
      <c r="A164" s="1">
        <v>45763.392265995368</v>
      </c>
      <c r="B164" s="1">
        <v>45763.399603472222</v>
      </c>
      <c r="C164" t="s">
        <v>195</v>
      </c>
      <c r="D164">
        <v>97</v>
      </c>
      <c r="E164" s="1">
        <v>45738</v>
      </c>
      <c r="F164">
        <v>1</v>
      </c>
      <c r="G164" t="s">
        <v>727</v>
      </c>
      <c r="H164" t="s">
        <v>1286</v>
      </c>
      <c r="I164" t="s">
        <v>1287</v>
      </c>
      <c r="J164" t="s">
        <v>1288</v>
      </c>
      <c r="K164" t="s">
        <v>173</v>
      </c>
      <c r="L164">
        <v>40</v>
      </c>
      <c r="M164" t="s">
        <v>174</v>
      </c>
      <c r="N164">
        <v>0</v>
      </c>
      <c r="O164">
        <v>0</v>
      </c>
      <c r="P164">
        <v>0</v>
      </c>
      <c r="Q164">
        <v>0</v>
      </c>
      <c r="R164" t="s">
        <v>251</v>
      </c>
      <c r="S164">
        <v>52</v>
      </c>
      <c r="T164" t="str">
        <f t="shared" si="4"/>
        <v>41 a 55</v>
      </c>
      <c r="U164" t="s">
        <v>173</v>
      </c>
      <c r="W164" t="s">
        <v>176</v>
      </c>
      <c r="Y164" t="s">
        <v>214</v>
      </c>
      <c r="Z164" t="s">
        <v>239</v>
      </c>
      <c r="AA164" t="s">
        <v>179</v>
      </c>
      <c r="AB164" t="s">
        <v>215</v>
      </c>
      <c r="AC164" t="s">
        <v>216</v>
      </c>
      <c r="AD164" t="s">
        <v>306</v>
      </c>
      <c r="AE164" t="s">
        <v>1289</v>
      </c>
      <c r="AF164" t="s">
        <v>1290</v>
      </c>
      <c r="AG164" t="s">
        <v>216</v>
      </c>
      <c r="AH164" t="s">
        <v>244</v>
      </c>
      <c r="AI164">
        <v>0</v>
      </c>
      <c r="AJ164">
        <v>1</v>
      </c>
      <c r="AK164">
        <v>1</v>
      </c>
      <c r="AL164">
        <v>0</v>
      </c>
      <c r="AM164">
        <v>0</v>
      </c>
      <c r="AN164" t="s">
        <v>297</v>
      </c>
      <c r="AO164" t="s">
        <v>192</v>
      </c>
      <c r="AP164" t="s">
        <v>173</v>
      </c>
      <c r="AQ164" t="s">
        <v>192</v>
      </c>
      <c r="AZ164" t="s">
        <v>192</v>
      </c>
      <c r="BW164">
        <f t="shared" si="5"/>
        <v>0</v>
      </c>
      <c r="BY164" t="s">
        <v>173</v>
      </c>
      <c r="BZ164" t="s">
        <v>186</v>
      </c>
      <c r="CA164" t="s">
        <v>192</v>
      </c>
      <c r="CC164" t="s">
        <v>192</v>
      </c>
      <c r="CE164" t="s">
        <v>173</v>
      </c>
      <c r="CF164" t="s">
        <v>185</v>
      </c>
      <c r="CG164" t="s">
        <v>173</v>
      </c>
      <c r="CH164" t="s">
        <v>187</v>
      </c>
      <c r="CI164" t="s">
        <v>173</v>
      </c>
      <c r="CJ164" t="s">
        <v>185</v>
      </c>
      <c r="CK164" t="s">
        <v>173</v>
      </c>
      <c r="CL164" t="s">
        <v>186</v>
      </c>
      <c r="CM164" t="s">
        <v>192</v>
      </c>
      <c r="CO164" t="s">
        <v>192</v>
      </c>
      <c r="CQ164" t="s">
        <v>173</v>
      </c>
      <c r="CR164" t="s">
        <v>186</v>
      </c>
      <c r="CS164" t="s">
        <v>173</v>
      </c>
      <c r="CT164" t="s">
        <v>186</v>
      </c>
      <c r="CU164" t="s">
        <v>192</v>
      </c>
      <c r="CW164" t="s">
        <v>192</v>
      </c>
      <c r="CY164" t="s">
        <v>173</v>
      </c>
      <c r="CZ164" t="s">
        <v>185</v>
      </c>
      <c r="DA164" t="s">
        <v>192</v>
      </c>
      <c r="DC164" t="s">
        <v>173</v>
      </c>
      <c r="DD164" t="s">
        <v>185</v>
      </c>
      <c r="DE164" t="s">
        <v>192</v>
      </c>
      <c r="DH164" t="s">
        <v>173</v>
      </c>
      <c r="DI164" t="s">
        <v>186</v>
      </c>
      <c r="DJ164" t="s">
        <v>192</v>
      </c>
      <c r="DL164" t="s">
        <v>173</v>
      </c>
      <c r="DM164" t="s">
        <v>192</v>
      </c>
      <c r="DO164" t="s">
        <v>173</v>
      </c>
      <c r="DP164" t="s">
        <v>192</v>
      </c>
      <c r="DR164" t="s">
        <v>192</v>
      </c>
      <c r="DU164" t="s">
        <v>173</v>
      </c>
      <c r="DV164" t="s">
        <v>173</v>
      </c>
      <c r="DW164" t="s">
        <v>190</v>
      </c>
      <c r="DX164" t="s">
        <v>173</v>
      </c>
      <c r="DY164" t="s">
        <v>173</v>
      </c>
      <c r="DZ164" t="s">
        <v>191</v>
      </c>
      <c r="EA164" t="s">
        <v>192</v>
      </c>
      <c r="ED164" t="s">
        <v>173</v>
      </c>
      <c r="EE164" t="s">
        <v>192</v>
      </c>
      <c r="EG164" t="s">
        <v>173</v>
      </c>
      <c r="EH164" t="s">
        <v>192</v>
      </c>
      <c r="EJ164" t="s">
        <v>192</v>
      </c>
      <c r="EM164" t="s">
        <v>192</v>
      </c>
      <c r="EQ164" t="s">
        <v>1291</v>
      </c>
      <c r="ER164" t="s">
        <v>1292</v>
      </c>
      <c r="ET164" t="s">
        <v>173</v>
      </c>
      <c r="EU164" t="s">
        <v>173</v>
      </c>
      <c r="EV164" t="s">
        <v>550</v>
      </c>
      <c r="EW164">
        <v>0</v>
      </c>
      <c r="EX164">
        <v>0</v>
      </c>
      <c r="EY164">
        <v>0</v>
      </c>
      <c r="EZ164">
        <v>0</v>
      </c>
      <c r="FA164">
        <v>1</v>
      </c>
      <c r="FB164">
        <v>0</v>
      </c>
      <c r="FC164">
        <v>0</v>
      </c>
      <c r="FD164">
        <v>0</v>
      </c>
      <c r="FE164">
        <v>1</v>
      </c>
      <c r="FF164" t="s">
        <v>1276</v>
      </c>
      <c r="FH164">
        <v>83918052</v>
      </c>
      <c r="FI164" t="s">
        <v>1293</v>
      </c>
      <c r="FJ164" s="1">
        <v>45763.607951388891</v>
      </c>
      <c r="FM164" t="s">
        <v>193</v>
      </c>
      <c r="FO164" t="s">
        <v>1082</v>
      </c>
      <c r="FQ164">
        <v>164</v>
      </c>
    </row>
    <row r="165" spans="1:173" x14ac:dyDescent="0.25">
      <c r="A165" s="1">
        <v>45763.399604016202</v>
      </c>
      <c r="B165" s="1">
        <v>45763.417115798613</v>
      </c>
      <c r="C165" t="s">
        <v>195</v>
      </c>
      <c r="D165">
        <v>96</v>
      </c>
      <c r="E165" s="1">
        <v>45738</v>
      </c>
      <c r="F165">
        <v>1</v>
      </c>
      <c r="G165" t="s">
        <v>429</v>
      </c>
      <c r="H165" t="s">
        <v>171</v>
      </c>
      <c r="I165" t="s">
        <v>1294</v>
      </c>
      <c r="J165" t="s">
        <v>729</v>
      </c>
      <c r="K165" t="s">
        <v>173</v>
      </c>
      <c r="L165">
        <v>40</v>
      </c>
      <c r="M165" t="s">
        <v>174</v>
      </c>
      <c r="N165">
        <v>0</v>
      </c>
      <c r="O165">
        <v>0</v>
      </c>
      <c r="P165">
        <v>0</v>
      </c>
      <c r="Q165">
        <v>0</v>
      </c>
      <c r="R165" t="s">
        <v>251</v>
      </c>
      <c r="S165">
        <v>52</v>
      </c>
      <c r="T165" t="str">
        <f t="shared" si="4"/>
        <v>41 a 55</v>
      </c>
      <c r="U165" t="s">
        <v>173</v>
      </c>
      <c r="W165" t="s">
        <v>176</v>
      </c>
      <c r="Y165" t="s">
        <v>214</v>
      </c>
      <c r="Z165" t="s">
        <v>178</v>
      </c>
      <c r="AA165" t="s">
        <v>179</v>
      </c>
      <c r="AB165" t="s">
        <v>189</v>
      </c>
      <c r="AC165" t="s">
        <v>216</v>
      </c>
      <c r="AD165" t="s">
        <v>1295</v>
      </c>
      <c r="AE165" t="s">
        <v>1296</v>
      </c>
      <c r="AF165" t="s">
        <v>1297</v>
      </c>
      <c r="AG165" t="s">
        <v>216</v>
      </c>
      <c r="AH165" t="s">
        <v>244</v>
      </c>
      <c r="AI165">
        <v>0</v>
      </c>
      <c r="AJ165">
        <v>1</v>
      </c>
      <c r="AK165">
        <v>1</v>
      </c>
      <c r="AL165">
        <v>0</v>
      </c>
      <c r="AM165">
        <v>0</v>
      </c>
      <c r="AN165" t="s">
        <v>183</v>
      </c>
      <c r="AO165" t="s">
        <v>192</v>
      </c>
      <c r="AP165" t="s">
        <v>173</v>
      </c>
      <c r="AQ165" t="s">
        <v>192</v>
      </c>
      <c r="AZ165" t="s">
        <v>173</v>
      </c>
      <c r="BA165" t="s">
        <v>418</v>
      </c>
      <c r="BB165">
        <v>1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O165" t="s">
        <v>192</v>
      </c>
      <c r="BW165">
        <f t="shared" si="5"/>
        <v>1</v>
      </c>
      <c r="BY165" t="s">
        <v>192</v>
      </c>
      <c r="CA165" t="s">
        <v>173</v>
      </c>
      <c r="CB165" t="s">
        <v>186</v>
      </c>
      <c r="CC165" t="s">
        <v>189</v>
      </c>
      <c r="CE165" t="s">
        <v>189</v>
      </c>
      <c r="CG165" t="s">
        <v>173</v>
      </c>
      <c r="CH165" t="s">
        <v>187</v>
      </c>
      <c r="CI165" t="s">
        <v>173</v>
      </c>
      <c r="CJ165" t="s">
        <v>185</v>
      </c>
      <c r="CK165" t="s">
        <v>173</v>
      </c>
      <c r="CL165" t="s">
        <v>185</v>
      </c>
      <c r="CM165" t="s">
        <v>192</v>
      </c>
      <c r="CO165" t="s">
        <v>192</v>
      </c>
      <c r="CQ165" t="s">
        <v>192</v>
      </c>
      <c r="CS165" t="s">
        <v>192</v>
      </c>
      <c r="CU165" t="s">
        <v>173</v>
      </c>
      <c r="CV165" t="s">
        <v>185</v>
      </c>
      <c r="CW165" t="s">
        <v>192</v>
      </c>
      <c r="CY165" t="s">
        <v>173</v>
      </c>
      <c r="CZ165" t="s">
        <v>185</v>
      </c>
      <c r="DA165" t="s">
        <v>192</v>
      </c>
      <c r="DC165" t="s">
        <v>192</v>
      </c>
      <c r="DE165" t="s">
        <v>192</v>
      </c>
      <c r="DH165" t="s">
        <v>173</v>
      </c>
      <c r="DI165" t="s">
        <v>187</v>
      </c>
      <c r="DJ165" t="s">
        <v>173</v>
      </c>
      <c r="DL165" t="s">
        <v>173</v>
      </c>
      <c r="DM165" t="s">
        <v>192</v>
      </c>
      <c r="DO165" t="s">
        <v>192</v>
      </c>
      <c r="DR165" t="s">
        <v>192</v>
      </c>
      <c r="DU165" t="s">
        <v>173</v>
      </c>
      <c r="DV165" t="s">
        <v>173</v>
      </c>
      <c r="DW165" t="s">
        <v>191</v>
      </c>
      <c r="DX165" t="s">
        <v>173</v>
      </c>
      <c r="DY165" t="s">
        <v>173</v>
      </c>
      <c r="DZ165" t="s">
        <v>191</v>
      </c>
      <c r="EA165" t="s">
        <v>192</v>
      </c>
      <c r="ED165" t="s">
        <v>173</v>
      </c>
      <c r="EE165" t="s">
        <v>173</v>
      </c>
      <c r="EF165" t="s">
        <v>191</v>
      </c>
      <c r="EG165" t="s">
        <v>173</v>
      </c>
      <c r="EH165" t="s">
        <v>173</v>
      </c>
      <c r="EI165" t="s">
        <v>190</v>
      </c>
      <c r="EJ165" t="s">
        <v>192</v>
      </c>
      <c r="EM165" t="s">
        <v>192</v>
      </c>
      <c r="EQ165" t="s">
        <v>1298</v>
      </c>
      <c r="ER165" t="s">
        <v>1299</v>
      </c>
      <c r="ET165" t="s">
        <v>173</v>
      </c>
      <c r="EU165" t="s">
        <v>173</v>
      </c>
      <c r="EV165" t="s">
        <v>223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1</v>
      </c>
      <c r="FF165" t="s">
        <v>1300</v>
      </c>
      <c r="FH165">
        <v>83918961</v>
      </c>
      <c r="FI165" t="s">
        <v>1301</v>
      </c>
      <c r="FJ165" s="1">
        <v>45763.625462962962</v>
      </c>
      <c r="FM165" t="s">
        <v>193</v>
      </c>
      <c r="FO165" t="s">
        <v>1082</v>
      </c>
      <c r="FQ165">
        <v>165</v>
      </c>
    </row>
    <row r="166" spans="1:173" x14ac:dyDescent="0.25">
      <c r="A166" s="1">
        <v>45763.417116215278</v>
      </c>
      <c r="B166" s="1">
        <v>45763.420170983787</v>
      </c>
      <c r="C166" t="s">
        <v>195</v>
      </c>
      <c r="D166">
        <v>95</v>
      </c>
      <c r="E166" s="1">
        <v>45738</v>
      </c>
      <c r="F166">
        <v>1</v>
      </c>
      <c r="G166" t="s">
        <v>335</v>
      </c>
      <c r="H166" t="s">
        <v>171</v>
      </c>
      <c r="I166" t="s">
        <v>1302</v>
      </c>
      <c r="J166" t="s">
        <v>1288</v>
      </c>
      <c r="K166" t="s">
        <v>173</v>
      </c>
      <c r="L166">
        <v>20</v>
      </c>
      <c r="M166" t="s">
        <v>174</v>
      </c>
      <c r="N166">
        <v>0</v>
      </c>
      <c r="O166">
        <v>0</v>
      </c>
      <c r="P166">
        <v>0</v>
      </c>
      <c r="Q166">
        <v>0</v>
      </c>
      <c r="R166" t="s">
        <v>251</v>
      </c>
      <c r="S166">
        <v>40</v>
      </c>
      <c r="T166" t="str">
        <f t="shared" si="4"/>
        <v>26 a 40</v>
      </c>
      <c r="U166" t="s">
        <v>173</v>
      </c>
      <c r="W166" t="s">
        <v>176</v>
      </c>
      <c r="Y166" t="s">
        <v>214</v>
      </c>
      <c r="Z166" t="s">
        <v>364</v>
      </c>
      <c r="AA166" t="s">
        <v>179</v>
      </c>
      <c r="AB166" t="s">
        <v>215</v>
      </c>
      <c r="AC166" t="s">
        <v>216</v>
      </c>
      <c r="AD166" t="s">
        <v>647</v>
      </c>
      <c r="AE166" t="s">
        <v>1303</v>
      </c>
      <c r="AG166" t="s">
        <v>216</v>
      </c>
      <c r="AH166" t="s">
        <v>244</v>
      </c>
      <c r="AI166">
        <v>0</v>
      </c>
      <c r="AJ166">
        <v>1</v>
      </c>
      <c r="AK166">
        <v>1</v>
      </c>
      <c r="AL166">
        <v>0</v>
      </c>
      <c r="AM166">
        <v>0</v>
      </c>
      <c r="AN166" t="s">
        <v>183</v>
      </c>
      <c r="AO166" t="s">
        <v>173</v>
      </c>
      <c r="AP166" t="s">
        <v>173</v>
      </c>
      <c r="AQ166" t="s">
        <v>173</v>
      </c>
      <c r="AR166" t="s">
        <v>298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1</v>
      </c>
      <c r="AY166" t="s">
        <v>738</v>
      </c>
      <c r="AZ166" t="s">
        <v>173</v>
      </c>
      <c r="BA166" t="s">
        <v>254</v>
      </c>
      <c r="BB166">
        <v>0</v>
      </c>
      <c r="BC166">
        <v>1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P166" t="s">
        <v>192</v>
      </c>
      <c r="BW166">
        <f t="shared" si="5"/>
        <v>1</v>
      </c>
      <c r="BY166" t="s">
        <v>173</v>
      </c>
      <c r="BZ166" t="s">
        <v>186</v>
      </c>
      <c r="CA166" t="s">
        <v>173</v>
      </c>
      <c r="CB166" t="s">
        <v>186</v>
      </c>
      <c r="CC166" t="s">
        <v>173</v>
      </c>
      <c r="CD166" t="s">
        <v>186</v>
      </c>
      <c r="CE166" t="s">
        <v>192</v>
      </c>
      <c r="CG166" t="s">
        <v>192</v>
      </c>
      <c r="CI166" t="s">
        <v>173</v>
      </c>
      <c r="CJ166" t="s">
        <v>185</v>
      </c>
      <c r="CK166" t="s">
        <v>173</v>
      </c>
      <c r="CL166" t="s">
        <v>186</v>
      </c>
      <c r="CM166" t="s">
        <v>192</v>
      </c>
      <c r="CO166" t="s">
        <v>192</v>
      </c>
      <c r="CQ166" t="s">
        <v>173</v>
      </c>
      <c r="CR166" t="s">
        <v>185</v>
      </c>
      <c r="CS166" t="s">
        <v>192</v>
      </c>
      <c r="CU166" t="s">
        <v>192</v>
      </c>
      <c r="CW166" t="s">
        <v>192</v>
      </c>
      <c r="CY166" t="s">
        <v>192</v>
      </c>
      <c r="DA166" t="s">
        <v>192</v>
      </c>
      <c r="DC166" t="s">
        <v>173</v>
      </c>
      <c r="DD166" t="s">
        <v>185</v>
      </c>
      <c r="DE166" t="s">
        <v>173</v>
      </c>
      <c r="DF166" t="s">
        <v>1304</v>
      </c>
      <c r="DG166" t="s">
        <v>185</v>
      </c>
      <c r="DH166" t="s">
        <v>173</v>
      </c>
      <c r="DI166" t="s">
        <v>187</v>
      </c>
      <c r="DJ166" t="s">
        <v>192</v>
      </c>
      <c r="DL166" t="s">
        <v>192</v>
      </c>
      <c r="DO166" t="s">
        <v>192</v>
      </c>
      <c r="DR166" t="s">
        <v>192</v>
      </c>
      <c r="DU166" t="s">
        <v>192</v>
      </c>
      <c r="DX166" t="s">
        <v>173</v>
      </c>
      <c r="DY166" t="s">
        <v>173</v>
      </c>
      <c r="DZ166" t="s">
        <v>188</v>
      </c>
      <c r="EA166" t="s">
        <v>173</v>
      </c>
      <c r="EB166" t="s">
        <v>192</v>
      </c>
      <c r="ED166" t="s">
        <v>173</v>
      </c>
      <c r="EE166" t="s">
        <v>173</v>
      </c>
      <c r="EF166" t="s">
        <v>188</v>
      </c>
      <c r="EG166" t="s">
        <v>192</v>
      </c>
      <c r="EJ166" t="s">
        <v>173</v>
      </c>
      <c r="EK166" t="s">
        <v>173</v>
      </c>
      <c r="EL166" t="s">
        <v>188</v>
      </c>
      <c r="EM166" t="s">
        <v>192</v>
      </c>
      <c r="EQ166" t="s">
        <v>1305</v>
      </c>
      <c r="ER166" t="s">
        <v>1306</v>
      </c>
      <c r="ET166" t="s">
        <v>173</v>
      </c>
      <c r="EU166" t="s">
        <v>173</v>
      </c>
      <c r="EV166" t="s">
        <v>208</v>
      </c>
      <c r="EW166">
        <v>0</v>
      </c>
      <c r="EX166">
        <v>0</v>
      </c>
      <c r="EY166">
        <v>0</v>
      </c>
      <c r="EZ166">
        <v>0</v>
      </c>
      <c r="FA166">
        <v>1</v>
      </c>
      <c r="FB166">
        <v>0</v>
      </c>
      <c r="FC166">
        <v>0</v>
      </c>
      <c r="FD166">
        <v>0</v>
      </c>
      <c r="FE166">
        <v>0</v>
      </c>
      <c r="FH166">
        <v>83919145</v>
      </c>
      <c r="FI166" t="s">
        <v>1307</v>
      </c>
      <c r="FJ166" s="1">
        <v>45763.628518518519</v>
      </c>
      <c r="FM166" t="s">
        <v>193</v>
      </c>
      <c r="FO166" t="s">
        <v>1082</v>
      </c>
      <c r="FQ166">
        <v>166</v>
      </c>
    </row>
    <row r="167" spans="1:173" x14ac:dyDescent="0.25">
      <c r="A167" s="1">
        <v>45763.420171516213</v>
      </c>
      <c r="B167" s="1">
        <v>45763.422538321764</v>
      </c>
      <c r="C167" t="s">
        <v>195</v>
      </c>
      <c r="D167">
        <v>94</v>
      </c>
      <c r="E167" s="1">
        <v>45738</v>
      </c>
      <c r="F167">
        <v>1</v>
      </c>
      <c r="G167" t="s">
        <v>727</v>
      </c>
      <c r="H167" t="s">
        <v>171</v>
      </c>
      <c r="I167" t="s">
        <v>1308</v>
      </c>
      <c r="J167" t="s">
        <v>1136</v>
      </c>
      <c r="K167" t="s">
        <v>173</v>
      </c>
      <c r="L167">
        <v>38</v>
      </c>
      <c r="M167" t="s">
        <v>174</v>
      </c>
      <c r="N167">
        <v>0</v>
      </c>
      <c r="O167">
        <v>0</v>
      </c>
      <c r="P167">
        <v>0</v>
      </c>
      <c r="Q167">
        <v>0</v>
      </c>
      <c r="R167" t="s">
        <v>251</v>
      </c>
      <c r="S167">
        <v>52</v>
      </c>
      <c r="T167" t="str">
        <f t="shared" si="4"/>
        <v>41 a 55</v>
      </c>
      <c r="U167" t="s">
        <v>173</v>
      </c>
      <c r="W167" t="s">
        <v>238</v>
      </c>
      <c r="Y167" t="s">
        <v>214</v>
      </c>
      <c r="Z167" t="s">
        <v>239</v>
      </c>
      <c r="AA167" t="s">
        <v>240</v>
      </c>
      <c r="AB167" t="s">
        <v>215</v>
      </c>
      <c r="AC167" t="s">
        <v>216</v>
      </c>
      <c r="AD167" t="s">
        <v>1309</v>
      </c>
      <c r="AG167" t="s">
        <v>216</v>
      </c>
      <c r="AH167" t="s">
        <v>449</v>
      </c>
      <c r="AI167">
        <v>0</v>
      </c>
      <c r="AJ167">
        <v>1</v>
      </c>
      <c r="AK167">
        <v>1</v>
      </c>
      <c r="AL167">
        <v>1</v>
      </c>
      <c r="AM167">
        <v>0</v>
      </c>
      <c r="AN167" t="s">
        <v>183</v>
      </c>
      <c r="AO167" t="s">
        <v>173</v>
      </c>
      <c r="AP167" t="s">
        <v>173</v>
      </c>
      <c r="AQ167" t="s">
        <v>192</v>
      </c>
      <c r="AZ167" t="s">
        <v>173</v>
      </c>
      <c r="BA167" t="s">
        <v>418</v>
      </c>
      <c r="BB167">
        <v>1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O167" t="s">
        <v>192</v>
      </c>
      <c r="BW167">
        <f t="shared" si="5"/>
        <v>1</v>
      </c>
      <c r="BY167" t="s">
        <v>173</v>
      </c>
      <c r="BZ167" t="s">
        <v>186</v>
      </c>
      <c r="CA167" t="s">
        <v>192</v>
      </c>
      <c r="CC167" t="s">
        <v>173</v>
      </c>
      <c r="CD167" t="s">
        <v>187</v>
      </c>
      <c r="CE167" t="s">
        <v>173</v>
      </c>
      <c r="CF167" t="s">
        <v>187</v>
      </c>
      <c r="CG167" t="s">
        <v>173</v>
      </c>
      <c r="CH167" t="s">
        <v>187</v>
      </c>
      <c r="CI167" t="s">
        <v>173</v>
      </c>
      <c r="CJ167" t="s">
        <v>187</v>
      </c>
      <c r="CK167" t="s">
        <v>173</v>
      </c>
      <c r="CL167" t="s">
        <v>187</v>
      </c>
      <c r="CM167" t="s">
        <v>192</v>
      </c>
      <c r="CO167" t="s">
        <v>192</v>
      </c>
      <c r="CQ167" t="s">
        <v>173</v>
      </c>
      <c r="CR167" t="s">
        <v>187</v>
      </c>
      <c r="CS167" t="s">
        <v>173</v>
      </c>
      <c r="CT167" t="s">
        <v>187</v>
      </c>
      <c r="CU167" t="s">
        <v>173</v>
      </c>
      <c r="CV167" t="s">
        <v>186</v>
      </c>
      <c r="CW167" t="s">
        <v>173</v>
      </c>
      <c r="CX167" t="s">
        <v>186</v>
      </c>
      <c r="CY167" t="s">
        <v>173</v>
      </c>
      <c r="CZ167" t="s">
        <v>186</v>
      </c>
      <c r="DA167" t="s">
        <v>192</v>
      </c>
      <c r="DC167" t="s">
        <v>173</v>
      </c>
      <c r="DD167" t="s">
        <v>186</v>
      </c>
      <c r="DE167" t="s">
        <v>192</v>
      </c>
      <c r="DH167" t="s">
        <v>192</v>
      </c>
      <c r="DL167" t="s">
        <v>173</v>
      </c>
      <c r="DM167" t="s">
        <v>192</v>
      </c>
      <c r="DO167" t="s">
        <v>173</v>
      </c>
      <c r="DP167" t="s">
        <v>192</v>
      </c>
      <c r="DR167" t="s">
        <v>173</v>
      </c>
      <c r="DS167" t="s">
        <v>192</v>
      </c>
      <c r="DU167" t="s">
        <v>173</v>
      </c>
      <c r="DV167" t="s">
        <v>192</v>
      </c>
      <c r="DX167" t="s">
        <v>173</v>
      </c>
      <c r="DY167" t="s">
        <v>173</v>
      </c>
      <c r="DZ167" t="s">
        <v>191</v>
      </c>
      <c r="EA167" t="s">
        <v>192</v>
      </c>
      <c r="ED167" t="s">
        <v>173</v>
      </c>
      <c r="EE167" t="s">
        <v>173</v>
      </c>
      <c r="EF167" t="s">
        <v>191</v>
      </c>
      <c r="EG167" t="s">
        <v>173</v>
      </c>
      <c r="EH167" t="s">
        <v>192</v>
      </c>
      <c r="EJ167" t="s">
        <v>173</v>
      </c>
      <c r="EK167" t="s">
        <v>192</v>
      </c>
      <c r="EM167" t="s">
        <v>192</v>
      </c>
      <c r="EQ167" t="s">
        <v>1310</v>
      </c>
      <c r="ET167" t="s">
        <v>173</v>
      </c>
      <c r="EU167" t="s">
        <v>173</v>
      </c>
      <c r="EV167" t="s">
        <v>550</v>
      </c>
      <c r="EW167">
        <v>0</v>
      </c>
      <c r="EX167">
        <v>0</v>
      </c>
      <c r="EY167">
        <v>0</v>
      </c>
      <c r="EZ167">
        <v>0</v>
      </c>
      <c r="FA167">
        <v>1</v>
      </c>
      <c r="FB167">
        <v>0</v>
      </c>
      <c r="FC167">
        <v>0</v>
      </c>
      <c r="FD167">
        <v>0</v>
      </c>
      <c r="FE167">
        <v>1</v>
      </c>
      <c r="FF167" t="s">
        <v>1311</v>
      </c>
      <c r="FH167">
        <v>83919202</v>
      </c>
      <c r="FI167" t="s">
        <v>1312</v>
      </c>
      <c r="FJ167" s="1">
        <v>45763.630879629629</v>
      </c>
      <c r="FM167" t="s">
        <v>193</v>
      </c>
      <c r="FO167" t="s">
        <v>1082</v>
      </c>
      <c r="FQ167">
        <v>167</v>
      </c>
    </row>
  </sheetData>
  <autoFilter ref="A1:FQ167" xr:uid="{00000000-0001-0000-02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231"/>
  <sheetViews>
    <sheetView topLeftCell="A129" zoomScale="85" zoomScaleNormal="85" workbookViewId="0">
      <selection activeCell="G141" sqref="G141"/>
    </sheetView>
  </sheetViews>
  <sheetFormatPr baseColWidth="10" defaultRowHeight="15" x14ac:dyDescent="0.25"/>
  <cols>
    <col min="1" max="1" width="17.5703125" customWidth="1"/>
    <col min="2" max="2" width="19.7109375" customWidth="1"/>
    <col min="4" max="4" width="17.5703125" customWidth="1"/>
    <col min="5" max="5" width="23.85546875" customWidth="1"/>
    <col min="7" max="7" width="17.5703125" customWidth="1"/>
    <col min="8" max="8" width="20.28515625" customWidth="1"/>
    <col min="10" max="10" width="17.5703125" customWidth="1"/>
    <col min="11" max="11" width="26" customWidth="1"/>
  </cols>
  <sheetData>
    <row r="3" spans="1:2" x14ac:dyDescent="0.25">
      <c r="A3" s="2" t="s">
        <v>1315</v>
      </c>
      <c r="B3" t="s">
        <v>1317</v>
      </c>
    </row>
    <row r="4" spans="1:2" x14ac:dyDescent="0.25">
      <c r="A4" s="3" t="s">
        <v>181</v>
      </c>
      <c r="B4" s="5">
        <v>5.4216867469879519E-2</v>
      </c>
    </row>
    <row r="5" spans="1:2" x14ac:dyDescent="0.25">
      <c r="A5" s="3" t="s">
        <v>202</v>
      </c>
      <c r="B5" s="5">
        <v>0.63855421686746983</v>
      </c>
    </row>
    <row r="6" spans="1:2" x14ac:dyDescent="0.25">
      <c r="A6" s="3" t="s">
        <v>216</v>
      </c>
      <c r="B6" s="5">
        <v>0.26506024096385544</v>
      </c>
    </row>
    <row r="7" spans="1:2" x14ac:dyDescent="0.25">
      <c r="A7" s="3" t="s">
        <v>339</v>
      </c>
      <c r="B7" s="5">
        <v>4.2168674698795178E-2</v>
      </c>
    </row>
    <row r="8" spans="1:2" x14ac:dyDescent="0.25">
      <c r="A8" s="3" t="s">
        <v>1316</v>
      </c>
      <c r="B8" s="5">
        <v>1</v>
      </c>
    </row>
    <row r="10" spans="1:2" x14ac:dyDescent="0.25">
      <c r="A10" s="2" t="s">
        <v>1315</v>
      </c>
      <c r="B10" t="s">
        <v>1318</v>
      </c>
    </row>
    <row r="11" spans="1:2" x14ac:dyDescent="0.25">
      <c r="A11" s="3" t="s">
        <v>183</v>
      </c>
      <c r="B11" s="5">
        <v>0.42771084337349397</v>
      </c>
    </row>
    <row r="12" spans="1:2" x14ac:dyDescent="0.25">
      <c r="A12" s="3" t="s">
        <v>297</v>
      </c>
      <c r="B12" s="5">
        <v>0.39759036144578314</v>
      </c>
    </row>
    <row r="13" spans="1:2" x14ac:dyDescent="0.25">
      <c r="A13" s="3" t="s">
        <v>205</v>
      </c>
      <c r="B13" s="5">
        <v>0.1746987951807229</v>
      </c>
    </row>
    <row r="14" spans="1:2" x14ac:dyDescent="0.25">
      <c r="A14" s="3" t="s">
        <v>1316</v>
      </c>
      <c r="B14" s="5">
        <v>1</v>
      </c>
    </row>
    <row r="16" spans="1:2" x14ac:dyDescent="0.25">
      <c r="A16" s="2" t="s">
        <v>1315</v>
      </c>
      <c r="B16" t="s">
        <v>1320</v>
      </c>
    </row>
    <row r="17" spans="1:2" x14ac:dyDescent="0.25">
      <c r="A17" s="3" t="s">
        <v>173</v>
      </c>
      <c r="B17" s="5">
        <v>0.14457831325301204</v>
      </c>
    </row>
    <row r="18" spans="1:2" x14ac:dyDescent="0.25">
      <c r="A18" s="3" t="s">
        <v>192</v>
      </c>
      <c r="B18" s="5">
        <v>0.85542168674698793</v>
      </c>
    </row>
    <row r="19" spans="1:2" x14ac:dyDescent="0.25">
      <c r="A19" s="3" t="s">
        <v>1316</v>
      </c>
      <c r="B19" s="5">
        <v>1</v>
      </c>
    </row>
    <row r="22" spans="1:2" x14ac:dyDescent="0.25">
      <c r="A22" s="2" t="s">
        <v>1315</v>
      </c>
      <c r="B22" t="s">
        <v>1321</v>
      </c>
    </row>
    <row r="23" spans="1:2" x14ac:dyDescent="0.25">
      <c r="A23" s="3" t="s">
        <v>173</v>
      </c>
      <c r="B23" s="5">
        <v>0.41566265060240964</v>
      </c>
    </row>
    <row r="24" spans="1:2" x14ac:dyDescent="0.25">
      <c r="A24" s="3" t="s">
        <v>192</v>
      </c>
      <c r="B24" s="5">
        <v>0.58433734939759041</v>
      </c>
    </row>
    <row r="25" spans="1:2" x14ac:dyDescent="0.25">
      <c r="A25" s="3" t="s">
        <v>1316</v>
      </c>
      <c r="B25" s="5">
        <v>1</v>
      </c>
    </row>
    <row r="28" spans="1:2" x14ac:dyDescent="0.25">
      <c r="A28" s="2" t="s">
        <v>1315</v>
      </c>
      <c r="B28" t="s">
        <v>1319</v>
      </c>
    </row>
    <row r="29" spans="1:2" x14ac:dyDescent="0.25">
      <c r="A29" s="3" t="s">
        <v>173</v>
      </c>
      <c r="B29" s="5">
        <v>0.33132530120481929</v>
      </c>
    </row>
    <row r="30" spans="1:2" x14ac:dyDescent="0.25">
      <c r="A30" s="3" t="s">
        <v>192</v>
      </c>
      <c r="B30" s="5">
        <v>0.66265060240963858</v>
      </c>
    </row>
    <row r="31" spans="1:2" x14ac:dyDescent="0.25">
      <c r="A31" s="3" t="s">
        <v>189</v>
      </c>
      <c r="B31" s="5">
        <v>6.024096385542169E-3</v>
      </c>
    </row>
    <row r="32" spans="1:2" x14ac:dyDescent="0.25">
      <c r="A32" s="3" t="s">
        <v>1316</v>
      </c>
      <c r="B32" s="5">
        <v>1</v>
      </c>
    </row>
    <row r="34" spans="1:8" x14ac:dyDescent="0.25">
      <c r="A34" s="2" t="s">
        <v>1315</v>
      </c>
      <c r="B34" t="s">
        <v>1322</v>
      </c>
      <c r="F34" s="2" t="s">
        <v>1315</v>
      </c>
      <c r="G34" t="s">
        <v>1440</v>
      </c>
    </row>
    <row r="35" spans="1:8" x14ac:dyDescent="0.25">
      <c r="A35" s="3" t="s">
        <v>173</v>
      </c>
      <c r="B35" s="5">
        <v>0.14457831325301204</v>
      </c>
      <c r="F35" s="3" t="s">
        <v>173</v>
      </c>
      <c r="G35" s="5">
        <v>1</v>
      </c>
      <c r="H35" s="10" t="s">
        <v>1441</v>
      </c>
    </row>
    <row r="36" spans="1:8" x14ac:dyDescent="0.25">
      <c r="A36" s="3" t="s">
        <v>192</v>
      </c>
      <c r="B36" s="5">
        <v>0.85542168674698793</v>
      </c>
      <c r="F36" s="8">
        <v>0</v>
      </c>
      <c r="G36" s="5">
        <v>0.25</v>
      </c>
      <c r="H36" s="9">
        <f>18/24</f>
        <v>0.75</v>
      </c>
    </row>
    <row r="37" spans="1:8" x14ac:dyDescent="0.25">
      <c r="A37" s="3" t="s">
        <v>1316</v>
      </c>
      <c r="B37" s="5">
        <v>1</v>
      </c>
      <c r="F37" s="8">
        <v>1</v>
      </c>
      <c r="G37" s="5">
        <v>0.75</v>
      </c>
    </row>
    <row r="38" spans="1:8" x14ac:dyDescent="0.25">
      <c r="F38" s="3" t="s">
        <v>1316</v>
      </c>
      <c r="G38" s="5">
        <v>1</v>
      </c>
    </row>
    <row r="39" spans="1:8" x14ac:dyDescent="0.25">
      <c r="A39" s="2" t="s">
        <v>1315</v>
      </c>
      <c r="B39" t="s">
        <v>1323</v>
      </c>
      <c r="G39" s="2" t="s">
        <v>1315</v>
      </c>
      <c r="H39" t="s">
        <v>1324</v>
      </c>
    </row>
    <row r="40" spans="1:8" x14ac:dyDescent="0.25">
      <c r="A40" s="3" t="s">
        <v>173</v>
      </c>
      <c r="B40" s="5">
        <v>0.37349397590361444</v>
      </c>
      <c r="G40" s="3" t="s">
        <v>185</v>
      </c>
      <c r="H40" s="5">
        <v>0.38709677419354838</v>
      </c>
    </row>
    <row r="41" spans="1:8" x14ac:dyDescent="0.25">
      <c r="A41" s="3" t="s">
        <v>192</v>
      </c>
      <c r="B41" s="5">
        <v>0.62650602409638556</v>
      </c>
      <c r="G41" s="3" t="s">
        <v>186</v>
      </c>
      <c r="H41" s="5">
        <v>0.532258064516129</v>
      </c>
    </row>
    <row r="42" spans="1:8" x14ac:dyDescent="0.25">
      <c r="A42" s="3" t="s">
        <v>1316</v>
      </c>
      <c r="B42" s="5">
        <v>1</v>
      </c>
      <c r="G42" s="3" t="s">
        <v>187</v>
      </c>
      <c r="H42" s="5">
        <v>8.0645161290322578E-2</v>
      </c>
    </row>
    <row r="43" spans="1:8" x14ac:dyDescent="0.25">
      <c r="G43" s="3" t="s">
        <v>1316</v>
      </c>
      <c r="H43" s="5">
        <v>1</v>
      </c>
    </row>
    <row r="44" spans="1:8" x14ac:dyDescent="0.25">
      <c r="A44" s="2" t="s">
        <v>1315</v>
      </c>
      <c r="B44" t="s">
        <v>1326</v>
      </c>
      <c r="G44" s="2" t="s">
        <v>1315</v>
      </c>
      <c r="H44" t="s">
        <v>1327</v>
      </c>
    </row>
    <row r="45" spans="1:8" x14ac:dyDescent="0.25">
      <c r="A45" s="3" t="s">
        <v>173</v>
      </c>
      <c r="B45" s="5">
        <v>0.13253012048192772</v>
      </c>
      <c r="G45" s="3" t="s">
        <v>185</v>
      </c>
      <c r="H45" s="5">
        <v>0.90909090909090906</v>
      </c>
    </row>
    <row r="46" spans="1:8" x14ac:dyDescent="0.25">
      <c r="A46" s="3" t="s">
        <v>192</v>
      </c>
      <c r="B46" s="5">
        <v>0.86746987951807231</v>
      </c>
      <c r="G46" s="3" t="s">
        <v>186</v>
      </c>
      <c r="H46" s="5">
        <v>9.0909090909090912E-2</v>
      </c>
    </row>
    <row r="47" spans="1:8" x14ac:dyDescent="0.25">
      <c r="A47" s="3" t="s">
        <v>1316</v>
      </c>
      <c r="B47" s="5">
        <v>1</v>
      </c>
      <c r="G47" s="3" t="s">
        <v>1316</v>
      </c>
      <c r="H47" s="5">
        <v>1</v>
      </c>
    </row>
    <row r="49" spans="1:8" x14ac:dyDescent="0.25">
      <c r="A49" s="2" t="s">
        <v>1315</v>
      </c>
      <c r="B49" t="s">
        <v>1328</v>
      </c>
      <c r="G49" s="2" t="s">
        <v>1315</v>
      </c>
      <c r="H49" t="s">
        <v>1329</v>
      </c>
    </row>
    <row r="50" spans="1:8" x14ac:dyDescent="0.25">
      <c r="A50" s="3" t="s">
        <v>173</v>
      </c>
      <c r="B50" s="5">
        <v>0.65662650602409633</v>
      </c>
      <c r="G50" s="3" t="s">
        <v>185</v>
      </c>
      <c r="H50" s="5">
        <v>0.29357798165137616</v>
      </c>
    </row>
    <row r="51" spans="1:8" x14ac:dyDescent="0.25">
      <c r="A51" s="3" t="s">
        <v>192</v>
      </c>
      <c r="B51" s="5">
        <v>0.33734939759036142</v>
      </c>
      <c r="G51" s="3" t="s">
        <v>186</v>
      </c>
      <c r="H51" s="5">
        <v>0.44954128440366975</v>
      </c>
    </row>
    <row r="52" spans="1:8" x14ac:dyDescent="0.25">
      <c r="A52" s="3" t="s">
        <v>189</v>
      </c>
      <c r="B52" s="5">
        <v>6.024096385542169E-3</v>
      </c>
      <c r="G52" s="3" t="s">
        <v>187</v>
      </c>
      <c r="H52" s="5">
        <v>0.25688073394495414</v>
      </c>
    </row>
    <row r="53" spans="1:8" x14ac:dyDescent="0.25">
      <c r="A53" s="3" t="s">
        <v>1316</v>
      </c>
      <c r="B53" s="5">
        <v>1</v>
      </c>
      <c r="G53" s="3" t="s">
        <v>1316</v>
      </c>
      <c r="H53" s="5">
        <v>1</v>
      </c>
    </row>
    <row r="55" spans="1:8" x14ac:dyDescent="0.25">
      <c r="A55" s="2" t="s">
        <v>1315</v>
      </c>
      <c r="B55" t="s">
        <v>1330</v>
      </c>
      <c r="G55" s="2" t="s">
        <v>1315</v>
      </c>
      <c r="H55" t="s">
        <v>1331</v>
      </c>
    </row>
    <row r="56" spans="1:8" x14ac:dyDescent="0.25">
      <c r="A56" s="3" t="s">
        <v>173</v>
      </c>
      <c r="B56" s="5">
        <v>0.62048192771084343</v>
      </c>
      <c r="G56" s="3" t="s">
        <v>185</v>
      </c>
      <c r="H56" s="5">
        <v>0.36893203883495146</v>
      </c>
    </row>
    <row r="57" spans="1:8" x14ac:dyDescent="0.25">
      <c r="A57" s="3" t="s">
        <v>192</v>
      </c>
      <c r="B57" s="5">
        <v>0.36746987951807231</v>
      </c>
      <c r="G57" s="3" t="s">
        <v>186</v>
      </c>
      <c r="H57" s="5">
        <v>0.42718446601941745</v>
      </c>
    </row>
    <row r="58" spans="1:8" x14ac:dyDescent="0.25">
      <c r="A58" s="3" t="s">
        <v>189</v>
      </c>
      <c r="B58" s="5">
        <v>1.2048192771084338E-2</v>
      </c>
      <c r="G58" s="3" t="s">
        <v>187</v>
      </c>
      <c r="H58" s="5">
        <v>0.20388349514563106</v>
      </c>
    </row>
    <row r="59" spans="1:8" x14ac:dyDescent="0.25">
      <c r="A59" s="3" t="s">
        <v>1316</v>
      </c>
      <c r="B59" s="5">
        <v>1</v>
      </c>
      <c r="G59" s="3" t="s">
        <v>1316</v>
      </c>
      <c r="H59" s="5">
        <v>1</v>
      </c>
    </row>
    <row r="61" spans="1:8" x14ac:dyDescent="0.25">
      <c r="A61" s="2" t="s">
        <v>1315</v>
      </c>
      <c r="B61" t="s">
        <v>1332</v>
      </c>
      <c r="G61" s="2" t="s">
        <v>1315</v>
      </c>
      <c r="H61" t="s">
        <v>1333</v>
      </c>
    </row>
    <row r="62" spans="1:8" x14ac:dyDescent="0.25">
      <c r="A62" s="3" t="s">
        <v>173</v>
      </c>
      <c r="B62" s="5">
        <v>0.31325301204819278</v>
      </c>
      <c r="G62" s="3" t="s">
        <v>185</v>
      </c>
      <c r="H62" s="5">
        <v>0.34615384615384615</v>
      </c>
    </row>
    <row r="63" spans="1:8" x14ac:dyDescent="0.25">
      <c r="A63" s="3" t="s">
        <v>192</v>
      </c>
      <c r="B63" s="5">
        <v>0.62650602409638556</v>
      </c>
      <c r="G63" s="3" t="s">
        <v>186</v>
      </c>
      <c r="H63" s="5">
        <v>0.46153846153846156</v>
      </c>
    </row>
    <row r="64" spans="1:8" x14ac:dyDescent="0.25">
      <c r="A64" s="3" t="s">
        <v>189</v>
      </c>
      <c r="B64" s="5">
        <v>6.0240963855421686E-2</v>
      </c>
      <c r="G64" s="3" t="s">
        <v>187</v>
      </c>
      <c r="H64" s="5">
        <v>0.19230769230769232</v>
      </c>
    </row>
    <row r="65" spans="1:8" x14ac:dyDescent="0.25">
      <c r="A65" s="3" t="s">
        <v>1316</v>
      </c>
      <c r="B65" s="5">
        <v>1</v>
      </c>
      <c r="G65" s="3" t="s">
        <v>1316</v>
      </c>
      <c r="H65" s="5">
        <v>1</v>
      </c>
    </row>
    <row r="67" spans="1:8" x14ac:dyDescent="0.25">
      <c r="A67" s="2" t="s">
        <v>1315</v>
      </c>
      <c r="B67" t="s">
        <v>1334</v>
      </c>
      <c r="G67" s="2" t="s">
        <v>1315</v>
      </c>
      <c r="H67" t="s">
        <v>1335</v>
      </c>
    </row>
    <row r="68" spans="1:8" x14ac:dyDescent="0.25">
      <c r="A68" s="3" t="s">
        <v>173</v>
      </c>
      <c r="B68" s="5">
        <v>0.42771084337349397</v>
      </c>
      <c r="G68" s="3" t="s">
        <v>185</v>
      </c>
      <c r="H68" s="5">
        <v>0.647887323943662</v>
      </c>
    </row>
    <row r="69" spans="1:8" x14ac:dyDescent="0.25">
      <c r="A69" s="3" t="s">
        <v>192</v>
      </c>
      <c r="B69" s="5">
        <v>0.57228915662650603</v>
      </c>
      <c r="G69" s="3" t="s">
        <v>186</v>
      </c>
      <c r="H69" s="5">
        <v>0.323943661971831</v>
      </c>
    </row>
    <row r="70" spans="1:8" x14ac:dyDescent="0.25">
      <c r="A70" s="3" t="s">
        <v>1316</v>
      </c>
      <c r="B70" s="5">
        <v>1</v>
      </c>
      <c r="G70" s="3" t="s">
        <v>187</v>
      </c>
      <c r="H70" s="5">
        <v>2.8169014084507043E-2</v>
      </c>
    </row>
    <row r="71" spans="1:8" x14ac:dyDescent="0.25">
      <c r="G71" s="3" t="s">
        <v>1316</v>
      </c>
      <c r="H71" s="5">
        <v>1</v>
      </c>
    </row>
    <row r="73" spans="1:8" x14ac:dyDescent="0.25">
      <c r="A73" s="2" t="s">
        <v>1315</v>
      </c>
      <c r="B73" t="s">
        <v>1336</v>
      </c>
      <c r="G73" s="2" t="s">
        <v>1315</v>
      </c>
      <c r="H73" t="s">
        <v>1337</v>
      </c>
    </row>
    <row r="74" spans="1:8" x14ac:dyDescent="0.25">
      <c r="A74" s="3" t="s">
        <v>173</v>
      </c>
      <c r="B74" s="5">
        <v>0.68072289156626509</v>
      </c>
      <c r="G74" s="3" t="s">
        <v>185</v>
      </c>
      <c r="H74" s="5">
        <v>0.4336283185840708</v>
      </c>
    </row>
    <row r="75" spans="1:8" x14ac:dyDescent="0.25">
      <c r="A75" s="3" t="s">
        <v>192</v>
      </c>
      <c r="B75" s="5">
        <v>0.31927710843373491</v>
      </c>
      <c r="G75" s="3" t="s">
        <v>186</v>
      </c>
      <c r="H75" s="5">
        <v>0.41592920353982299</v>
      </c>
    </row>
    <row r="76" spans="1:8" x14ac:dyDescent="0.25">
      <c r="A76" s="3" t="s">
        <v>1316</v>
      </c>
      <c r="B76" s="5">
        <v>1</v>
      </c>
      <c r="G76" s="3" t="s">
        <v>187</v>
      </c>
      <c r="H76" s="5">
        <v>0.15044247787610621</v>
      </c>
    </row>
    <row r="77" spans="1:8" x14ac:dyDescent="0.25">
      <c r="G77" s="3" t="s">
        <v>1316</v>
      </c>
      <c r="H77" s="5">
        <v>1</v>
      </c>
    </row>
    <row r="79" spans="1:8" x14ac:dyDescent="0.25">
      <c r="A79" s="2" t="s">
        <v>1315</v>
      </c>
      <c r="B79" t="s">
        <v>1338</v>
      </c>
      <c r="G79" s="2" t="s">
        <v>1315</v>
      </c>
      <c r="H79" t="s">
        <v>1339</v>
      </c>
    </row>
    <row r="80" spans="1:8" x14ac:dyDescent="0.25">
      <c r="A80" s="3" t="s">
        <v>173</v>
      </c>
      <c r="B80" s="5">
        <v>0.40361445783132532</v>
      </c>
      <c r="G80" s="3" t="s">
        <v>185</v>
      </c>
      <c r="H80" s="5">
        <v>0.4925373134328358</v>
      </c>
    </row>
    <row r="81" spans="1:8" x14ac:dyDescent="0.25">
      <c r="A81" s="3" t="s">
        <v>192</v>
      </c>
      <c r="B81" s="5">
        <v>0.59638554216867468</v>
      </c>
      <c r="G81" s="3" t="s">
        <v>186</v>
      </c>
      <c r="H81" s="5">
        <v>0.44776119402985076</v>
      </c>
    </row>
    <row r="82" spans="1:8" x14ac:dyDescent="0.25">
      <c r="A82" s="3" t="s">
        <v>1316</v>
      </c>
      <c r="B82" s="5">
        <v>1</v>
      </c>
      <c r="G82" s="3" t="s">
        <v>187</v>
      </c>
      <c r="H82" s="5">
        <v>5.9701492537313432E-2</v>
      </c>
    </row>
    <row r="83" spans="1:8" x14ac:dyDescent="0.25">
      <c r="G83" s="3" t="s">
        <v>1316</v>
      </c>
      <c r="H83" s="5">
        <v>1</v>
      </c>
    </row>
    <row r="85" spans="1:8" x14ac:dyDescent="0.25">
      <c r="A85" s="2" t="s">
        <v>1315</v>
      </c>
      <c r="B85" t="s">
        <v>1340</v>
      </c>
      <c r="G85" s="2" t="s">
        <v>1315</v>
      </c>
      <c r="H85" t="s">
        <v>1341</v>
      </c>
    </row>
    <row r="86" spans="1:8" x14ac:dyDescent="0.25">
      <c r="A86" s="3" t="s">
        <v>173</v>
      </c>
      <c r="B86" s="5">
        <v>0.10240963855421686</v>
      </c>
      <c r="G86" s="3" t="s">
        <v>185</v>
      </c>
      <c r="H86" s="5">
        <v>0.58823529411764708</v>
      </c>
    </row>
    <row r="87" spans="1:8" x14ac:dyDescent="0.25">
      <c r="A87" s="3" t="s">
        <v>192</v>
      </c>
      <c r="B87" s="5">
        <v>0.89759036144578308</v>
      </c>
      <c r="G87" s="3" t="s">
        <v>186</v>
      </c>
      <c r="H87" s="5">
        <v>0.29411764705882354</v>
      </c>
    </row>
    <row r="88" spans="1:8" x14ac:dyDescent="0.25">
      <c r="A88" s="3" t="s">
        <v>1316</v>
      </c>
      <c r="B88" s="5">
        <v>1</v>
      </c>
      <c r="G88" s="3" t="s">
        <v>187</v>
      </c>
      <c r="H88" s="5">
        <v>0.11764705882352941</v>
      </c>
    </row>
    <row r="89" spans="1:8" x14ac:dyDescent="0.25">
      <c r="G89" s="3" t="s">
        <v>1316</v>
      </c>
      <c r="H89" s="5">
        <v>1</v>
      </c>
    </row>
    <row r="91" spans="1:8" x14ac:dyDescent="0.25">
      <c r="A91" s="2" t="s">
        <v>1315</v>
      </c>
      <c r="B91" t="s">
        <v>1342</v>
      </c>
      <c r="G91" s="2" t="s">
        <v>1315</v>
      </c>
      <c r="H91" t="s">
        <v>1343</v>
      </c>
    </row>
    <row r="92" spans="1:8" x14ac:dyDescent="0.25">
      <c r="A92" s="3" t="s">
        <v>173</v>
      </c>
      <c r="B92" s="5">
        <v>0.46385542168674698</v>
      </c>
      <c r="G92" s="3" t="s">
        <v>185</v>
      </c>
      <c r="H92" s="5">
        <v>0.29870129870129869</v>
      </c>
    </row>
    <row r="93" spans="1:8" x14ac:dyDescent="0.25">
      <c r="A93" s="3" t="s">
        <v>192</v>
      </c>
      <c r="B93" s="5">
        <v>0.53614457831325302</v>
      </c>
      <c r="G93" s="3" t="s">
        <v>186</v>
      </c>
      <c r="H93" s="5">
        <v>0.48051948051948051</v>
      </c>
    </row>
    <row r="94" spans="1:8" x14ac:dyDescent="0.25">
      <c r="A94" s="3" t="s">
        <v>1316</v>
      </c>
      <c r="B94" s="5">
        <v>1</v>
      </c>
      <c r="G94" s="3" t="s">
        <v>187</v>
      </c>
      <c r="H94" s="5">
        <v>0.22077922077922077</v>
      </c>
    </row>
    <row r="95" spans="1:8" x14ac:dyDescent="0.25">
      <c r="G95" s="3" t="s">
        <v>1316</v>
      </c>
      <c r="H95" s="5">
        <v>1</v>
      </c>
    </row>
    <row r="97" spans="1:8" x14ac:dyDescent="0.25">
      <c r="A97" s="2" t="s">
        <v>1315</v>
      </c>
      <c r="B97" t="s">
        <v>1344</v>
      </c>
      <c r="G97" s="2" t="s">
        <v>1315</v>
      </c>
      <c r="H97" t="s">
        <v>1345</v>
      </c>
    </row>
    <row r="98" spans="1:8" x14ac:dyDescent="0.25">
      <c r="A98" s="3" t="s">
        <v>173</v>
      </c>
      <c r="B98" s="5">
        <v>0.19879518072289157</v>
      </c>
      <c r="G98" s="3" t="s">
        <v>185</v>
      </c>
      <c r="H98" s="5">
        <v>0.33333333333333331</v>
      </c>
    </row>
    <row r="99" spans="1:8" x14ac:dyDescent="0.25">
      <c r="A99" s="3" t="s">
        <v>192</v>
      </c>
      <c r="B99" s="5">
        <v>0.79518072289156627</v>
      </c>
      <c r="G99" s="3" t="s">
        <v>186</v>
      </c>
      <c r="H99" s="5">
        <v>0.36363636363636365</v>
      </c>
    </row>
    <row r="100" spans="1:8" x14ac:dyDescent="0.25">
      <c r="A100" s="3" t="s">
        <v>189</v>
      </c>
      <c r="B100" s="5">
        <v>6.024096385542169E-3</v>
      </c>
      <c r="G100" s="3" t="s">
        <v>187</v>
      </c>
      <c r="H100" s="5">
        <v>0.30303030303030304</v>
      </c>
    </row>
    <row r="101" spans="1:8" x14ac:dyDescent="0.25">
      <c r="A101" s="3" t="s">
        <v>1316</v>
      </c>
      <c r="B101" s="5">
        <v>1</v>
      </c>
      <c r="G101" s="3" t="s">
        <v>1316</v>
      </c>
      <c r="H101" s="5">
        <v>1</v>
      </c>
    </row>
    <row r="104" spans="1:8" x14ac:dyDescent="0.25">
      <c r="A104" s="2" t="s">
        <v>1315</v>
      </c>
      <c r="B104" t="s">
        <v>1346</v>
      </c>
      <c r="G104" s="2" t="s">
        <v>1315</v>
      </c>
      <c r="H104" t="s">
        <v>1347</v>
      </c>
    </row>
    <row r="105" spans="1:8" x14ac:dyDescent="0.25">
      <c r="A105" s="3" t="s">
        <v>173</v>
      </c>
      <c r="B105" s="5">
        <v>0.2289156626506024</v>
      </c>
      <c r="G105" s="3" t="s">
        <v>185</v>
      </c>
      <c r="H105" s="5">
        <v>0.68421052631578949</v>
      </c>
    </row>
    <row r="106" spans="1:8" x14ac:dyDescent="0.25">
      <c r="A106" s="3" t="s">
        <v>192</v>
      </c>
      <c r="B106" s="5">
        <v>0.77108433734939763</v>
      </c>
      <c r="G106" s="3" t="s">
        <v>186</v>
      </c>
      <c r="H106" s="5">
        <v>0.26315789473684209</v>
      </c>
    </row>
    <row r="107" spans="1:8" x14ac:dyDescent="0.25">
      <c r="A107" s="3" t="s">
        <v>1316</v>
      </c>
      <c r="B107" s="5">
        <v>1</v>
      </c>
      <c r="G107" s="3" t="s">
        <v>187</v>
      </c>
      <c r="H107" s="5">
        <v>5.2631578947368418E-2</v>
      </c>
    </row>
    <row r="108" spans="1:8" x14ac:dyDescent="0.25">
      <c r="G108" s="3" t="s">
        <v>1316</v>
      </c>
      <c r="H108" s="5">
        <v>1</v>
      </c>
    </row>
    <row r="110" spans="1:8" x14ac:dyDescent="0.25">
      <c r="A110" s="2" t="s">
        <v>1315</v>
      </c>
      <c r="B110" t="s">
        <v>1348</v>
      </c>
      <c r="G110" s="2" t="s">
        <v>1315</v>
      </c>
      <c r="H110" t="s">
        <v>1349</v>
      </c>
    </row>
    <row r="111" spans="1:8" x14ac:dyDescent="0.25">
      <c r="A111" s="3" t="s">
        <v>173</v>
      </c>
      <c r="B111" s="5">
        <v>0.35542168674698793</v>
      </c>
      <c r="G111" s="3" t="s">
        <v>185</v>
      </c>
      <c r="H111" s="5">
        <v>0.55932203389830504</v>
      </c>
    </row>
    <row r="112" spans="1:8" x14ac:dyDescent="0.25">
      <c r="A112" s="3" t="s">
        <v>192</v>
      </c>
      <c r="B112" s="5">
        <v>0.64457831325301207</v>
      </c>
      <c r="G112" s="3" t="s">
        <v>186</v>
      </c>
      <c r="H112" s="5">
        <v>0.33898305084745761</v>
      </c>
    </row>
    <row r="113" spans="1:8" x14ac:dyDescent="0.25">
      <c r="A113" s="3" t="s">
        <v>1316</v>
      </c>
      <c r="B113" s="5">
        <v>1</v>
      </c>
      <c r="G113" s="3" t="s">
        <v>187</v>
      </c>
      <c r="H113" s="5">
        <v>0.10169491525423729</v>
      </c>
    </row>
    <row r="114" spans="1:8" x14ac:dyDescent="0.25">
      <c r="G114" s="3" t="s">
        <v>1316</v>
      </c>
      <c r="H114" s="5">
        <v>1</v>
      </c>
    </row>
    <row r="116" spans="1:8" x14ac:dyDescent="0.25">
      <c r="A116" s="2" t="s">
        <v>1315</v>
      </c>
      <c r="B116" t="s">
        <v>1350</v>
      </c>
      <c r="G116" s="2" t="s">
        <v>1315</v>
      </c>
      <c r="H116" t="s">
        <v>1351</v>
      </c>
    </row>
    <row r="117" spans="1:8" x14ac:dyDescent="0.25">
      <c r="A117" s="3" t="s">
        <v>173</v>
      </c>
      <c r="B117" s="5">
        <v>0.54216867469879515</v>
      </c>
      <c r="G117" s="3" t="s">
        <v>185</v>
      </c>
      <c r="H117" s="5">
        <v>0.4777777777777778</v>
      </c>
    </row>
    <row r="118" spans="1:8" x14ac:dyDescent="0.25">
      <c r="A118" s="3" t="s">
        <v>192</v>
      </c>
      <c r="B118" s="5">
        <v>0.45783132530120479</v>
      </c>
      <c r="G118" s="3" t="s">
        <v>186</v>
      </c>
      <c r="H118" s="5">
        <v>0.41111111111111109</v>
      </c>
    </row>
    <row r="119" spans="1:8" x14ac:dyDescent="0.25">
      <c r="A119" s="3" t="s">
        <v>1316</v>
      </c>
      <c r="B119" s="5">
        <v>1</v>
      </c>
      <c r="G119" s="3" t="s">
        <v>187</v>
      </c>
      <c r="H119" s="5">
        <v>0.1111111111111111</v>
      </c>
    </row>
    <row r="120" spans="1:8" x14ac:dyDescent="0.25">
      <c r="G120" s="3" t="s">
        <v>1316</v>
      </c>
      <c r="H120" s="5">
        <v>1</v>
      </c>
    </row>
    <row r="122" spans="1:8" x14ac:dyDescent="0.25">
      <c r="A122" s="2" t="s">
        <v>1315</v>
      </c>
      <c r="B122" t="s">
        <v>1352</v>
      </c>
      <c r="G122" s="2" t="s">
        <v>1315</v>
      </c>
      <c r="H122" t="s">
        <v>1353</v>
      </c>
    </row>
    <row r="123" spans="1:8" x14ac:dyDescent="0.25">
      <c r="A123" s="3" t="s">
        <v>173</v>
      </c>
      <c r="B123" s="5">
        <v>1.2048192771084338E-2</v>
      </c>
      <c r="G123" s="3" t="s">
        <v>185</v>
      </c>
      <c r="H123" s="5">
        <v>1</v>
      </c>
    </row>
    <row r="124" spans="1:8" x14ac:dyDescent="0.25">
      <c r="A124" s="3" t="s">
        <v>192</v>
      </c>
      <c r="B124" s="5">
        <v>0.98795180722891562</v>
      </c>
      <c r="G124" s="3" t="s">
        <v>1316</v>
      </c>
      <c r="H124" s="5">
        <v>1</v>
      </c>
    </row>
    <row r="125" spans="1:8" x14ac:dyDescent="0.25">
      <c r="A125" s="3" t="s">
        <v>1316</v>
      </c>
      <c r="B125" s="5">
        <v>1</v>
      </c>
    </row>
    <row r="127" spans="1:8" x14ac:dyDescent="0.25">
      <c r="A127" s="2" t="s">
        <v>1315</v>
      </c>
      <c r="B127" t="s">
        <v>1354</v>
      </c>
      <c r="G127" s="2" t="s">
        <v>1315</v>
      </c>
      <c r="H127" t="s">
        <v>1355</v>
      </c>
    </row>
    <row r="128" spans="1:8" x14ac:dyDescent="0.25">
      <c r="A128" s="3" t="s">
        <v>173</v>
      </c>
      <c r="B128" s="5">
        <v>0.30120481927710846</v>
      </c>
      <c r="G128" s="3" t="s">
        <v>185</v>
      </c>
      <c r="H128" s="5">
        <v>0.46</v>
      </c>
    </row>
    <row r="129" spans="1:8" x14ac:dyDescent="0.25">
      <c r="A129" s="3" t="s">
        <v>192</v>
      </c>
      <c r="B129" s="5">
        <v>0.6987951807228916</v>
      </c>
      <c r="G129" s="3" t="s">
        <v>186</v>
      </c>
      <c r="H129" s="5">
        <v>0.36</v>
      </c>
    </row>
    <row r="130" spans="1:8" x14ac:dyDescent="0.25">
      <c r="A130" s="3" t="s">
        <v>1316</v>
      </c>
      <c r="B130" s="5">
        <v>1</v>
      </c>
      <c r="G130" s="3" t="s">
        <v>187</v>
      </c>
      <c r="H130" s="5">
        <v>0.18</v>
      </c>
    </row>
    <row r="131" spans="1:8" x14ac:dyDescent="0.25">
      <c r="G131" s="3" t="s">
        <v>1316</v>
      </c>
      <c r="H131" s="5">
        <v>1</v>
      </c>
    </row>
    <row r="133" spans="1:8" x14ac:dyDescent="0.25">
      <c r="A133" s="2" t="s">
        <v>1315</v>
      </c>
      <c r="B133" t="s">
        <v>1356</v>
      </c>
      <c r="G133" s="2" t="s">
        <v>1315</v>
      </c>
      <c r="H133" t="s">
        <v>1357</v>
      </c>
    </row>
    <row r="134" spans="1:8" x14ac:dyDescent="0.25">
      <c r="A134" s="3" t="s">
        <v>173</v>
      </c>
      <c r="B134" s="5">
        <v>6.024096385542169E-3</v>
      </c>
      <c r="G134" s="3" t="s">
        <v>185</v>
      </c>
      <c r="H134" s="5">
        <v>1</v>
      </c>
    </row>
    <row r="135" spans="1:8" x14ac:dyDescent="0.25">
      <c r="A135" s="3" t="s">
        <v>192</v>
      </c>
      <c r="B135" s="5">
        <v>0.98795180722891562</v>
      </c>
      <c r="G135" s="3" t="s">
        <v>1316</v>
      </c>
      <c r="H135" s="5">
        <v>1</v>
      </c>
    </row>
    <row r="136" spans="1:8" x14ac:dyDescent="0.25">
      <c r="A136" s="3" t="s">
        <v>189</v>
      </c>
      <c r="B136" s="5">
        <v>6.024096385542169E-3</v>
      </c>
    </row>
    <row r="137" spans="1:8" x14ac:dyDescent="0.25">
      <c r="A137" s="3" t="s">
        <v>1316</v>
      </c>
      <c r="B137" s="5">
        <v>1</v>
      </c>
    </row>
    <row r="140" spans="1:8" x14ac:dyDescent="0.25">
      <c r="A140" s="2" t="s">
        <v>1315</v>
      </c>
      <c r="B140" t="s">
        <v>1358</v>
      </c>
      <c r="G140" s="2" t="s">
        <v>1315</v>
      </c>
      <c r="H140" t="s">
        <v>1359</v>
      </c>
    </row>
    <row r="141" spans="1:8" x14ac:dyDescent="0.25">
      <c r="A141" s="3" t="s">
        <v>173</v>
      </c>
      <c r="B141" s="5">
        <v>0.94578313253012047</v>
      </c>
      <c r="G141" s="3" t="s">
        <v>185</v>
      </c>
      <c r="H141" s="5">
        <v>3.8216560509554139E-2</v>
      </c>
    </row>
    <row r="142" spans="1:8" x14ac:dyDescent="0.25">
      <c r="A142" s="3" t="s">
        <v>192</v>
      </c>
      <c r="B142" s="5">
        <v>5.4216867469879519E-2</v>
      </c>
      <c r="G142" s="3" t="s">
        <v>186</v>
      </c>
      <c r="H142" s="5">
        <v>0.25477707006369427</v>
      </c>
    </row>
    <row r="143" spans="1:8" x14ac:dyDescent="0.25">
      <c r="A143" s="3" t="s">
        <v>1316</v>
      </c>
      <c r="B143" s="5">
        <v>1</v>
      </c>
      <c r="D143" s="3"/>
      <c r="E143" s="5"/>
      <c r="G143" s="3" t="s">
        <v>187</v>
      </c>
      <c r="H143" s="5">
        <v>0.70700636942675155</v>
      </c>
    </row>
    <row r="144" spans="1:8" x14ac:dyDescent="0.25">
      <c r="D144" s="3"/>
      <c r="E144" s="5"/>
      <c r="G144" s="3" t="s">
        <v>1316</v>
      </c>
      <c r="H144" s="5">
        <v>1</v>
      </c>
    </row>
    <row r="145" spans="1:8" x14ac:dyDescent="0.25">
      <c r="A145" s="2" t="s">
        <v>1315</v>
      </c>
      <c r="B145" t="s">
        <v>1360</v>
      </c>
      <c r="D145" s="3"/>
      <c r="E145" s="5"/>
    </row>
    <row r="146" spans="1:8" x14ac:dyDescent="0.25">
      <c r="A146" s="3" t="s">
        <v>173</v>
      </c>
      <c r="B146" s="5">
        <v>0.30573248407643311</v>
      </c>
      <c r="D146" s="3"/>
      <c r="E146" s="5"/>
    </row>
    <row r="147" spans="1:8" x14ac:dyDescent="0.25">
      <c r="A147" s="3" t="s">
        <v>192</v>
      </c>
      <c r="B147" s="5">
        <v>0.69426751592356684</v>
      </c>
    </row>
    <row r="148" spans="1:8" x14ac:dyDescent="0.25">
      <c r="A148" s="3" t="s">
        <v>1316</v>
      </c>
      <c r="B148" s="5">
        <v>1</v>
      </c>
    </row>
    <row r="151" spans="1:8" x14ac:dyDescent="0.25">
      <c r="A151" s="2" t="s">
        <v>1315</v>
      </c>
      <c r="B151" t="s">
        <v>1361</v>
      </c>
      <c r="D151" s="2" t="s">
        <v>1315</v>
      </c>
      <c r="E151" t="s">
        <v>1362</v>
      </c>
      <c r="G151" s="2" t="s">
        <v>1315</v>
      </c>
      <c r="H151" t="s">
        <v>1363</v>
      </c>
    </row>
    <row r="152" spans="1:8" x14ac:dyDescent="0.25">
      <c r="A152" s="3" t="s">
        <v>173</v>
      </c>
      <c r="B152" s="5">
        <v>0.59036144578313254</v>
      </c>
      <c r="D152" s="3" t="s">
        <v>173</v>
      </c>
      <c r="E152" s="5">
        <v>0.2857142857142857</v>
      </c>
      <c r="G152" s="3" t="s">
        <v>188</v>
      </c>
      <c r="H152" s="5">
        <v>0.25</v>
      </c>
    </row>
    <row r="153" spans="1:8" x14ac:dyDescent="0.25">
      <c r="A153" s="3" t="s">
        <v>192</v>
      </c>
      <c r="B153" s="5">
        <v>0.40963855421686746</v>
      </c>
      <c r="D153" s="3" t="s">
        <v>192</v>
      </c>
      <c r="E153" s="5">
        <v>0.7142857142857143</v>
      </c>
      <c r="G153" s="3" t="s">
        <v>191</v>
      </c>
      <c r="H153" s="5">
        <v>0.7142857142857143</v>
      </c>
    </row>
    <row r="154" spans="1:8" x14ac:dyDescent="0.25">
      <c r="A154" s="3" t="s">
        <v>1316</v>
      </c>
      <c r="B154" s="5">
        <v>1</v>
      </c>
      <c r="D154" s="3" t="s">
        <v>1316</v>
      </c>
      <c r="E154" s="5">
        <v>1</v>
      </c>
      <c r="G154" s="3" t="s">
        <v>190</v>
      </c>
      <c r="H154" s="5">
        <v>3.5714285714285712E-2</v>
      </c>
    </row>
    <row r="155" spans="1:8" x14ac:dyDescent="0.25">
      <c r="G155" s="3" t="s">
        <v>1316</v>
      </c>
      <c r="H155" s="5">
        <v>1</v>
      </c>
    </row>
    <row r="156" spans="1:8" x14ac:dyDescent="0.25">
      <c r="A156" s="2" t="s">
        <v>1315</v>
      </c>
      <c r="B156" t="s">
        <v>1364</v>
      </c>
      <c r="D156" s="2" t="s">
        <v>1315</v>
      </c>
      <c r="E156" t="s">
        <v>1365</v>
      </c>
      <c r="G156" s="2" t="s">
        <v>1315</v>
      </c>
      <c r="H156" t="s">
        <v>1366</v>
      </c>
    </row>
    <row r="157" spans="1:8" x14ac:dyDescent="0.25">
      <c r="A157" s="3" t="s">
        <v>173</v>
      </c>
      <c r="B157" s="5">
        <v>0.31325301204819278</v>
      </c>
      <c r="D157" s="3" t="s">
        <v>173</v>
      </c>
      <c r="E157" s="5">
        <v>0.38461538461538464</v>
      </c>
      <c r="G157" s="3" t="s">
        <v>188</v>
      </c>
      <c r="H157" s="5">
        <v>0.10526315789473684</v>
      </c>
    </row>
    <row r="158" spans="1:8" x14ac:dyDescent="0.25">
      <c r="A158" s="3" t="s">
        <v>192</v>
      </c>
      <c r="B158" s="5">
        <v>0.68674698795180722</v>
      </c>
      <c r="D158" s="3" t="s">
        <v>192</v>
      </c>
      <c r="E158" s="5">
        <v>0.61538461538461542</v>
      </c>
      <c r="G158" s="3" t="s">
        <v>191</v>
      </c>
      <c r="H158" s="5">
        <v>0.89473684210526316</v>
      </c>
    </row>
    <row r="159" spans="1:8" x14ac:dyDescent="0.25">
      <c r="A159" s="3" t="s">
        <v>1316</v>
      </c>
      <c r="B159" s="5">
        <v>1</v>
      </c>
      <c r="D159" s="3" t="s">
        <v>1316</v>
      </c>
      <c r="E159" s="5">
        <v>1</v>
      </c>
      <c r="G159" s="3" t="s">
        <v>1316</v>
      </c>
      <c r="H159" s="5">
        <v>1</v>
      </c>
    </row>
    <row r="161" spans="1:8" x14ac:dyDescent="0.25">
      <c r="A161" s="2" t="s">
        <v>1315</v>
      </c>
      <c r="B161" t="s">
        <v>1367</v>
      </c>
      <c r="D161" s="2" t="s">
        <v>1315</v>
      </c>
      <c r="E161" t="s">
        <v>1368</v>
      </c>
      <c r="G161" s="2" t="s">
        <v>1315</v>
      </c>
      <c r="H161" t="s">
        <v>1369</v>
      </c>
    </row>
    <row r="162" spans="1:8" x14ac:dyDescent="0.25">
      <c r="A162" s="3" t="s">
        <v>173</v>
      </c>
      <c r="B162" s="5">
        <v>0.10843373493975904</v>
      </c>
      <c r="D162" s="3" t="s">
        <v>173</v>
      </c>
      <c r="E162" s="5">
        <v>0.33333333333333331</v>
      </c>
      <c r="G162" s="3" t="s">
        <v>188</v>
      </c>
      <c r="H162" s="5">
        <v>0.16666666666666666</v>
      </c>
    </row>
    <row r="163" spans="1:8" x14ac:dyDescent="0.25">
      <c r="A163" s="3" t="s">
        <v>192</v>
      </c>
      <c r="B163" s="5">
        <v>0.89156626506024095</v>
      </c>
      <c r="D163" s="3" t="s">
        <v>192</v>
      </c>
      <c r="E163" s="5">
        <v>0.66666666666666663</v>
      </c>
      <c r="G163" s="3" t="s">
        <v>191</v>
      </c>
      <c r="H163" s="5">
        <v>0.83333333333333337</v>
      </c>
    </row>
    <row r="164" spans="1:8" x14ac:dyDescent="0.25">
      <c r="A164" s="3" t="s">
        <v>1316</v>
      </c>
      <c r="B164" s="5">
        <v>1</v>
      </c>
      <c r="D164" s="3" t="s">
        <v>1316</v>
      </c>
      <c r="E164" s="5">
        <v>1</v>
      </c>
      <c r="G164" s="3" t="s">
        <v>1316</v>
      </c>
      <c r="H164" s="5">
        <v>1</v>
      </c>
    </row>
    <row r="166" spans="1:8" x14ac:dyDescent="0.25">
      <c r="A166" s="2" t="s">
        <v>1315</v>
      </c>
      <c r="B166" t="s">
        <v>1370</v>
      </c>
      <c r="D166" s="2" t="s">
        <v>1315</v>
      </c>
      <c r="E166" t="s">
        <v>1371</v>
      </c>
      <c r="G166" s="2" t="s">
        <v>1315</v>
      </c>
      <c r="H166" t="s">
        <v>1372</v>
      </c>
    </row>
    <row r="167" spans="1:8" x14ac:dyDescent="0.25">
      <c r="A167" s="3" t="s">
        <v>173</v>
      </c>
      <c r="B167" s="5">
        <v>0.66867469879518071</v>
      </c>
      <c r="D167" s="3" t="s">
        <v>173</v>
      </c>
      <c r="E167" s="5">
        <v>0.53153153153153154</v>
      </c>
      <c r="G167" s="3" t="s">
        <v>188</v>
      </c>
      <c r="H167" s="5">
        <v>0.22033898305084745</v>
      </c>
    </row>
    <row r="168" spans="1:8" x14ac:dyDescent="0.25">
      <c r="A168" s="3" t="s">
        <v>192</v>
      </c>
      <c r="B168" s="5">
        <v>0.33132530120481929</v>
      </c>
      <c r="D168" s="3" t="s">
        <v>192</v>
      </c>
      <c r="E168" s="5">
        <v>0.46846846846846846</v>
      </c>
      <c r="G168" s="3" t="s">
        <v>191</v>
      </c>
      <c r="H168" s="5">
        <v>0.76271186440677963</v>
      </c>
    </row>
    <row r="169" spans="1:8" x14ac:dyDescent="0.25">
      <c r="A169" s="3" t="s">
        <v>1316</v>
      </c>
      <c r="B169" s="5">
        <v>1</v>
      </c>
      <c r="D169" s="3" t="s">
        <v>1316</v>
      </c>
      <c r="E169" s="5">
        <v>1</v>
      </c>
      <c r="G169" s="3" t="s">
        <v>190</v>
      </c>
      <c r="H169" s="5">
        <v>1.6949152542372881E-2</v>
      </c>
    </row>
    <row r="170" spans="1:8" x14ac:dyDescent="0.25">
      <c r="G170" s="3" t="s">
        <v>1316</v>
      </c>
      <c r="H170" s="5">
        <v>1</v>
      </c>
    </row>
    <row r="172" spans="1:8" x14ac:dyDescent="0.25">
      <c r="A172" s="2" t="s">
        <v>1315</v>
      </c>
      <c r="B172" t="s">
        <v>1373</v>
      </c>
      <c r="D172" s="2" t="s">
        <v>1315</v>
      </c>
      <c r="E172" t="s">
        <v>1374</v>
      </c>
      <c r="G172" s="2" t="s">
        <v>1315</v>
      </c>
      <c r="H172" t="s">
        <v>1375</v>
      </c>
    </row>
    <row r="173" spans="1:8" x14ac:dyDescent="0.25">
      <c r="A173" s="3" t="s">
        <v>173</v>
      </c>
      <c r="B173" s="5">
        <v>0.30120481927710846</v>
      </c>
      <c r="D173" s="3" t="s">
        <v>173</v>
      </c>
      <c r="E173" s="5">
        <v>0.36</v>
      </c>
      <c r="G173" s="3" t="s">
        <v>188</v>
      </c>
      <c r="H173" s="5">
        <v>0.3888888888888889</v>
      </c>
    </row>
    <row r="174" spans="1:8" x14ac:dyDescent="0.25">
      <c r="A174" s="3" t="s">
        <v>192</v>
      </c>
      <c r="B174" s="5">
        <v>0.6987951807228916</v>
      </c>
      <c r="D174" s="3" t="s">
        <v>192</v>
      </c>
      <c r="E174" s="5">
        <v>0.64</v>
      </c>
      <c r="G174" s="3" t="s">
        <v>191</v>
      </c>
      <c r="H174" s="5">
        <v>0.61111111111111116</v>
      </c>
    </row>
    <row r="175" spans="1:8" x14ac:dyDescent="0.25">
      <c r="A175" s="3" t="s">
        <v>1316</v>
      </c>
      <c r="B175" s="5">
        <v>1</v>
      </c>
      <c r="D175" s="3" t="s">
        <v>1316</v>
      </c>
      <c r="E175" s="5">
        <v>1</v>
      </c>
      <c r="G175" s="3" t="s">
        <v>1325</v>
      </c>
      <c r="H175" s="5">
        <v>0</v>
      </c>
    </row>
    <row r="176" spans="1:8" x14ac:dyDescent="0.25">
      <c r="G176" s="3" t="s">
        <v>1316</v>
      </c>
      <c r="H176" s="5">
        <v>1</v>
      </c>
    </row>
    <row r="178" spans="1:8" x14ac:dyDescent="0.25">
      <c r="A178" s="2" t="s">
        <v>1315</v>
      </c>
      <c r="B178" t="s">
        <v>1376</v>
      </c>
      <c r="D178" s="2" t="s">
        <v>1315</v>
      </c>
      <c r="E178" t="s">
        <v>1377</v>
      </c>
      <c r="G178" s="2" t="s">
        <v>1315</v>
      </c>
      <c r="H178" t="s">
        <v>1378</v>
      </c>
    </row>
    <row r="179" spans="1:8" x14ac:dyDescent="0.25">
      <c r="A179" s="3" t="s">
        <v>173</v>
      </c>
      <c r="B179" s="5">
        <v>0.41566265060240964</v>
      </c>
      <c r="D179" s="3" t="s">
        <v>173</v>
      </c>
      <c r="E179" s="5">
        <v>0.40579710144927539</v>
      </c>
      <c r="G179" s="3" t="s">
        <v>188</v>
      </c>
      <c r="H179" s="5">
        <v>0.35714285714285715</v>
      </c>
    </row>
    <row r="180" spans="1:8" x14ac:dyDescent="0.25">
      <c r="A180" s="3" t="s">
        <v>192</v>
      </c>
      <c r="B180" s="5">
        <v>0.58433734939759041</v>
      </c>
      <c r="D180" s="3" t="s">
        <v>192</v>
      </c>
      <c r="E180" s="5">
        <v>0.59420289855072461</v>
      </c>
      <c r="G180" s="3" t="s">
        <v>191</v>
      </c>
      <c r="H180" s="5">
        <v>0.6428571428571429</v>
      </c>
    </row>
    <row r="181" spans="1:8" x14ac:dyDescent="0.25">
      <c r="A181" s="3" t="s">
        <v>1316</v>
      </c>
      <c r="B181" s="5">
        <v>1</v>
      </c>
      <c r="D181" s="3" t="s">
        <v>1316</v>
      </c>
      <c r="E181" s="5">
        <v>1</v>
      </c>
      <c r="G181" s="3" t="s">
        <v>1316</v>
      </c>
      <c r="H181" s="5">
        <v>1</v>
      </c>
    </row>
    <row r="183" spans="1:8" x14ac:dyDescent="0.25">
      <c r="A183" s="2" t="s">
        <v>1315</v>
      </c>
      <c r="B183" t="s">
        <v>1380</v>
      </c>
      <c r="D183" s="2" t="s">
        <v>1315</v>
      </c>
      <c r="E183" t="s">
        <v>1379</v>
      </c>
      <c r="G183" s="2" t="s">
        <v>1315</v>
      </c>
      <c r="H183" t="s">
        <v>1381</v>
      </c>
    </row>
    <row r="184" spans="1:8" x14ac:dyDescent="0.25">
      <c r="A184" s="3" t="s">
        <v>173</v>
      </c>
      <c r="B184" s="5">
        <v>0.9337349397590361</v>
      </c>
      <c r="D184" s="3" t="s">
        <v>173</v>
      </c>
      <c r="E184" s="5">
        <v>0.76774193548387093</v>
      </c>
      <c r="G184" s="3" t="s">
        <v>188</v>
      </c>
      <c r="H184" s="5">
        <v>0.55462184873949583</v>
      </c>
    </row>
    <row r="185" spans="1:8" x14ac:dyDescent="0.25">
      <c r="A185" s="3" t="s">
        <v>192</v>
      </c>
      <c r="B185" s="5">
        <v>6.6265060240963861E-2</v>
      </c>
      <c r="D185" s="3" t="s">
        <v>192</v>
      </c>
      <c r="E185" s="5">
        <v>0.23225806451612904</v>
      </c>
      <c r="G185" s="3" t="s">
        <v>191</v>
      </c>
      <c r="H185" s="5">
        <v>0.44537815126050423</v>
      </c>
    </row>
    <row r="186" spans="1:8" x14ac:dyDescent="0.25">
      <c r="A186" s="3" t="s">
        <v>1316</v>
      </c>
      <c r="B186" s="5">
        <v>1</v>
      </c>
      <c r="D186" s="3" t="s">
        <v>1316</v>
      </c>
      <c r="E186" s="5">
        <v>1</v>
      </c>
      <c r="G186" s="3" t="s">
        <v>1316</v>
      </c>
      <c r="H186" s="5">
        <v>1</v>
      </c>
    </row>
    <row r="188" spans="1:8" x14ac:dyDescent="0.25">
      <c r="A188" s="2" t="s">
        <v>1315</v>
      </c>
      <c r="B188" t="s">
        <v>1382</v>
      </c>
      <c r="D188" s="2" t="s">
        <v>1315</v>
      </c>
      <c r="E188" t="s">
        <v>1383</v>
      </c>
      <c r="G188" s="2" t="s">
        <v>1315</v>
      </c>
      <c r="H188" t="s">
        <v>1384</v>
      </c>
    </row>
    <row r="189" spans="1:8" x14ac:dyDescent="0.25">
      <c r="A189" s="3" t="s">
        <v>173</v>
      </c>
      <c r="B189" s="5">
        <v>0.86746987951807231</v>
      </c>
      <c r="D189" s="3" t="s">
        <v>173</v>
      </c>
      <c r="E189" s="5">
        <v>0.43055555555555558</v>
      </c>
      <c r="G189" s="3" t="s">
        <v>188</v>
      </c>
      <c r="H189" s="5">
        <v>0.38709677419354838</v>
      </c>
    </row>
    <row r="190" spans="1:8" x14ac:dyDescent="0.25">
      <c r="A190" s="3" t="s">
        <v>192</v>
      </c>
      <c r="B190" s="5">
        <v>0.13253012048192772</v>
      </c>
      <c r="D190" s="3" t="s">
        <v>192</v>
      </c>
      <c r="E190" s="5">
        <v>0.56944444444444442</v>
      </c>
      <c r="G190" s="3" t="s">
        <v>191</v>
      </c>
      <c r="H190" s="5">
        <v>0.58064516129032262</v>
      </c>
    </row>
    <row r="191" spans="1:8" x14ac:dyDescent="0.25">
      <c r="A191" s="3" t="s">
        <v>1316</v>
      </c>
      <c r="B191" s="5">
        <v>1</v>
      </c>
      <c r="D191" s="3" t="s">
        <v>1316</v>
      </c>
      <c r="E191" s="5">
        <v>1</v>
      </c>
      <c r="G191" s="3" t="s">
        <v>190</v>
      </c>
      <c r="H191" s="5">
        <v>3.2258064516129031E-2</v>
      </c>
    </row>
    <row r="192" spans="1:8" x14ac:dyDescent="0.25">
      <c r="G192" s="3" t="s">
        <v>1316</v>
      </c>
      <c r="H192" s="5">
        <v>1</v>
      </c>
    </row>
    <row r="193" spans="1:8" x14ac:dyDescent="0.25">
      <c r="A193" s="2" t="s">
        <v>1315</v>
      </c>
      <c r="B193" t="s">
        <v>1385</v>
      </c>
      <c r="D193" s="2" t="s">
        <v>1315</v>
      </c>
      <c r="E193" t="s">
        <v>1386</v>
      </c>
      <c r="G193" s="2" t="s">
        <v>1315</v>
      </c>
      <c r="H193" t="s">
        <v>1387</v>
      </c>
    </row>
    <row r="194" spans="1:8" x14ac:dyDescent="0.25">
      <c r="A194" s="3" t="s">
        <v>173</v>
      </c>
      <c r="B194" s="5">
        <v>0.46385542168674698</v>
      </c>
      <c r="D194" s="3" t="s">
        <v>173</v>
      </c>
      <c r="E194" s="5">
        <v>0.2857142857142857</v>
      </c>
      <c r="G194" s="3" t="s">
        <v>188</v>
      </c>
      <c r="H194" s="5">
        <v>0.45454545454545453</v>
      </c>
    </row>
    <row r="195" spans="1:8" x14ac:dyDescent="0.25">
      <c r="A195" s="3" t="s">
        <v>192</v>
      </c>
      <c r="B195" s="5">
        <v>0.53614457831325302</v>
      </c>
      <c r="D195" s="3" t="s">
        <v>192</v>
      </c>
      <c r="E195" s="5">
        <v>0.7142857142857143</v>
      </c>
      <c r="G195" s="3" t="s">
        <v>191</v>
      </c>
      <c r="H195" s="5">
        <v>0.54545454545454541</v>
      </c>
    </row>
    <row r="196" spans="1:8" x14ac:dyDescent="0.25">
      <c r="A196" s="3" t="s">
        <v>1316</v>
      </c>
      <c r="B196" s="5">
        <v>1</v>
      </c>
      <c r="D196" s="3" t="s">
        <v>1316</v>
      </c>
      <c r="E196" s="5">
        <v>1</v>
      </c>
      <c r="G196" s="3" t="s">
        <v>1316</v>
      </c>
      <c r="H196" s="5">
        <v>1</v>
      </c>
    </row>
    <row r="198" spans="1:8" x14ac:dyDescent="0.25">
      <c r="A198" s="2" t="s">
        <v>1315</v>
      </c>
      <c r="B198" t="s">
        <v>1388</v>
      </c>
      <c r="D198" s="2" t="s">
        <v>1315</v>
      </c>
      <c r="E198" t="s">
        <v>1389</v>
      </c>
      <c r="G198" s="2" t="s">
        <v>1315</v>
      </c>
      <c r="H198" t="s">
        <v>1390</v>
      </c>
    </row>
    <row r="199" spans="1:8" x14ac:dyDescent="0.25">
      <c r="A199" s="3" t="s">
        <v>173</v>
      </c>
      <c r="B199" s="5">
        <v>4.8192771084337352E-2</v>
      </c>
      <c r="D199" s="3" t="s">
        <v>173</v>
      </c>
      <c r="E199" s="5">
        <v>0.125</v>
      </c>
      <c r="G199" s="3" t="s">
        <v>191</v>
      </c>
      <c r="H199" s="5">
        <v>1</v>
      </c>
    </row>
    <row r="200" spans="1:8" x14ac:dyDescent="0.25">
      <c r="A200" s="3" t="s">
        <v>192</v>
      </c>
      <c r="B200" s="5">
        <v>0.95180722891566261</v>
      </c>
      <c r="D200" s="3" t="s">
        <v>192</v>
      </c>
      <c r="E200" s="5">
        <v>0.875</v>
      </c>
      <c r="G200" s="3" t="s">
        <v>1316</v>
      </c>
      <c r="H200" s="5">
        <v>1</v>
      </c>
    </row>
    <row r="201" spans="1:8" x14ac:dyDescent="0.25">
      <c r="A201" s="3" t="s">
        <v>1316</v>
      </c>
      <c r="B201" s="5">
        <v>1</v>
      </c>
      <c r="D201" s="3" t="s">
        <v>1316</v>
      </c>
      <c r="E201" s="5">
        <v>1</v>
      </c>
    </row>
    <row r="205" spans="1:8" x14ac:dyDescent="0.25">
      <c r="A205" s="2" t="s">
        <v>1315</v>
      </c>
      <c r="B205" t="s">
        <v>1391</v>
      </c>
    </row>
    <row r="206" spans="1:8" x14ac:dyDescent="0.25">
      <c r="A206" s="3" t="s">
        <v>173</v>
      </c>
      <c r="B206" s="5">
        <v>0.95180722891566261</v>
      </c>
    </row>
    <row r="207" spans="1:8" x14ac:dyDescent="0.25">
      <c r="A207" s="3" t="s">
        <v>192</v>
      </c>
      <c r="B207" s="5">
        <v>4.8192771084337352E-2</v>
      </c>
    </row>
    <row r="208" spans="1:8" x14ac:dyDescent="0.25">
      <c r="A208" s="3" t="s">
        <v>1316</v>
      </c>
      <c r="B208" s="5">
        <v>1</v>
      </c>
    </row>
    <row r="210" spans="1:2" x14ac:dyDescent="0.25">
      <c r="A210" s="2" t="s">
        <v>1315</v>
      </c>
      <c r="B210" t="s">
        <v>1392</v>
      </c>
    </row>
    <row r="211" spans="1:2" x14ac:dyDescent="0.25">
      <c r="A211" s="3" t="s">
        <v>173</v>
      </c>
      <c r="B211" s="5">
        <v>0.95180722891566261</v>
      </c>
    </row>
    <row r="212" spans="1:2" x14ac:dyDescent="0.25">
      <c r="A212" s="3" t="s">
        <v>192</v>
      </c>
      <c r="B212" s="5">
        <v>4.8192771084337352E-2</v>
      </c>
    </row>
    <row r="213" spans="1:2" x14ac:dyDescent="0.25">
      <c r="A213" s="3" t="s">
        <v>1316</v>
      </c>
      <c r="B213" s="5">
        <v>1</v>
      </c>
    </row>
    <row r="216" spans="1:2" x14ac:dyDescent="0.25">
      <c r="A216" s="2" t="s">
        <v>1315</v>
      </c>
      <c r="B216" t="s">
        <v>1393</v>
      </c>
    </row>
    <row r="217" spans="1:2" x14ac:dyDescent="0.25">
      <c r="A217" s="3" t="s">
        <v>1270</v>
      </c>
      <c r="B217" s="5">
        <v>6.024096385542169E-3</v>
      </c>
    </row>
    <row r="218" spans="1:2" x14ac:dyDescent="0.25">
      <c r="A218" s="3" t="s">
        <v>247</v>
      </c>
      <c r="B218" s="5">
        <v>6.0240963855421686E-2</v>
      </c>
    </row>
    <row r="219" spans="1:2" x14ac:dyDescent="0.25">
      <c r="A219" s="3" t="s">
        <v>452</v>
      </c>
      <c r="B219" s="5">
        <v>4.2168674698795178E-2</v>
      </c>
    </row>
    <row r="220" spans="1:2" x14ac:dyDescent="0.25">
      <c r="A220" s="3" t="s">
        <v>773</v>
      </c>
      <c r="B220" s="5">
        <v>6.024096385542169E-3</v>
      </c>
    </row>
    <row r="221" spans="1:2" x14ac:dyDescent="0.25">
      <c r="A221" s="3" t="s">
        <v>311</v>
      </c>
      <c r="B221" s="5">
        <v>6.024096385542169E-3</v>
      </c>
    </row>
    <row r="222" spans="1:2" x14ac:dyDescent="0.25">
      <c r="A222" s="3" t="s">
        <v>613</v>
      </c>
      <c r="B222" s="5">
        <v>1.8072289156626505E-2</v>
      </c>
    </row>
    <row r="223" spans="1:2" x14ac:dyDescent="0.25">
      <c r="A223" s="3" t="s">
        <v>598</v>
      </c>
      <c r="B223" s="5">
        <v>6.024096385542169E-3</v>
      </c>
    </row>
    <row r="224" spans="1:2" x14ac:dyDescent="0.25">
      <c r="A224" s="3" t="s">
        <v>208</v>
      </c>
      <c r="B224" s="5">
        <v>0.36746987951807231</v>
      </c>
    </row>
    <row r="225" spans="1:2" x14ac:dyDescent="0.25">
      <c r="A225" s="3" t="s">
        <v>258</v>
      </c>
      <c r="B225" s="5">
        <v>1.8072289156626505E-2</v>
      </c>
    </row>
    <row r="226" spans="1:2" x14ac:dyDescent="0.25">
      <c r="A226" s="3" t="s">
        <v>550</v>
      </c>
      <c r="B226" s="5">
        <v>3.614457831325301E-2</v>
      </c>
    </row>
    <row r="227" spans="1:2" x14ac:dyDescent="0.25">
      <c r="A227" s="3" t="s">
        <v>536</v>
      </c>
      <c r="B227" s="5">
        <v>1.2048192771084338E-2</v>
      </c>
    </row>
    <row r="228" spans="1:2" x14ac:dyDescent="0.25">
      <c r="A228" s="3" t="s">
        <v>223</v>
      </c>
      <c r="B228" s="5">
        <v>0.37951807228915663</v>
      </c>
    </row>
    <row r="229" spans="1:2" x14ac:dyDescent="0.25">
      <c r="A229" s="3" t="s">
        <v>277</v>
      </c>
      <c r="B229" s="5">
        <v>3.0120481927710843E-2</v>
      </c>
    </row>
    <row r="230" spans="1:2" x14ac:dyDescent="0.25">
      <c r="A230" s="3" t="s">
        <v>529</v>
      </c>
      <c r="B230" s="5">
        <v>1.2048192771084338E-2</v>
      </c>
    </row>
    <row r="231" spans="1:2" x14ac:dyDescent="0.25">
      <c r="A231" s="3" t="s">
        <v>1316</v>
      </c>
      <c r="B231" s="5">
        <v>1</v>
      </c>
    </row>
  </sheetData>
  <pageMargins left="0.7" right="0.7" top="0.75" bottom="0.75" header="0.3" footer="0.3"/>
  <pageSetup orientation="portrait" r:id="rId7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D437"/>
  <sheetViews>
    <sheetView topLeftCell="A332" zoomScale="55" zoomScaleNormal="55" workbookViewId="0">
      <selection activeCell="M349" sqref="M349"/>
    </sheetView>
  </sheetViews>
  <sheetFormatPr baseColWidth="10" defaultRowHeight="15" x14ac:dyDescent="0.25"/>
  <cols>
    <col min="8" max="8" width="17.5703125" customWidth="1"/>
    <col min="9" max="9" width="33" customWidth="1"/>
    <col min="10" max="10" width="32.7109375" bestFit="1" customWidth="1"/>
    <col min="11" max="11" width="12.5703125" customWidth="1"/>
    <col min="12" max="12" width="18.7109375" customWidth="1"/>
    <col min="13" max="13" width="21.140625" customWidth="1"/>
    <col min="14" max="14" width="23.42578125" bestFit="1" customWidth="1"/>
    <col min="15" max="15" width="21.85546875" customWidth="1"/>
    <col min="16" max="16" width="12.7109375" bestFit="1" customWidth="1"/>
    <col min="17" max="17" width="30.28515625" customWidth="1"/>
    <col min="18" max="18" width="17.85546875" customWidth="1"/>
    <col min="19" max="19" width="10.7109375" bestFit="1" customWidth="1"/>
    <col min="20" max="20" width="17.140625" bestFit="1" customWidth="1"/>
    <col min="21" max="21" width="20" customWidth="1"/>
    <col min="22" max="22" width="10.42578125" bestFit="1" customWidth="1"/>
    <col min="23" max="23" width="13.5703125" bestFit="1" customWidth="1"/>
    <col min="24" max="24" width="16.85546875" bestFit="1" customWidth="1"/>
  </cols>
  <sheetData>
    <row r="2" spans="8:19" x14ac:dyDescent="0.25">
      <c r="I2" s="4" t="s">
        <v>1317</v>
      </c>
      <c r="N2" s="2" t="s">
        <v>1395</v>
      </c>
      <c r="O2" s="2" t="s">
        <v>1394</v>
      </c>
    </row>
    <row r="3" spans="8:19" x14ac:dyDescent="0.25">
      <c r="I3" s="3" t="s">
        <v>1442</v>
      </c>
      <c r="J3" s="5">
        <v>5.4216867469879519E-2</v>
      </c>
      <c r="N3" s="2" t="s">
        <v>1315</v>
      </c>
      <c r="O3" t="s">
        <v>181</v>
      </c>
      <c r="P3" t="s">
        <v>202</v>
      </c>
      <c r="Q3" t="s">
        <v>216</v>
      </c>
      <c r="R3" t="s">
        <v>339</v>
      </c>
      <c r="S3" t="s">
        <v>1316</v>
      </c>
    </row>
    <row r="4" spans="8:19" x14ac:dyDescent="0.25">
      <c r="I4" s="3" t="s">
        <v>1443</v>
      </c>
      <c r="J4" s="5">
        <v>0.63855421686746983</v>
      </c>
      <c r="N4" s="3" t="s">
        <v>175</v>
      </c>
      <c r="O4" s="5">
        <v>7.575757575757576E-2</v>
      </c>
      <c r="P4" s="5">
        <v>0.65151515151515149</v>
      </c>
      <c r="Q4" s="5">
        <v>0.24242424242424243</v>
      </c>
      <c r="R4" s="5">
        <v>3.0303030303030304E-2</v>
      </c>
      <c r="S4" s="5">
        <v>1</v>
      </c>
    </row>
    <row r="5" spans="8:19" x14ac:dyDescent="0.25">
      <c r="I5" s="3" t="s">
        <v>1444</v>
      </c>
      <c r="J5" s="5">
        <v>0.26506024096385544</v>
      </c>
      <c r="N5" s="3" t="s">
        <v>251</v>
      </c>
      <c r="O5" s="5">
        <v>0.04</v>
      </c>
      <c r="P5" s="5">
        <v>0.63</v>
      </c>
      <c r="Q5" s="5">
        <v>0.28000000000000003</v>
      </c>
      <c r="R5" s="5">
        <v>0.05</v>
      </c>
      <c r="S5" s="5">
        <v>1</v>
      </c>
    </row>
    <row r="6" spans="8:19" x14ac:dyDescent="0.25">
      <c r="I6" s="3" t="s">
        <v>1445</v>
      </c>
      <c r="J6" s="5">
        <v>4.2168674698795178E-2</v>
      </c>
      <c r="N6" s="3" t="s">
        <v>1316</v>
      </c>
      <c r="O6" s="5">
        <v>5.4216867469879519E-2</v>
      </c>
      <c r="P6" s="5">
        <v>0.63855421686746983</v>
      </c>
      <c r="Q6" s="5">
        <v>0.26506024096385544</v>
      </c>
      <c r="R6" s="5">
        <v>4.2168674698795178E-2</v>
      </c>
      <c r="S6" s="5">
        <v>1</v>
      </c>
    </row>
    <row r="8" spans="8:19" x14ac:dyDescent="0.25">
      <c r="N8" s="2" t="s">
        <v>1401</v>
      </c>
      <c r="O8" s="2" t="s">
        <v>1394</v>
      </c>
    </row>
    <row r="9" spans="8:19" x14ac:dyDescent="0.25">
      <c r="N9" s="2" t="s">
        <v>1315</v>
      </c>
      <c r="O9" t="s">
        <v>181</v>
      </c>
      <c r="P9" t="s">
        <v>202</v>
      </c>
      <c r="Q9" t="s">
        <v>216</v>
      </c>
      <c r="R9" t="s">
        <v>339</v>
      </c>
      <c r="S9" t="s">
        <v>1316</v>
      </c>
    </row>
    <row r="10" spans="8:19" x14ac:dyDescent="0.25">
      <c r="N10" s="3" t="s">
        <v>1397</v>
      </c>
      <c r="O10" s="5">
        <v>0.125</v>
      </c>
      <c r="P10" s="5">
        <v>0.5</v>
      </c>
      <c r="Q10" s="5">
        <v>0.375</v>
      </c>
      <c r="R10" s="5">
        <v>0</v>
      </c>
      <c r="S10" s="5">
        <v>1</v>
      </c>
    </row>
    <row r="11" spans="8:19" x14ac:dyDescent="0.25">
      <c r="J11" s="4" t="s">
        <v>1442</v>
      </c>
      <c r="K11" s="4" t="s">
        <v>1443</v>
      </c>
      <c r="L11" s="4" t="s">
        <v>1444</v>
      </c>
      <c r="M11" s="4" t="s">
        <v>1445</v>
      </c>
      <c r="N11" s="3" t="s">
        <v>1398</v>
      </c>
      <c r="O11" s="5">
        <v>4.7619047619047616E-2</v>
      </c>
      <c r="P11" s="5">
        <v>0.5714285714285714</v>
      </c>
      <c r="Q11" s="5">
        <v>0.33333333333333331</v>
      </c>
      <c r="R11" s="5">
        <v>4.7619047619047616E-2</v>
      </c>
      <c r="S11" s="5">
        <v>1</v>
      </c>
    </row>
    <row r="12" spans="8:19" x14ac:dyDescent="0.25">
      <c r="H12" s="12" t="s">
        <v>1402</v>
      </c>
      <c r="I12" s="3" t="s">
        <v>1446</v>
      </c>
      <c r="J12" s="5">
        <v>7.575757575757576E-2</v>
      </c>
      <c r="K12" s="5">
        <v>0.65151515151515149</v>
      </c>
      <c r="L12" s="5">
        <v>0.24242424242424243</v>
      </c>
      <c r="M12" s="5">
        <v>3.0303030303030304E-2</v>
      </c>
      <c r="N12" s="3" t="s">
        <v>1399</v>
      </c>
      <c r="O12" s="5">
        <v>1.6949152542372881E-2</v>
      </c>
      <c r="P12" s="5">
        <v>0.69491525423728817</v>
      </c>
      <c r="Q12" s="5">
        <v>0.2711864406779661</v>
      </c>
      <c r="R12" s="5">
        <v>1.6949152542372881E-2</v>
      </c>
      <c r="S12" s="5">
        <v>1</v>
      </c>
    </row>
    <row r="13" spans="8:19" x14ac:dyDescent="0.25">
      <c r="H13" s="12"/>
      <c r="I13" s="3" t="s">
        <v>1447</v>
      </c>
      <c r="J13" s="5">
        <v>0.04</v>
      </c>
      <c r="K13" s="5">
        <v>0.63</v>
      </c>
      <c r="L13" s="5">
        <v>0.28000000000000003</v>
      </c>
      <c r="M13" s="5">
        <v>0.05</v>
      </c>
      <c r="N13" s="3" t="s">
        <v>1400</v>
      </c>
      <c r="O13" s="5">
        <v>8.771929824561403E-2</v>
      </c>
      <c r="P13" s="5">
        <v>0.64912280701754388</v>
      </c>
      <c r="Q13" s="5">
        <v>0.19298245614035087</v>
      </c>
      <c r="R13" s="5">
        <v>7.0175438596491224E-2</v>
      </c>
      <c r="S13" s="5">
        <v>1</v>
      </c>
    </row>
    <row r="14" spans="8:19" x14ac:dyDescent="0.25">
      <c r="H14" s="12" t="s">
        <v>1403</v>
      </c>
      <c r="I14" s="3" t="s">
        <v>1397</v>
      </c>
      <c r="J14" s="5">
        <v>0.125</v>
      </c>
      <c r="K14" s="5">
        <v>0.5</v>
      </c>
      <c r="L14" s="5">
        <v>0.375</v>
      </c>
      <c r="M14" s="5">
        <v>0</v>
      </c>
      <c r="N14" s="3" t="s">
        <v>1316</v>
      </c>
      <c r="O14" s="5">
        <v>5.4216867469879519E-2</v>
      </c>
      <c r="P14" s="5">
        <v>0.63855421686746983</v>
      </c>
      <c r="Q14" s="5">
        <v>0.26506024096385544</v>
      </c>
      <c r="R14" s="5">
        <v>4.2168674698795178E-2</v>
      </c>
      <c r="S14" s="5">
        <v>1</v>
      </c>
    </row>
    <row r="15" spans="8:19" x14ac:dyDescent="0.25">
      <c r="H15" s="12"/>
      <c r="I15" s="3" t="s">
        <v>1398</v>
      </c>
      <c r="J15" s="5">
        <v>4.7619047619047616E-2</v>
      </c>
      <c r="K15" s="5">
        <v>0.5714285714285714</v>
      </c>
      <c r="L15" s="5">
        <v>0.33333333333333331</v>
      </c>
      <c r="M15" s="5">
        <v>4.7619047619047616E-2</v>
      </c>
    </row>
    <row r="16" spans="8:19" x14ac:dyDescent="0.25">
      <c r="H16" s="12"/>
      <c r="I16" s="3" t="s">
        <v>1399</v>
      </c>
      <c r="J16" s="5">
        <v>1.6949152542372881E-2</v>
      </c>
      <c r="K16" s="5">
        <v>0.69491525423728817</v>
      </c>
      <c r="L16" s="5">
        <v>0.2711864406779661</v>
      </c>
      <c r="M16" s="5">
        <v>1.6949152542372881E-2</v>
      </c>
    </row>
    <row r="17" spans="8:19" x14ac:dyDescent="0.25">
      <c r="H17" s="12"/>
      <c r="I17" s="3" t="s">
        <v>1400</v>
      </c>
      <c r="J17" s="5">
        <v>8.771929824561403E-2</v>
      </c>
      <c r="K17" s="5">
        <v>0.64912280701754388</v>
      </c>
      <c r="L17" s="5">
        <v>0.19298245614035087</v>
      </c>
      <c r="M17" s="5">
        <v>7.0175438596491224E-2</v>
      </c>
    </row>
    <row r="22" spans="8:19" x14ac:dyDescent="0.25">
      <c r="P22" s="5">
        <v>5.4216867469879519E-2</v>
      </c>
      <c r="Q22" s="5">
        <v>0.63855421686746983</v>
      </c>
      <c r="R22" s="5">
        <v>0.26506024096385544</v>
      </c>
      <c r="S22" s="5">
        <v>4.2168674698795178E-2</v>
      </c>
    </row>
    <row r="41" spans="9:19" x14ac:dyDescent="0.25">
      <c r="I41" s="2" t="s">
        <v>1315</v>
      </c>
      <c r="J41" t="s">
        <v>1318</v>
      </c>
    </row>
    <row r="42" spans="9:19" x14ac:dyDescent="0.25">
      <c r="I42" s="3" t="s">
        <v>1448</v>
      </c>
      <c r="J42" s="5">
        <v>0.42771084337349397</v>
      </c>
      <c r="L42" s="3" t="s">
        <v>1448</v>
      </c>
      <c r="M42" s="5">
        <v>0.42771084337349397</v>
      </c>
    </row>
    <row r="43" spans="9:19" x14ac:dyDescent="0.25">
      <c r="I43" s="3" t="s">
        <v>1449</v>
      </c>
      <c r="J43" s="5">
        <v>0.39759036144578314</v>
      </c>
      <c r="L43" s="3" t="s">
        <v>1449</v>
      </c>
      <c r="M43" s="5">
        <v>0.39759036144578314</v>
      </c>
    </row>
    <row r="44" spans="9:19" x14ac:dyDescent="0.25">
      <c r="I44" s="3" t="s">
        <v>1450</v>
      </c>
      <c r="J44" s="5">
        <v>0.1746987951807229</v>
      </c>
      <c r="L44" s="3" t="s">
        <v>1450</v>
      </c>
      <c r="M44" s="5">
        <v>0.1746987951807229</v>
      </c>
    </row>
    <row r="45" spans="9:19" x14ac:dyDescent="0.25">
      <c r="I45" s="3" t="s">
        <v>1316</v>
      </c>
      <c r="J45" s="5">
        <v>1</v>
      </c>
    </row>
    <row r="47" spans="9:19" x14ac:dyDescent="0.25">
      <c r="O47" s="2" t="s">
        <v>1395</v>
      </c>
      <c r="P47" s="2" t="s">
        <v>1394</v>
      </c>
    </row>
    <row r="48" spans="9:19" x14ac:dyDescent="0.25">
      <c r="I48" s="4"/>
      <c r="J48" s="4" t="s">
        <v>1448</v>
      </c>
      <c r="K48" s="4" t="s">
        <v>1449</v>
      </c>
      <c r="L48" s="4" t="s">
        <v>1450</v>
      </c>
      <c r="O48" s="2" t="s">
        <v>1315</v>
      </c>
      <c r="P48" t="s">
        <v>183</v>
      </c>
      <c r="Q48" t="s">
        <v>297</v>
      </c>
      <c r="R48" t="s">
        <v>205</v>
      </c>
      <c r="S48" t="s">
        <v>1316</v>
      </c>
    </row>
    <row r="49" spans="8:19" x14ac:dyDescent="0.25">
      <c r="H49" s="12" t="s">
        <v>1402</v>
      </c>
      <c r="I49" s="3" t="s">
        <v>1446</v>
      </c>
      <c r="J49" s="5">
        <v>0.36363636363636365</v>
      </c>
      <c r="K49" s="5">
        <v>0.37878787878787878</v>
      </c>
      <c r="L49" s="5">
        <v>0.25757575757575757</v>
      </c>
      <c r="O49" s="3" t="s">
        <v>175</v>
      </c>
      <c r="P49" s="5">
        <v>0.36363636363636365</v>
      </c>
      <c r="Q49" s="5">
        <v>0.37878787878787878</v>
      </c>
      <c r="R49" s="5">
        <v>0.25757575757575757</v>
      </c>
      <c r="S49" s="5">
        <v>1</v>
      </c>
    </row>
    <row r="50" spans="8:19" x14ac:dyDescent="0.25">
      <c r="H50" s="12"/>
      <c r="I50" s="3" t="s">
        <v>1447</v>
      </c>
      <c r="J50" s="5">
        <v>0.47</v>
      </c>
      <c r="K50" s="5">
        <v>0.41</v>
      </c>
      <c r="L50" s="5">
        <v>0.12</v>
      </c>
      <c r="O50" s="3" t="s">
        <v>251</v>
      </c>
      <c r="P50" s="5">
        <v>0.47</v>
      </c>
      <c r="Q50" s="5">
        <v>0.41</v>
      </c>
      <c r="R50" s="5">
        <v>0.12</v>
      </c>
      <c r="S50" s="5">
        <v>1</v>
      </c>
    </row>
    <row r="51" spans="8:19" x14ac:dyDescent="0.25">
      <c r="H51" s="12" t="s">
        <v>1403</v>
      </c>
      <c r="I51" s="3" t="s">
        <v>1397</v>
      </c>
      <c r="J51" s="5">
        <v>0.375</v>
      </c>
      <c r="K51" s="5">
        <v>0.5</v>
      </c>
      <c r="L51" s="5">
        <v>0.125</v>
      </c>
      <c r="O51" s="3" t="s">
        <v>1316</v>
      </c>
      <c r="P51" s="5">
        <v>0.42771084337349397</v>
      </c>
      <c r="Q51" s="5">
        <v>0.39759036144578314</v>
      </c>
      <c r="R51" s="5">
        <v>0.1746987951807229</v>
      </c>
      <c r="S51" s="5">
        <v>1</v>
      </c>
    </row>
    <row r="52" spans="8:19" x14ac:dyDescent="0.25">
      <c r="H52" s="12"/>
      <c r="I52" s="3" t="s">
        <v>1398</v>
      </c>
      <c r="J52" s="5">
        <v>0.40476190476190477</v>
      </c>
      <c r="K52" s="5">
        <v>0.30952380952380953</v>
      </c>
      <c r="L52" s="5">
        <v>0.2857142857142857</v>
      </c>
    </row>
    <row r="53" spans="8:19" x14ac:dyDescent="0.25">
      <c r="H53" s="12"/>
      <c r="I53" s="3" t="s">
        <v>1399</v>
      </c>
      <c r="J53" s="5">
        <v>0.47457627118644069</v>
      </c>
      <c r="K53" s="5">
        <v>0.44067796610169491</v>
      </c>
      <c r="L53" s="5">
        <v>8.4745762711864403E-2</v>
      </c>
      <c r="O53" s="2" t="s">
        <v>1401</v>
      </c>
      <c r="P53" s="2" t="s">
        <v>1394</v>
      </c>
    </row>
    <row r="54" spans="8:19" x14ac:dyDescent="0.25">
      <c r="H54" s="12"/>
      <c r="I54" s="3" t="s">
        <v>1400</v>
      </c>
      <c r="J54" s="5">
        <v>0.40350877192982454</v>
      </c>
      <c r="K54" s="5">
        <v>0.40350877192982454</v>
      </c>
      <c r="L54" s="5">
        <v>0.19298245614035087</v>
      </c>
      <c r="O54" s="2" t="s">
        <v>1315</v>
      </c>
      <c r="P54" t="s">
        <v>183</v>
      </c>
      <c r="Q54" t="s">
        <v>297</v>
      </c>
      <c r="R54" t="s">
        <v>205</v>
      </c>
      <c r="S54" t="s">
        <v>1316</v>
      </c>
    </row>
    <row r="55" spans="8:19" x14ac:dyDescent="0.25">
      <c r="O55" s="3" t="s">
        <v>1397</v>
      </c>
      <c r="P55" s="5">
        <v>0.375</v>
      </c>
      <c r="Q55" s="5">
        <v>0.5</v>
      </c>
      <c r="R55" s="5">
        <v>0.125</v>
      </c>
      <c r="S55" s="5">
        <v>1</v>
      </c>
    </row>
    <row r="56" spans="8:19" x14ac:dyDescent="0.25">
      <c r="O56" s="3" t="s">
        <v>1398</v>
      </c>
      <c r="P56" s="5">
        <v>0.40476190476190477</v>
      </c>
      <c r="Q56" s="5">
        <v>0.30952380952380953</v>
      </c>
      <c r="R56" s="5">
        <v>0.2857142857142857</v>
      </c>
      <c r="S56" s="5">
        <v>1</v>
      </c>
    </row>
    <row r="57" spans="8:19" x14ac:dyDescent="0.25">
      <c r="O57" s="3" t="s">
        <v>1399</v>
      </c>
      <c r="P57" s="5">
        <v>0.47457627118644069</v>
      </c>
      <c r="Q57" s="5">
        <v>0.44067796610169491</v>
      </c>
      <c r="R57" s="5">
        <v>8.4745762711864403E-2</v>
      </c>
      <c r="S57" s="5">
        <v>1</v>
      </c>
    </row>
    <row r="58" spans="8:19" x14ac:dyDescent="0.25">
      <c r="O58" s="3" t="s">
        <v>1400</v>
      </c>
      <c r="P58" s="5">
        <v>0.40350877192982454</v>
      </c>
      <c r="Q58" s="5">
        <v>0.40350877192982454</v>
      </c>
      <c r="R58" s="5">
        <v>0.19298245614035087</v>
      </c>
      <c r="S58" s="5">
        <v>1</v>
      </c>
    </row>
    <row r="59" spans="8:19" x14ac:dyDescent="0.25">
      <c r="O59" s="3" t="s">
        <v>1316</v>
      </c>
      <c r="P59" s="5">
        <v>0.42771084337349397</v>
      </c>
      <c r="Q59" s="5">
        <v>0.39759036144578314</v>
      </c>
      <c r="R59" s="5">
        <v>0.1746987951807229</v>
      </c>
      <c r="S59" s="5">
        <v>1</v>
      </c>
    </row>
    <row r="92" spans="9:27" x14ac:dyDescent="0.25">
      <c r="I92" s="2" t="s">
        <v>1315</v>
      </c>
      <c r="J92" t="s">
        <v>1320</v>
      </c>
    </row>
    <row r="93" spans="9:27" x14ac:dyDescent="0.25">
      <c r="I93" s="3" t="s">
        <v>173</v>
      </c>
      <c r="J93" s="5">
        <v>0.14457831325301204</v>
      </c>
      <c r="M93" s="3" t="s">
        <v>1451</v>
      </c>
      <c r="N93" s="3" t="s">
        <v>1452</v>
      </c>
      <c r="O93" s="2" t="s">
        <v>1395</v>
      </c>
      <c r="P93" s="2" t="s">
        <v>1394</v>
      </c>
      <c r="T93" s="2" t="s">
        <v>1401</v>
      </c>
      <c r="U93" s="2" t="s">
        <v>1394</v>
      </c>
    </row>
    <row r="94" spans="9:27" x14ac:dyDescent="0.25">
      <c r="I94" s="3" t="s">
        <v>192</v>
      </c>
      <c r="J94" s="5">
        <v>0.85542168674698793</v>
      </c>
      <c r="L94" t="s">
        <v>1404</v>
      </c>
      <c r="M94" s="5">
        <v>0.14457831325301204</v>
      </c>
      <c r="N94" s="5">
        <v>0.85542168674698793</v>
      </c>
      <c r="O94" s="2" t="s">
        <v>1315</v>
      </c>
      <c r="P94" t="s">
        <v>173</v>
      </c>
      <c r="Q94" t="s">
        <v>192</v>
      </c>
      <c r="R94" t="s">
        <v>1316</v>
      </c>
      <c r="T94" s="2" t="s">
        <v>1315</v>
      </c>
      <c r="U94" t="s">
        <v>173</v>
      </c>
      <c r="V94" t="s">
        <v>192</v>
      </c>
      <c r="W94" t="s">
        <v>1316</v>
      </c>
      <c r="Z94" s="3" t="s">
        <v>1451</v>
      </c>
      <c r="AA94" s="3" t="s">
        <v>1452</v>
      </c>
    </row>
    <row r="95" spans="9:27" x14ac:dyDescent="0.25">
      <c r="I95" s="3" t="s">
        <v>1316</v>
      </c>
      <c r="J95" s="5">
        <v>1</v>
      </c>
      <c r="L95" t="s">
        <v>1405</v>
      </c>
      <c r="M95" s="5">
        <v>0.41566265060240964</v>
      </c>
      <c r="N95" s="5">
        <v>0.58433734939759041</v>
      </c>
      <c r="O95" s="3" t="s">
        <v>175</v>
      </c>
      <c r="P95" s="5">
        <v>0.13636363636363635</v>
      </c>
      <c r="Q95" s="5">
        <v>0.86363636363636365</v>
      </c>
      <c r="R95" s="5">
        <v>1</v>
      </c>
      <c r="T95" s="3" t="s">
        <v>1397</v>
      </c>
      <c r="U95" s="5">
        <v>0</v>
      </c>
      <c r="V95" s="5">
        <v>1</v>
      </c>
      <c r="W95" s="5">
        <v>1</v>
      </c>
      <c r="X95" s="13" t="s">
        <v>1402</v>
      </c>
      <c r="Y95" s="3" t="s">
        <v>1446</v>
      </c>
      <c r="Z95" s="5">
        <v>0.13636363636363635</v>
      </c>
      <c r="AA95" s="5">
        <v>0.86363636363636365</v>
      </c>
    </row>
    <row r="96" spans="9:27" x14ac:dyDescent="0.25">
      <c r="L96" t="s">
        <v>1406</v>
      </c>
      <c r="M96" s="5">
        <v>0.33132530120481929</v>
      </c>
      <c r="N96" s="5">
        <v>0.66265060240963858</v>
      </c>
      <c r="O96" s="3" t="s">
        <v>251</v>
      </c>
      <c r="P96" s="5">
        <v>0.15</v>
      </c>
      <c r="Q96" s="5">
        <v>0.85</v>
      </c>
      <c r="R96" s="5">
        <v>1</v>
      </c>
      <c r="T96" s="3" t="s">
        <v>1398</v>
      </c>
      <c r="U96" s="5">
        <v>0.23809523809523808</v>
      </c>
      <c r="V96" s="5">
        <v>0.76190476190476186</v>
      </c>
      <c r="W96" s="5">
        <v>1</v>
      </c>
      <c r="X96" s="13"/>
      <c r="Y96" s="3" t="s">
        <v>1447</v>
      </c>
      <c r="Z96" s="5">
        <v>0.15</v>
      </c>
      <c r="AA96" s="5">
        <v>0.85</v>
      </c>
    </row>
    <row r="97" spans="9:27" x14ac:dyDescent="0.25">
      <c r="O97" s="3" t="s">
        <v>1316</v>
      </c>
      <c r="P97" s="5">
        <v>0.14457831325301204</v>
      </c>
      <c r="Q97" s="5">
        <v>0.85542168674698793</v>
      </c>
      <c r="R97" s="5">
        <v>1</v>
      </c>
      <c r="T97" s="3" t="s">
        <v>1399</v>
      </c>
      <c r="U97" s="5">
        <v>0.1864406779661017</v>
      </c>
      <c r="V97" s="5">
        <v>0.81355932203389836</v>
      </c>
      <c r="W97" s="5">
        <v>1</v>
      </c>
      <c r="X97" s="12" t="s">
        <v>1403</v>
      </c>
      <c r="Y97" s="3" t="s">
        <v>1397</v>
      </c>
      <c r="Z97" s="5">
        <v>0</v>
      </c>
      <c r="AA97" s="5">
        <v>1</v>
      </c>
    </row>
    <row r="98" spans="9:27" x14ac:dyDescent="0.25">
      <c r="I98" s="2" t="s">
        <v>1315</v>
      </c>
      <c r="J98" t="s">
        <v>1321</v>
      </c>
      <c r="T98" s="3" t="s">
        <v>1400</v>
      </c>
      <c r="U98" s="5">
        <v>5.2631578947368418E-2</v>
      </c>
      <c r="V98" s="5">
        <v>0.94736842105263153</v>
      </c>
      <c r="W98" s="5">
        <v>1</v>
      </c>
      <c r="X98" s="12"/>
      <c r="Y98" s="3" t="s">
        <v>1398</v>
      </c>
      <c r="Z98" s="5">
        <v>0.23809523809523808</v>
      </c>
      <c r="AA98" s="5">
        <v>0.76190476190476186</v>
      </c>
    </row>
    <row r="99" spans="9:27" x14ac:dyDescent="0.25">
      <c r="I99" s="3" t="s">
        <v>173</v>
      </c>
      <c r="J99" s="5">
        <v>0.41566265060240964</v>
      </c>
      <c r="T99" s="3" t="s">
        <v>1316</v>
      </c>
      <c r="U99" s="5">
        <v>0.14457831325301204</v>
      </c>
      <c r="V99" s="5">
        <v>0.85542168674698793</v>
      </c>
      <c r="W99" s="5">
        <v>1</v>
      </c>
      <c r="X99" s="12"/>
      <c r="Y99" s="3" t="s">
        <v>1399</v>
      </c>
      <c r="Z99" s="5">
        <v>0.1864406779661017</v>
      </c>
      <c r="AA99" s="5">
        <v>0.81355932203389836</v>
      </c>
    </row>
    <row r="100" spans="9:27" x14ac:dyDescent="0.25">
      <c r="I100" s="3" t="s">
        <v>192</v>
      </c>
      <c r="J100" s="5">
        <v>0.58433734939759041</v>
      </c>
      <c r="X100" s="12"/>
      <c r="Y100" s="3" t="s">
        <v>1400</v>
      </c>
      <c r="Z100" s="5">
        <v>5.2631578947368418E-2</v>
      </c>
      <c r="AA100" s="5">
        <v>0.94736842105263153</v>
      </c>
    </row>
    <row r="101" spans="9:27" x14ac:dyDescent="0.25">
      <c r="I101" s="3" t="s">
        <v>1316</v>
      </c>
      <c r="J101" s="5">
        <v>1</v>
      </c>
      <c r="O101" s="2" t="s">
        <v>1395</v>
      </c>
      <c r="P101" s="2" t="s">
        <v>1394</v>
      </c>
      <c r="T101" s="2" t="s">
        <v>1401</v>
      </c>
      <c r="U101" s="2" t="s">
        <v>1394</v>
      </c>
    </row>
    <row r="102" spans="9:27" x14ac:dyDescent="0.25">
      <c r="O102" s="2" t="s">
        <v>1315</v>
      </c>
      <c r="P102" t="s">
        <v>173</v>
      </c>
      <c r="Q102" t="s">
        <v>192</v>
      </c>
      <c r="R102" t="s">
        <v>1316</v>
      </c>
      <c r="T102" s="2" t="s">
        <v>1315</v>
      </c>
      <c r="U102" t="s">
        <v>173</v>
      </c>
      <c r="V102" t="s">
        <v>192</v>
      </c>
      <c r="W102" t="s">
        <v>1316</v>
      </c>
      <c r="Z102" s="3" t="s">
        <v>1451</v>
      </c>
      <c r="AA102" s="3" t="s">
        <v>1452</v>
      </c>
    </row>
    <row r="103" spans="9:27" x14ac:dyDescent="0.25">
      <c r="O103" s="3" t="s">
        <v>175</v>
      </c>
      <c r="P103" s="5">
        <v>0.40909090909090912</v>
      </c>
      <c r="Q103" s="5">
        <v>0.59090909090909094</v>
      </c>
      <c r="R103" s="5">
        <v>1</v>
      </c>
      <c r="T103" s="3" t="s">
        <v>1397</v>
      </c>
      <c r="U103" s="5">
        <v>0.375</v>
      </c>
      <c r="V103" s="5">
        <v>0.625</v>
      </c>
      <c r="W103" s="5">
        <v>1</v>
      </c>
      <c r="X103" s="13" t="s">
        <v>1402</v>
      </c>
      <c r="Y103" s="3" t="s">
        <v>1446</v>
      </c>
      <c r="Z103" s="5">
        <v>0.40909090909090912</v>
      </c>
      <c r="AA103" s="5">
        <v>0.59090909090909094</v>
      </c>
    </row>
    <row r="104" spans="9:27" x14ac:dyDescent="0.25">
      <c r="I104" s="2" t="s">
        <v>1315</v>
      </c>
      <c r="J104" t="s">
        <v>1319</v>
      </c>
      <c r="O104" s="3" t="s">
        <v>251</v>
      </c>
      <c r="P104" s="5">
        <v>0.42</v>
      </c>
      <c r="Q104" s="5">
        <v>0.57999999999999996</v>
      </c>
      <c r="R104" s="5">
        <v>1</v>
      </c>
      <c r="T104" s="3" t="s">
        <v>1398</v>
      </c>
      <c r="U104" s="5">
        <v>0.52380952380952384</v>
      </c>
      <c r="V104" s="5">
        <v>0.47619047619047616</v>
      </c>
      <c r="W104" s="5">
        <v>1</v>
      </c>
      <c r="X104" s="13"/>
      <c r="Y104" s="3" t="s">
        <v>1447</v>
      </c>
      <c r="Z104" s="5">
        <v>0.42</v>
      </c>
      <c r="AA104" s="5">
        <v>0.57999999999999996</v>
      </c>
    </row>
    <row r="105" spans="9:27" x14ac:dyDescent="0.25">
      <c r="I105" s="3" t="s">
        <v>173</v>
      </c>
      <c r="J105" s="5">
        <v>0.33132530120481929</v>
      </c>
      <c r="O105" s="3" t="s">
        <v>1316</v>
      </c>
      <c r="P105" s="5">
        <v>0.41566265060240964</v>
      </c>
      <c r="Q105" s="5">
        <v>0.58433734939759041</v>
      </c>
      <c r="R105" s="5">
        <v>1</v>
      </c>
      <c r="T105" s="3" t="s">
        <v>1399</v>
      </c>
      <c r="U105" s="5">
        <v>0.40677966101694918</v>
      </c>
      <c r="V105" s="5">
        <v>0.59322033898305082</v>
      </c>
      <c r="W105" s="5">
        <v>1</v>
      </c>
      <c r="X105" s="12" t="s">
        <v>1403</v>
      </c>
      <c r="Y105" s="3" t="s">
        <v>1397</v>
      </c>
      <c r="Z105" s="5">
        <v>0.375</v>
      </c>
      <c r="AA105" s="5">
        <v>0.625</v>
      </c>
    </row>
    <row r="106" spans="9:27" x14ac:dyDescent="0.25">
      <c r="I106" s="3" t="s">
        <v>192</v>
      </c>
      <c r="J106" s="5">
        <v>0.66265060240963858</v>
      </c>
      <c r="T106" s="3" t="s">
        <v>1400</v>
      </c>
      <c r="U106" s="5">
        <v>0.35087719298245612</v>
      </c>
      <c r="V106" s="5">
        <v>0.64912280701754388</v>
      </c>
      <c r="W106" s="5">
        <v>1</v>
      </c>
      <c r="X106" s="12"/>
      <c r="Y106" s="3" t="s">
        <v>1398</v>
      </c>
      <c r="Z106" s="5">
        <v>0.52380952380952384</v>
      </c>
      <c r="AA106" s="5">
        <v>0.47619047619047616</v>
      </c>
    </row>
    <row r="107" spans="9:27" x14ac:dyDescent="0.25">
      <c r="I107" s="3" t="s">
        <v>189</v>
      </c>
      <c r="J107" s="5">
        <v>6.024096385542169E-3</v>
      </c>
      <c r="T107" s="3" t="s">
        <v>1316</v>
      </c>
      <c r="U107" s="5">
        <v>0.41566265060240964</v>
      </c>
      <c r="V107" s="5">
        <v>0.58433734939759041</v>
      </c>
      <c r="W107" s="5">
        <v>1</v>
      </c>
      <c r="X107" s="12"/>
      <c r="Y107" s="3" t="s">
        <v>1399</v>
      </c>
      <c r="Z107" s="5">
        <v>0.40677966101694918</v>
      </c>
      <c r="AA107" s="5">
        <v>0.59322033898305082</v>
      </c>
    </row>
    <row r="108" spans="9:27" x14ac:dyDescent="0.25">
      <c r="I108" s="3" t="s">
        <v>1316</v>
      </c>
      <c r="J108" s="5">
        <v>1</v>
      </c>
      <c r="X108" s="12"/>
      <c r="Y108" s="3" t="s">
        <v>1400</v>
      </c>
      <c r="Z108" s="5">
        <v>0.35087719298245612</v>
      </c>
      <c r="AA108" s="5">
        <v>0.64912280701754388</v>
      </c>
    </row>
    <row r="109" spans="9:27" x14ac:dyDescent="0.25">
      <c r="I109" s="2" t="s">
        <v>41</v>
      </c>
      <c r="J109" t="s">
        <v>173</v>
      </c>
    </row>
    <row r="110" spans="9:27" x14ac:dyDescent="0.25">
      <c r="O110" s="2" t="s">
        <v>1395</v>
      </c>
      <c r="P110" s="2" t="s">
        <v>1394</v>
      </c>
      <c r="T110" s="2" t="s">
        <v>1401</v>
      </c>
      <c r="U110" s="2" t="s">
        <v>1394</v>
      </c>
    </row>
    <row r="111" spans="9:27" x14ac:dyDescent="0.25">
      <c r="I111" s="2" t="s">
        <v>1315</v>
      </c>
      <c r="J111" t="s">
        <v>1454</v>
      </c>
      <c r="O111" s="2" t="s">
        <v>1315</v>
      </c>
      <c r="P111" t="s">
        <v>173</v>
      </c>
      <c r="Q111" t="s">
        <v>192</v>
      </c>
      <c r="R111" t="s">
        <v>189</v>
      </c>
      <c r="S111" t="s">
        <v>1316</v>
      </c>
      <c r="T111" s="2" t="s">
        <v>1315</v>
      </c>
      <c r="U111" t="s">
        <v>173</v>
      </c>
      <c r="V111" t="s">
        <v>192</v>
      </c>
      <c r="W111" t="s">
        <v>189</v>
      </c>
      <c r="X111" t="s">
        <v>1316</v>
      </c>
    </row>
    <row r="112" spans="9:27" x14ac:dyDescent="0.25">
      <c r="I112" s="3" t="s">
        <v>206</v>
      </c>
      <c r="J112" s="5">
        <v>0.12727272727272726</v>
      </c>
      <c r="O112" s="3" t="s">
        <v>175</v>
      </c>
      <c r="P112" s="5">
        <v>0.25757575757575757</v>
      </c>
      <c r="Q112" s="5">
        <v>0.74242424242424243</v>
      </c>
      <c r="R112" s="5">
        <v>0</v>
      </c>
      <c r="S112" s="5">
        <v>1</v>
      </c>
      <c r="T112" s="3" t="s">
        <v>1397</v>
      </c>
      <c r="U112" s="5">
        <v>0.5</v>
      </c>
      <c r="V112" s="5">
        <v>0.5</v>
      </c>
      <c r="W112" s="5">
        <v>0</v>
      </c>
      <c r="X112" s="5">
        <v>1</v>
      </c>
    </row>
    <row r="113" spans="8:30" x14ac:dyDescent="0.25">
      <c r="I113" s="3" t="s">
        <v>794</v>
      </c>
      <c r="J113" s="5">
        <v>1.8181818181818181E-2</v>
      </c>
      <c r="O113" s="3" t="s">
        <v>251</v>
      </c>
      <c r="P113" s="5">
        <v>0.38</v>
      </c>
      <c r="Q113" s="5">
        <v>0.61</v>
      </c>
      <c r="R113" s="5">
        <v>0.01</v>
      </c>
      <c r="S113" s="5">
        <v>1</v>
      </c>
      <c r="T113" s="3" t="s">
        <v>1398</v>
      </c>
      <c r="U113" s="5">
        <v>0.40476190476190477</v>
      </c>
      <c r="V113" s="5">
        <v>0.59523809523809523</v>
      </c>
      <c r="W113" s="5">
        <v>0</v>
      </c>
      <c r="X113" s="5">
        <v>1</v>
      </c>
      <c r="AB113" s="3" t="s">
        <v>1451</v>
      </c>
      <c r="AC113" s="3" t="s">
        <v>1452</v>
      </c>
      <c r="AD113" t="s">
        <v>1453</v>
      </c>
    </row>
    <row r="114" spans="8:30" x14ac:dyDescent="0.25">
      <c r="I114" s="3" t="s">
        <v>184</v>
      </c>
      <c r="J114" s="5">
        <v>9.0909090909090912E-2</v>
      </c>
      <c r="O114" s="3" t="s">
        <v>1316</v>
      </c>
      <c r="P114" s="5">
        <v>0.33132530120481929</v>
      </c>
      <c r="Q114" s="5">
        <v>0.66265060240963858</v>
      </c>
      <c r="R114" s="5">
        <v>6.024096385542169E-3</v>
      </c>
      <c r="S114" s="5">
        <v>1</v>
      </c>
      <c r="T114" s="3" t="s">
        <v>1399</v>
      </c>
      <c r="U114" s="5">
        <v>0.28813559322033899</v>
      </c>
      <c r="V114" s="5">
        <v>0.69491525423728817</v>
      </c>
      <c r="W114" s="5">
        <v>1.6949152542372881E-2</v>
      </c>
      <c r="X114" s="5">
        <v>1</v>
      </c>
    </row>
    <row r="115" spans="8:30" x14ac:dyDescent="0.25">
      <c r="I115" s="3" t="s">
        <v>815</v>
      </c>
      <c r="J115" s="5">
        <v>3.6363636363636362E-2</v>
      </c>
      <c r="T115" s="3" t="s">
        <v>1400</v>
      </c>
      <c r="U115" s="5">
        <v>0.2982456140350877</v>
      </c>
      <c r="V115" s="5">
        <v>0.70175438596491224</v>
      </c>
      <c r="W115" s="5">
        <v>0</v>
      </c>
      <c r="X115" s="5">
        <v>1</v>
      </c>
    </row>
    <row r="116" spans="8:30" x14ac:dyDescent="0.25">
      <c r="I116" s="3" t="s">
        <v>1008</v>
      </c>
      <c r="J116" s="5">
        <v>3.6363636363636362E-2</v>
      </c>
      <c r="T116" s="3" t="s">
        <v>1316</v>
      </c>
      <c r="U116" s="5">
        <v>0.33132530120481929</v>
      </c>
      <c r="V116" s="5">
        <v>0.66265060240963858</v>
      </c>
      <c r="W116" s="5">
        <v>6.024096385542169E-3</v>
      </c>
      <c r="X116" s="5">
        <v>1</v>
      </c>
    </row>
    <row r="117" spans="8:30" x14ac:dyDescent="0.25">
      <c r="I117" s="3" t="s">
        <v>308</v>
      </c>
      <c r="J117" s="5">
        <v>0.27272727272727271</v>
      </c>
    </row>
    <row r="118" spans="8:30" x14ac:dyDescent="0.25">
      <c r="I118" s="3" t="s">
        <v>298</v>
      </c>
      <c r="J118" s="5">
        <v>0.41818181818181815</v>
      </c>
    </row>
    <row r="119" spans="8:30" x14ac:dyDescent="0.25">
      <c r="I119" s="3" t="s">
        <v>1316</v>
      </c>
      <c r="J119" s="5">
        <v>1</v>
      </c>
    </row>
    <row r="120" spans="8:30" x14ac:dyDescent="0.25">
      <c r="Q120" s="2" t="s">
        <v>50</v>
      </c>
      <c r="R120" t="s">
        <v>173</v>
      </c>
    </row>
    <row r="121" spans="8:30" x14ac:dyDescent="0.25">
      <c r="X121" s="13" t="s">
        <v>1402</v>
      </c>
      <c r="Y121" s="3" t="s">
        <v>1446</v>
      </c>
      <c r="Z121" s="5">
        <v>0.25757575757575757</v>
      </c>
      <c r="AA121" s="5">
        <v>0.74242424242424243</v>
      </c>
      <c r="AB121" s="5">
        <v>0</v>
      </c>
    </row>
    <row r="122" spans="8:30" x14ac:dyDescent="0.25">
      <c r="Q122" s="2" t="s">
        <v>1315</v>
      </c>
      <c r="R122" t="s">
        <v>1462</v>
      </c>
      <c r="X122" s="13"/>
      <c r="Y122" s="3" t="s">
        <v>1447</v>
      </c>
      <c r="Z122" s="5">
        <v>0.38</v>
      </c>
      <c r="AA122" s="5">
        <v>0.61</v>
      </c>
      <c r="AB122" s="5">
        <v>0.01</v>
      </c>
    </row>
    <row r="123" spans="8:30" x14ac:dyDescent="0.25">
      <c r="Q123" s="3" t="s">
        <v>418</v>
      </c>
      <c r="R123" s="5">
        <v>0.41666666666666669</v>
      </c>
      <c r="X123" s="12" t="s">
        <v>1403</v>
      </c>
      <c r="Y123" s="3" t="s">
        <v>1397</v>
      </c>
      <c r="Z123" s="5">
        <v>0.5</v>
      </c>
      <c r="AA123" s="5">
        <v>0.5</v>
      </c>
      <c r="AB123" s="5">
        <v>0</v>
      </c>
    </row>
    <row r="124" spans="8:30" x14ac:dyDescent="0.25">
      <c r="H124" s="2" t="s">
        <v>1315</v>
      </c>
      <c r="I124" t="s">
        <v>1322</v>
      </c>
      <c r="Q124" s="3" t="s">
        <v>254</v>
      </c>
      <c r="R124" s="5">
        <v>0.45833333333333331</v>
      </c>
      <c r="X124" s="12"/>
      <c r="Y124" s="3" t="s">
        <v>1398</v>
      </c>
      <c r="Z124" s="5">
        <v>0.40476190476190477</v>
      </c>
      <c r="AA124" s="5">
        <v>0.59523809523809523</v>
      </c>
      <c r="AB124" s="5">
        <v>0</v>
      </c>
    </row>
    <row r="125" spans="8:30" x14ac:dyDescent="0.25">
      <c r="H125" s="3" t="s">
        <v>173</v>
      </c>
      <c r="I125" s="5">
        <v>0.14457831325301204</v>
      </c>
      <c r="L125" s="3"/>
      <c r="M125" s="5"/>
      <c r="Q125" s="3" t="s">
        <v>424</v>
      </c>
      <c r="R125" s="5">
        <v>0.125</v>
      </c>
      <c r="X125" s="12"/>
      <c r="Y125" s="3" t="s">
        <v>1399</v>
      </c>
      <c r="Z125" s="5">
        <v>0.28813559322033899</v>
      </c>
      <c r="AA125" s="5">
        <v>0.69491525423728817</v>
      </c>
      <c r="AB125" s="5">
        <v>1.6949152542372881E-2</v>
      </c>
    </row>
    <row r="126" spans="8:30" x14ac:dyDescent="0.25">
      <c r="H126" s="3" t="s">
        <v>192</v>
      </c>
      <c r="I126" s="5">
        <v>0.85542168674698793</v>
      </c>
      <c r="L126" s="3"/>
      <c r="M126" s="5"/>
      <c r="Q126" s="3" t="s">
        <v>1316</v>
      </c>
      <c r="R126" s="5">
        <v>1</v>
      </c>
      <c r="X126" s="12"/>
      <c r="Y126" s="3" t="s">
        <v>1400</v>
      </c>
      <c r="Z126" s="5">
        <v>0.2982456140350877</v>
      </c>
      <c r="AA126" s="5">
        <v>0.70175438596491224</v>
      </c>
      <c r="AB126" s="5">
        <v>0</v>
      </c>
    </row>
    <row r="127" spans="8:30" x14ac:dyDescent="0.25">
      <c r="H127" s="3" t="s">
        <v>1316</v>
      </c>
      <c r="I127" s="5">
        <v>1</v>
      </c>
      <c r="L127" s="3"/>
      <c r="M127" s="5"/>
    </row>
    <row r="129" spans="7:19" x14ac:dyDescent="0.25">
      <c r="I129" s="3" t="s">
        <v>1451</v>
      </c>
      <c r="J129" s="3" t="s">
        <v>1452</v>
      </c>
    </row>
    <row r="130" spans="7:19" x14ac:dyDescent="0.25">
      <c r="I130" s="5">
        <v>0.14457831325301204</v>
      </c>
      <c r="J130" s="5">
        <v>0.85542168674698793</v>
      </c>
    </row>
    <row r="132" spans="7:19" x14ac:dyDescent="0.25">
      <c r="H132" s="2" t="s">
        <v>1395</v>
      </c>
      <c r="I132" s="2" t="s">
        <v>1394</v>
      </c>
      <c r="M132" s="2" t="s">
        <v>1401</v>
      </c>
      <c r="N132" s="2" t="s">
        <v>1394</v>
      </c>
      <c r="R132" s="3" t="s">
        <v>1463</v>
      </c>
      <c r="S132" s="5">
        <v>0.45833333333333331</v>
      </c>
    </row>
    <row r="133" spans="7:19" x14ac:dyDescent="0.25">
      <c r="H133" s="2" t="s">
        <v>1315</v>
      </c>
      <c r="I133" t="s">
        <v>173</v>
      </c>
      <c r="J133" t="s">
        <v>192</v>
      </c>
      <c r="K133" t="s">
        <v>1316</v>
      </c>
      <c r="M133" s="2" t="s">
        <v>1315</v>
      </c>
      <c r="N133" t="s">
        <v>173</v>
      </c>
      <c r="O133" t="s">
        <v>192</v>
      </c>
      <c r="P133" t="s">
        <v>1316</v>
      </c>
      <c r="R133" s="3" t="s">
        <v>1464</v>
      </c>
      <c r="S133" s="5">
        <v>0.41666666666666669</v>
      </c>
    </row>
    <row r="134" spans="7:19" x14ac:dyDescent="0.25">
      <c r="H134" s="3" t="s">
        <v>175</v>
      </c>
      <c r="I134" s="5">
        <v>3.0303030303030304E-2</v>
      </c>
      <c r="J134" s="5">
        <v>0.96969696969696972</v>
      </c>
      <c r="K134" s="5">
        <v>1</v>
      </c>
      <c r="M134" s="3" t="s">
        <v>1397</v>
      </c>
      <c r="N134" s="5">
        <v>0.125</v>
      </c>
      <c r="O134" s="5">
        <v>0.875</v>
      </c>
      <c r="P134" s="5">
        <v>1</v>
      </c>
      <c r="R134" s="3" t="s">
        <v>1465</v>
      </c>
      <c r="S134" s="5">
        <v>0.125</v>
      </c>
    </row>
    <row r="135" spans="7:19" x14ac:dyDescent="0.25">
      <c r="H135" s="3" t="s">
        <v>251</v>
      </c>
      <c r="I135" s="5">
        <v>0.22</v>
      </c>
      <c r="J135" s="5">
        <v>0.78</v>
      </c>
      <c r="K135" s="5">
        <v>1</v>
      </c>
      <c r="M135" s="3" t="s">
        <v>1398</v>
      </c>
      <c r="N135" s="5">
        <v>0.21428571428571427</v>
      </c>
      <c r="O135" s="5">
        <v>0.7857142857142857</v>
      </c>
      <c r="P135" s="5">
        <v>1</v>
      </c>
    </row>
    <row r="136" spans="7:19" x14ac:dyDescent="0.25">
      <c r="H136" s="3" t="s">
        <v>1316</v>
      </c>
      <c r="I136" s="5">
        <v>0.14457831325301204</v>
      </c>
      <c r="J136" s="5">
        <v>0.85542168674698793</v>
      </c>
      <c r="K136" s="5">
        <v>1</v>
      </c>
      <c r="M136" s="3" t="s">
        <v>1399</v>
      </c>
      <c r="N136" s="5">
        <v>0.11864406779661017</v>
      </c>
      <c r="O136" s="5">
        <v>0.88135593220338981</v>
      </c>
      <c r="P136" s="5">
        <v>1</v>
      </c>
    </row>
    <row r="137" spans="7:19" x14ac:dyDescent="0.25">
      <c r="M137" s="3" t="s">
        <v>1400</v>
      </c>
      <c r="N137" s="5">
        <v>0.12280701754385964</v>
      </c>
      <c r="O137" s="5">
        <v>0.8771929824561403</v>
      </c>
      <c r="P137" s="5">
        <v>1</v>
      </c>
    </row>
    <row r="138" spans="7:19" x14ac:dyDescent="0.25">
      <c r="M138" s="3" t="s">
        <v>1316</v>
      </c>
      <c r="N138" s="5">
        <v>0.14457831325301204</v>
      </c>
      <c r="O138" s="5">
        <v>0.85542168674698793</v>
      </c>
      <c r="P138" s="5">
        <v>1</v>
      </c>
    </row>
    <row r="139" spans="7:19" x14ac:dyDescent="0.25">
      <c r="I139" s="4" t="s">
        <v>1451</v>
      </c>
      <c r="J139" s="4" t="s">
        <v>1452</v>
      </c>
    </row>
    <row r="140" spans="7:19" x14ac:dyDescent="0.25">
      <c r="G140" s="13" t="s">
        <v>1402</v>
      </c>
      <c r="H140" s="3" t="s">
        <v>1446</v>
      </c>
      <c r="I140" s="5">
        <v>3.0303030303030304E-2</v>
      </c>
      <c r="J140" s="5">
        <v>0.96969696969696972</v>
      </c>
      <c r="M140" s="2" t="s">
        <v>1455</v>
      </c>
      <c r="N140" s="2" t="s">
        <v>1394</v>
      </c>
    </row>
    <row r="141" spans="7:19" x14ac:dyDescent="0.25">
      <c r="G141" s="13"/>
      <c r="H141" s="3" t="s">
        <v>1447</v>
      </c>
      <c r="I141" s="5">
        <v>0.22</v>
      </c>
      <c r="J141" s="5">
        <v>0.78</v>
      </c>
      <c r="M141" s="2" t="s">
        <v>1315</v>
      </c>
      <c r="N141" t="s">
        <v>173</v>
      </c>
      <c r="O141" t="s">
        <v>192</v>
      </c>
      <c r="P141" t="s">
        <v>1316</v>
      </c>
    </row>
    <row r="142" spans="7:19" x14ac:dyDescent="0.25">
      <c r="G142" s="13" t="s">
        <v>1403</v>
      </c>
      <c r="H142" s="3" t="s">
        <v>1397</v>
      </c>
      <c r="I142" s="5">
        <v>0.125</v>
      </c>
      <c r="J142" s="5">
        <v>0.875</v>
      </c>
      <c r="M142" s="3" t="s">
        <v>465</v>
      </c>
      <c r="N142" s="5">
        <v>0.4</v>
      </c>
      <c r="O142" s="5">
        <v>0.6</v>
      </c>
      <c r="P142" s="5">
        <v>1</v>
      </c>
    </row>
    <row r="143" spans="7:19" x14ac:dyDescent="0.25">
      <c r="G143" s="13"/>
      <c r="H143" s="3" t="s">
        <v>1398</v>
      </c>
      <c r="I143" s="5">
        <v>0.21428571428571427</v>
      </c>
      <c r="J143" s="5">
        <v>0.7857142857142857</v>
      </c>
      <c r="M143" s="3" t="s">
        <v>239</v>
      </c>
      <c r="N143" s="5">
        <v>0.12121212121212122</v>
      </c>
      <c r="O143" s="5">
        <v>0.87878787878787878</v>
      </c>
      <c r="P143" s="5">
        <v>1</v>
      </c>
    </row>
    <row r="144" spans="7:19" x14ac:dyDescent="0.25">
      <c r="G144" s="13"/>
      <c r="H144" s="3" t="s">
        <v>1399</v>
      </c>
      <c r="I144" s="5">
        <v>0.11864406779661017</v>
      </c>
      <c r="J144" s="5">
        <v>0.88135593220338981</v>
      </c>
      <c r="M144" s="3" t="s">
        <v>178</v>
      </c>
      <c r="N144" s="5">
        <v>0.14473684210526316</v>
      </c>
      <c r="O144" s="5">
        <v>0.85526315789473684</v>
      </c>
      <c r="P144" s="5">
        <v>1</v>
      </c>
    </row>
    <row r="145" spans="7:21" x14ac:dyDescent="0.25">
      <c r="G145" s="13"/>
      <c r="H145" s="3" t="s">
        <v>1400</v>
      </c>
      <c r="I145" s="5">
        <v>0.12280701754385964</v>
      </c>
      <c r="J145" s="5">
        <v>0.8771929824561403</v>
      </c>
      <c r="M145" s="3" t="s">
        <v>364</v>
      </c>
      <c r="N145" s="5">
        <v>0.125</v>
      </c>
      <c r="O145" s="5">
        <v>0.875</v>
      </c>
      <c r="P145" s="5">
        <v>1</v>
      </c>
    </row>
    <row r="146" spans="7:21" x14ac:dyDescent="0.25">
      <c r="G146" s="13" t="s">
        <v>1456</v>
      </c>
      <c r="H146" s="3" t="s">
        <v>1457</v>
      </c>
      <c r="I146" s="5">
        <v>0.4</v>
      </c>
      <c r="J146" s="5">
        <v>0.6</v>
      </c>
      <c r="K146" s="5"/>
      <c r="M146" s="3" t="s">
        <v>355</v>
      </c>
      <c r="N146" s="5">
        <v>0.18181818181818182</v>
      </c>
      <c r="O146" s="5">
        <v>0.81818181818181823</v>
      </c>
      <c r="P146" s="5">
        <v>1</v>
      </c>
    </row>
    <row r="147" spans="7:21" x14ac:dyDescent="0.25">
      <c r="G147" s="13"/>
      <c r="H147" s="3" t="s">
        <v>1458</v>
      </c>
      <c r="I147" s="5">
        <v>0.12121212121212122</v>
      </c>
      <c r="J147" s="5">
        <v>0.87878787878787878</v>
      </c>
      <c r="K147" s="5"/>
      <c r="M147" s="3" t="s">
        <v>1316</v>
      </c>
      <c r="N147" s="5">
        <v>0.14457831325301204</v>
      </c>
      <c r="O147" s="5">
        <v>0.85542168674698793</v>
      </c>
      <c r="P147" s="5">
        <v>1</v>
      </c>
    </row>
    <row r="148" spans="7:21" x14ac:dyDescent="0.25">
      <c r="G148" s="13"/>
      <c r="H148" s="3" t="s">
        <v>1459</v>
      </c>
      <c r="I148" s="5">
        <v>0.14473684210526316</v>
      </c>
      <c r="J148" s="5">
        <v>0.85526315789473684</v>
      </c>
      <c r="K148" s="5"/>
    </row>
    <row r="149" spans="7:21" x14ac:dyDescent="0.25">
      <c r="G149" s="13"/>
      <c r="H149" s="3" t="s">
        <v>1460</v>
      </c>
      <c r="I149" s="5">
        <v>0.125</v>
      </c>
      <c r="J149" s="5">
        <v>0.875</v>
      </c>
      <c r="K149" s="5"/>
    </row>
    <row r="150" spans="7:21" x14ac:dyDescent="0.25">
      <c r="G150" s="13"/>
      <c r="H150" s="3" t="s">
        <v>1461</v>
      </c>
      <c r="I150" s="5">
        <v>0.18181818181818182</v>
      </c>
      <c r="J150" s="5">
        <v>0.81818181818181823</v>
      </c>
      <c r="K150" s="5"/>
    </row>
    <row r="153" spans="7:21" x14ac:dyDescent="0.25">
      <c r="I153" s="2" t="s">
        <v>1315</v>
      </c>
      <c r="J153" t="s">
        <v>1323</v>
      </c>
      <c r="L153" s="2" t="s">
        <v>1315</v>
      </c>
      <c r="M153" t="s">
        <v>1324</v>
      </c>
      <c r="P153" s="3" t="s">
        <v>1451</v>
      </c>
      <c r="Q153" s="3" t="s">
        <v>1452</v>
      </c>
      <c r="R153" s="3" t="s">
        <v>1472</v>
      </c>
      <c r="S153" s="3" t="s">
        <v>1476</v>
      </c>
      <c r="T153" s="3" t="s">
        <v>1474</v>
      </c>
      <c r="U153" s="3" t="s">
        <v>1477</v>
      </c>
    </row>
    <row r="154" spans="7:21" x14ac:dyDescent="0.25">
      <c r="I154" s="3" t="s">
        <v>173</v>
      </c>
      <c r="J154" s="5">
        <v>0.37349397590361444</v>
      </c>
      <c r="L154" s="3" t="s">
        <v>185</v>
      </c>
      <c r="M154" s="5">
        <v>0.38709677419354838</v>
      </c>
      <c r="O154" t="s">
        <v>1407</v>
      </c>
      <c r="P154" s="5">
        <v>0.37349397590361444</v>
      </c>
      <c r="Q154" s="5">
        <v>0.62650602409638556</v>
      </c>
      <c r="R154" s="6">
        <v>0</v>
      </c>
      <c r="S154" s="5">
        <v>0.38709677419354838</v>
      </c>
      <c r="T154" s="5">
        <v>0.532258064516129</v>
      </c>
      <c r="U154" s="5">
        <v>8.0645161290322578E-2</v>
      </c>
    </row>
    <row r="155" spans="7:21" x14ac:dyDescent="0.25">
      <c r="I155" s="3" t="s">
        <v>192</v>
      </c>
      <c r="J155" s="5">
        <v>0.62650602409638556</v>
      </c>
      <c r="L155" s="3" t="s">
        <v>186</v>
      </c>
      <c r="M155" s="5">
        <v>0.532258064516129</v>
      </c>
      <c r="O155" t="s">
        <v>1408</v>
      </c>
      <c r="P155" s="5">
        <v>0.13253012048192772</v>
      </c>
      <c r="Q155" s="5">
        <v>0.86746987951807231</v>
      </c>
      <c r="R155" s="6">
        <v>0</v>
      </c>
      <c r="S155" s="5">
        <v>0.90909090909090906</v>
      </c>
      <c r="T155" s="5">
        <v>9.0909090909090912E-2</v>
      </c>
      <c r="U155" s="6">
        <v>0</v>
      </c>
    </row>
    <row r="156" spans="7:21" x14ac:dyDescent="0.25">
      <c r="I156" s="3" t="s">
        <v>1316</v>
      </c>
      <c r="J156" s="5">
        <v>1</v>
      </c>
      <c r="L156" s="3" t="s">
        <v>187</v>
      </c>
      <c r="M156" s="5">
        <v>8.0645161290322578E-2</v>
      </c>
      <c r="O156" t="s">
        <v>1409</v>
      </c>
      <c r="P156" s="5">
        <v>0.65662650602409633</v>
      </c>
      <c r="Q156" s="5">
        <v>0.33734939759036142</v>
      </c>
      <c r="R156" s="5">
        <v>6.024096385542169E-3</v>
      </c>
      <c r="S156" s="5">
        <v>0.29357798165137616</v>
      </c>
      <c r="T156" s="5">
        <v>0.44954128440366975</v>
      </c>
      <c r="U156" s="5">
        <v>0.25688073394495414</v>
      </c>
    </row>
    <row r="157" spans="7:21" x14ac:dyDescent="0.25">
      <c r="L157" s="3" t="s">
        <v>1316</v>
      </c>
      <c r="M157" s="5">
        <v>1</v>
      </c>
      <c r="O157" t="s">
        <v>1410</v>
      </c>
      <c r="P157" s="5">
        <v>0.62048192771084343</v>
      </c>
      <c r="Q157" s="5">
        <v>0.36746987951807231</v>
      </c>
      <c r="R157" s="5">
        <v>1.2048192771084338E-2</v>
      </c>
      <c r="S157" s="5">
        <v>0.36893203883495146</v>
      </c>
      <c r="T157" s="5">
        <v>0.42718446601941745</v>
      </c>
      <c r="U157" s="5">
        <v>0.20388349514563106</v>
      </c>
    </row>
    <row r="158" spans="7:21" x14ac:dyDescent="0.25">
      <c r="I158" s="2" t="s">
        <v>1315</v>
      </c>
      <c r="J158" t="s">
        <v>1326</v>
      </c>
      <c r="L158" s="2" t="s">
        <v>1315</v>
      </c>
      <c r="M158" t="s">
        <v>1327</v>
      </c>
      <c r="O158" t="s">
        <v>1411</v>
      </c>
      <c r="P158" s="5">
        <v>0.31325301204819278</v>
      </c>
      <c r="Q158" s="5">
        <v>0.62650602409638556</v>
      </c>
      <c r="R158" s="5">
        <v>6.0240963855421686E-2</v>
      </c>
      <c r="S158" s="5">
        <v>0.34615384615384615</v>
      </c>
      <c r="T158" s="5">
        <v>0.46153846153846156</v>
      </c>
      <c r="U158" s="5">
        <v>0.19230769230769232</v>
      </c>
    </row>
    <row r="159" spans="7:21" x14ac:dyDescent="0.25">
      <c r="I159" s="3" t="s">
        <v>173</v>
      </c>
      <c r="J159" s="5">
        <v>0.13253012048192772</v>
      </c>
      <c r="L159" s="3" t="s">
        <v>185</v>
      </c>
      <c r="M159" s="5">
        <v>0.90909090909090906</v>
      </c>
      <c r="O159" t="s">
        <v>1412</v>
      </c>
      <c r="P159" s="5">
        <v>0.42771084337349397</v>
      </c>
      <c r="Q159" s="5">
        <v>0.57228915662650603</v>
      </c>
      <c r="R159" s="6">
        <v>0</v>
      </c>
      <c r="S159" s="5">
        <v>0.647887323943662</v>
      </c>
      <c r="T159" s="5">
        <v>0.323943661971831</v>
      </c>
      <c r="U159" s="5">
        <v>2.8169014084507043E-2</v>
      </c>
    </row>
    <row r="160" spans="7:21" x14ac:dyDescent="0.25">
      <c r="I160" s="3" t="s">
        <v>192</v>
      </c>
      <c r="J160" s="5">
        <v>0.86746987951807231</v>
      </c>
      <c r="L160" s="3" t="s">
        <v>186</v>
      </c>
      <c r="M160" s="5">
        <v>9.0909090909090912E-2</v>
      </c>
      <c r="O160" t="s">
        <v>1413</v>
      </c>
      <c r="P160" s="5">
        <v>0.68072289156626509</v>
      </c>
      <c r="Q160" s="5">
        <v>0.31927710843373491</v>
      </c>
      <c r="R160" s="6">
        <v>0</v>
      </c>
      <c r="S160" s="5">
        <v>0.4336283185840708</v>
      </c>
      <c r="T160" s="5">
        <v>0.41592920353982299</v>
      </c>
      <c r="U160" s="5">
        <v>0.15044247787610621</v>
      </c>
    </row>
    <row r="161" spans="9:21" x14ac:dyDescent="0.25">
      <c r="I161" s="3" t="s">
        <v>1316</v>
      </c>
      <c r="J161" s="5">
        <v>1</v>
      </c>
      <c r="L161" s="3" t="s">
        <v>1316</v>
      </c>
      <c r="M161" s="5">
        <v>1</v>
      </c>
      <c r="O161" t="s">
        <v>1414</v>
      </c>
      <c r="P161" s="5">
        <v>0.40361445783132532</v>
      </c>
      <c r="Q161" s="5">
        <v>0.59638554216867468</v>
      </c>
      <c r="R161" s="6">
        <v>0</v>
      </c>
      <c r="S161" s="5">
        <v>0.4925373134328358</v>
      </c>
      <c r="T161" s="5">
        <v>0.44776119402985076</v>
      </c>
      <c r="U161" s="5">
        <v>5.9701492537313432E-2</v>
      </c>
    </row>
    <row r="162" spans="9:21" x14ac:dyDescent="0.25">
      <c r="O162" t="s">
        <v>1415</v>
      </c>
      <c r="P162" s="5">
        <v>0.10240963855421686</v>
      </c>
      <c r="Q162" s="5">
        <v>0.89759036144578308</v>
      </c>
      <c r="R162" s="6">
        <v>0</v>
      </c>
      <c r="S162" s="5">
        <v>0.58823529411764708</v>
      </c>
      <c r="T162" s="5">
        <v>0.29411764705882354</v>
      </c>
      <c r="U162" s="5">
        <v>0.11764705882352941</v>
      </c>
    </row>
    <row r="163" spans="9:21" x14ac:dyDescent="0.25">
      <c r="I163" s="2" t="s">
        <v>1315</v>
      </c>
      <c r="J163" t="s">
        <v>1328</v>
      </c>
      <c r="L163" s="2" t="s">
        <v>1315</v>
      </c>
      <c r="M163" t="s">
        <v>1329</v>
      </c>
      <c r="O163" t="s">
        <v>1416</v>
      </c>
      <c r="P163" s="5">
        <v>0.46385542168674698</v>
      </c>
      <c r="Q163" s="5">
        <v>0.53614457831325302</v>
      </c>
      <c r="R163" s="6">
        <v>0</v>
      </c>
      <c r="S163" s="5">
        <v>0.29870129870129869</v>
      </c>
      <c r="T163" s="5">
        <v>0.48051948051948051</v>
      </c>
      <c r="U163" s="5">
        <v>0.22077922077922077</v>
      </c>
    </row>
    <row r="164" spans="9:21" x14ac:dyDescent="0.25">
      <c r="I164" s="3" t="s">
        <v>173</v>
      </c>
      <c r="J164" s="5">
        <v>0.65662650602409633</v>
      </c>
      <c r="L164" s="3" t="s">
        <v>185</v>
      </c>
      <c r="M164" s="5">
        <v>0.29357798165137616</v>
      </c>
      <c r="O164" t="s">
        <v>1417</v>
      </c>
      <c r="P164" s="5">
        <v>0.19879518072289157</v>
      </c>
      <c r="Q164" s="5">
        <v>0.79518072289156627</v>
      </c>
      <c r="R164" s="5">
        <v>6.024096385542169E-3</v>
      </c>
      <c r="S164" s="5">
        <v>0.33333333333333331</v>
      </c>
      <c r="T164" s="5">
        <v>0.36363636363636365</v>
      </c>
      <c r="U164" s="5">
        <v>0.30303030303030304</v>
      </c>
    </row>
    <row r="165" spans="9:21" x14ac:dyDescent="0.25">
      <c r="I165" s="3" t="s">
        <v>192</v>
      </c>
      <c r="J165" s="5">
        <v>0.33734939759036142</v>
      </c>
      <c r="L165" s="3" t="s">
        <v>186</v>
      </c>
      <c r="M165" s="5">
        <v>0.44954128440366975</v>
      </c>
      <c r="O165" t="s">
        <v>1418</v>
      </c>
      <c r="P165" s="5">
        <v>0.2289156626506024</v>
      </c>
      <c r="Q165" s="5">
        <v>0.77108433734939763</v>
      </c>
      <c r="R165" s="6">
        <v>0</v>
      </c>
      <c r="S165" s="5">
        <v>0.68421052631578949</v>
      </c>
      <c r="T165" s="5">
        <v>0.26315789473684209</v>
      </c>
      <c r="U165" s="5">
        <v>5.2631578947368418E-2</v>
      </c>
    </row>
    <row r="166" spans="9:21" x14ac:dyDescent="0.25">
      <c r="I166" s="3" t="s">
        <v>189</v>
      </c>
      <c r="J166" s="5">
        <v>6.024096385542169E-3</v>
      </c>
      <c r="L166" s="3" t="s">
        <v>187</v>
      </c>
      <c r="M166" s="5">
        <v>0.25688073394495414</v>
      </c>
      <c r="O166" t="s">
        <v>1419</v>
      </c>
      <c r="P166" s="5">
        <v>0.35542168674698793</v>
      </c>
      <c r="Q166" s="5">
        <v>0.64457831325301207</v>
      </c>
      <c r="R166" s="6">
        <v>0</v>
      </c>
      <c r="S166" s="5">
        <v>0.55932203389830504</v>
      </c>
      <c r="T166" s="5">
        <v>0.33898305084745761</v>
      </c>
      <c r="U166" s="5">
        <v>0.10169491525423729</v>
      </c>
    </row>
    <row r="167" spans="9:21" x14ac:dyDescent="0.25">
      <c r="I167" s="3" t="s">
        <v>1316</v>
      </c>
      <c r="J167" s="5">
        <v>1</v>
      </c>
      <c r="L167" s="3" t="s">
        <v>1316</v>
      </c>
      <c r="M167" s="5">
        <v>1</v>
      </c>
      <c r="O167" t="s">
        <v>1420</v>
      </c>
      <c r="P167" s="5">
        <v>0.54216867469879515</v>
      </c>
      <c r="Q167" s="5">
        <v>0.45783132530120479</v>
      </c>
      <c r="R167" s="6">
        <v>0</v>
      </c>
      <c r="S167" s="5">
        <v>0.4777777777777778</v>
      </c>
      <c r="T167" s="5">
        <v>0.41111111111111109</v>
      </c>
      <c r="U167" s="5">
        <v>0.1111111111111111</v>
      </c>
    </row>
    <row r="168" spans="9:21" x14ac:dyDescent="0.25">
      <c r="O168" t="s">
        <v>1421</v>
      </c>
      <c r="P168" s="5">
        <v>1.2048192771084338E-2</v>
      </c>
      <c r="Q168" s="5">
        <v>0.98795180722891562</v>
      </c>
      <c r="R168" s="6">
        <v>0</v>
      </c>
      <c r="S168" s="5">
        <v>1</v>
      </c>
      <c r="T168" s="6">
        <v>0</v>
      </c>
      <c r="U168" s="6">
        <v>0</v>
      </c>
    </row>
    <row r="169" spans="9:21" x14ac:dyDescent="0.25">
      <c r="I169" s="2" t="s">
        <v>1315</v>
      </c>
      <c r="J169" t="s">
        <v>1330</v>
      </c>
      <c r="L169" s="2" t="s">
        <v>1315</v>
      </c>
      <c r="M169" t="s">
        <v>1331</v>
      </c>
      <c r="O169" t="s">
        <v>1422</v>
      </c>
      <c r="P169" s="5">
        <v>0.30120481927710846</v>
      </c>
      <c r="Q169" s="5">
        <v>0.6987951807228916</v>
      </c>
      <c r="R169" s="6">
        <v>0</v>
      </c>
      <c r="S169" s="5">
        <v>0.46</v>
      </c>
      <c r="T169" s="5">
        <v>0.36</v>
      </c>
      <c r="U169" s="5">
        <v>0.18</v>
      </c>
    </row>
    <row r="170" spans="9:21" x14ac:dyDescent="0.25">
      <c r="I170" s="3" t="s">
        <v>173</v>
      </c>
      <c r="J170" s="5">
        <v>0.62048192771084343</v>
      </c>
      <c r="L170" s="3" t="s">
        <v>185</v>
      </c>
      <c r="M170" s="5">
        <v>0.36893203883495146</v>
      </c>
      <c r="O170" t="s">
        <v>1423</v>
      </c>
      <c r="P170" s="5">
        <v>6.024096385542169E-3</v>
      </c>
      <c r="Q170" s="5">
        <v>0.98795180722891562</v>
      </c>
      <c r="R170" s="5">
        <v>6.024096385542169E-3</v>
      </c>
      <c r="S170" s="5">
        <v>1</v>
      </c>
      <c r="T170" s="6">
        <v>0</v>
      </c>
      <c r="U170" s="6">
        <v>0</v>
      </c>
    </row>
    <row r="171" spans="9:21" x14ac:dyDescent="0.25">
      <c r="I171" s="3" t="s">
        <v>192</v>
      </c>
      <c r="J171" s="5">
        <v>0.36746987951807231</v>
      </c>
      <c r="L171" s="3" t="s">
        <v>186</v>
      </c>
      <c r="M171" s="5">
        <v>0.42718446601941745</v>
      </c>
    </row>
    <row r="172" spans="9:21" x14ac:dyDescent="0.25">
      <c r="I172" s="3" t="s">
        <v>189</v>
      </c>
      <c r="J172" s="5">
        <v>1.2048192771084338E-2</v>
      </c>
      <c r="L172" s="3" t="s">
        <v>187</v>
      </c>
      <c r="M172" s="5">
        <v>0.20388349514563106</v>
      </c>
    </row>
    <row r="173" spans="9:21" x14ac:dyDescent="0.25">
      <c r="I173" s="3" t="s">
        <v>1316</v>
      </c>
      <c r="J173" s="5">
        <v>1</v>
      </c>
      <c r="L173" s="3" t="s">
        <v>1316</v>
      </c>
      <c r="M173" s="5">
        <v>1</v>
      </c>
      <c r="P173" s="3" t="s">
        <v>1451</v>
      </c>
      <c r="Q173" s="3" t="s">
        <v>1452</v>
      </c>
      <c r="R173" t="s">
        <v>1472</v>
      </c>
      <c r="S173" s="3" t="s">
        <v>1473</v>
      </c>
      <c r="T173" s="3" t="s">
        <v>1474</v>
      </c>
      <c r="U173" s="3" t="s">
        <v>1475</v>
      </c>
    </row>
    <row r="174" spans="9:21" x14ac:dyDescent="0.25">
      <c r="O174" t="s">
        <v>1413</v>
      </c>
      <c r="P174" s="5">
        <v>0.68072289156626509</v>
      </c>
      <c r="Q174" s="5">
        <v>0.31927710843373491</v>
      </c>
      <c r="S174" s="11">
        <f>VLOOKUP(O174,$O$154:$U$170,5,0)</f>
        <v>0.4336283185840708</v>
      </c>
      <c r="T174" s="11">
        <f>VLOOKUP(O174,$O$154:$U$170,6,0)</f>
        <v>0.41592920353982299</v>
      </c>
      <c r="U174" s="11">
        <f>VLOOKUP(O174,$O$154:$U$170,7,0)</f>
        <v>0.15044247787610621</v>
      </c>
    </row>
    <row r="175" spans="9:21" x14ac:dyDescent="0.25">
      <c r="I175" s="2" t="s">
        <v>1315</v>
      </c>
      <c r="J175" t="s">
        <v>1332</v>
      </c>
      <c r="L175" s="2" t="s">
        <v>1315</v>
      </c>
      <c r="M175" t="s">
        <v>1333</v>
      </c>
      <c r="O175" t="s">
        <v>1409</v>
      </c>
      <c r="P175" s="5">
        <v>0.65662650602409633</v>
      </c>
      <c r="Q175" s="5">
        <v>0.33734939759036142</v>
      </c>
      <c r="R175" s="5">
        <v>6.024096385542169E-3</v>
      </c>
      <c r="S175" s="11">
        <f t="shared" ref="S175:S190" si="0">VLOOKUP(O175,$O$154:$U$170,5,0)</f>
        <v>0.29357798165137616</v>
      </c>
      <c r="T175" s="11">
        <f t="shared" ref="T175:T190" si="1">VLOOKUP(O175,$O$154:$U$170,6,0)</f>
        <v>0.44954128440366975</v>
      </c>
      <c r="U175" s="11">
        <f t="shared" ref="U175:U190" si="2">VLOOKUP(O175,$O$154:$U$170,7,0)</f>
        <v>0.25688073394495414</v>
      </c>
    </row>
    <row r="176" spans="9:21" x14ac:dyDescent="0.25">
      <c r="I176" s="3" t="s">
        <v>173</v>
      </c>
      <c r="J176" s="5">
        <v>0.31325301204819278</v>
      </c>
      <c r="L176" s="3" t="s">
        <v>185</v>
      </c>
      <c r="M176" s="5">
        <v>0.34615384615384615</v>
      </c>
      <c r="O176" t="s">
        <v>1410</v>
      </c>
      <c r="P176" s="5">
        <v>0.62048192771084343</v>
      </c>
      <c r="Q176" s="5">
        <v>0.36746987951807231</v>
      </c>
      <c r="R176" s="5">
        <v>1.2048192771084338E-2</v>
      </c>
      <c r="S176" s="11">
        <f t="shared" si="0"/>
        <v>0.36893203883495146</v>
      </c>
      <c r="T176" s="11">
        <f t="shared" si="1"/>
        <v>0.42718446601941745</v>
      </c>
      <c r="U176" s="11">
        <f t="shared" si="2"/>
        <v>0.20388349514563106</v>
      </c>
    </row>
    <row r="177" spans="9:21" x14ac:dyDescent="0.25">
      <c r="I177" s="3" t="s">
        <v>192</v>
      </c>
      <c r="J177" s="5">
        <v>0.62650602409638556</v>
      </c>
      <c r="L177" s="3" t="s">
        <v>186</v>
      </c>
      <c r="M177" s="5">
        <v>0.46153846153846156</v>
      </c>
      <c r="O177" t="s">
        <v>1420</v>
      </c>
      <c r="P177" s="5">
        <v>0.54216867469879515</v>
      </c>
      <c r="Q177" s="5">
        <v>0.45783132530120479</v>
      </c>
      <c r="S177" s="11">
        <f t="shared" si="0"/>
        <v>0.4777777777777778</v>
      </c>
      <c r="T177" s="11">
        <f t="shared" si="1"/>
        <v>0.41111111111111109</v>
      </c>
      <c r="U177" s="11">
        <f t="shared" si="2"/>
        <v>0.1111111111111111</v>
      </c>
    </row>
    <row r="178" spans="9:21" x14ac:dyDescent="0.25">
      <c r="I178" s="3" t="s">
        <v>189</v>
      </c>
      <c r="J178" s="5">
        <v>6.0240963855421686E-2</v>
      </c>
      <c r="L178" s="3" t="s">
        <v>187</v>
      </c>
      <c r="M178" s="5">
        <v>0.19230769230769232</v>
      </c>
      <c r="O178" t="s">
        <v>1416</v>
      </c>
      <c r="P178" s="5">
        <v>0.46385542168674698</v>
      </c>
      <c r="Q178" s="5">
        <v>0.53614457831325302</v>
      </c>
      <c r="S178" s="11">
        <f t="shared" si="0"/>
        <v>0.29870129870129869</v>
      </c>
      <c r="T178" s="11">
        <f t="shared" si="1"/>
        <v>0.48051948051948051</v>
      </c>
      <c r="U178" s="11">
        <f t="shared" si="2"/>
        <v>0.22077922077922077</v>
      </c>
    </row>
    <row r="179" spans="9:21" x14ac:dyDescent="0.25">
      <c r="I179" s="3" t="s">
        <v>1316</v>
      </c>
      <c r="J179" s="5">
        <v>1</v>
      </c>
      <c r="L179" s="3" t="s">
        <v>1316</v>
      </c>
      <c r="M179" s="5">
        <v>1</v>
      </c>
      <c r="O179" t="s">
        <v>1412</v>
      </c>
      <c r="P179" s="5">
        <v>0.42771084337349397</v>
      </c>
      <c r="Q179" s="5">
        <v>0.57228915662650603</v>
      </c>
      <c r="S179" s="11">
        <f t="shared" si="0"/>
        <v>0.647887323943662</v>
      </c>
      <c r="T179" s="11">
        <f t="shared" si="1"/>
        <v>0.323943661971831</v>
      </c>
      <c r="U179" s="11">
        <f t="shared" si="2"/>
        <v>2.8169014084507043E-2</v>
      </c>
    </row>
    <row r="180" spans="9:21" x14ac:dyDescent="0.25">
      <c r="O180" t="s">
        <v>1414</v>
      </c>
      <c r="P180" s="5">
        <v>0.40361445783132532</v>
      </c>
      <c r="Q180" s="5">
        <v>0.59638554216867468</v>
      </c>
      <c r="S180" s="11">
        <f t="shared" si="0"/>
        <v>0.4925373134328358</v>
      </c>
      <c r="T180" s="11">
        <f t="shared" si="1"/>
        <v>0.44776119402985076</v>
      </c>
      <c r="U180" s="11">
        <f t="shared" si="2"/>
        <v>5.9701492537313432E-2</v>
      </c>
    </row>
    <row r="181" spans="9:21" x14ac:dyDescent="0.25">
      <c r="I181" s="2" t="s">
        <v>1315</v>
      </c>
      <c r="J181" t="s">
        <v>1334</v>
      </c>
      <c r="L181" s="2" t="s">
        <v>1315</v>
      </c>
      <c r="M181" t="s">
        <v>1335</v>
      </c>
      <c r="O181" t="s">
        <v>1407</v>
      </c>
      <c r="P181" s="5">
        <v>0.37349397590361444</v>
      </c>
      <c r="Q181" s="5">
        <v>0.62650602409638556</v>
      </c>
      <c r="S181" s="11">
        <f t="shared" si="0"/>
        <v>0.38709677419354838</v>
      </c>
      <c r="T181" s="11">
        <f t="shared" si="1"/>
        <v>0.532258064516129</v>
      </c>
      <c r="U181" s="11">
        <f t="shared" si="2"/>
        <v>8.0645161290322578E-2</v>
      </c>
    </row>
    <row r="182" spans="9:21" x14ac:dyDescent="0.25">
      <c r="I182" s="3" t="s">
        <v>173</v>
      </c>
      <c r="J182" s="5">
        <v>0.42771084337349397</v>
      </c>
      <c r="L182" s="3" t="s">
        <v>185</v>
      </c>
      <c r="M182" s="5">
        <v>0.647887323943662</v>
      </c>
      <c r="O182" t="s">
        <v>1419</v>
      </c>
      <c r="P182" s="5">
        <v>0.35542168674698793</v>
      </c>
      <c r="Q182" s="5">
        <v>0.64457831325301207</v>
      </c>
      <c r="S182" s="11">
        <f t="shared" si="0"/>
        <v>0.55932203389830504</v>
      </c>
      <c r="T182" s="11">
        <f t="shared" si="1"/>
        <v>0.33898305084745761</v>
      </c>
      <c r="U182" s="11">
        <f t="shared" si="2"/>
        <v>0.10169491525423729</v>
      </c>
    </row>
    <row r="183" spans="9:21" x14ac:dyDescent="0.25">
      <c r="I183" s="3" t="s">
        <v>192</v>
      </c>
      <c r="J183" s="5">
        <v>0.57228915662650603</v>
      </c>
      <c r="L183" s="3" t="s">
        <v>186</v>
      </c>
      <c r="M183" s="5">
        <v>0.323943661971831</v>
      </c>
      <c r="O183" t="s">
        <v>1411</v>
      </c>
      <c r="P183" s="5">
        <v>0.31325301204819278</v>
      </c>
      <c r="Q183" s="5">
        <v>0.62650602409638556</v>
      </c>
      <c r="R183" s="5">
        <v>6.0240963855421686E-2</v>
      </c>
      <c r="S183" s="11">
        <f t="shared" si="0"/>
        <v>0.34615384615384615</v>
      </c>
      <c r="T183" s="11">
        <f t="shared" si="1"/>
        <v>0.46153846153846156</v>
      </c>
      <c r="U183" s="11">
        <f t="shared" si="2"/>
        <v>0.19230769230769232</v>
      </c>
    </row>
    <row r="184" spans="9:21" x14ac:dyDescent="0.25">
      <c r="I184" s="3" t="s">
        <v>1316</v>
      </c>
      <c r="J184" s="5">
        <v>1</v>
      </c>
      <c r="L184" s="3" t="s">
        <v>187</v>
      </c>
      <c r="M184" s="5">
        <v>2.8169014084507043E-2</v>
      </c>
      <c r="O184" t="s">
        <v>1422</v>
      </c>
      <c r="P184" s="5">
        <v>0.30120481927710846</v>
      </c>
      <c r="Q184" s="5">
        <v>0.6987951807228916</v>
      </c>
      <c r="R184" s="5"/>
      <c r="S184" s="11">
        <f t="shared" si="0"/>
        <v>0.46</v>
      </c>
      <c r="T184" s="11">
        <f t="shared" si="1"/>
        <v>0.36</v>
      </c>
      <c r="U184" s="11">
        <f t="shared" si="2"/>
        <v>0.18</v>
      </c>
    </row>
    <row r="185" spans="9:21" x14ac:dyDescent="0.25">
      <c r="L185" s="3" t="s">
        <v>1316</v>
      </c>
      <c r="M185" s="5">
        <v>1</v>
      </c>
      <c r="O185" t="s">
        <v>1418</v>
      </c>
      <c r="P185" s="5">
        <v>0.2289156626506024</v>
      </c>
      <c r="Q185" s="5">
        <v>0.77108433734939763</v>
      </c>
      <c r="S185" s="11">
        <f t="shared" si="0"/>
        <v>0.68421052631578949</v>
      </c>
      <c r="T185" s="11">
        <f t="shared" si="1"/>
        <v>0.26315789473684209</v>
      </c>
      <c r="U185" s="11">
        <f t="shared" si="2"/>
        <v>5.2631578947368418E-2</v>
      </c>
    </row>
    <row r="186" spans="9:21" x14ac:dyDescent="0.25">
      <c r="O186" t="s">
        <v>1417</v>
      </c>
      <c r="P186" s="5">
        <v>0.19879518072289157</v>
      </c>
      <c r="Q186" s="5">
        <v>0.79518072289156627</v>
      </c>
      <c r="R186" s="5">
        <v>6.024096385542169E-3</v>
      </c>
      <c r="S186" s="11">
        <f t="shared" si="0"/>
        <v>0.33333333333333331</v>
      </c>
      <c r="T186" s="11">
        <f t="shared" si="1"/>
        <v>0.36363636363636365</v>
      </c>
      <c r="U186" s="11">
        <f t="shared" si="2"/>
        <v>0.30303030303030304</v>
      </c>
    </row>
    <row r="187" spans="9:21" x14ac:dyDescent="0.25">
      <c r="I187" s="2" t="s">
        <v>1315</v>
      </c>
      <c r="J187" t="s">
        <v>1336</v>
      </c>
      <c r="L187" s="2" t="s">
        <v>1315</v>
      </c>
      <c r="M187" t="s">
        <v>1337</v>
      </c>
      <c r="O187" t="s">
        <v>1408</v>
      </c>
      <c r="P187" s="5">
        <v>0.13253012048192772</v>
      </c>
      <c r="Q187" s="5">
        <v>0.86746987951807231</v>
      </c>
      <c r="S187" s="11">
        <f t="shared" si="0"/>
        <v>0.90909090909090906</v>
      </c>
      <c r="T187" s="11">
        <f t="shared" si="1"/>
        <v>9.0909090909090912E-2</v>
      </c>
      <c r="U187" s="11">
        <f t="shared" si="2"/>
        <v>0</v>
      </c>
    </row>
    <row r="188" spans="9:21" x14ac:dyDescent="0.25">
      <c r="I188" s="3" t="s">
        <v>173</v>
      </c>
      <c r="J188" s="5">
        <v>0.68072289156626509</v>
      </c>
      <c r="L188" s="3" t="s">
        <v>185</v>
      </c>
      <c r="M188" s="5">
        <v>0.4336283185840708</v>
      </c>
      <c r="O188" t="s">
        <v>1415</v>
      </c>
      <c r="P188" s="5">
        <v>0.10240963855421686</v>
      </c>
      <c r="Q188" s="5">
        <v>0.89759036144578308</v>
      </c>
      <c r="S188" s="11">
        <f t="shared" si="0"/>
        <v>0.58823529411764708</v>
      </c>
      <c r="T188" s="11">
        <f t="shared" si="1"/>
        <v>0.29411764705882354</v>
      </c>
      <c r="U188" s="11">
        <f t="shared" si="2"/>
        <v>0.11764705882352941</v>
      </c>
    </row>
    <row r="189" spans="9:21" x14ac:dyDescent="0.25">
      <c r="I189" s="3" t="s">
        <v>192</v>
      </c>
      <c r="J189" s="5">
        <v>0.31927710843373491</v>
      </c>
      <c r="L189" s="3" t="s">
        <v>186</v>
      </c>
      <c r="M189" s="5">
        <v>0.41592920353982299</v>
      </c>
      <c r="O189" t="s">
        <v>1421</v>
      </c>
      <c r="P189" s="5">
        <v>1.2048192771084338E-2</v>
      </c>
      <c r="Q189" s="5">
        <v>0.98795180722891562</v>
      </c>
      <c r="S189" s="11">
        <f t="shared" si="0"/>
        <v>1</v>
      </c>
      <c r="T189" s="11">
        <f t="shared" si="1"/>
        <v>0</v>
      </c>
      <c r="U189" s="11">
        <f t="shared" si="2"/>
        <v>0</v>
      </c>
    </row>
    <row r="190" spans="9:21" x14ac:dyDescent="0.25">
      <c r="I190" s="3" t="s">
        <v>1316</v>
      </c>
      <c r="J190" s="5">
        <v>1</v>
      </c>
      <c r="L190" s="3" t="s">
        <v>187</v>
      </c>
      <c r="M190" s="5">
        <v>0.15044247787610621</v>
      </c>
      <c r="O190" t="s">
        <v>1423</v>
      </c>
      <c r="P190" s="5">
        <v>6.024096385542169E-3</v>
      </c>
      <c r="Q190" s="5">
        <v>0.98795180722891562</v>
      </c>
      <c r="R190" s="5">
        <v>6.024096385542169E-3</v>
      </c>
      <c r="S190" s="11">
        <f t="shared" si="0"/>
        <v>1</v>
      </c>
      <c r="T190" s="11">
        <f t="shared" si="1"/>
        <v>0</v>
      </c>
      <c r="U190" s="11">
        <f t="shared" si="2"/>
        <v>0</v>
      </c>
    </row>
    <row r="191" spans="9:21" x14ac:dyDescent="0.25">
      <c r="L191" s="3" t="s">
        <v>1316</v>
      </c>
      <c r="M191" s="5">
        <v>1</v>
      </c>
    </row>
    <row r="193" spans="9:13" x14ac:dyDescent="0.25">
      <c r="I193" s="2" t="s">
        <v>1315</v>
      </c>
      <c r="J193" t="s">
        <v>1338</v>
      </c>
      <c r="L193" s="2" t="s">
        <v>1315</v>
      </c>
      <c r="M193" t="s">
        <v>1339</v>
      </c>
    </row>
    <row r="194" spans="9:13" x14ac:dyDescent="0.25">
      <c r="I194" s="3" t="s">
        <v>173</v>
      </c>
      <c r="J194" s="5">
        <v>0.40361445783132532</v>
      </c>
      <c r="L194" s="3" t="s">
        <v>185</v>
      </c>
      <c r="M194" s="5">
        <v>0.4925373134328358</v>
      </c>
    </row>
    <row r="195" spans="9:13" x14ac:dyDescent="0.25">
      <c r="I195" s="3" t="s">
        <v>192</v>
      </c>
      <c r="J195" s="5">
        <v>0.59638554216867468</v>
      </c>
      <c r="L195" s="3" t="s">
        <v>186</v>
      </c>
      <c r="M195" s="5">
        <v>0.44776119402985076</v>
      </c>
    </row>
    <row r="196" spans="9:13" x14ac:dyDescent="0.25">
      <c r="I196" s="3" t="s">
        <v>1316</v>
      </c>
      <c r="J196" s="5">
        <v>1</v>
      </c>
      <c r="L196" s="3" t="s">
        <v>187</v>
      </c>
      <c r="M196" s="5">
        <v>5.9701492537313432E-2</v>
      </c>
    </row>
    <row r="197" spans="9:13" x14ac:dyDescent="0.25">
      <c r="L197" s="3" t="s">
        <v>1316</v>
      </c>
      <c r="M197" s="5">
        <v>1</v>
      </c>
    </row>
    <row r="199" spans="9:13" x14ac:dyDescent="0.25">
      <c r="I199" s="2" t="s">
        <v>1315</v>
      </c>
      <c r="J199" t="s">
        <v>1340</v>
      </c>
      <c r="L199" s="2" t="s">
        <v>1315</v>
      </c>
      <c r="M199" t="s">
        <v>1341</v>
      </c>
    </row>
    <row r="200" spans="9:13" x14ac:dyDescent="0.25">
      <c r="I200" s="3" t="s">
        <v>173</v>
      </c>
      <c r="J200" s="5">
        <v>0.10240963855421686</v>
      </c>
      <c r="L200" s="3" t="s">
        <v>185</v>
      </c>
      <c r="M200" s="5">
        <v>0.58823529411764708</v>
      </c>
    </row>
    <row r="201" spans="9:13" x14ac:dyDescent="0.25">
      <c r="I201" s="3" t="s">
        <v>192</v>
      </c>
      <c r="J201" s="5">
        <v>0.89759036144578308</v>
      </c>
      <c r="L201" s="3" t="s">
        <v>186</v>
      </c>
      <c r="M201" s="5">
        <v>0.29411764705882354</v>
      </c>
    </row>
    <row r="202" spans="9:13" x14ac:dyDescent="0.25">
      <c r="I202" s="3" t="s">
        <v>1316</v>
      </c>
      <c r="J202" s="5">
        <v>1</v>
      </c>
      <c r="L202" s="3" t="s">
        <v>187</v>
      </c>
      <c r="M202" s="5">
        <v>0.11764705882352941</v>
      </c>
    </row>
    <row r="203" spans="9:13" x14ac:dyDescent="0.25">
      <c r="L203" s="3" t="s">
        <v>1316</v>
      </c>
      <c r="M203" s="5">
        <v>1</v>
      </c>
    </row>
    <row r="205" spans="9:13" x14ac:dyDescent="0.25">
      <c r="I205" s="2" t="s">
        <v>1315</v>
      </c>
      <c r="J205" t="s">
        <v>1342</v>
      </c>
      <c r="L205" s="2" t="s">
        <v>1315</v>
      </c>
      <c r="M205" t="s">
        <v>1343</v>
      </c>
    </row>
    <row r="206" spans="9:13" x14ac:dyDescent="0.25">
      <c r="I206" s="3" t="s">
        <v>173</v>
      </c>
      <c r="J206" s="5">
        <v>0.46385542168674698</v>
      </c>
      <c r="L206" s="3" t="s">
        <v>185</v>
      </c>
      <c r="M206" s="5">
        <v>0.29870129870129869</v>
      </c>
    </row>
    <row r="207" spans="9:13" x14ac:dyDescent="0.25">
      <c r="I207" s="3" t="s">
        <v>192</v>
      </c>
      <c r="J207" s="5">
        <v>0.53614457831325302</v>
      </c>
      <c r="L207" s="3" t="s">
        <v>186</v>
      </c>
      <c r="M207" s="5">
        <v>0.48051948051948051</v>
      </c>
    </row>
    <row r="208" spans="9:13" x14ac:dyDescent="0.25">
      <c r="I208" s="3" t="s">
        <v>1316</v>
      </c>
      <c r="J208" s="5">
        <v>1</v>
      </c>
      <c r="L208" s="3" t="s">
        <v>187</v>
      </c>
      <c r="M208" s="5">
        <v>0.22077922077922077</v>
      </c>
    </row>
    <row r="209" spans="9:13" x14ac:dyDescent="0.25">
      <c r="L209" s="3" t="s">
        <v>1316</v>
      </c>
      <c r="M209" s="5">
        <v>1</v>
      </c>
    </row>
    <row r="211" spans="9:13" x14ac:dyDescent="0.25">
      <c r="I211" s="2" t="s">
        <v>1315</v>
      </c>
      <c r="J211" t="s">
        <v>1344</v>
      </c>
      <c r="L211" s="2" t="s">
        <v>1315</v>
      </c>
      <c r="M211" t="s">
        <v>1345</v>
      </c>
    </row>
    <row r="212" spans="9:13" x14ac:dyDescent="0.25">
      <c r="I212" s="3" t="s">
        <v>173</v>
      </c>
      <c r="J212" s="5">
        <v>0.19879518072289157</v>
      </c>
      <c r="L212" s="3" t="s">
        <v>185</v>
      </c>
      <c r="M212" s="5">
        <v>0.33333333333333331</v>
      </c>
    </row>
    <row r="213" spans="9:13" x14ac:dyDescent="0.25">
      <c r="I213" s="3" t="s">
        <v>192</v>
      </c>
      <c r="J213" s="5">
        <v>0.79518072289156627</v>
      </c>
      <c r="L213" s="3" t="s">
        <v>186</v>
      </c>
      <c r="M213" s="5">
        <v>0.36363636363636365</v>
      </c>
    </row>
    <row r="214" spans="9:13" x14ac:dyDescent="0.25">
      <c r="I214" s="3" t="s">
        <v>189</v>
      </c>
      <c r="J214" s="5">
        <v>6.024096385542169E-3</v>
      </c>
      <c r="L214" s="3" t="s">
        <v>187</v>
      </c>
      <c r="M214" s="5">
        <v>0.30303030303030304</v>
      </c>
    </row>
    <row r="215" spans="9:13" x14ac:dyDescent="0.25">
      <c r="I215" s="3" t="s">
        <v>1316</v>
      </c>
      <c r="J215" s="5">
        <v>1</v>
      </c>
      <c r="L215" s="3" t="s">
        <v>1316</v>
      </c>
      <c r="M215" s="5">
        <v>1</v>
      </c>
    </row>
    <row r="218" spans="9:13" x14ac:dyDescent="0.25">
      <c r="I218" s="2" t="s">
        <v>1315</v>
      </c>
      <c r="J218" t="s">
        <v>1346</v>
      </c>
      <c r="L218" s="2" t="s">
        <v>1315</v>
      </c>
      <c r="M218" t="s">
        <v>1347</v>
      </c>
    </row>
    <row r="219" spans="9:13" x14ac:dyDescent="0.25">
      <c r="I219" s="3" t="s">
        <v>173</v>
      </c>
      <c r="J219" s="5">
        <v>0.2289156626506024</v>
      </c>
      <c r="L219" s="3" t="s">
        <v>185</v>
      </c>
      <c r="M219" s="5">
        <v>0.68421052631578949</v>
      </c>
    </row>
    <row r="220" spans="9:13" x14ac:dyDescent="0.25">
      <c r="I220" s="3" t="s">
        <v>192</v>
      </c>
      <c r="J220" s="5">
        <v>0.77108433734939763</v>
      </c>
      <c r="L220" s="3" t="s">
        <v>186</v>
      </c>
      <c r="M220" s="5">
        <v>0.26315789473684209</v>
      </c>
    </row>
    <row r="221" spans="9:13" x14ac:dyDescent="0.25">
      <c r="I221" s="3" t="s">
        <v>1316</v>
      </c>
      <c r="J221" s="5">
        <v>1</v>
      </c>
      <c r="L221" s="3" t="s">
        <v>187</v>
      </c>
      <c r="M221" s="5">
        <v>5.2631578947368418E-2</v>
      </c>
    </row>
    <row r="222" spans="9:13" x14ac:dyDescent="0.25">
      <c r="L222" s="3" t="s">
        <v>1316</v>
      </c>
      <c r="M222" s="5">
        <v>1</v>
      </c>
    </row>
    <row r="224" spans="9:13" x14ac:dyDescent="0.25">
      <c r="I224" s="2" t="s">
        <v>1315</v>
      </c>
      <c r="J224" t="s">
        <v>1348</v>
      </c>
      <c r="L224" s="2" t="s">
        <v>1315</v>
      </c>
      <c r="M224" t="s">
        <v>1349</v>
      </c>
    </row>
    <row r="225" spans="9:13" x14ac:dyDescent="0.25">
      <c r="I225" s="3" t="s">
        <v>173</v>
      </c>
      <c r="J225" s="5">
        <v>0.35542168674698793</v>
      </c>
      <c r="L225" s="3" t="s">
        <v>185</v>
      </c>
      <c r="M225" s="5">
        <v>0.55932203389830504</v>
      </c>
    </row>
    <row r="226" spans="9:13" x14ac:dyDescent="0.25">
      <c r="I226" s="3" t="s">
        <v>192</v>
      </c>
      <c r="J226" s="5">
        <v>0.64457831325301207</v>
      </c>
      <c r="L226" s="3" t="s">
        <v>186</v>
      </c>
      <c r="M226" s="5">
        <v>0.33898305084745761</v>
      </c>
    </row>
    <row r="227" spans="9:13" x14ac:dyDescent="0.25">
      <c r="I227" s="3" t="s">
        <v>1316</v>
      </c>
      <c r="J227" s="5">
        <v>1</v>
      </c>
      <c r="L227" s="3" t="s">
        <v>187</v>
      </c>
      <c r="M227" s="5">
        <v>0.10169491525423729</v>
      </c>
    </row>
    <row r="228" spans="9:13" x14ac:dyDescent="0.25">
      <c r="L228" s="3" t="s">
        <v>1316</v>
      </c>
      <c r="M228" s="5">
        <v>1</v>
      </c>
    </row>
    <row r="230" spans="9:13" x14ac:dyDescent="0.25">
      <c r="I230" s="2" t="s">
        <v>1315</v>
      </c>
      <c r="J230" t="s">
        <v>1350</v>
      </c>
      <c r="L230" s="2" t="s">
        <v>1315</v>
      </c>
      <c r="M230" t="s">
        <v>1351</v>
      </c>
    </row>
    <row r="231" spans="9:13" x14ac:dyDescent="0.25">
      <c r="I231" s="3" t="s">
        <v>173</v>
      </c>
      <c r="J231" s="5">
        <v>0.54216867469879515</v>
      </c>
      <c r="L231" s="3" t="s">
        <v>185</v>
      </c>
      <c r="M231" s="5">
        <v>0.4777777777777778</v>
      </c>
    </row>
    <row r="232" spans="9:13" x14ac:dyDescent="0.25">
      <c r="I232" s="3" t="s">
        <v>192</v>
      </c>
      <c r="J232" s="5">
        <v>0.45783132530120479</v>
      </c>
      <c r="L232" s="3" t="s">
        <v>186</v>
      </c>
      <c r="M232" s="5">
        <v>0.41111111111111109</v>
      </c>
    </row>
    <row r="233" spans="9:13" x14ac:dyDescent="0.25">
      <c r="I233" s="3" t="s">
        <v>1316</v>
      </c>
      <c r="J233" s="5">
        <v>1</v>
      </c>
      <c r="L233" s="3" t="s">
        <v>187</v>
      </c>
      <c r="M233" s="5">
        <v>0.1111111111111111</v>
      </c>
    </row>
    <row r="234" spans="9:13" x14ac:dyDescent="0.25">
      <c r="L234" s="3" t="s">
        <v>1316</v>
      </c>
      <c r="M234" s="5">
        <v>1</v>
      </c>
    </row>
    <row r="236" spans="9:13" x14ac:dyDescent="0.25">
      <c r="I236" s="2" t="s">
        <v>1315</v>
      </c>
      <c r="J236" t="s">
        <v>1352</v>
      </c>
      <c r="L236" s="2" t="s">
        <v>1315</v>
      </c>
      <c r="M236" t="s">
        <v>1353</v>
      </c>
    </row>
    <row r="237" spans="9:13" x14ac:dyDescent="0.25">
      <c r="I237" s="3" t="s">
        <v>173</v>
      </c>
      <c r="J237" s="5">
        <v>1.2048192771084338E-2</v>
      </c>
      <c r="L237" s="3" t="s">
        <v>185</v>
      </c>
      <c r="M237" s="5">
        <v>1</v>
      </c>
    </row>
    <row r="238" spans="9:13" x14ac:dyDescent="0.25">
      <c r="I238" s="3" t="s">
        <v>192</v>
      </c>
      <c r="J238" s="5">
        <v>0.98795180722891562</v>
      </c>
      <c r="L238" s="3" t="s">
        <v>1316</v>
      </c>
      <c r="M238" s="5">
        <v>1</v>
      </c>
    </row>
    <row r="239" spans="9:13" x14ac:dyDescent="0.25">
      <c r="I239" s="3" t="s">
        <v>1316</v>
      </c>
      <c r="J239" s="5">
        <v>1</v>
      </c>
    </row>
    <row r="241" spans="2:16" x14ac:dyDescent="0.25">
      <c r="I241" s="2" t="s">
        <v>1315</v>
      </c>
      <c r="J241" t="s">
        <v>1354</v>
      </c>
      <c r="L241" s="2" t="s">
        <v>1315</v>
      </c>
      <c r="M241" t="s">
        <v>1355</v>
      </c>
    </row>
    <row r="242" spans="2:16" x14ac:dyDescent="0.25">
      <c r="I242" s="3" t="s">
        <v>173</v>
      </c>
      <c r="J242" s="5">
        <v>0.30120481927710846</v>
      </c>
      <c r="L242" s="3" t="s">
        <v>185</v>
      </c>
      <c r="M242" s="5">
        <v>0.46</v>
      </c>
    </row>
    <row r="243" spans="2:16" x14ac:dyDescent="0.25">
      <c r="I243" s="3" t="s">
        <v>192</v>
      </c>
      <c r="J243" s="5">
        <v>0.6987951807228916</v>
      </c>
      <c r="L243" s="3" t="s">
        <v>186</v>
      </c>
      <c r="M243" s="5">
        <v>0.36</v>
      </c>
    </row>
    <row r="244" spans="2:16" x14ac:dyDescent="0.25">
      <c r="I244" s="3" t="s">
        <v>1316</v>
      </c>
      <c r="J244" s="5">
        <v>1</v>
      </c>
      <c r="L244" s="3" t="s">
        <v>187</v>
      </c>
      <c r="M244" s="5">
        <v>0.18</v>
      </c>
    </row>
    <row r="245" spans="2:16" x14ac:dyDescent="0.25">
      <c r="L245" s="3" t="s">
        <v>1316</v>
      </c>
      <c r="M245" s="5">
        <v>1</v>
      </c>
    </row>
    <row r="247" spans="2:16" x14ac:dyDescent="0.25">
      <c r="I247" s="2" t="s">
        <v>1315</v>
      </c>
      <c r="J247" t="s">
        <v>1356</v>
      </c>
      <c r="L247" s="2" t="s">
        <v>1315</v>
      </c>
      <c r="M247" t="s">
        <v>1357</v>
      </c>
    </row>
    <row r="248" spans="2:16" x14ac:dyDescent="0.25">
      <c r="B248" t="s">
        <v>1425</v>
      </c>
      <c r="I248" s="3" t="s">
        <v>173</v>
      </c>
      <c r="J248" s="5">
        <v>6.024096385542169E-3</v>
      </c>
      <c r="L248" s="3" t="s">
        <v>185</v>
      </c>
      <c r="M248" s="5">
        <v>1</v>
      </c>
    </row>
    <row r="249" spans="2:16" x14ac:dyDescent="0.25">
      <c r="I249" s="3" t="s">
        <v>192</v>
      </c>
      <c r="J249" s="5">
        <v>0.98795180722891562</v>
      </c>
      <c r="L249" s="3" t="s">
        <v>1316</v>
      </c>
      <c r="M249" s="5">
        <v>1</v>
      </c>
    </row>
    <row r="250" spans="2:16" x14ac:dyDescent="0.25">
      <c r="I250" s="3" t="s">
        <v>189</v>
      </c>
      <c r="J250" s="5">
        <v>6.024096385542169E-3</v>
      </c>
    </row>
    <row r="251" spans="2:16" x14ac:dyDescent="0.25">
      <c r="I251" s="3" t="s">
        <v>1316</v>
      </c>
      <c r="J251" s="5">
        <v>1</v>
      </c>
    </row>
    <row r="255" spans="2:16" x14ac:dyDescent="0.25">
      <c r="I255" s="2" t="s">
        <v>1315</v>
      </c>
      <c r="J255" t="s">
        <v>1358</v>
      </c>
      <c r="O255" s="2" t="s">
        <v>1315</v>
      </c>
      <c r="P255" t="s">
        <v>1359</v>
      </c>
    </row>
    <row r="256" spans="2:16" x14ac:dyDescent="0.25">
      <c r="I256" s="3" t="s">
        <v>1451</v>
      </c>
      <c r="J256" s="5">
        <v>0.94578313253012047</v>
      </c>
      <c r="O256" s="3" t="s">
        <v>1466</v>
      </c>
      <c r="P256" s="5">
        <v>3.8216560509554139E-2</v>
      </c>
    </row>
    <row r="257" spans="9:16" x14ac:dyDescent="0.25">
      <c r="I257" s="3" t="s">
        <v>1452</v>
      </c>
      <c r="J257" s="5">
        <v>5.4216867469879519E-2</v>
      </c>
      <c r="O257" s="3" t="s">
        <v>1467</v>
      </c>
      <c r="P257" s="5">
        <v>0.25477707006369427</v>
      </c>
    </row>
    <row r="258" spans="9:16" x14ac:dyDescent="0.25">
      <c r="I258" s="3" t="s">
        <v>1316</v>
      </c>
      <c r="J258" s="5">
        <v>1</v>
      </c>
      <c r="L258" s="3"/>
      <c r="M258" s="5"/>
      <c r="O258" s="3" t="s">
        <v>1468</v>
      </c>
      <c r="P258" s="5">
        <v>0.70700636942675155</v>
      </c>
    </row>
    <row r="259" spans="9:16" x14ac:dyDescent="0.25">
      <c r="L259" s="3"/>
      <c r="M259" s="5"/>
      <c r="O259" s="3" t="s">
        <v>1316</v>
      </c>
      <c r="P259" s="5">
        <v>1</v>
      </c>
    </row>
    <row r="260" spans="9:16" x14ac:dyDescent="0.25">
      <c r="I260" s="2" t="s">
        <v>1315</v>
      </c>
      <c r="J260" t="s">
        <v>1360</v>
      </c>
      <c r="L260" s="3"/>
      <c r="M260" s="5"/>
    </row>
    <row r="261" spans="9:16" x14ac:dyDescent="0.25">
      <c r="I261" s="3" t="s">
        <v>1451</v>
      </c>
      <c r="J261" s="5">
        <v>0.30573248407643311</v>
      </c>
      <c r="L261" s="3"/>
      <c r="M261" s="5"/>
    </row>
    <row r="262" spans="9:16" x14ac:dyDescent="0.25">
      <c r="I262" s="3" t="s">
        <v>1452</v>
      </c>
      <c r="J262" s="5">
        <v>0.69426751592356684</v>
      </c>
    </row>
    <row r="263" spans="9:16" x14ac:dyDescent="0.25">
      <c r="I263" s="3" t="s">
        <v>1316</v>
      </c>
      <c r="J263" s="5">
        <v>1</v>
      </c>
    </row>
    <row r="271" spans="9:16" x14ac:dyDescent="0.25">
      <c r="I271" t="s">
        <v>1424</v>
      </c>
    </row>
    <row r="296" spans="9:16" x14ac:dyDescent="0.25">
      <c r="M296" s="13" t="s">
        <v>1437</v>
      </c>
      <c r="N296" s="13"/>
      <c r="O296" s="13" t="s">
        <v>1436</v>
      </c>
      <c r="P296" s="13"/>
    </row>
    <row r="297" spans="9:16" x14ac:dyDescent="0.25">
      <c r="I297" s="2" t="s">
        <v>1315</v>
      </c>
      <c r="J297" t="s">
        <v>1361</v>
      </c>
      <c r="M297" s="3" t="s">
        <v>1451</v>
      </c>
      <c r="N297" s="3" t="s">
        <v>1452</v>
      </c>
      <c r="O297" s="3" t="s">
        <v>1451</v>
      </c>
      <c r="P297" s="3" t="s">
        <v>1452</v>
      </c>
    </row>
    <row r="298" spans="9:16" x14ac:dyDescent="0.25">
      <c r="I298" s="3" t="s">
        <v>173</v>
      </c>
      <c r="J298" s="5">
        <v>0.59036144578313254</v>
      </c>
      <c r="L298" t="s">
        <v>1426</v>
      </c>
      <c r="M298" s="5">
        <v>0.59036144578313254</v>
      </c>
      <c r="N298" s="5">
        <v>0.40963855421686746</v>
      </c>
      <c r="O298" s="5">
        <v>0.2857142857142857</v>
      </c>
      <c r="P298" s="5">
        <v>0.7142857142857143</v>
      </c>
    </row>
    <row r="299" spans="9:16" x14ac:dyDescent="0.25">
      <c r="I299" s="3" t="s">
        <v>192</v>
      </c>
      <c r="J299" s="5">
        <v>0.40963855421686746</v>
      </c>
      <c r="L299" t="s">
        <v>1427</v>
      </c>
      <c r="M299" s="5">
        <v>0.31325301204819278</v>
      </c>
      <c r="N299" s="5">
        <v>0.68674698795180722</v>
      </c>
      <c r="O299" s="5">
        <v>0.38461538461538464</v>
      </c>
      <c r="P299" s="5">
        <v>0.61538461538461542</v>
      </c>
    </row>
    <row r="300" spans="9:16" x14ac:dyDescent="0.25">
      <c r="I300" s="3" t="s">
        <v>1316</v>
      </c>
      <c r="J300" s="5">
        <v>1</v>
      </c>
      <c r="L300" t="s">
        <v>1428</v>
      </c>
      <c r="M300" s="5">
        <v>0.10843373493975904</v>
      </c>
      <c r="N300" s="5">
        <v>0.89156626506024095</v>
      </c>
      <c r="O300" s="5">
        <v>0.33333333333333331</v>
      </c>
      <c r="P300" s="5">
        <v>0.66666666666666663</v>
      </c>
    </row>
    <row r="301" spans="9:16" x14ac:dyDescent="0.25">
      <c r="L301" t="s">
        <v>1429</v>
      </c>
      <c r="M301" s="5">
        <v>0.66867469879518071</v>
      </c>
      <c r="N301" s="5">
        <v>0.33132530120481929</v>
      </c>
      <c r="O301" s="5">
        <v>0.53153153153153154</v>
      </c>
      <c r="P301" s="5">
        <v>0.46846846846846846</v>
      </c>
    </row>
    <row r="302" spans="9:16" x14ac:dyDescent="0.25">
      <c r="I302" s="2" t="s">
        <v>1315</v>
      </c>
      <c r="J302" t="s">
        <v>1364</v>
      </c>
      <c r="L302" t="s">
        <v>1430</v>
      </c>
      <c r="M302" s="5">
        <v>0.30120481927710846</v>
      </c>
      <c r="N302" s="5">
        <v>0.6987951807228916</v>
      </c>
      <c r="O302" s="5">
        <v>0.36</v>
      </c>
      <c r="P302" s="5">
        <v>0.64</v>
      </c>
    </row>
    <row r="303" spans="9:16" x14ac:dyDescent="0.25">
      <c r="I303" s="3" t="s">
        <v>173</v>
      </c>
      <c r="J303" s="5">
        <v>0.31325301204819278</v>
      </c>
      <c r="L303" t="s">
        <v>1431</v>
      </c>
      <c r="M303" s="5">
        <v>0.41566265060240964</v>
      </c>
      <c r="N303" s="5">
        <v>0.58433734939759041</v>
      </c>
      <c r="O303" s="5">
        <v>0.40579710144927539</v>
      </c>
      <c r="P303" s="5">
        <v>0.59420289855072461</v>
      </c>
    </row>
    <row r="304" spans="9:16" x14ac:dyDescent="0.25">
      <c r="I304" s="3" t="s">
        <v>192</v>
      </c>
      <c r="J304" s="5">
        <v>0.68674698795180722</v>
      </c>
      <c r="L304" t="s">
        <v>1432</v>
      </c>
      <c r="M304" s="5">
        <v>0.9337349397590361</v>
      </c>
      <c r="N304" s="5">
        <v>6.6265060240963861E-2</v>
      </c>
      <c r="O304" s="5">
        <v>0.76774193548387093</v>
      </c>
      <c r="P304" s="5">
        <v>0.23225806451612904</v>
      </c>
    </row>
    <row r="305" spans="9:18" x14ac:dyDescent="0.25">
      <c r="I305" s="3" t="s">
        <v>1316</v>
      </c>
      <c r="J305" s="5">
        <v>1</v>
      </c>
      <c r="L305" t="s">
        <v>1433</v>
      </c>
      <c r="M305" s="5">
        <v>0.86746987951807231</v>
      </c>
      <c r="N305" s="5">
        <v>0.13253012048192772</v>
      </c>
      <c r="O305" s="5">
        <v>0.43055555555555558</v>
      </c>
      <c r="P305" s="5">
        <v>0.56944444444444442</v>
      </c>
    </row>
    <row r="306" spans="9:18" x14ac:dyDescent="0.25">
      <c r="L306" t="s">
        <v>1434</v>
      </c>
      <c r="M306" s="5">
        <v>0.46385542168674698</v>
      </c>
      <c r="N306" s="5">
        <v>0.53614457831325302</v>
      </c>
      <c r="O306" s="5">
        <v>0.2857142857142857</v>
      </c>
      <c r="P306" s="5">
        <v>0.7142857142857143</v>
      </c>
    </row>
    <row r="307" spans="9:18" x14ac:dyDescent="0.25">
      <c r="I307" s="2" t="s">
        <v>1315</v>
      </c>
      <c r="J307" t="s">
        <v>1367</v>
      </c>
      <c r="L307" t="s">
        <v>1435</v>
      </c>
      <c r="M307" s="5">
        <v>4.8192771084337352E-2</v>
      </c>
      <c r="N307" s="5">
        <v>0.95180722891566261</v>
      </c>
      <c r="O307" s="5">
        <v>0.125</v>
      </c>
      <c r="P307" s="5">
        <v>0.875</v>
      </c>
    </row>
    <row r="308" spans="9:18" x14ac:dyDescent="0.25">
      <c r="I308" s="3" t="s">
        <v>173</v>
      </c>
      <c r="J308" s="5">
        <v>0.10843373493975904</v>
      </c>
    </row>
    <row r="309" spans="9:18" x14ac:dyDescent="0.25">
      <c r="I309" s="3" t="s">
        <v>192</v>
      </c>
      <c r="J309" s="5">
        <v>0.89156626506024095</v>
      </c>
    </row>
    <row r="310" spans="9:18" x14ac:dyDescent="0.25">
      <c r="I310" s="3" t="s">
        <v>1316</v>
      </c>
      <c r="J310" s="5">
        <v>1</v>
      </c>
      <c r="Q310" s="2" t="s">
        <v>1315</v>
      </c>
      <c r="R310" t="s">
        <v>1362</v>
      </c>
    </row>
    <row r="311" spans="9:18" x14ac:dyDescent="0.25">
      <c r="M311" s="3" t="s">
        <v>1451</v>
      </c>
      <c r="N311" s="3" t="s">
        <v>1452</v>
      </c>
      <c r="O311" s="3" t="s">
        <v>1451</v>
      </c>
      <c r="P311" s="3" t="s">
        <v>1452</v>
      </c>
      <c r="Q311" s="3" t="s">
        <v>173</v>
      </c>
      <c r="R311" s="5">
        <v>0.2857142857142857</v>
      </c>
    </row>
    <row r="312" spans="9:18" x14ac:dyDescent="0.25">
      <c r="I312" s="2" t="s">
        <v>1315</v>
      </c>
      <c r="J312" t="s">
        <v>1370</v>
      </c>
      <c r="L312" t="s">
        <v>1432</v>
      </c>
      <c r="M312" s="5">
        <v>0.9337349397590361</v>
      </c>
      <c r="N312" s="5">
        <v>6.6265060240963861E-2</v>
      </c>
      <c r="O312" s="11">
        <f>VLOOKUP(L312,$L$298:$P$307,4,0)</f>
        <v>0.76774193548387093</v>
      </c>
      <c r="P312" s="11">
        <f>VLOOKUP(L312,$L$298:$P$307,5,0)</f>
        <v>0.23225806451612904</v>
      </c>
      <c r="Q312" s="3" t="s">
        <v>192</v>
      </c>
      <c r="R312" s="5">
        <v>0.7142857142857143</v>
      </c>
    </row>
    <row r="313" spans="9:18" x14ac:dyDescent="0.25">
      <c r="I313" s="3" t="s">
        <v>173</v>
      </c>
      <c r="J313" s="5">
        <v>0.66867469879518071</v>
      </c>
      <c r="L313" t="s">
        <v>1433</v>
      </c>
      <c r="M313" s="5">
        <v>0.86746987951807231</v>
      </c>
      <c r="N313" s="5">
        <v>0.13253012048192772</v>
      </c>
      <c r="O313" s="11">
        <f t="shared" ref="O313:O321" si="3">VLOOKUP(L313,$L$298:$P$307,4,0)</f>
        <v>0.43055555555555558</v>
      </c>
      <c r="P313" s="11">
        <f t="shared" ref="P313:P321" si="4">VLOOKUP(L313,$L$298:$P$307,5,0)</f>
        <v>0.56944444444444442</v>
      </c>
      <c r="Q313" s="3" t="s">
        <v>1316</v>
      </c>
      <c r="R313" s="5">
        <v>1</v>
      </c>
    </row>
    <row r="314" spans="9:18" x14ac:dyDescent="0.25">
      <c r="I314" s="3" t="s">
        <v>192</v>
      </c>
      <c r="J314" s="5">
        <v>0.33132530120481929</v>
      </c>
      <c r="L314" t="s">
        <v>1429</v>
      </c>
      <c r="M314" s="5">
        <v>0.66867469879518071</v>
      </c>
      <c r="N314" s="5">
        <v>0.33132530120481929</v>
      </c>
      <c r="O314" s="11">
        <f t="shared" si="3"/>
        <v>0.53153153153153154</v>
      </c>
      <c r="P314" s="11">
        <f t="shared" si="4"/>
        <v>0.46846846846846846</v>
      </c>
    </row>
    <row r="315" spans="9:18" x14ac:dyDescent="0.25">
      <c r="I315" s="3" t="s">
        <v>1316</v>
      </c>
      <c r="J315" s="5">
        <v>1</v>
      </c>
      <c r="L315" t="s">
        <v>1426</v>
      </c>
      <c r="M315" s="5">
        <v>0.59036144578313254</v>
      </c>
      <c r="N315" s="5">
        <v>0.40963855421686746</v>
      </c>
      <c r="O315" s="11">
        <f t="shared" si="3"/>
        <v>0.2857142857142857</v>
      </c>
      <c r="P315" s="11">
        <f t="shared" si="4"/>
        <v>0.7142857142857143</v>
      </c>
      <c r="Q315" s="2" t="s">
        <v>1315</v>
      </c>
      <c r="R315" t="s">
        <v>1365</v>
      </c>
    </row>
    <row r="316" spans="9:18" x14ac:dyDescent="0.25">
      <c r="L316" t="s">
        <v>1434</v>
      </c>
      <c r="M316" s="5">
        <v>0.46385542168674698</v>
      </c>
      <c r="N316" s="5">
        <v>0.53614457831325302</v>
      </c>
      <c r="O316" s="11">
        <f t="shared" si="3"/>
        <v>0.2857142857142857</v>
      </c>
      <c r="P316" s="11">
        <f t="shared" si="4"/>
        <v>0.7142857142857143</v>
      </c>
      <c r="Q316" s="3" t="s">
        <v>173</v>
      </c>
      <c r="R316" s="5">
        <v>0.38461538461538464</v>
      </c>
    </row>
    <row r="317" spans="9:18" x14ac:dyDescent="0.25">
      <c r="L317" t="s">
        <v>1431</v>
      </c>
      <c r="M317" s="5">
        <v>0.41566265060240964</v>
      </c>
      <c r="N317" s="5">
        <v>0.58433734939759041</v>
      </c>
      <c r="O317" s="11">
        <f t="shared" si="3"/>
        <v>0.40579710144927539</v>
      </c>
      <c r="P317" s="11">
        <f t="shared" si="4"/>
        <v>0.59420289855072461</v>
      </c>
      <c r="Q317" s="3" t="s">
        <v>192</v>
      </c>
      <c r="R317" s="5">
        <v>0.61538461538461542</v>
      </c>
    </row>
    <row r="318" spans="9:18" x14ac:dyDescent="0.25">
      <c r="I318" s="2" t="s">
        <v>1315</v>
      </c>
      <c r="J318" t="s">
        <v>1373</v>
      </c>
      <c r="L318" t="s">
        <v>1427</v>
      </c>
      <c r="M318" s="5">
        <v>0.31325301204819278</v>
      </c>
      <c r="N318" s="5">
        <v>0.68674698795180722</v>
      </c>
      <c r="O318" s="11">
        <f t="shared" si="3"/>
        <v>0.38461538461538464</v>
      </c>
      <c r="P318" s="11">
        <f t="shared" si="4"/>
        <v>0.61538461538461542</v>
      </c>
      <c r="Q318" s="3" t="s">
        <v>1316</v>
      </c>
      <c r="R318" s="5">
        <v>1</v>
      </c>
    </row>
    <row r="319" spans="9:18" x14ac:dyDescent="0.25">
      <c r="I319" s="3" t="s">
        <v>173</v>
      </c>
      <c r="J319" s="5">
        <v>0.30120481927710846</v>
      </c>
      <c r="L319" t="s">
        <v>1430</v>
      </c>
      <c r="M319" s="5">
        <v>0.30120481927710846</v>
      </c>
      <c r="N319" s="5">
        <v>0.6987951807228916</v>
      </c>
      <c r="O319" s="11">
        <f t="shared" si="3"/>
        <v>0.36</v>
      </c>
      <c r="P319" s="11">
        <f t="shared" si="4"/>
        <v>0.64</v>
      </c>
    </row>
    <row r="320" spans="9:18" x14ac:dyDescent="0.25">
      <c r="I320" s="3" t="s">
        <v>192</v>
      </c>
      <c r="J320" s="5">
        <v>0.6987951807228916</v>
      </c>
      <c r="L320" t="s">
        <v>1428</v>
      </c>
      <c r="M320" s="5">
        <v>0.10843373493975904</v>
      </c>
      <c r="N320" s="5">
        <v>0.89156626506024095</v>
      </c>
      <c r="O320" s="11">
        <f t="shared" si="3"/>
        <v>0.33333333333333331</v>
      </c>
      <c r="P320" s="11">
        <f t="shared" si="4"/>
        <v>0.66666666666666663</v>
      </c>
      <c r="Q320" s="2" t="s">
        <v>1315</v>
      </c>
      <c r="R320" t="s">
        <v>1368</v>
      </c>
    </row>
    <row r="321" spans="9:18" x14ac:dyDescent="0.25">
      <c r="I321" s="3" t="s">
        <v>1316</v>
      </c>
      <c r="J321" s="5">
        <v>1</v>
      </c>
      <c r="L321" t="s">
        <v>1435</v>
      </c>
      <c r="M321" s="5">
        <v>4.8192771084337352E-2</v>
      </c>
      <c r="N321" s="5">
        <v>0.95180722891566261</v>
      </c>
      <c r="O321" s="11">
        <f t="shared" si="3"/>
        <v>0.125</v>
      </c>
      <c r="P321" s="11">
        <f t="shared" si="4"/>
        <v>0.875</v>
      </c>
      <c r="Q321" s="3" t="s">
        <v>173</v>
      </c>
      <c r="R321" s="5">
        <v>0.33333333333333331</v>
      </c>
    </row>
    <row r="322" spans="9:18" x14ac:dyDescent="0.25">
      <c r="Q322" s="3" t="s">
        <v>192</v>
      </c>
      <c r="R322" s="5">
        <v>0.66666666666666663</v>
      </c>
    </row>
    <row r="323" spans="9:18" x14ac:dyDescent="0.25">
      <c r="Q323" s="3" t="s">
        <v>1316</v>
      </c>
      <c r="R323" s="5">
        <v>1</v>
      </c>
    </row>
    <row r="324" spans="9:18" x14ac:dyDescent="0.25">
      <c r="I324" s="2" t="s">
        <v>1315</v>
      </c>
      <c r="J324" t="s">
        <v>1376</v>
      </c>
    </row>
    <row r="325" spans="9:18" x14ac:dyDescent="0.25">
      <c r="I325" s="3" t="s">
        <v>173</v>
      </c>
      <c r="J325" s="5">
        <v>0.41566265060240964</v>
      </c>
      <c r="Q325" s="2" t="s">
        <v>1315</v>
      </c>
      <c r="R325" t="s">
        <v>1371</v>
      </c>
    </row>
    <row r="326" spans="9:18" x14ac:dyDescent="0.25">
      <c r="I326" s="3" t="s">
        <v>192</v>
      </c>
      <c r="J326" s="5">
        <v>0.58433734939759041</v>
      </c>
      <c r="Q326" s="3" t="s">
        <v>173</v>
      </c>
      <c r="R326" s="5">
        <v>0.53153153153153154</v>
      </c>
    </row>
    <row r="327" spans="9:18" x14ac:dyDescent="0.25">
      <c r="I327" s="3" t="s">
        <v>1316</v>
      </c>
      <c r="J327" s="5">
        <v>1</v>
      </c>
      <c r="Q327" s="3" t="s">
        <v>192</v>
      </c>
      <c r="R327" s="5">
        <v>0.46846846846846846</v>
      </c>
    </row>
    <row r="328" spans="9:18" x14ac:dyDescent="0.25">
      <c r="Q328" s="3" t="s">
        <v>1316</v>
      </c>
      <c r="R328" s="5">
        <v>1</v>
      </c>
    </row>
    <row r="329" spans="9:18" x14ac:dyDescent="0.25">
      <c r="I329" s="2" t="s">
        <v>1315</v>
      </c>
      <c r="J329" t="s">
        <v>1380</v>
      </c>
    </row>
    <row r="330" spans="9:18" x14ac:dyDescent="0.25">
      <c r="I330" s="3" t="s">
        <v>173</v>
      </c>
      <c r="J330" s="5">
        <v>0.9337349397590361</v>
      </c>
    </row>
    <row r="331" spans="9:18" x14ac:dyDescent="0.25">
      <c r="I331" s="3" t="s">
        <v>192</v>
      </c>
      <c r="J331" s="5">
        <v>6.6265060240963861E-2</v>
      </c>
      <c r="Q331" s="2" t="s">
        <v>1315</v>
      </c>
      <c r="R331" t="s">
        <v>1374</v>
      </c>
    </row>
    <row r="332" spans="9:18" x14ac:dyDescent="0.25">
      <c r="I332" s="3" t="s">
        <v>1316</v>
      </c>
      <c r="J332" s="5">
        <v>1</v>
      </c>
      <c r="Q332" s="3" t="s">
        <v>173</v>
      </c>
      <c r="R332" s="5">
        <v>0.36</v>
      </c>
    </row>
    <row r="333" spans="9:18" x14ac:dyDescent="0.25">
      <c r="Q333" s="3" t="s">
        <v>192</v>
      </c>
      <c r="R333" s="5">
        <v>0.64</v>
      </c>
    </row>
    <row r="334" spans="9:18" x14ac:dyDescent="0.25">
      <c r="I334" s="2" t="s">
        <v>1315</v>
      </c>
      <c r="J334" t="s">
        <v>1382</v>
      </c>
      <c r="Q334" s="3" t="s">
        <v>1316</v>
      </c>
      <c r="R334" s="5">
        <v>1</v>
      </c>
    </row>
    <row r="335" spans="9:18" x14ac:dyDescent="0.25">
      <c r="I335" s="3" t="s">
        <v>173</v>
      </c>
      <c r="J335" s="5">
        <v>0.86746987951807231</v>
      </c>
    </row>
    <row r="336" spans="9:18" x14ac:dyDescent="0.25">
      <c r="I336" s="3" t="s">
        <v>192</v>
      </c>
      <c r="J336" s="5">
        <v>0.13253012048192772</v>
      </c>
    </row>
    <row r="337" spans="9:18" x14ac:dyDescent="0.25">
      <c r="I337" s="3" t="s">
        <v>1316</v>
      </c>
      <c r="J337" s="5">
        <v>1</v>
      </c>
      <c r="Q337" s="2" t="s">
        <v>1315</v>
      </c>
      <c r="R337" t="s">
        <v>1377</v>
      </c>
    </row>
    <row r="338" spans="9:18" x14ac:dyDescent="0.25">
      <c r="Q338" s="3" t="s">
        <v>173</v>
      </c>
      <c r="R338" s="5">
        <v>0.40579710144927539</v>
      </c>
    </row>
    <row r="339" spans="9:18" x14ac:dyDescent="0.25">
      <c r="I339" s="2" t="s">
        <v>1315</v>
      </c>
      <c r="J339" t="s">
        <v>1385</v>
      </c>
      <c r="Q339" s="3" t="s">
        <v>192</v>
      </c>
      <c r="R339" s="5">
        <v>0.59420289855072461</v>
      </c>
    </row>
    <row r="340" spans="9:18" x14ac:dyDescent="0.25">
      <c r="I340" s="3" t="s">
        <v>173</v>
      </c>
      <c r="J340" s="5">
        <v>0.46385542168674698</v>
      </c>
      <c r="Q340" s="3" t="s">
        <v>1316</v>
      </c>
      <c r="R340" s="5">
        <v>1</v>
      </c>
    </row>
    <row r="341" spans="9:18" x14ac:dyDescent="0.25">
      <c r="I341" s="3" t="s">
        <v>192</v>
      </c>
      <c r="J341" s="5">
        <v>0.53614457831325302</v>
      </c>
    </row>
    <row r="342" spans="9:18" x14ac:dyDescent="0.25">
      <c r="I342" s="3" t="s">
        <v>1316</v>
      </c>
      <c r="J342" s="5">
        <v>1</v>
      </c>
      <c r="Q342" s="2" t="s">
        <v>1315</v>
      </c>
      <c r="R342" t="s">
        <v>1379</v>
      </c>
    </row>
    <row r="343" spans="9:18" x14ac:dyDescent="0.25">
      <c r="Q343" s="3" t="s">
        <v>173</v>
      </c>
      <c r="R343" s="5">
        <v>0.76774193548387093</v>
      </c>
    </row>
    <row r="344" spans="9:18" x14ac:dyDescent="0.25">
      <c r="I344" s="2" t="s">
        <v>1315</v>
      </c>
      <c r="J344" t="s">
        <v>1388</v>
      </c>
      <c r="Q344" s="3" t="s">
        <v>192</v>
      </c>
      <c r="R344" s="5">
        <v>0.23225806451612904</v>
      </c>
    </row>
    <row r="345" spans="9:18" x14ac:dyDescent="0.25">
      <c r="I345" s="3" t="s">
        <v>173</v>
      </c>
      <c r="J345" s="5">
        <v>4.8192771084337352E-2</v>
      </c>
      <c r="Q345" s="3" t="s">
        <v>1316</v>
      </c>
      <c r="R345" s="5">
        <v>1</v>
      </c>
    </row>
    <row r="346" spans="9:18" x14ac:dyDescent="0.25">
      <c r="I346" s="3" t="s">
        <v>192</v>
      </c>
      <c r="J346" s="5">
        <v>0.95180722891566261</v>
      </c>
    </row>
    <row r="347" spans="9:18" x14ac:dyDescent="0.25">
      <c r="I347" s="3" t="s">
        <v>1316</v>
      </c>
      <c r="J347" s="5">
        <v>1</v>
      </c>
      <c r="Q347" s="2" t="s">
        <v>1315</v>
      </c>
      <c r="R347" t="s">
        <v>1383</v>
      </c>
    </row>
    <row r="348" spans="9:18" x14ac:dyDescent="0.25">
      <c r="Q348" s="3" t="s">
        <v>173</v>
      </c>
      <c r="R348" s="5">
        <v>0.43055555555555558</v>
      </c>
    </row>
    <row r="349" spans="9:18" x14ac:dyDescent="0.25">
      <c r="Q349" s="3" t="s">
        <v>192</v>
      </c>
      <c r="R349" s="5">
        <v>0.56944444444444442</v>
      </c>
    </row>
    <row r="350" spans="9:18" x14ac:dyDescent="0.25">
      <c r="Q350" s="3" t="s">
        <v>1316</v>
      </c>
      <c r="R350" s="5">
        <v>1</v>
      </c>
    </row>
    <row r="352" spans="9:18" x14ac:dyDescent="0.25">
      <c r="Q352" s="2" t="s">
        <v>1315</v>
      </c>
      <c r="R352" t="s">
        <v>1386</v>
      </c>
    </row>
    <row r="353" spans="16:22" x14ac:dyDescent="0.25">
      <c r="Q353" s="3" t="s">
        <v>173</v>
      </c>
      <c r="R353" s="5">
        <v>0.2857142857142857</v>
      </c>
    </row>
    <row r="354" spans="16:22" x14ac:dyDescent="0.25">
      <c r="Q354" s="3" t="s">
        <v>192</v>
      </c>
      <c r="R354" s="5">
        <v>0.7142857142857143</v>
      </c>
    </row>
    <row r="355" spans="16:22" x14ac:dyDescent="0.25">
      <c r="Q355" s="3" t="s">
        <v>1316</v>
      </c>
      <c r="R355" s="5">
        <v>1</v>
      </c>
    </row>
    <row r="357" spans="16:22" x14ac:dyDescent="0.25">
      <c r="Q357" s="2" t="s">
        <v>1315</v>
      </c>
      <c r="R357" t="s">
        <v>1389</v>
      </c>
    </row>
    <row r="358" spans="16:22" x14ac:dyDescent="0.25">
      <c r="Q358" s="3" t="s">
        <v>173</v>
      </c>
      <c r="R358" s="5">
        <v>0.125</v>
      </c>
    </row>
    <row r="359" spans="16:22" x14ac:dyDescent="0.25">
      <c r="Q359" s="3" t="s">
        <v>192</v>
      </c>
      <c r="R359" s="5">
        <v>0.875</v>
      </c>
    </row>
    <row r="360" spans="16:22" x14ac:dyDescent="0.25">
      <c r="Q360" s="3" t="s">
        <v>1316</v>
      </c>
      <c r="R360" s="5">
        <v>1</v>
      </c>
    </row>
    <row r="362" spans="16:22" x14ac:dyDescent="0.25">
      <c r="P362" s="2" t="s">
        <v>1315</v>
      </c>
      <c r="Q362" t="s">
        <v>1363</v>
      </c>
      <c r="T362" s="3" t="s">
        <v>1469</v>
      </c>
      <c r="U362" s="3" t="s">
        <v>1470</v>
      </c>
      <c r="V362" s="3" t="s">
        <v>1471</v>
      </c>
    </row>
    <row r="363" spans="16:22" x14ac:dyDescent="0.25">
      <c r="P363" s="3" t="s">
        <v>188</v>
      </c>
      <c r="Q363" s="5">
        <v>0.25</v>
      </c>
      <c r="S363" t="s">
        <v>1426</v>
      </c>
      <c r="T363" s="5">
        <v>0.25</v>
      </c>
      <c r="U363" s="5">
        <v>0.7142857142857143</v>
      </c>
      <c r="V363" s="5">
        <v>3.5714285714285712E-2</v>
      </c>
    </row>
    <row r="364" spans="16:22" x14ac:dyDescent="0.25">
      <c r="P364" s="3" t="s">
        <v>191</v>
      </c>
      <c r="Q364" s="5">
        <v>0.7142857142857143</v>
      </c>
      <c r="S364" t="s">
        <v>1427</v>
      </c>
      <c r="T364" s="5">
        <v>0.10526315789473684</v>
      </c>
      <c r="U364" s="5">
        <v>0.89473684210526316</v>
      </c>
      <c r="V364" s="5">
        <v>0</v>
      </c>
    </row>
    <row r="365" spans="16:22" x14ac:dyDescent="0.25">
      <c r="P365" s="3" t="s">
        <v>190</v>
      </c>
      <c r="Q365" s="5">
        <v>3.5714285714285712E-2</v>
      </c>
      <c r="S365" t="s">
        <v>1428</v>
      </c>
      <c r="T365" s="5">
        <v>0.16666666666666666</v>
      </c>
      <c r="U365" s="5">
        <v>0.83333333333333337</v>
      </c>
      <c r="V365" s="5">
        <v>0</v>
      </c>
    </row>
    <row r="366" spans="16:22" x14ac:dyDescent="0.25">
      <c r="P366" s="3" t="s">
        <v>1316</v>
      </c>
      <c r="Q366" s="5">
        <v>1</v>
      </c>
      <c r="S366" t="s">
        <v>1429</v>
      </c>
      <c r="T366" s="5">
        <v>0.22033898305084745</v>
      </c>
      <c r="U366" s="5">
        <v>0.76271186440677963</v>
      </c>
      <c r="V366" s="5">
        <v>1.6949152542372881E-2</v>
      </c>
    </row>
    <row r="367" spans="16:22" x14ac:dyDescent="0.25">
      <c r="P367" s="2" t="s">
        <v>1315</v>
      </c>
      <c r="Q367" t="s">
        <v>1366</v>
      </c>
      <c r="S367" t="s">
        <v>1430</v>
      </c>
      <c r="T367" s="5">
        <v>0.3888888888888889</v>
      </c>
      <c r="U367" s="5">
        <v>0.61111111111111116</v>
      </c>
      <c r="V367" s="5">
        <v>0</v>
      </c>
    </row>
    <row r="368" spans="16:22" x14ac:dyDescent="0.25">
      <c r="P368" s="3" t="s">
        <v>188</v>
      </c>
      <c r="Q368" s="5">
        <v>0.10526315789473684</v>
      </c>
      <c r="S368" t="s">
        <v>1431</v>
      </c>
      <c r="T368" s="5">
        <v>0.35714285714285715</v>
      </c>
      <c r="U368" s="5">
        <v>0.6428571428571429</v>
      </c>
      <c r="V368" s="5">
        <v>0</v>
      </c>
    </row>
    <row r="369" spans="16:22" x14ac:dyDescent="0.25">
      <c r="P369" s="3" t="s">
        <v>191</v>
      </c>
      <c r="Q369" s="5">
        <v>0.89473684210526316</v>
      </c>
      <c r="S369" t="s">
        <v>1432</v>
      </c>
      <c r="T369" s="5">
        <v>0.55462184873949583</v>
      </c>
      <c r="U369" s="5">
        <v>0.44537815126050423</v>
      </c>
      <c r="V369" s="5">
        <v>0</v>
      </c>
    </row>
    <row r="370" spans="16:22" x14ac:dyDescent="0.25">
      <c r="P370" s="3" t="s">
        <v>1316</v>
      </c>
      <c r="Q370" s="5">
        <v>1</v>
      </c>
      <c r="S370" t="s">
        <v>1433</v>
      </c>
      <c r="T370" s="5">
        <v>0.38709677419354838</v>
      </c>
      <c r="U370" s="5">
        <v>0.58064516129032262</v>
      </c>
      <c r="V370" s="5">
        <v>3.2258064516129031E-2</v>
      </c>
    </row>
    <row r="371" spans="16:22" x14ac:dyDescent="0.25">
      <c r="S371" t="s">
        <v>1434</v>
      </c>
      <c r="T371" s="5">
        <v>0.45454545454545453</v>
      </c>
      <c r="U371" s="5">
        <v>0.54545454545454541</v>
      </c>
      <c r="V371" s="5">
        <v>0</v>
      </c>
    </row>
    <row r="372" spans="16:22" x14ac:dyDescent="0.25">
      <c r="P372" s="2" t="s">
        <v>1315</v>
      </c>
      <c r="Q372" t="s">
        <v>1369</v>
      </c>
      <c r="S372" t="s">
        <v>1435</v>
      </c>
      <c r="T372" s="5">
        <v>0</v>
      </c>
      <c r="U372" s="5">
        <v>0</v>
      </c>
      <c r="V372" s="5">
        <v>0</v>
      </c>
    </row>
    <row r="373" spans="16:22" x14ac:dyDescent="0.25">
      <c r="P373" s="3" t="s">
        <v>188</v>
      </c>
      <c r="Q373" s="5">
        <v>0.16666666666666666</v>
      </c>
    </row>
    <row r="374" spans="16:22" x14ac:dyDescent="0.25">
      <c r="P374" s="3" t="s">
        <v>191</v>
      </c>
      <c r="Q374" s="5">
        <v>0.83333333333333337</v>
      </c>
    </row>
    <row r="375" spans="16:22" x14ac:dyDescent="0.25">
      <c r="P375" s="3" t="s">
        <v>1316</v>
      </c>
      <c r="Q375" s="5">
        <v>1</v>
      </c>
    </row>
    <row r="377" spans="16:22" x14ac:dyDescent="0.25">
      <c r="P377" s="2" t="s">
        <v>1315</v>
      </c>
      <c r="Q377" t="s">
        <v>1372</v>
      </c>
    </row>
    <row r="378" spans="16:22" x14ac:dyDescent="0.25">
      <c r="P378" s="3" t="s">
        <v>188</v>
      </c>
      <c r="Q378" s="5">
        <v>0.22033898305084745</v>
      </c>
    </row>
    <row r="379" spans="16:22" x14ac:dyDescent="0.25">
      <c r="P379" s="3" t="s">
        <v>191</v>
      </c>
      <c r="Q379" s="5">
        <v>0.76271186440677963</v>
      </c>
    </row>
    <row r="380" spans="16:22" x14ac:dyDescent="0.25">
      <c r="P380" s="3" t="s">
        <v>190</v>
      </c>
      <c r="Q380" s="5">
        <v>1.6949152542372881E-2</v>
      </c>
    </row>
    <row r="381" spans="16:22" x14ac:dyDescent="0.25">
      <c r="P381" s="3" t="s">
        <v>1316</v>
      </c>
      <c r="Q381" s="5">
        <v>1</v>
      </c>
    </row>
    <row r="383" spans="16:22" x14ac:dyDescent="0.25">
      <c r="P383" s="2" t="s">
        <v>1315</v>
      </c>
      <c r="Q383" t="s">
        <v>1375</v>
      </c>
    </row>
    <row r="384" spans="16:22" x14ac:dyDescent="0.25">
      <c r="P384" s="3" t="s">
        <v>188</v>
      </c>
      <c r="Q384" s="5">
        <v>0.3888888888888889</v>
      </c>
    </row>
    <row r="385" spans="8:17" x14ac:dyDescent="0.25">
      <c r="P385" s="3" t="s">
        <v>191</v>
      </c>
      <c r="Q385" s="5">
        <v>0.61111111111111116</v>
      </c>
    </row>
    <row r="386" spans="8:17" x14ac:dyDescent="0.25">
      <c r="P386" s="3" t="s">
        <v>1325</v>
      </c>
      <c r="Q386" s="5">
        <v>0</v>
      </c>
    </row>
    <row r="387" spans="8:17" x14ac:dyDescent="0.25">
      <c r="P387" s="3" t="s">
        <v>1316</v>
      </c>
      <c r="Q387" s="5">
        <v>1</v>
      </c>
    </row>
    <row r="389" spans="8:17" x14ac:dyDescent="0.25">
      <c r="P389" s="2" t="s">
        <v>1315</v>
      </c>
      <c r="Q389" t="s">
        <v>1378</v>
      </c>
    </row>
    <row r="390" spans="8:17" x14ac:dyDescent="0.25">
      <c r="M390" t="s">
        <v>1438</v>
      </c>
      <c r="P390" s="3" t="s">
        <v>188</v>
      </c>
      <c r="Q390" s="5">
        <v>0.35714285714285715</v>
      </c>
    </row>
    <row r="391" spans="8:17" x14ac:dyDescent="0.25">
      <c r="P391" s="3" t="s">
        <v>191</v>
      </c>
      <c r="Q391" s="5">
        <v>0.6428571428571429</v>
      </c>
    </row>
    <row r="392" spans="8:17" x14ac:dyDescent="0.25">
      <c r="P392" s="3" t="s">
        <v>1316</v>
      </c>
      <c r="Q392" s="5">
        <v>1</v>
      </c>
    </row>
    <row r="394" spans="8:17" x14ac:dyDescent="0.25">
      <c r="H394" s="2" t="s">
        <v>1315</v>
      </c>
      <c r="I394" t="s">
        <v>1391</v>
      </c>
      <c r="P394" s="2" t="s">
        <v>1315</v>
      </c>
      <c r="Q394" t="s">
        <v>1381</v>
      </c>
    </row>
    <row r="395" spans="8:17" x14ac:dyDescent="0.25">
      <c r="H395" s="3" t="s">
        <v>1451</v>
      </c>
      <c r="I395" s="5">
        <v>0.95180722891566261</v>
      </c>
      <c r="P395" s="3" t="s">
        <v>188</v>
      </c>
      <c r="Q395" s="5">
        <v>0.55462184873949583</v>
      </c>
    </row>
    <row r="396" spans="8:17" x14ac:dyDescent="0.25">
      <c r="H396" s="3" t="s">
        <v>1452</v>
      </c>
      <c r="I396" s="5">
        <v>4.8192771084337352E-2</v>
      </c>
      <c r="P396" s="3" t="s">
        <v>191</v>
      </c>
      <c r="Q396" s="5">
        <v>0.44537815126050423</v>
      </c>
    </row>
    <row r="397" spans="8:17" x14ac:dyDescent="0.25">
      <c r="H397" s="3" t="s">
        <v>1316</v>
      </c>
      <c r="I397" s="5">
        <v>1</v>
      </c>
      <c r="P397" s="3" t="s">
        <v>1316</v>
      </c>
      <c r="Q397" s="5">
        <v>1</v>
      </c>
    </row>
    <row r="399" spans="8:17" x14ac:dyDescent="0.25">
      <c r="H399" s="2" t="s">
        <v>1315</v>
      </c>
      <c r="I399" t="s">
        <v>1392</v>
      </c>
      <c r="P399" s="2" t="s">
        <v>1315</v>
      </c>
      <c r="Q399" t="s">
        <v>1384</v>
      </c>
    </row>
    <row r="400" spans="8:17" x14ac:dyDescent="0.25">
      <c r="H400" s="3" t="s">
        <v>1451</v>
      </c>
      <c r="I400" s="5">
        <v>0.95180722891566261</v>
      </c>
      <c r="P400" s="3" t="s">
        <v>188</v>
      </c>
      <c r="Q400" s="5">
        <v>0.38709677419354838</v>
      </c>
    </row>
    <row r="401" spans="8:17" x14ac:dyDescent="0.25">
      <c r="H401" s="3" t="s">
        <v>1452</v>
      </c>
      <c r="I401" s="5">
        <v>4.8192771084337352E-2</v>
      </c>
      <c r="P401" s="3" t="s">
        <v>191</v>
      </c>
      <c r="Q401" s="5">
        <v>0.58064516129032262</v>
      </c>
    </row>
    <row r="402" spans="8:17" x14ac:dyDescent="0.25">
      <c r="H402" s="3" t="s">
        <v>1316</v>
      </c>
      <c r="I402" s="5">
        <v>1</v>
      </c>
      <c r="P402" s="3" t="s">
        <v>190</v>
      </c>
      <c r="Q402" s="5">
        <v>3.2258064516129031E-2</v>
      </c>
    </row>
    <row r="403" spans="8:17" x14ac:dyDescent="0.25">
      <c r="P403" s="3" t="s">
        <v>1316</v>
      </c>
      <c r="Q403" s="5">
        <v>1</v>
      </c>
    </row>
    <row r="404" spans="8:17" x14ac:dyDescent="0.25">
      <c r="P404" s="2" t="s">
        <v>1315</v>
      </c>
      <c r="Q404" t="s">
        <v>1387</v>
      </c>
    </row>
    <row r="405" spans="8:17" x14ac:dyDescent="0.25">
      <c r="P405" s="3" t="s">
        <v>188</v>
      </c>
      <c r="Q405" s="5">
        <v>0.45454545454545453</v>
      </c>
    </row>
    <row r="406" spans="8:17" x14ac:dyDescent="0.25">
      <c r="P406" s="3" t="s">
        <v>191</v>
      </c>
      <c r="Q406" s="5">
        <v>0.54545454545454541</v>
      </c>
    </row>
    <row r="407" spans="8:17" x14ac:dyDescent="0.25">
      <c r="P407" s="3" t="s">
        <v>1316</v>
      </c>
      <c r="Q407" s="5">
        <v>1</v>
      </c>
    </row>
    <row r="409" spans="8:17" x14ac:dyDescent="0.25">
      <c r="P409" s="2" t="s">
        <v>1315</v>
      </c>
      <c r="Q409" t="s">
        <v>1390</v>
      </c>
    </row>
    <row r="410" spans="8:17" x14ac:dyDescent="0.25">
      <c r="P410" s="3" t="s">
        <v>191</v>
      </c>
      <c r="Q410" s="5">
        <v>1</v>
      </c>
    </row>
    <row r="411" spans="8:17" x14ac:dyDescent="0.25">
      <c r="P411" s="3" t="s">
        <v>1316</v>
      </c>
      <c r="Q411" s="5">
        <v>1</v>
      </c>
    </row>
    <row r="434" spans="8:9" x14ac:dyDescent="0.25">
      <c r="H434" s="2" t="s">
        <v>1315</v>
      </c>
      <c r="I434" t="s">
        <v>1392</v>
      </c>
    </row>
    <row r="435" spans="8:9" x14ac:dyDescent="0.25">
      <c r="H435" s="3" t="s">
        <v>173</v>
      </c>
      <c r="I435" s="5">
        <v>0.95180722891566261</v>
      </c>
    </row>
    <row r="436" spans="8:9" x14ac:dyDescent="0.25">
      <c r="H436" s="3" t="s">
        <v>192</v>
      </c>
      <c r="I436" s="5">
        <v>4.8192771084337352E-2</v>
      </c>
    </row>
    <row r="437" spans="8:9" x14ac:dyDescent="0.25">
      <c r="H437" s="3" t="s">
        <v>1316</v>
      </c>
      <c r="I437" s="5">
        <v>1</v>
      </c>
    </row>
  </sheetData>
  <autoFilter ref="O173:Q190" xr:uid="{00000000-0001-0000-0100-000000000000}">
    <sortState xmlns:xlrd2="http://schemas.microsoft.com/office/spreadsheetml/2017/richdata2" ref="O174:Q190">
      <sortCondition descending="1" ref="P173:P190"/>
    </sortState>
  </autoFilter>
  <mergeCells count="15">
    <mergeCell ref="M296:N296"/>
    <mergeCell ref="O296:P296"/>
    <mergeCell ref="H12:H13"/>
    <mergeCell ref="H14:H17"/>
    <mergeCell ref="H49:H50"/>
    <mergeCell ref="H51:H54"/>
    <mergeCell ref="X123:X126"/>
    <mergeCell ref="G146:G150"/>
    <mergeCell ref="X95:X96"/>
    <mergeCell ref="X97:X100"/>
    <mergeCell ref="X103:X104"/>
    <mergeCell ref="X105:X108"/>
    <mergeCell ref="X121:X122"/>
    <mergeCell ref="G140:G141"/>
    <mergeCell ref="G142:G145"/>
  </mergeCells>
  <pageMargins left="0.7" right="0.7" top="0.75" bottom="0.75" header="0.3" footer="0.3"/>
  <pageSetup orientation="portrait" r:id="rId91"/>
  <drawing r:id="rId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01EC4F9D59FD49A441B095F8C63A72" ma:contentTypeVersion="11" ma:contentTypeDescription="Crear nuevo documento." ma:contentTypeScope="" ma:versionID="821a96015744468474bcab8d474beb1b">
  <xsd:schema xmlns:xsd="http://www.w3.org/2001/XMLSchema" xmlns:xs="http://www.w3.org/2001/XMLSchema" xmlns:p="http://schemas.microsoft.com/office/2006/metadata/properties" xmlns:ns2="be319be2-81fb-419e-b75f-d4a2a4bc46f1" xmlns:ns3="f3b5ca95-f29d-4812-ba7b-f535f70cee1a" targetNamespace="http://schemas.microsoft.com/office/2006/metadata/properties" ma:root="true" ma:fieldsID="ccc84f955ff98198f46e862a369010a2" ns2:_="" ns3:_="">
    <xsd:import namespace="be319be2-81fb-419e-b75f-d4a2a4bc46f1"/>
    <xsd:import namespace="f3b5ca95-f29d-4812-ba7b-f535f70cee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19be2-81fb-419e-b75f-d4a2a4bc46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c48d153-5d17-4f59-9cca-06bb7141b4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5ca95-f29d-4812-ba7b-f535f70cee1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49d6b8-0108-4a70-96f2-e851ca81f023}" ma:internalName="TaxCatchAll" ma:showField="CatchAllData" ma:web="f3b5ca95-f29d-4812-ba7b-f535f70cee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b5ca95-f29d-4812-ba7b-f535f70cee1a" xsi:nil="true"/>
    <lcf76f155ced4ddcb4097134ff3c332f xmlns="be319be2-81fb-419e-b75f-d4a2a4bc46f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0494B7-3039-4365-8F82-19DAEACBB4FE}"/>
</file>

<file path=customXml/itemProps2.xml><?xml version="1.0" encoding="utf-8"?>
<ds:datastoreItem xmlns:ds="http://schemas.openxmlformats.org/officeDocument/2006/customXml" ds:itemID="{213C7459-F8C9-4121-BF79-307F53C3EE4E}"/>
</file>

<file path=customXml/itemProps3.xml><?xml version="1.0" encoding="utf-8"?>
<ds:datastoreItem xmlns:ds="http://schemas.openxmlformats.org/officeDocument/2006/customXml" ds:itemID="{AA34A906-D747-4ECD-AFA0-016AEAADCC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</vt:lpstr>
      <vt:lpstr>eda</vt:lpstr>
      <vt:lpstr>grafos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</dc:creator>
  <cp:lastModifiedBy>Herrera Lozada German Vicente</cp:lastModifiedBy>
  <dcterms:created xsi:type="dcterms:W3CDTF">2025-04-22T13:06:43Z</dcterms:created>
  <dcterms:modified xsi:type="dcterms:W3CDTF">2025-06-19T13:17:52Z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0x0101002C01EC4F9D59FD49A441B095F8C63A72</vt:lpwstr>
  </property>
</Properties>
</file>